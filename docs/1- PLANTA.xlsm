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G:\PAE MEDELLIN\FORMATOS 2022\FORMATOS PARA CONSOLIDADOS\"/>
    </mc:Choice>
  </mc:AlternateContent>
  <xr:revisionPtr revIDLastSave="0" documentId="13_ncr:1_{F800CE83-6E98-41B5-BB04-9CD37C0EF937}" xr6:coauthVersionLast="47" xr6:coauthVersionMax="47" xr10:uidLastSave="{00000000-0000-0000-0000-000000000000}"/>
  <bookViews>
    <workbookView xWindow="-108" yWindow="-108" windowWidth="23256" windowHeight="12576" tabRatio="903" xr2:uid="{00000000-000D-0000-FFFF-FFFF00000000}"/>
  </bookViews>
  <sheets>
    <sheet name="PLANTA O BODEGA" sheetId="1" r:id="rId1"/>
    <sheet name="Hoja1" sheetId="23" r:id="rId2"/>
    <sheet name="Hoja4" sheetId="22" state="hidden" r:id="rId3"/>
    <sheet name="SEDES" sheetId="4" state="hidden" r:id="rId4"/>
    <sheet name="DATOS" sheetId="2" state="hidden" r:id="rId5"/>
  </sheets>
  <externalReferences>
    <externalReference r:id="rId6"/>
  </externalReferences>
  <definedNames>
    <definedName name="_xlnm._FilterDatabase" localSheetId="2" hidden="1">Hoja4!$A$1:$F$75</definedName>
    <definedName name="_xlnm._FilterDatabase" localSheetId="0" hidden="1">'PLANTA O BODEGA'!$A$4:$CV$6</definedName>
    <definedName name="ALIMENTACION">DATOS!$A$40:$A$44</definedName>
    <definedName name="CONCEPTO">DATOS!$J$2:$J$4</definedName>
    <definedName name="CUMPLE">DATOS!$B$2:$B$3</definedName>
    <definedName name="GRADO">[1]DATOS!$A$138:$A$139</definedName>
    <definedName name="IDSEDE">Tabla16[ID SEDE]</definedName>
    <definedName name="MARCA">[1]DATOS!$C$152:$C$356</definedName>
    <definedName name="MENU">DATOS!$M$2:$M$6</definedName>
    <definedName name="MES">DATOS!$O$2:$O$14</definedName>
    <definedName name="MODALIDAD">DATOS!$H$2:$H$6</definedName>
    <definedName name="OPCION">DATOS!$A$2:$A$5</definedName>
    <definedName name="OPCION2">[1]DATOS!$A$144:$A$147</definedName>
    <definedName name="OPERADORES">DATOS!$Q$2:$Q$5</definedName>
    <definedName name="PRODUCTO">[1]DATOS!$A$152:$A$524</definedName>
    <definedName name="PROFESIONAL">Tabla3[PROFESIONAL]</definedName>
    <definedName name="REF">'PLANTA O BODEGA'!#REF!</definedName>
    <definedName name="SEDENO">[1]RPS!$A$6:$A$405</definedName>
    <definedName name="SEMANA">DATOS!$A$117:$A$137</definedName>
    <definedName name="SINO">[1]DATOS!$Q$2:$Q$3</definedName>
    <definedName name="TIPO_VISITA">DATOS!$F$2:$F$3</definedName>
    <definedName name="VISITA">Tabla2[VISITA]</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HU6" i="1" l="1"/>
  <c r="HT6" i="1"/>
  <c r="GY6" i="1"/>
  <c r="GX6" i="1"/>
  <c r="GD6" i="1"/>
  <c r="GC6" i="1"/>
  <c r="FW6" i="1"/>
  <c r="FS6" i="1"/>
  <c r="FR6" i="1"/>
  <c r="FL6" i="1"/>
  <c r="FK6" i="1"/>
  <c r="FE6" i="1"/>
  <c r="FD6" i="1"/>
  <c r="EQ6" i="1"/>
  <c r="EP6" i="1"/>
  <c r="EJ6" i="1"/>
  <c r="EI6" i="1"/>
  <c r="ED6" i="1"/>
  <c r="EC6" i="1"/>
  <c r="DQ6" i="1"/>
  <c r="DP6" i="1"/>
  <c r="DH6" i="1"/>
  <c r="DG6" i="1"/>
  <c r="DB6" i="1"/>
  <c r="DA6" i="1"/>
  <c r="MK6" i="1"/>
  <c r="MJ6" i="1"/>
  <c r="D101" i="23"/>
  <c r="D102" i="23"/>
  <c r="D103" i="23"/>
  <c r="D104" i="23"/>
  <c r="D105" i="23"/>
  <c r="D106" i="23"/>
  <c r="D107" i="23"/>
  <c r="D108" i="23"/>
  <c r="D109" i="23"/>
  <c r="D110" i="23"/>
  <c r="D111" i="23"/>
  <c r="D112" i="23"/>
  <c r="D113" i="23"/>
  <c r="D114" i="23"/>
  <c r="D115" i="23"/>
  <c r="D116" i="23"/>
  <c r="D117" i="23"/>
  <c r="D118" i="23"/>
  <c r="D119" i="23"/>
  <c r="D120" i="23"/>
  <c r="D121" i="23"/>
  <c r="D122" i="23"/>
  <c r="D123" i="23"/>
  <c r="D124" i="23"/>
  <c r="D125" i="23"/>
  <c r="D126" i="23"/>
  <c r="D127" i="23"/>
  <c r="D128" i="23"/>
  <c r="D129" i="23"/>
  <c r="D130" i="23"/>
  <c r="D131" i="23"/>
  <c r="D132" i="23"/>
  <c r="D133" i="23"/>
  <c r="D134" i="23"/>
  <c r="D135" i="23"/>
  <c r="D136" i="23"/>
  <c r="D137" i="23"/>
  <c r="D138" i="23"/>
  <c r="D139" i="23"/>
  <c r="D140" i="23"/>
  <c r="D141" i="23"/>
  <c r="D142" i="23"/>
  <c r="D143" i="23"/>
  <c r="D144" i="23"/>
  <c r="D145" i="23"/>
  <c r="D146" i="23"/>
  <c r="D147" i="23"/>
  <c r="D148" i="23"/>
  <c r="D149" i="23"/>
  <c r="D150" i="23"/>
  <c r="D151" i="23"/>
  <c r="D152" i="23"/>
  <c r="D153" i="23"/>
  <c r="D154" i="23"/>
  <c r="D155" i="23"/>
  <c r="D156" i="23"/>
  <c r="D157" i="23"/>
  <c r="D158" i="23"/>
  <c r="D159" i="23"/>
  <c r="D160" i="23"/>
  <c r="D161" i="23"/>
  <c r="D162" i="23"/>
  <c r="D163" i="23"/>
  <c r="D164" i="23"/>
  <c r="D165" i="23"/>
  <c r="D166" i="23"/>
  <c r="D167" i="23"/>
  <c r="D168" i="23"/>
  <c r="D169" i="23"/>
  <c r="D170" i="23"/>
  <c r="D171" i="23"/>
  <c r="D172" i="23"/>
  <c r="D173" i="23"/>
  <c r="D174" i="23"/>
  <c r="D175" i="23"/>
  <c r="D176" i="23"/>
  <c r="D177" i="23"/>
  <c r="D178" i="23"/>
  <c r="D179" i="23"/>
  <c r="D180" i="23"/>
  <c r="D181" i="23"/>
  <c r="D182" i="23"/>
  <c r="D183" i="23"/>
  <c r="D184" i="23"/>
  <c r="D185" i="23"/>
  <c r="D186" i="23"/>
  <c r="D187" i="23"/>
  <c r="D188" i="23"/>
  <c r="D189" i="23"/>
  <c r="D190" i="23"/>
  <c r="D191" i="23"/>
  <c r="D192" i="23"/>
  <c r="D193" i="23"/>
  <c r="D194" i="23"/>
  <c r="D195" i="23"/>
  <c r="D196" i="23"/>
  <c r="D197" i="23"/>
  <c r="D198" i="23"/>
  <c r="D199" i="23"/>
  <c r="D200" i="23"/>
  <c r="D201" i="23"/>
  <c r="D202" i="23"/>
  <c r="D203" i="23"/>
  <c r="D204" i="23"/>
  <c r="D205" i="23"/>
  <c r="D206" i="23"/>
  <c r="D207" i="23"/>
  <c r="D208" i="23"/>
  <c r="D209" i="23"/>
  <c r="D210" i="23"/>
  <c r="D211" i="23"/>
  <c r="D212" i="23"/>
  <c r="D213" i="23"/>
  <c r="D214" i="23"/>
  <c r="D215" i="23"/>
  <c r="D100" i="23"/>
  <c r="HH6" i="1"/>
  <c r="HG6" i="1"/>
  <c r="GO6" i="1"/>
  <c r="GN6" i="1"/>
  <c r="FX6" i="1"/>
  <c r="EW6" i="1"/>
  <c r="EV6" i="1"/>
  <c r="MO6" i="1" l="1"/>
  <c r="MN6" i="1"/>
  <c r="EX6" i="1"/>
  <c r="EY6" i="1" s="1"/>
  <c r="ER6" i="1"/>
  <c r="ES6" i="1" s="1"/>
  <c r="EK6" i="1"/>
  <c r="EL6" i="1" s="1"/>
  <c r="DI6" i="1"/>
  <c r="DJ6" i="1" s="1"/>
  <c r="GZ6" i="1"/>
  <c r="HA6" i="1" s="1"/>
  <c r="GP6" i="1"/>
  <c r="GQ6" i="1" s="1"/>
  <c r="FF6" i="1"/>
  <c r="FG6" i="1" s="1"/>
  <c r="FM6" i="1"/>
  <c r="FN6" i="1" s="1"/>
  <c r="FT6" i="1"/>
  <c r="FU6" i="1" s="1"/>
  <c r="FY6" i="1"/>
  <c r="FZ6" i="1" s="1"/>
  <c r="GE6" i="1"/>
  <c r="GF6" i="1" s="1"/>
  <c r="ML6" i="1"/>
  <c r="MM6" i="1" s="1"/>
  <c r="HI6" i="1"/>
  <c r="HJ6" i="1" s="1"/>
  <c r="HV6" i="1"/>
  <c r="HW6" i="1" s="1"/>
  <c r="DR6" i="1" l="1"/>
  <c r="DS6" i="1" s="1"/>
  <c r="EE6" i="1"/>
  <c r="EF6" i="1" s="1"/>
  <c r="DC6" i="1"/>
  <c r="DD6" i="1" s="1"/>
  <c r="MP6" i="1" l="1"/>
  <c r="MQ6" i="1" s="1"/>
  <c r="AF511" i="4"/>
  <c r="AF510" i="4"/>
  <c r="AF509" i="4"/>
  <c r="AF508" i="4"/>
  <c r="AF507" i="4"/>
  <c r="AF506" i="4"/>
  <c r="AF505" i="4"/>
  <c r="AF504" i="4"/>
  <c r="AF503" i="4"/>
  <c r="AF502" i="4"/>
  <c r="AF501" i="4"/>
  <c r="AF500" i="4"/>
  <c r="AF499" i="4"/>
  <c r="AF498" i="4"/>
  <c r="AF497" i="4"/>
  <c r="AF496" i="4"/>
  <c r="AF495" i="4"/>
  <c r="AF494" i="4"/>
  <c r="AF493" i="4"/>
  <c r="AF492" i="4"/>
  <c r="AF491" i="4"/>
  <c r="AF490" i="4"/>
  <c r="AF489" i="4"/>
  <c r="AF488" i="4"/>
  <c r="AF487" i="4"/>
  <c r="AF486" i="4"/>
  <c r="AF485" i="4"/>
  <c r="AF484" i="4"/>
  <c r="AF483" i="4"/>
  <c r="AF482" i="4"/>
  <c r="AF481" i="4"/>
  <c r="AF480" i="4"/>
  <c r="AF479" i="4"/>
  <c r="AF478" i="4"/>
  <c r="AF477" i="4"/>
  <c r="AF476" i="4"/>
  <c r="AF475" i="4"/>
  <c r="AF474" i="4"/>
  <c r="AF473" i="4"/>
  <c r="AF472" i="4"/>
  <c r="AF471" i="4"/>
  <c r="AF470" i="4"/>
  <c r="AF469" i="4"/>
  <c r="AF468" i="4"/>
  <c r="AF467" i="4"/>
  <c r="AF466" i="4"/>
  <c r="AF465" i="4"/>
  <c r="AF464" i="4"/>
  <c r="AF463" i="4"/>
  <c r="AF462" i="4"/>
  <c r="AF461" i="4"/>
  <c r="AF460" i="4"/>
  <c r="AF459" i="4"/>
  <c r="AF458" i="4"/>
  <c r="AF457" i="4"/>
  <c r="AF456" i="4"/>
  <c r="AF455" i="4"/>
  <c r="AF454" i="4"/>
  <c r="AF453" i="4"/>
  <c r="AF452" i="4"/>
  <c r="AF451" i="4"/>
  <c r="AF450" i="4"/>
  <c r="AF449" i="4"/>
  <c r="AF448" i="4"/>
  <c r="AF447" i="4"/>
  <c r="AF446" i="4"/>
  <c r="AF445" i="4"/>
  <c r="AF444" i="4"/>
  <c r="AF443" i="4"/>
  <c r="AF442" i="4"/>
  <c r="AF441" i="4"/>
  <c r="AF440" i="4"/>
  <c r="AF439" i="4"/>
  <c r="AF438" i="4"/>
  <c r="AF437" i="4"/>
  <c r="AF436" i="4"/>
  <c r="AF435" i="4"/>
  <c r="AF434" i="4"/>
  <c r="AF433" i="4"/>
  <c r="AF432" i="4"/>
  <c r="AF431" i="4"/>
  <c r="AF430" i="4"/>
  <c r="AF429" i="4"/>
  <c r="AF428" i="4"/>
  <c r="AF427" i="4"/>
  <c r="AF426" i="4"/>
  <c r="AF425" i="4"/>
  <c r="AF424" i="4"/>
  <c r="AF423" i="4"/>
  <c r="AF422" i="4"/>
  <c r="AF421" i="4"/>
  <c r="AF420" i="4"/>
  <c r="AF419" i="4"/>
  <c r="AF418" i="4"/>
  <c r="AF417" i="4"/>
  <c r="AF416" i="4"/>
  <c r="AF415" i="4"/>
  <c r="AF414" i="4"/>
  <c r="AF413" i="4"/>
  <c r="AF412" i="4"/>
  <c r="AF411" i="4"/>
  <c r="AF410" i="4"/>
  <c r="AF409" i="4"/>
  <c r="AF408" i="4"/>
  <c r="AF407" i="4"/>
  <c r="AF406" i="4"/>
  <c r="AF405" i="4"/>
  <c r="AF404" i="4"/>
  <c r="AF403" i="4"/>
  <c r="AF402" i="4"/>
  <c r="AF401" i="4"/>
  <c r="AF400" i="4"/>
  <c r="AF399" i="4"/>
  <c r="AF398" i="4"/>
  <c r="AF397" i="4"/>
  <c r="AF396" i="4"/>
  <c r="AF395" i="4"/>
  <c r="AF394" i="4"/>
  <c r="AF393" i="4"/>
  <c r="Y392" i="4"/>
  <c r="AF391" i="4"/>
  <c r="Y390" i="4"/>
  <c r="AF390" i="4" s="1"/>
  <c r="AF389" i="4"/>
  <c r="AF388" i="4"/>
  <c r="AF387" i="4"/>
  <c r="AF386" i="4"/>
  <c r="AF385" i="4"/>
  <c r="AF384" i="4"/>
  <c r="AF383" i="4"/>
  <c r="AF382" i="4"/>
  <c r="AF381" i="4"/>
  <c r="AF380" i="4"/>
  <c r="AF379" i="4"/>
  <c r="AF378" i="4"/>
  <c r="AF377" i="4"/>
  <c r="AF376" i="4"/>
  <c r="AF375" i="4"/>
  <c r="AF374" i="4"/>
  <c r="AF373" i="4"/>
  <c r="AF372" i="4"/>
  <c r="AF371" i="4"/>
  <c r="AF370" i="4"/>
  <c r="AF369" i="4"/>
  <c r="AF368" i="4"/>
  <c r="AF367" i="4"/>
  <c r="AF366" i="4"/>
  <c r="AF365" i="4"/>
  <c r="AF364" i="4"/>
  <c r="AF363" i="4"/>
  <c r="AF362" i="4"/>
  <c r="AF361" i="4"/>
  <c r="AF360" i="4"/>
  <c r="AF359" i="4"/>
  <c r="AF358" i="4"/>
  <c r="AF357" i="4"/>
  <c r="AF356" i="4"/>
  <c r="AF355" i="4"/>
  <c r="AF354" i="4"/>
  <c r="AF353" i="4"/>
  <c r="AF352" i="4"/>
  <c r="AF351" i="4"/>
  <c r="AF350" i="4"/>
  <c r="AF349" i="4"/>
  <c r="AF348" i="4"/>
  <c r="AF347" i="4"/>
  <c r="AF346" i="4"/>
  <c r="AF345" i="4"/>
  <c r="AF344" i="4"/>
  <c r="AF343" i="4"/>
  <c r="AF342" i="4"/>
  <c r="AF341" i="4"/>
  <c r="AF340" i="4"/>
  <c r="AF339" i="4"/>
  <c r="AF338" i="4"/>
  <c r="AF337" i="4"/>
  <c r="AF336" i="4"/>
  <c r="AF335" i="4"/>
  <c r="AF334" i="4"/>
  <c r="AF333" i="4"/>
  <c r="AF332" i="4"/>
  <c r="AF331" i="4"/>
  <c r="AF330" i="4"/>
  <c r="AF329" i="4"/>
  <c r="AF328" i="4"/>
  <c r="AF327" i="4"/>
  <c r="AF326" i="4"/>
  <c r="AF325" i="4"/>
  <c r="AF324" i="4"/>
  <c r="AF323" i="4"/>
  <c r="AF322" i="4"/>
  <c r="AF321" i="4"/>
  <c r="AF320" i="4"/>
  <c r="AF319" i="4"/>
  <c r="AF318" i="4"/>
  <c r="AF317" i="4"/>
  <c r="AF316" i="4"/>
  <c r="AF315" i="4"/>
  <c r="AF314" i="4"/>
  <c r="AF313" i="4"/>
  <c r="AF312" i="4"/>
  <c r="AF311" i="4"/>
  <c r="AF310" i="4"/>
  <c r="AF309" i="4"/>
  <c r="AF308" i="4"/>
  <c r="AF307" i="4"/>
  <c r="AF306" i="4"/>
  <c r="AF305" i="4"/>
  <c r="AF304" i="4"/>
  <c r="AF303" i="4"/>
  <c r="AF302" i="4"/>
  <c r="AF301" i="4"/>
  <c r="AF300" i="4"/>
  <c r="AF299" i="4"/>
  <c r="AF298" i="4"/>
  <c r="AF297" i="4"/>
  <c r="AF296" i="4"/>
  <c r="AF295" i="4"/>
  <c r="AF294" i="4"/>
  <c r="AF293" i="4"/>
  <c r="AF292" i="4"/>
  <c r="AF291" i="4"/>
  <c r="AF290" i="4"/>
  <c r="AF289" i="4"/>
  <c r="AF288" i="4"/>
  <c r="AF287" i="4"/>
  <c r="AF286" i="4"/>
  <c r="AF285" i="4"/>
  <c r="AF284" i="4"/>
  <c r="AF283" i="4"/>
  <c r="AF282" i="4"/>
  <c r="AF281" i="4"/>
  <c r="AF280" i="4"/>
  <c r="AF279" i="4"/>
  <c r="AF278" i="4"/>
  <c r="AF277" i="4"/>
  <c r="AF276" i="4"/>
  <c r="AF275" i="4"/>
  <c r="AF274" i="4"/>
  <c r="AF273" i="4"/>
  <c r="AF272" i="4"/>
  <c r="AF271" i="4"/>
  <c r="AF270" i="4"/>
  <c r="AF269" i="4"/>
  <c r="AF268" i="4"/>
  <c r="AF267" i="4"/>
  <c r="AF266" i="4"/>
  <c r="AF265" i="4"/>
  <c r="AF264" i="4"/>
  <c r="AF263" i="4"/>
  <c r="AF262" i="4"/>
  <c r="AF261" i="4"/>
  <c r="AF260" i="4"/>
  <c r="AF259" i="4"/>
  <c r="AF258" i="4"/>
  <c r="AF257" i="4"/>
  <c r="AF256" i="4"/>
  <c r="AF255" i="4"/>
  <c r="AF254" i="4"/>
  <c r="AF253" i="4"/>
  <c r="AF252" i="4"/>
  <c r="AF251" i="4"/>
  <c r="AF250" i="4"/>
  <c r="AF249" i="4"/>
  <c r="AF248" i="4"/>
  <c r="AF247" i="4"/>
  <c r="AF246" i="4"/>
  <c r="AF245" i="4"/>
  <c r="AF244" i="4"/>
  <c r="AF243" i="4"/>
  <c r="AF242" i="4"/>
  <c r="AF241" i="4"/>
  <c r="AF240" i="4"/>
  <c r="AF239" i="4"/>
  <c r="AF238" i="4"/>
  <c r="AF237" i="4"/>
  <c r="AF236" i="4"/>
  <c r="AF235" i="4"/>
  <c r="AF234" i="4"/>
  <c r="AF233" i="4"/>
  <c r="AF232" i="4"/>
  <c r="AF231" i="4"/>
  <c r="AF230" i="4"/>
  <c r="AF229" i="4"/>
  <c r="AF228" i="4"/>
  <c r="AF227" i="4"/>
  <c r="AF226" i="4"/>
  <c r="AF225" i="4"/>
  <c r="AF224" i="4"/>
  <c r="AF223" i="4"/>
  <c r="AF222" i="4"/>
  <c r="AF221" i="4"/>
  <c r="AF220" i="4"/>
  <c r="AE219" i="4"/>
  <c r="Y219" i="4"/>
  <c r="AF218" i="4"/>
  <c r="AF217" i="4"/>
  <c r="AF216" i="4"/>
  <c r="AF215" i="4"/>
  <c r="AF214" i="4"/>
  <c r="AF213" i="4"/>
  <c r="AF212" i="4"/>
  <c r="AF211" i="4"/>
  <c r="AF210" i="4"/>
  <c r="AF209" i="4"/>
  <c r="AF208" i="4"/>
  <c r="AF207" i="4"/>
  <c r="AF206" i="4"/>
  <c r="AF205" i="4"/>
  <c r="AF204" i="4"/>
  <c r="AF203" i="4"/>
  <c r="AF202" i="4"/>
  <c r="AF201" i="4"/>
  <c r="AF200" i="4"/>
  <c r="AF199" i="4"/>
  <c r="AF198" i="4"/>
  <c r="AF197" i="4"/>
  <c r="AF196" i="4"/>
  <c r="AF195" i="4"/>
  <c r="AF194" i="4"/>
  <c r="AF193" i="4"/>
  <c r="AF192" i="4"/>
  <c r="AF191" i="4"/>
  <c r="AF190" i="4"/>
  <c r="AF189" i="4"/>
  <c r="AF188" i="4"/>
  <c r="AF187" i="4"/>
  <c r="AF186" i="4"/>
  <c r="AF185" i="4"/>
  <c r="AF184" i="4"/>
  <c r="AF183" i="4"/>
  <c r="AF182" i="4"/>
  <c r="AF181" i="4"/>
  <c r="AF180" i="4"/>
  <c r="AF179" i="4"/>
  <c r="AF178" i="4"/>
  <c r="AF177" i="4"/>
  <c r="AF176" i="4"/>
  <c r="AF175" i="4"/>
  <c r="AF174" i="4"/>
  <c r="AF173" i="4"/>
  <c r="AF172" i="4"/>
  <c r="AF171" i="4"/>
  <c r="AF170" i="4"/>
  <c r="AF169" i="4"/>
  <c r="AF168" i="4"/>
  <c r="AF167" i="4"/>
  <c r="AF166" i="4"/>
  <c r="AF165" i="4"/>
  <c r="AF164" i="4"/>
  <c r="AF163" i="4"/>
  <c r="AF162" i="4"/>
  <c r="AF161" i="4"/>
  <c r="AF160" i="4"/>
  <c r="AF159" i="4"/>
  <c r="AF158" i="4"/>
  <c r="AF157" i="4"/>
  <c r="AF156" i="4"/>
  <c r="AF155" i="4"/>
  <c r="AF154" i="4"/>
  <c r="AF153" i="4"/>
  <c r="AF152" i="4"/>
  <c r="AF151" i="4"/>
  <c r="AF150" i="4"/>
  <c r="AF149" i="4"/>
  <c r="AF148" i="4"/>
  <c r="AF147" i="4"/>
  <c r="AF146" i="4"/>
  <c r="AF145" i="4"/>
  <c r="AF144" i="4"/>
  <c r="AF143" i="4"/>
  <c r="AF142" i="4"/>
  <c r="AF141" i="4"/>
  <c r="AF140" i="4"/>
  <c r="AF139" i="4"/>
  <c r="AF138" i="4"/>
  <c r="AF137" i="4"/>
  <c r="AF136" i="4"/>
  <c r="AF135" i="4"/>
  <c r="AF134" i="4"/>
  <c r="AF133" i="4"/>
  <c r="AF132" i="4"/>
  <c r="AF131" i="4"/>
  <c r="AF130" i="4"/>
  <c r="AF129" i="4"/>
  <c r="AF128" i="4"/>
  <c r="AF127" i="4"/>
  <c r="AF126" i="4"/>
  <c r="AF125" i="4"/>
  <c r="AF124" i="4"/>
  <c r="AF123" i="4"/>
  <c r="AF122" i="4"/>
  <c r="AF121" i="4"/>
  <c r="AF120" i="4"/>
  <c r="AF119" i="4"/>
  <c r="AF118" i="4"/>
  <c r="AF117" i="4"/>
  <c r="AF116" i="4"/>
  <c r="AF115" i="4"/>
  <c r="AF114" i="4"/>
  <c r="AF113" i="4"/>
  <c r="AF112" i="4"/>
  <c r="AF111" i="4"/>
  <c r="AF110" i="4"/>
  <c r="AF109" i="4"/>
  <c r="AF108" i="4"/>
  <c r="AF107" i="4"/>
  <c r="AF106" i="4"/>
  <c r="AF105" i="4"/>
  <c r="AF104" i="4"/>
  <c r="AF103" i="4"/>
  <c r="AF102" i="4"/>
  <c r="AF101" i="4"/>
  <c r="AF100" i="4"/>
  <c r="AF99" i="4"/>
  <c r="AF98" i="4"/>
  <c r="AF97" i="4"/>
  <c r="AF96" i="4"/>
  <c r="AF95" i="4"/>
  <c r="AF94" i="4"/>
  <c r="AF93" i="4"/>
  <c r="AF92" i="4"/>
  <c r="AF91" i="4"/>
  <c r="AF90" i="4"/>
  <c r="AF89" i="4"/>
  <c r="AF88" i="4"/>
  <c r="AF87" i="4"/>
  <c r="AF86" i="4"/>
  <c r="AF85" i="4"/>
  <c r="AF84" i="4"/>
  <c r="AF83" i="4"/>
  <c r="AF82" i="4"/>
  <c r="AF81" i="4"/>
  <c r="AF80" i="4"/>
  <c r="AF79" i="4"/>
  <c r="AF78" i="4"/>
  <c r="AF77" i="4"/>
  <c r="AF76" i="4"/>
  <c r="AF75" i="4"/>
  <c r="AF74" i="4"/>
  <c r="AF73" i="4"/>
  <c r="AF72" i="4"/>
  <c r="AF71" i="4"/>
  <c r="AF70" i="4"/>
  <c r="AF69" i="4"/>
  <c r="AF68" i="4"/>
  <c r="AF67" i="4"/>
  <c r="AF66" i="4"/>
  <c r="AF65" i="4"/>
  <c r="AF64" i="4"/>
  <c r="AF63" i="4"/>
  <c r="AF62" i="4"/>
  <c r="AF61" i="4"/>
  <c r="AF60" i="4"/>
  <c r="AF59" i="4"/>
  <c r="AF58" i="4"/>
  <c r="AF57" i="4"/>
  <c r="AF56" i="4"/>
  <c r="AF55" i="4"/>
  <c r="AF54" i="4"/>
  <c r="AF53" i="4"/>
  <c r="AF52" i="4"/>
  <c r="AF51" i="4"/>
  <c r="AF50" i="4"/>
  <c r="AF49" i="4"/>
  <c r="AF48" i="4"/>
  <c r="AF47" i="4"/>
  <c r="AF46" i="4"/>
  <c r="AF45" i="4"/>
  <c r="AF44" i="4"/>
  <c r="AF43" i="4"/>
  <c r="AF42" i="4"/>
  <c r="AF41" i="4"/>
  <c r="AF40" i="4"/>
  <c r="AF39" i="4"/>
  <c r="AF38" i="4"/>
  <c r="AF37" i="4"/>
  <c r="AF36" i="4"/>
  <c r="AF35" i="4"/>
  <c r="AF34" i="4"/>
  <c r="AF33" i="4"/>
  <c r="AF32" i="4"/>
  <c r="AF31" i="4"/>
  <c r="AF30" i="4"/>
  <c r="AF29" i="4"/>
  <c r="AF28" i="4"/>
  <c r="AF27" i="4"/>
  <c r="AF26" i="4"/>
  <c r="AF25" i="4"/>
  <c r="AF24" i="4"/>
  <c r="AF23" i="4"/>
  <c r="AF22" i="4"/>
  <c r="AF21" i="4"/>
  <c r="AF20" i="4"/>
  <c r="AF19" i="4"/>
  <c r="AF18" i="4"/>
  <c r="AF17" i="4"/>
  <c r="AF16" i="4"/>
  <c r="AF15" i="4"/>
  <c r="AF14" i="4"/>
  <c r="AF13" i="4"/>
  <c r="AF12" i="4"/>
  <c r="AF11" i="4"/>
  <c r="AF10" i="4"/>
  <c r="AF9" i="4"/>
  <c r="AF8" i="4"/>
  <c r="AF7" i="4"/>
  <c r="AF6" i="4"/>
  <c r="AF5" i="4"/>
  <c r="AF4" i="4"/>
  <c r="AF3" i="4"/>
</calcChain>
</file>

<file path=xl/sharedStrings.xml><?xml version="1.0" encoding="utf-8"?>
<sst xmlns="http://schemas.openxmlformats.org/spreadsheetml/2006/main" count="9477" uniqueCount="4028">
  <si>
    <t>ACTA DE INTERVENTORIA No.</t>
  </si>
  <si>
    <t>NUMERO DE VISITA</t>
  </si>
  <si>
    <t>TIPO VISITA</t>
  </si>
  <si>
    <t>MENU</t>
  </si>
  <si>
    <t>OBSERVACIONES</t>
  </si>
  <si>
    <t>SEMANA</t>
  </si>
  <si>
    <t>Columna1</t>
  </si>
  <si>
    <t>Columna2</t>
  </si>
  <si>
    <t>Columna3</t>
  </si>
  <si>
    <t>Columna4</t>
  </si>
  <si>
    <t>Columna7</t>
  </si>
  <si>
    <t>Columna8</t>
  </si>
  <si>
    <t>Columna9</t>
  </si>
  <si>
    <t>Columna10</t>
  </si>
  <si>
    <t>Columna12</t>
  </si>
  <si>
    <t>Columna13</t>
  </si>
  <si>
    <t>Columna14</t>
  </si>
  <si>
    <t>Columna15</t>
  </si>
  <si>
    <t>Columna16</t>
  </si>
  <si>
    <t>Columna17</t>
  </si>
  <si>
    <t>Columna18</t>
  </si>
  <si>
    <t>Columna19</t>
  </si>
  <si>
    <t>Columna20</t>
  </si>
  <si>
    <t>Columna21</t>
  </si>
  <si>
    <t>Columna22</t>
  </si>
  <si>
    <t>Columna23</t>
  </si>
  <si>
    <t>Columna24</t>
  </si>
  <si>
    <t>Columna25</t>
  </si>
  <si>
    <t>Visita 2</t>
  </si>
  <si>
    <t>TECNICA</t>
  </si>
  <si>
    <t>NA</t>
  </si>
  <si>
    <t>Visita 3</t>
  </si>
  <si>
    <t>SAN JAVIER</t>
  </si>
  <si>
    <t>OPCION</t>
  </si>
  <si>
    <t>VISITA</t>
  </si>
  <si>
    <t>MODALIDAD</t>
  </si>
  <si>
    <t>Visita 1</t>
  </si>
  <si>
    <t>ADMINISTRATIVA</t>
  </si>
  <si>
    <t>Visita 4</t>
  </si>
  <si>
    <t>Visita 5</t>
  </si>
  <si>
    <t>ACTA</t>
  </si>
  <si>
    <t>ACT-001</t>
  </si>
  <si>
    <t>ACT-002</t>
  </si>
  <si>
    <t>ACT-003</t>
  </si>
  <si>
    <t>ACT-004</t>
  </si>
  <si>
    <t>ACT-005</t>
  </si>
  <si>
    <t>SI('GESTION INSTITUCIONAL'!V5="No Cumple";CELDA("contenido";'GESTION INSTITUCIONAL'!AD5); "  ")</t>
  </si>
  <si>
    <t>ALIMENTACION</t>
  </si>
  <si>
    <t>PROFESIONAL</t>
  </si>
  <si>
    <t>ROL</t>
  </si>
  <si>
    <t>OPERADOR</t>
  </si>
  <si>
    <t>CONSECUTIVO DANE</t>
  </si>
  <si>
    <t>CONCEPTO</t>
  </si>
  <si>
    <t>NO TIENE</t>
  </si>
  <si>
    <t>FAVORABLE</t>
  </si>
  <si>
    <t>CONDICIONADO</t>
  </si>
  <si>
    <t>TIPO ALMUERZO</t>
  </si>
  <si>
    <t>COMPLEMENTO AM/PM</t>
  </si>
  <si>
    <t>RACION INDUSTRIALIZADA TEMPORAL</t>
  </si>
  <si>
    <t>TIPO VASO DE LECHE</t>
  </si>
  <si>
    <t>RACION INDUSTRIALIZADA</t>
  </si>
  <si>
    <t>CUMPLE</t>
  </si>
  <si>
    <t>NO CUMPLE</t>
  </si>
  <si>
    <t>X</t>
  </si>
  <si>
    <t>IDENTIFICACION</t>
  </si>
  <si>
    <t>ID SEDE</t>
  </si>
  <si>
    <t xml:space="preserve">No. LOTE </t>
  </si>
  <si>
    <t xml:space="preserve">Zona </t>
  </si>
  <si>
    <t xml:space="preserve">No. </t>
  </si>
  <si>
    <t>COMEDOR ESCOLAR</t>
  </si>
  <si>
    <t>NOMBRE SEDE</t>
  </si>
  <si>
    <t>TIPO DE EE</t>
  </si>
  <si>
    <t>J.UNICA</t>
  </si>
  <si>
    <t>COMUNA</t>
  </si>
  <si>
    <t>BARRIO</t>
  </si>
  <si>
    <t>DIRECCION</t>
  </si>
  <si>
    <t>TELEFONO</t>
  </si>
  <si>
    <t xml:space="preserve">RECTOR Y/O COORDINADOR  </t>
  </si>
  <si>
    <t>DOCENTE ENCARGADO DEL R.E.</t>
  </si>
  <si>
    <t>CORREO ELECTRONICO</t>
  </si>
  <si>
    <t>COMPLEMENTO ALIMENTARIO  AM/PM 
0° a 3°</t>
  </si>
  <si>
    <t>COMPLEMENTO ALIMENTARIO  AM/PM 
4° a 8°</t>
  </si>
  <si>
    <t>COMPLEMENTO ALIMENTARIO  AM/PM 
9° a 11°</t>
  </si>
  <si>
    <t xml:space="preserve"> COMPLEMENTO VASO DE LECHE 0° a 3°</t>
  </si>
  <si>
    <t xml:space="preserve"> COMPLEMENTO VASO DE LECHE 4° a 8°</t>
  </si>
  <si>
    <t xml:space="preserve"> COMPLEMENTO VASO DE LECHE 9° a 11°</t>
  </si>
  <si>
    <t xml:space="preserve">TOTAL COBERTURA </t>
  </si>
  <si>
    <t>IE CON RIT</t>
  </si>
  <si>
    <t>INST EDUC BARRIO SAN NICOLAS</t>
  </si>
  <si>
    <t>O</t>
  </si>
  <si>
    <t>VILLA GUADALUPE</t>
  </si>
  <si>
    <t>CARRERA 45A 96 17</t>
  </si>
  <si>
    <t>2365865 - 2360235</t>
  </si>
  <si>
    <t>HENRY MONSALVE AMARILES</t>
  </si>
  <si>
    <t>PAULA ARTEAGA</t>
  </si>
  <si>
    <t>coordisanicolas@gmail.com</t>
  </si>
  <si>
    <t>SEC ESC ANTONIO DERKA</t>
  </si>
  <si>
    <t>SANTO DOMINGO SAVIO Nº 2</t>
  </si>
  <si>
    <t>CARRERA 28 107 365</t>
  </si>
  <si>
    <t>5295216 5295218 5280020</t>
  </si>
  <si>
    <t>RUBEN DARIO URIBE MEJÍA</t>
  </si>
  <si>
    <t>M.(AM) MARTA CECILIA AGUILAR - UBER CALLE</t>
  </si>
  <si>
    <t>ie.antonioderka@medellin.gov.co ie.antoniosanto@medellin.gov.co</t>
  </si>
  <si>
    <t>Los 400 RI deben ser entregados en la I.E Antonio Derka</t>
  </si>
  <si>
    <t>INST EDUC REINO DE BELGICA</t>
  </si>
  <si>
    <t>MARIA CANO - CARAMBOLAS</t>
  </si>
  <si>
    <t>CARRERA 24C 93 44</t>
  </si>
  <si>
    <t>5722332 3113600138</t>
  </si>
  <si>
    <t>WEIMAR ALBERTO VASQUEZ</t>
  </si>
  <si>
    <t>RUTH ESTELA OCHOA Q.</t>
  </si>
  <si>
    <t>ie.reinodebelgica@gmail.com; weimarv@gmail.com</t>
  </si>
  <si>
    <t>SEC ESC MEDELLIN</t>
  </si>
  <si>
    <t>SAN PABLO - POPULAR</t>
  </si>
  <si>
    <t>CALLE 96 36 45</t>
  </si>
  <si>
    <t>CONSTANZA GIRALDO</t>
  </si>
  <si>
    <t>MARTHA GIL</t>
  </si>
  <si>
    <t>luiskb.07@hotmail.com</t>
  </si>
  <si>
    <t>SEC ESC NUEVO HORIZONTE 2</t>
  </si>
  <si>
    <t>SANTO DOMINGO SAVIO Nº 1</t>
  </si>
  <si>
    <t>CARRERA 37 107AA 21</t>
  </si>
  <si>
    <t>ANGEL PARDO</t>
  </si>
  <si>
    <t>CONSUELO RUA</t>
  </si>
  <si>
    <t>ienuevohorizonte2010@gmail.com</t>
  </si>
  <si>
    <t>INST EDUC NUEVO HORIZONTE -PAULO VI</t>
  </si>
  <si>
    <t>POPULAR</t>
  </si>
  <si>
    <t>CARRERA 42B 110A 28</t>
  </si>
  <si>
    <t>5285638 5722929</t>
  </si>
  <si>
    <t>ANGEL GEOVANNY PARDO ALVAREZ</t>
  </si>
  <si>
    <t>EMERSSON CAMILO YEPES</t>
  </si>
  <si>
    <t>giovamnip8@une.net.co; ienuevohorizonte2010@gmail.com</t>
  </si>
  <si>
    <t>INST EDUC GUADALUPE</t>
  </si>
  <si>
    <t>CARRERA 42B 95A 23</t>
  </si>
  <si>
    <t>XOCIMO RAMOS</t>
  </si>
  <si>
    <t>SANDRA ALVAREZ</t>
  </si>
  <si>
    <t>ie.villaguadalupe@medellin.gov.co/nertor.garciam@medellin.gov.co,eleazarlemos@yahoo.com,alhacgranda@hotmail.com; ieguadalupe@gmail.com</t>
  </si>
  <si>
    <t>SEC ESC GRACIELA JIMENEZ DE BUSTAMANTE</t>
  </si>
  <si>
    <t>MOSCU Nº 2</t>
  </si>
  <si>
    <t>CARRERA 44 98B 24</t>
  </si>
  <si>
    <t>VICTOR GAMERO POLO</t>
  </si>
  <si>
    <t>ie.gracielajimenez@medellin.gov.co; xocimor@yahoo.es; smah1979@gmail.com, ieguadalupe@gmail.com</t>
  </si>
  <si>
    <t>RIT</t>
  </si>
  <si>
    <t>INST EDUC FEDERICO CARRASQUILLA</t>
  </si>
  <si>
    <t>CARRERA 45 108 110</t>
  </si>
  <si>
    <t>2580194 - 2581227 - 5217789</t>
  </si>
  <si>
    <t>CARLOS ARTURO VENGOECHEA MARULANDA</t>
  </si>
  <si>
    <t>LEIDY LARGO</t>
  </si>
  <si>
    <t>federicocarrasquilla@gmail.com</t>
  </si>
  <si>
    <t>INST EDUC FE Y ALEGRIA GRANIZAL</t>
  </si>
  <si>
    <t>SEC ESC FE Y ALEGRIA GRANIZAL</t>
  </si>
  <si>
    <t>GRANIZAL</t>
  </si>
  <si>
    <t>CARRERA 39A 104 23</t>
  </si>
  <si>
    <t>5293564 5293562</t>
  </si>
  <si>
    <t>FIVIAN YULIETH AGUILAR PACHON</t>
  </si>
  <si>
    <t>HILDA CECILIA RINCON OSPINA- NANCY ACEVEDO</t>
  </si>
  <si>
    <t>feyalegriag@hotmail.com hilceri19@gmail.com</t>
  </si>
  <si>
    <t>Comparten comedor - Los 320 AM/PM de la IE. Fe y Alegria deben ser entregados en la SE Fe y Alegria.</t>
  </si>
  <si>
    <t>yulieduca@gmail.com; ie.feyalegriagranizal@medellin.gov.co</t>
  </si>
  <si>
    <t>INST EDUC FE Y ALEGRIA POPULAR NRO. 1</t>
  </si>
  <si>
    <t>CALLE 120 42BB 10</t>
  </si>
  <si>
    <t>HNA.MARIA EUGENIA ECHAVARRIA</t>
  </si>
  <si>
    <t>LUZ MARINA CORREA - PM</t>
  </si>
  <si>
    <t>ie.feyalegriapopular@medellin.gov.co/mariuearjm@yahoo.com.ar</t>
  </si>
  <si>
    <t>SEC ESC FE Y ALEGRIA POPULAR NO 2</t>
  </si>
  <si>
    <t>CARRERA 43 118B 16</t>
  </si>
  <si>
    <t>ADRIANA VELASQUEZ - AM</t>
  </si>
  <si>
    <t>ie.feyalegriapopular2@medellin.gov.co/mariuearjm@yahoo.com.ar, amavechi14@hotmail.com</t>
  </si>
  <si>
    <t>COL EMAUS</t>
  </si>
  <si>
    <t>C</t>
  </si>
  <si>
    <t>CARRERA 40 95A 30</t>
  </si>
  <si>
    <t>5219275 5219411 ext 115</t>
  </si>
  <si>
    <t>SAMUEL GALVES OSORIO</t>
  </si>
  <si>
    <t>DAVID TUBERQUIA</t>
  </si>
  <si>
    <t>colegioparroquialemaus@gmail.com, psicologiacpemaus@gmail.com</t>
  </si>
  <si>
    <t>INST EDUC ASIA IGNACIANA</t>
  </si>
  <si>
    <t>LA FRONTERA</t>
  </si>
  <si>
    <t>CALLE 122 51B 30</t>
  </si>
  <si>
    <t>4611821 4610517</t>
  </si>
  <si>
    <t>JOHN FREDY NUÑEZ OCHOA</t>
  </si>
  <si>
    <t>DUBER HOLGUIN PINEDA</t>
  </si>
  <si>
    <t>ieasiaignaciana@medellin.gov</t>
  </si>
  <si>
    <t>Comparten comedor - Los 240 AM/PM y 130 VL de la SE Asia Ignaciana se deben entregar en la I.E Asia Ignaciana.
ITEM 3: Comparten comedor - Los 60 RI de SP el Playon y los 130 de la SE Asia Ignaciana se deben entregar en la I.E Asia Ignaciana</t>
  </si>
  <si>
    <t>SEC ESC ASIA IGNACIANA</t>
  </si>
  <si>
    <t>SEC ESC LA FRONTERA</t>
  </si>
  <si>
    <t>CALLE 122 50A 14</t>
  </si>
  <si>
    <t>4611821-4610517</t>
  </si>
  <si>
    <t>SEC ESC FIDEL A. SALDARRIAGA</t>
  </si>
  <si>
    <t>VILLA DEL SOCORRO</t>
  </si>
  <si>
    <t>CARRERA 48 103B 07</t>
  </si>
  <si>
    <t>2368687 2368944-3003792726</t>
  </si>
  <si>
    <t>JULIO HUMBERTO FERNANDEZ TRUJILLO</t>
  </si>
  <si>
    <t>LUZ MARINA MARTINEZ- AM; FERNANDO PRADA CAMARGO PM</t>
  </si>
  <si>
    <t>ie.fidelasaldarriaga@medellin.gov.co, ie.villadelsocorro@medellin.gov.co,nica145@gmail.com, coordfidel@gmail.com</t>
  </si>
  <si>
    <t>SEC ESC VILLA NIZA</t>
  </si>
  <si>
    <t xml:space="preserve">SEC ESC VILLA NIZA </t>
  </si>
  <si>
    <t>VILLA NIZA</t>
  </si>
  <si>
    <t>CALLE 104A 50A 42</t>
  </si>
  <si>
    <t>2364169- 5218673-</t>
  </si>
  <si>
    <t>LUIS G.TAMAYO BEDOYA-PM; JUAN CARLOS SALAZAR-AM</t>
  </si>
  <si>
    <t>jajv44@gmail.com; coordivilla@gmail.com</t>
  </si>
  <si>
    <t>INST EDUC CIRO MENDIA</t>
  </si>
  <si>
    <t>SANTA CRUZ</t>
  </si>
  <si>
    <t>CALLE 99 48 55</t>
  </si>
  <si>
    <t>2364909 2142545</t>
  </si>
  <si>
    <t>MIGUEL ANGEL TANGARIFE</t>
  </si>
  <si>
    <t>SANDRA BUSTAMANTE</t>
  </si>
  <si>
    <t>ie.ciromendia@medellin.gov.co; sandrabr6@gmail.com</t>
  </si>
  <si>
    <t>INST EDUC PABLO NERUDA</t>
  </si>
  <si>
    <t>LA ROSA</t>
  </si>
  <si>
    <t>CALLE 97A 50AA 49</t>
  </si>
  <si>
    <t>2367211-
2142284</t>
  </si>
  <si>
    <t>LUIS CARLOS MOLINA</t>
  </si>
  <si>
    <t>ROSALBA GONZALEZ-PM; SADIS RICARDO-AM</t>
  </si>
  <si>
    <t>ie.pabloneruda@medellin.gov.co; rosigm12@yahoo.es; rectorianeruda@gmail.com</t>
  </si>
  <si>
    <t>SEC ESC MUNICIPAL LA ROSA</t>
  </si>
  <si>
    <t>CARRERA 52 99 24</t>
  </si>
  <si>
    <t>BERNARDO ANTONIO MORALES</t>
  </si>
  <si>
    <t>LUZ BEATRIZ PEÑA</t>
  </si>
  <si>
    <t>ie.municipallarosa@medellin.gov.co; ierepublicadehonduras@gmail.com</t>
  </si>
  <si>
    <t>INST EDUC BARRIO SANTA CRUZ</t>
  </si>
  <si>
    <t>MOSCU Nº 1</t>
  </si>
  <si>
    <t>CALLE 103 43A 23</t>
  </si>
  <si>
    <t>HUGO LEON GUTIERREZ</t>
  </si>
  <si>
    <t>LUIS ALVAREZ-PM; MARIA ISABEL MORALES-AM</t>
  </si>
  <si>
    <t>iebscruz1@hotmail.com; isa_morales@hotmail.com</t>
  </si>
  <si>
    <t>SEC ESC LA FRANCIA</t>
  </si>
  <si>
    <t>LA FRANCIA</t>
  </si>
  <si>
    <t>CALLE 109 51 71</t>
  </si>
  <si>
    <t>FRANCISCO JAVIER RESTREPO</t>
  </si>
  <si>
    <t>RUTH MARIANA ATHEHORTUA - AM - ALBA CECILIA HENAO - PM</t>
  </si>
  <si>
    <t>ie.lafrancia@medellin.gov.co; franjare@gmail.com; institucionfincalamesa@medellin.gov.co</t>
  </si>
  <si>
    <t>INST EDUC MANUEL URIBE ANGEL</t>
  </si>
  <si>
    <t>ANDALUCIA</t>
  </si>
  <si>
    <t>CARRERA 49A 107 65</t>
  </si>
  <si>
    <t>JORGE ALIRIO ECHEVERRI TAMAYO</t>
  </si>
  <si>
    <t>VIVIANA RODRIGUEZ-AM, SERGIO ANDRÉS ROJAS -PM</t>
  </si>
  <si>
    <t>ie.manueluribeangel@medellin.gov.co; notasmanueluribe@gmail.com; sanberbepo@hotmail.com</t>
  </si>
  <si>
    <t>SEC ESC GERARDO DAVID GIRALDO</t>
  </si>
  <si>
    <t>CARRERA 49C 108 70</t>
  </si>
  <si>
    <t>JORGE ALIRIO RODRIGUEZ</t>
  </si>
  <si>
    <t>MARIO ALBERTO GUERRA MONTOYA COORD, CAREN LÓPEZ ARISTIZABAL DOCENTE</t>
  </si>
  <si>
    <t>ie.gerardodavidgiraldo@medellin.gov.co; albertodoctorado@live.com,carentlopez@gmail.com</t>
  </si>
  <si>
    <t>SEC ESC BELLO ORIENTE</t>
  </si>
  <si>
    <t>ORIENTE</t>
  </si>
  <si>
    <t>CALLE 83B 23C 353</t>
  </si>
  <si>
    <t>CARLOS GOMEZ</t>
  </si>
  <si>
    <t>DORA RENDON - GUSTAVO CUESTA</t>
  </si>
  <si>
    <t>ie.bellooriente@medellin.gov.co; carlosgota1@gmail.com; ie.ramonmunera@hotmail.com</t>
  </si>
  <si>
    <t>INST EDUC MANUELA BELTRAN</t>
  </si>
  <si>
    <t>MANRIQUE ORIENTAL</t>
  </si>
  <si>
    <t>CARRERA 37 71 47</t>
  </si>
  <si>
    <t>5272968-5161797</t>
  </si>
  <si>
    <t>CÉSAR AGUSTO CORRALES AGUDELO</t>
  </si>
  <si>
    <t>MAGALY SANCHEZ</t>
  </si>
  <si>
    <t>iemanuelabeltran@medellin.gov.co; manuelabeltran.ie@gmail.com; condotochoco97@yahoo.es</t>
  </si>
  <si>
    <t>SEC ESC VERSALLES</t>
  </si>
  <si>
    <t>VERSALLES Nº 1</t>
  </si>
  <si>
    <t>CALLE 71 33 33</t>
  </si>
  <si>
    <t>GUSTAVO ADOLFO PATIÑO</t>
  </si>
  <si>
    <t>GLORIA LUZ GARCIA - AM; JHON DARIO RAMIREZ-PM</t>
  </si>
  <si>
    <t>ie.versalles@medellin.gov.co; ravajoda@hotmail.com</t>
  </si>
  <si>
    <t>INST EDUC ENRIQUE OLAYA HERRERA</t>
  </si>
  <si>
    <t>CALLE 71A 32 18</t>
  </si>
  <si>
    <t>2911707 2912291</t>
  </si>
  <si>
    <t>JAQUELINE RODRIGUEZ MARIN</t>
  </si>
  <si>
    <t>FABIAN ROMERO (P) JHON JAIRO PEREZ</t>
  </si>
  <si>
    <t>enriqueolayaherrera@hotmail.com; rosa.martinez@medellin.gov.co; jjpp34@gmail.com</t>
  </si>
  <si>
    <t>INST EDUC SAN LORENZO DE ABURRA</t>
  </si>
  <si>
    <t>SANTA INES</t>
  </si>
  <si>
    <t>CARRERA 39 80 33</t>
  </si>
  <si>
    <t>2331978-5165876</t>
  </si>
  <si>
    <t>GABRIEL ANGEL AGUDELO CIFUENTES</t>
  </si>
  <si>
    <t>GLORIA MARLENY HERRERA AGUDELO</t>
  </si>
  <si>
    <t>Ie.sanlorenzodeaburr@medellin.gov.co; gloriamarleny18@yahoo.es</t>
  </si>
  <si>
    <t>INST EDUC FE Y ALEGRIA LA CIMA</t>
  </si>
  <si>
    <t>LAS GRANJAS</t>
  </si>
  <si>
    <t>CARRERA 36C 86BB 15</t>
  </si>
  <si>
    <t>CLAUDIA MARIA GOMEZ HOYOS</t>
  </si>
  <si>
    <t>SINDY YULIANA VILLA</t>
  </si>
  <si>
    <t>ie.feyalegrialacima@medellin.gov.co; slacima@gmail.com; campovaldes2013@gmail.com; rectoralacima@gmail.com</t>
  </si>
  <si>
    <t>Comparten comedor - los 200 AM/PM de SE Fe y Alegria #3 se deben entregar en I.E Fe y Alegria la Cima.</t>
  </si>
  <si>
    <t>SEC ESC FE Y ALEGRIA NO 3</t>
  </si>
  <si>
    <t>INST EDUC SAN JUAN BAUTISTA DE LA SALLE</t>
  </si>
  <si>
    <t>LA SALLE</t>
  </si>
  <si>
    <t>CALLE 93 40 42</t>
  </si>
  <si>
    <t>5225237-5215192</t>
  </si>
  <si>
    <t>DARIO RODRIGUEZ ZAPATA</t>
  </si>
  <si>
    <t>CARMEN SOELIA ZAPATA TAPIAS (Coordinadora)</t>
  </si>
  <si>
    <t>ie.sanjuanbautistade@medellin.gov.co; ielasalle@gmail.com; soeliazapata@gmail.com</t>
  </si>
  <si>
    <t>INST EDUC JOSE ANTONIO GALAN</t>
  </si>
  <si>
    <t>CARRERA 44A 93 87</t>
  </si>
  <si>
    <t>LUIS FERNANDO VARGAS</t>
  </si>
  <si>
    <t>FRANCI ATEHORTUA</t>
  </si>
  <si>
    <t>fatchortua@josegalan.edu.co; iejoseantoniogalan@josegalan.edu.co</t>
  </si>
  <si>
    <t>INST EDUC HERNAN TORO AGUDELO</t>
  </si>
  <si>
    <t>EL POMAR</t>
  </si>
  <si>
    <t>CARRERA 45 72 80</t>
  </si>
  <si>
    <t>LIBIA PABON</t>
  </si>
  <si>
    <t>MARYORI PIEDRAHITA</t>
  </si>
  <si>
    <t>ie.hernantoro@medellin.gov.co; mayppz@yahoo.com; institucionhta@yahoo.com</t>
  </si>
  <si>
    <t>INST EDUC LAS NIEVES</t>
  </si>
  <si>
    <t>CALLE 82 39 69</t>
  </si>
  <si>
    <t>BEATRIZ ELENA BENITEZ</t>
  </si>
  <si>
    <t>FREDY CASTRO-PM; LINA TORRES-AM</t>
  </si>
  <si>
    <t>iclasnieves@une.net.co; estrasol1@yahoo.com;
ie.lasnieves@medellin.gov.co; vengalamaria@hotmail.com; dimagohe75@gmail.com; bebehnieves@gmail.com</t>
  </si>
  <si>
    <t>INST EDUC RAMON MUNERA LOPERA</t>
  </si>
  <si>
    <t>EL RAIZAL</t>
  </si>
  <si>
    <t>CARRERA 30A 77A 04</t>
  </si>
  <si>
    <t>BEATRIZ CECILIA CORREA MURILLO-AM</t>
  </si>
  <si>
    <t>Ie.ramonmunera@hotmail.com; beaz18@hotmail.com; beacorremucho@yahoo.es; carlosgota1@gmal.com</t>
  </si>
  <si>
    <t>SEC ESC ALTO DE LA CRUZ</t>
  </si>
  <si>
    <t>LA CRUZ</t>
  </si>
  <si>
    <t>CALLE 79C 24C 21</t>
  </si>
  <si>
    <t>2319667 2118244 5712747</t>
  </si>
  <si>
    <t>NURIS SARAY PABON</t>
  </si>
  <si>
    <t>ie.altodelacruz@medellin.gov.co; estellitamena@yahoo.es; notessaray@gmail.com</t>
  </si>
  <si>
    <t>INST EDUC JAVIERA LONDOÑO SEVILLA</t>
  </si>
  <si>
    <t>SEVILLA</t>
  </si>
  <si>
    <t>CALLE 71 51D 26</t>
  </si>
  <si>
    <t>2118291 2116666 2336219</t>
  </si>
  <si>
    <t>LUA DARY USUGA USUGA</t>
  </si>
  <si>
    <t>MARTA RODRIGUEZ Y MARIA VICTORIA RIOS</t>
  </si>
  <si>
    <t>ie.javieralondonosev@medellin.gov.co; mainros2008@hotmail.com</t>
  </si>
  <si>
    <t>INST EDUC ALFONSO MORA NARANJO</t>
  </si>
  <si>
    <t>CAMPO VALDES Nº 1</t>
  </si>
  <si>
    <t>CARRERA 48A 77 68</t>
  </si>
  <si>
    <t>2110412 -2118237-2333137</t>
  </si>
  <si>
    <t>MARIA GEMA MUÑOZ OSORNO</t>
  </si>
  <si>
    <t>DIANA ESTRADA-AM; MARIA VICTORIA MAYA-PM</t>
  </si>
  <si>
    <t>almoranaranjo@hotmail.com</t>
  </si>
  <si>
    <t>SEC ESC SANTA MARIA GORETTI</t>
  </si>
  <si>
    <t>MANRIQUE CENTRAL Nº 1</t>
  </si>
  <si>
    <t>CALLE 67 48A 32</t>
  </si>
  <si>
    <t>YUDITH MARTINEZ-AM; PIEDAD MARIN-PM</t>
  </si>
  <si>
    <t>alual13@yahoo.com.ar</t>
  </si>
  <si>
    <t>INST EDUC CAMPO VALDES</t>
  </si>
  <si>
    <t>CALLE 83 47 33</t>
  </si>
  <si>
    <t>2118234 2336895</t>
  </si>
  <si>
    <t>ORLANDO ISAZA ESTRADA-(FALLECIO)</t>
  </si>
  <si>
    <t>CRISTINA LOPEZ HENAO</t>
  </si>
  <si>
    <t>rectoria.iecampovaldes@gmail.com; coordiacademica.iecampovaldes@gmail.com</t>
  </si>
  <si>
    <t>INST EDUC FRANCISCO MIRANDA</t>
  </si>
  <si>
    <t>MIRANDA</t>
  </si>
  <si>
    <t>CARRERA 51C 79 56</t>
  </si>
  <si>
    <t>2335808 2135601</t>
  </si>
  <si>
    <t>ANA MARIA MONTOYA</t>
  </si>
  <si>
    <t>LUCY COLOMBIA</t>
  </si>
  <si>
    <t>secretaria@franciscomiranda.edu.co; garciamarinliliana@gmail.com</t>
  </si>
  <si>
    <t>SEC ESC JULIO ARBOLEDA</t>
  </si>
  <si>
    <t>CALLE 78 51 12</t>
  </si>
  <si>
    <t>ARMANDO PEREZ</t>
  </si>
  <si>
    <t>secretaria@franciscomiranda.edu.co</t>
  </si>
  <si>
    <t>INST EDUC JUAN DE DIOS COCK</t>
  </si>
  <si>
    <t>LAS ESMERALDAS</t>
  </si>
  <si>
    <t>CALLE 88 45 70</t>
  </si>
  <si>
    <t>2110220-2112461</t>
  </si>
  <si>
    <t>HUMBERTO RESTREPO ZAPATA</t>
  </si>
  <si>
    <t>JULIAN DAVID ZAPATA Y LINA MARIA PATIÑO</t>
  </si>
  <si>
    <t>iejuandedioscock@gmail.com</t>
  </si>
  <si>
    <t>INST EDUC CAMILO TORRES RESTREPO</t>
  </si>
  <si>
    <t>CARRERA 49 83 34</t>
  </si>
  <si>
    <t>BEATRIZ CASTRO</t>
  </si>
  <si>
    <t>ALDEMAR ATHEORTUA SANCHEZ ©
MILY JANETH TELLO
ERIKA RAMIREZ TORO</t>
  </si>
  <si>
    <t>Catorre917@yahoo.es; aldemarate@gmail.com; docenterika@gmail.com</t>
  </si>
  <si>
    <t>INST EDUC FRANCISCO LUIS HERNANDEZ BETANCUR</t>
  </si>
  <si>
    <t>ARANJUEZ</t>
  </si>
  <si>
    <t>CALLE 87 50AA 21</t>
  </si>
  <si>
    <t>2368970-4448971</t>
  </si>
  <si>
    <t>FERNANDO VARGAS ROJAS</t>
  </si>
  <si>
    <t>PAOLA RENDON-PM; BEATRIZ HENAO-AM</t>
  </si>
  <si>
    <t>ie.franciscoluishern@medellin.gov.co; prendon@iefranciscoluis.edu.co</t>
  </si>
  <si>
    <t>SEC ESC SAN ISIDRO</t>
  </si>
  <si>
    <t>PALERMO</t>
  </si>
  <si>
    <t>CARRERA 53 95 25</t>
  </si>
  <si>
    <t>HUMBERTO BERMUDEZ</t>
  </si>
  <si>
    <t>DIANA TORO</t>
  </si>
  <si>
    <t>dianatoroh@gmail.com</t>
  </si>
  <si>
    <t>SEC ESC CARLOS VILLA MARTINEZ</t>
  </si>
  <si>
    <t>SAN ISIDRO</t>
  </si>
  <si>
    <t>CARRERA 50B 95 06</t>
  </si>
  <si>
    <t>BLANCA ISAZA</t>
  </si>
  <si>
    <t>mariagalvis150@hotmail.com; blancacisazaj@gmail.com</t>
  </si>
  <si>
    <t>INST EDUC SAN AGUSTIN</t>
  </si>
  <si>
    <t>CALLE 88A 51B 91</t>
  </si>
  <si>
    <t>HECTOR HERNAN GARCIA DUQUE</t>
  </si>
  <si>
    <t>CONSUELO LÓPEZ -</t>
  </si>
  <si>
    <t>iesa.berenice.iesa@gmail.com; iesanagutsin@hotmail.com</t>
  </si>
  <si>
    <t>SEC ESC ESTEBAN JARAMILLO</t>
  </si>
  <si>
    <t>LA PIÑUELA</t>
  </si>
  <si>
    <t>CARRERA 47 89 79</t>
  </si>
  <si>
    <t>JUAN GUILLERMO VILLA</t>
  </si>
  <si>
    <t>ARLEX YESID GALEANO</t>
  </si>
  <si>
    <t>lusmar1431@hotmail.com; celmar521@hotmail.com; arlexgaleano@gmail.com</t>
  </si>
  <si>
    <t>SEC ESC SIMONA DUQUE</t>
  </si>
  <si>
    <t>CARRERA 51 96 44</t>
  </si>
  <si>
    <t>arlexgaleano@gmail.com</t>
  </si>
  <si>
    <t>INST EDUC MONSEÑOR FRANCISCO CRISTOBAL TORO</t>
  </si>
  <si>
    <t>CARRERA 50D 90 49</t>
  </si>
  <si>
    <t>2365286 5240239</t>
  </si>
  <si>
    <t>PEDRO AGUALIMPIA PEREA</t>
  </si>
  <si>
    <t>DIANA P. TORO-AM; VICTOR AVILA-PM</t>
  </si>
  <si>
    <t>info.iecristobaltoro@gmail.com</t>
  </si>
  <si>
    <t>INST EDUC JOSE EUSEBIO CARO</t>
  </si>
  <si>
    <t>CARRERA 50A 93 77</t>
  </si>
  <si>
    <t>2364551 2362561</t>
  </si>
  <si>
    <t>FRANCISCO JAVIER RESTREPO ROLDAN</t>
  </si>
  <si>
    <t>LUZ MIRIAM RAMIREZ - LILIA URRUTIA</t>
  </si>
  <si>
    <t>ie.joseeusebiocaro@medellin.gov.co; pipiyusateamo@yahoo.com.ar; francisco.restrepo@medellin.gov.co</t>
  </si>
  <si>
    <t>INST EDUC DIEGO ECHAVARRIA MISAS</t>
  </si>
  <si>
    <t>FLORENCIA</t>
  </si>
  <si>
    <t>CALLE 111 70 68</t>
  </si>
  <si>
    <t>4521760  4521734  2732700</t>
  </si>
  <si>
    <t>RODRIGO JIMENEZ MARTINEZ</t>
  </si>
  <si>
    <t>MARTIN ARTURO ARIAS ( AM) -  IVAN ESCOBAR (PM)</t>
  </si>
  <si>
    <t>idemisas@une.net.co; rodrigoj1991@une.net.co</t>
  </si>
  <si>
    <t>SEC ESC EDUARDO URIBE BOTERO</t>
  </si>
  <si>
    <t>TEJELO</t>
  </si>
  <si>
    <t>CARRERA 74 112 30</t>
  </si>
  <si>
    <t>2730531 Ext. 111 - 116 -117</t>
  </si>
  <si>
    <t>LILIANA MUÑOZ ( D) - PATRICIA VASCO (PM)</t>
  </si>
  <si>
    <t>jcruiz2004@gmail.com - julietaternura@gmail.com</t>
  </si>
  <si>
    <t>INST EDUC ALFONSO LOPEZ</t>
  </si>
  <si>
    <t>ALFONSO LOPEZ</t>
  </si>
  <si>
    <t>CARRERA 71C 89A 70</t>
  </si>
  <si>
    <t>2574197  2573944  2579574  311 603 04 48</t>
  </si>
  <si>
    <t>KAROL COSSIO CORREA</t>
  </si>
  <si>
    <t>NORA LIA MURILLO</t>
  </si>
  <si>
    <t>ie.alfonsolopez@medellin.gov.co</t>
  </si>
  <si>
    <t>SEC ESC MUNICIPAL KENNEDY</t>
  </si>
  <si>
    <t>CALLE 89A 72 50</t>
  </si>
  <si>
    <t>2575852 - 4424980</t>
  </si>
  <si>
    <t>BEATRIZ ELENA VILLA</t>
  </si>
  <si>
    <t>SEC ESC RICARDO URIBE ESCOBAR</t>
  </si>
  <si>
    <t>CARIBE</t>
  </si>
  <si>
    <t>CARRERA 64B 75A 49</t>
  </si>
  <si>
    <t>2570276 4410872</t>
  </si>
  <si>
    <t>MARIO GONZALEZ (COORD)</t>
  </si>
  <si>
    <t>YOLANDA RUA.</t>
  </si>
  <si>
    <t>ie.ricardouribeescob@medellin.gov.co</t>
  </si>
  <si>
    <t>INST EDUC MAESTRO PEDRO NEL GOMEZ</t>
  </si>
  <si>
    <t>CALLE 118 70 42</t>
  </si>
  <si>
    <t>4631259 2730323 4660345 4620035 EXT 11</t>
  </si>
  <si>
    <t>JHON JAIRO GARCIA. ( RECTOR )</t>
  </si>
  <si>
    <t>MARIA LUZ DARY MUÑOZ - GUILLERMO JIMENEZ</t>
  </si>
  <si>
    <t>ie.maestropedronelgo@medellin.gov.co</t>
  </si>
  <si>
    <t>SEC ESC DIEGO MARIA GOMEZ</t>
  </si>
  <si>
    <t>CARRERA 74 115 36</t>
  </si>
  <si>
    <t>HECTOR OSORIO (COORD)</t>
  </si>
  <si>
    <t>MATIDE MESA GARCIA</t>
  </si>
  <si>
    <t>albagragi1956@hotmail.com, hosoriog@hotmail.com</t>
  </si>
  <si>
    <t>SEC ESC TOSCANA</t>
  </si>
  <si>
    <t>TOSCANA</t>
  </si>
  <si>
    <t>CALLE 111G 64A 16</t>
  </si>
  <si>
    <t>GERMAN ZAPATA</t>
  </si>
  <si>
    <t>INDIANA MORALES</t>
  </si>
  <si>
    <t>coordinacion.toscana@gmail.com</t>
  </si>
  <si>
    <t>INST EDUC TRICENTENARIO</t>
  </si>
  <si>
    <t>TRICENTENARIO</t>
  </si>
  <si>
    <t>CARRERA 63A 94A 629</t>
  </si>
  <si>
    <t>4712280  4713883  4713914</t>
  </si>
  <si>
    <t>FLOR DE AZALEA VILLA</t>
  </si>
  <si>
    <t>CECILIA GOMEZ. LUZ MERY VAHOS,</t>
  </si>
  <si>
    <t>ietricentenario2012@gmail.com</t>
  </si>
  <si>
    <t>SEC ESC TRICENTENARIO</t>
  </si>
  <si>
    <t>CARRERA 63A 94A 23</t>
  </si>
  <si>
    <t>SILVIO RENTERIA.</t>
  </si>
  <si>
    <t>DIANA OSPINA. NIDIAN RENDÓN</t>
  </si>
  <si>
    <t>renasil3@gmail.com</t>
  </si>
  <si>
    <t>INST EDUC DINAMARCA</t>
  </si>
  <si>
    <t>FRANCISCO ANTONIO ZEA</t>
  </si>
  <si>
    <t>CALLE 91 65 119</t>
  </si>
  <si>
    <t>RAMIRO VALENCIA PATIÑO (RECTOR)</t>
  </si>
  <si>
    <t>ANA FRANCISCA GUERRERO AM  - CELINA ARIAS PM</t>
  </si>
  <si>
    <t>ie.dinamarca@medellin.gov.co - iedinamarca@iedinamarca.edu.co</t>
  </si>
  <si>
    <t>INST EDUC RODRIGO CORREA PALACIO</t>
  </si>
  <si>
    <t>CASTILLA</t>
  </si>
  <si>
    <t>CALLE 103 66 63</t>
  </si>
  <si>
    <t>CLARA ASTRID CEBALLOS. (RECTORA)</t>
  </si>
  <si>
    <t>MARIA SONIA ARANGO</t>
  </si>
  <si>
    <t>ie.rodrigocorrea@hotmail.com</t>
  </si>
  <si>
    <t>SEC ESC MUNICIPAL CASTILLA</t>
  </si>
  <si>
    <t>INST EDUC MAESTRO ARENAS BETANCUR</t>
  </si>
  <si>
    <t>CALLE 98A 65 120</t>
  </si>
  <si>
    <t>MARCO ANTONIO ORTIZ LOESTE  - ROBERTO AGUILAR</t>
  </si>
  <si>
    <t>MARIA ELENA FLOREZ AM - OLANDRA MADRID PM</t>
  </si>
  <si>
    <t>secretaria.maestroarenas@hotmail.com</t>
  </si>
  <si>
    <t>CALLE 101 65 125</t>
  </si>
  <si>
    <t>2676475  2677287 3007781380</t>
  </si>
  <si>
    <t>LUZ MARINA FLOREZ (COORD)</t>
  </si>
  <si>
    <t>GLADIS ARCILA AM - MARIA FENIBER ARANGO TORO PM</t>
  </si>
  <si>
    <t>SEC ESC IMPERIO DEL JAPON</t>
  </si>
  <si>
    <t>iemaestroarenasb2012@gmail,com</t>
  </si>
  <si>
    <t>SEC ESC ALEJO PIMIENTA</t>
  </si>
  <si>
    <t>CALLE 96 70 46</t>
  </si>
  <si>
    <t>NORBERTO GALLEGO</t>
  </si>
  <si>
    <t>RUBEN CORREA</t>
  </si>
  <si>
    <t>ktapulga@gmail.com - lunoga1@hotmail.com</t>
  </si>
  <si>
    <t>INST EDUC JULIO CESAR GARCIA</t>
  </si>
  <si>
    <t>LAS BRISAS</t>
  </si>
  <si>
    <t>CALLE 111A 65 26</t>
  </si>
  <si>
    <t>2730139  4612395  4620326</t>
  </si>
  <si>
    <t>GABRIEL EEDUARDO 
GUZMAN BOOOM</t>
  </si>
  <si>
    <t>MARTHA ELISA MAZO PM - LUIS ANGEL BURUTICA AM</t>
  </si>
  <si>
    <t>ie.jcesargarcia@gmail.com</t>
  </si>
  <si>
    <t>SEC ESC MINERVA</t>
  </si>
  <si>
    <t>KENNEDY</t>
  </si>
  <si>
    <t>CALLE 94 79A 30</t>
  </si>
  <si>
    <t>2576764  316 635 24 22</t>
  </si>
  <si>
    <t>MARTHA AREIZA (COORD)</t>
  </si>
  <si>
    <t>YOLANDA HERNANDEZ</t>
  </si>
  <si>
    <t>glorialmejia@hotmail.com; yoly1583@hotmail.com - marthaeareizam,iek@gmail.com</t>
  </si>
  <si>
    <t>SEC ESC EL PICACHO</t>
  </si>
  <si>
    <t>PICACHO</t>
  </si>
  <si>
    <t>CARRERA 83 95B  40</t>
  </si>
  <si>
    <t>FERNANDO ENRIQUE SALAMANCA (RECTOR)</t>
  </si>
  <si>
    <t>LIDA CANO</t>
  </si>
  <si>
    <t>ie.kennedy@medellin.gov.co</t>
  </si>
  <si>
    <t>SEC CONCENTRACION EDUCATIVA KENNEDY</t>
  </si>
  <si>
    <t>CARRERA 76 92  199</t>
  </si>
  <si>
    <t>2574139 317 786 68 10</t>
  </si>
  <si>
    <t>FARLYN GAMBOA</t>
  </si>
  <si>
    <t>ANGELA MARIA SUAREZ</t>
  </si>
  <si>
    <t>SEC ESC CAROLINA KENNEDY</t>
  </si>
  <si>
    <t>CARRERA 76A 90 18</t>
  </si>
  <si>
    <t>SIVIA ESTELLA LENIZ (DOCENTE ENCARGADA)</t>
  </si>
  <si>
    <t>carolinakennedy@hotmail.com</t>
  </si>
  <si>
    <t>INST EDUC ALFREDO COCK ARANGO</t>
  </si>
  <si>
    <t>CARRERA 72 99 55</t>
  </si>
  <si>
    <t>2677552  26711 90  2303649</t>
  </si>
  <si>
    <t>RENE ALEJANDRO LONDOÑO CANO (RECTOR)</t>
  </si>
  <si>
    <t>GABRIELA GARCIA AM - AIDE LUZ ACEVEDO  PM</t>
  </si>
  <si>
    <t>rectoria@ieaca.edu.co</t>
  </si>
  <si>
    <t>INST EDUC MAESTRO FERNANDO BOTERO</t>
  </si>
  <si>
    <t>PEDREGAL - DOCE DE OCTUBRE</t>
  </si>
  <si>
    <t>CALLE 104 72 A 80</t>
  </si>
  <si>
    <t>2371235 4713488</t>
  </si>
  <si>
    <t>CARLOS VIDAL TOBÓN (RECTOR)</t>
  </si>
  <si>
    <t>DIANA PALACIO AM - MARCOS GAVIRIA PM</t>
  </si>
  <si>
    <t>ie.maestrofernandobo@medellin.gov.co; rectoria.iemfb@gmail.com</t>
  </si>
  <si>
    <t>SEC ESC EL PEDREGAL</t>
  </si>
  <si>
    <t>CALLE 104E 74 109</t>
  </si>
  <si>
    <t>RUBIELA ZAPATA -- DOCENTE ENCARGADO</t>
  </si>
  <si>
    <t>rectoria.iemfb@gmail.com</t>
  </si>
  <si>
    <t>INST EDUC EL PEDREGAL</t>
  </si>
  <si>
    <t>CALLE 102 74A 47</t>
  </si>
  <si>
    <t>4783320  4777348</t>
  </si>
  <si>
    <t>CONNIE HELEN BARTH</t>
  </si>
  <si>
    <t>marleny giraldo</t>
  </si>
  <si>
    <t>ie.pedregal@medellin.gov.co; conniybarth68@hotmail.com - iepedregal@gmail.com</t>
  </si>
  <si>
    <t>SEC ESC RAFAEL J. MEJIA</t>
  </si>
  <si>
    <t>CALLE 102 74A 109</t>
  </si>
  <si>
    <t>4781648 ext. 110</t>
  </si>
  <si>
    <t>NASLY GONZALES AM - ROBINSON GALLEGO PM</t>
  </si>
  <si>
    <t>ie.pedregal@gmail.com - juafernando.coordinacion@gmail.com</t>
  </si>
  <si>
    <t>INST EDUC JUVENIL NUEVO FUTURO</t>
  </si>
  <si>
    <t>SANTANDER</t>
  </si>
  <si>
    <t>CARRERA 80 104C 36 - CALLE 104CC 80  03</t>
  </si>
  <si>
    <t>NIDIA GOMEZ</t>
  </si>
  <si>
    <t>JHON PABLO RAMOS AM - LINA MARIA BUSTAMANTE PM</t>
  </si>
  <si>
    <t>ie.juvenilnuevofutur@medellin.gov.co</t>
  </si>
  <si>
    <t>INST EDUC EL TRIUNFO SANTA TERESA</t>
  </si>
  <si>
    <t>EL TRIUNFO</t>
  </si>
  <si>
    <t>CALLE 104D 82GG 20</t>
  </si>
  <si>
    <t>4715017 314 619 27 00</t>
  </si>
  <si>
    <t>MIGUEL ZAPATA</t>
  </si>
  <si>
    <t>DEYANIRA MORENO</t>
  </si>
  <si>
    <t>maesgra2003@gmail.com</t>
  </si>
  <si>
    <t>SEC ESC EL TRIUNFO</t>
  </si>
  <si>
    <t>CALLE 103A 86 35</t>
  </si>
  <si>
    <t>CLAUDIA FONNEGRA</t>
  </si>
  <si>
    <t>DORIAN DAVID GONZALEZ. ALBA PATRICIA.</t>
  </si>
  <si>
    <t>claudiafonn@gmail.com</t>
  </si>
  <si>
    <t>INST EDUC BARRIO SANTANDER</t>
  </si>
  <si>
    <t>CARRERA 78C 104F 78</t>
  </si>
  <si>
    <t>4719980  4720572  4720610  4720620</t>
  </si>
  <si>
    <t>HERNAN DARIO NANCLARES</t>
  </si>
  <si>
    <t>CINDY MARCELA ZAPATA  AM - NESLY ARANGO PM</t>
  </si>
  <si>
    <t>ie.barriosantander6@gmail.com</t>
  </si>
  <si>
    <t>INST EDUC JESUS MARIA VALLE</t>
  </si>
  <si>
    <t>CALLE 101 83 21</t>
  </si>
  <si>
    <t>HECTOR JULIAN ALZATE PARRA</t>
  </si>
  <si>
    <t>NATALIA GUZMAN AM - DIANA AMARILLO PM</t>
  </si>
  <si>
    <t>iejesusmariavallej@gmail.com  carloso@iejesusmariavallejaramillo,edu.co</t>
  </si>
  <si>
    <t>INST EDUC SANTA JUANA DE LESTONAC</t>
  </si>
  <si>
    <t>CARRERA 76A 103C 43</t>
  </si>
  <si>
    <t>4711144 - 4718714 - 4712078</t>
  </si>
  <si>
    <t>CLAUDIA LUCIA CRUZ</t>
  </si>
  <si>
    <t>ESTELA PATRICIA TORREZ (PRIM) CLAUDIA SEPULVEDA (BACH)</t>
  </si>
  <si>
    <t>iesantajuana@gmail.com</t>
  </si>
  <si>
    <t>INST EDUC PROGRESAR</t>
  </si>
  <si>
    <t>PROGRESO Nº 2</t>
  </si>
  <si>
    <t>CARRERA 83A 106D-05</t>
  </si>
  <si>
    <t>3108311279 4760875  4761063</t>
  </si>
  <si>
    <t>MONICA MORENO</t>
  </si>
  <si>
    <t>LILIANA MARIA ECHEVERRY PEREZ</t>
  </si>
  <si>
    <t>progresar@sinfronteras.edu.co; liliana@sinfronteras.edu.com - ieprogresar@gmail.com</t>
  </si>
  <si>
    <t>INST EDUC CIUDADELA LAS AMERICAS</t>
  </si>
  <si>
    <t>CALLE 111 79 78</t>
  </si>
  <si>
    <t>2730161 - 2738598</t>
  </si>
  <si>
    <t>BEATRIZ ESTELA BOJACÁ O. COORDIN. NIDIA RUTH LONDOÑO</t>
  </si>
  <si>
    <t>FELIPE OSORIO</t>
  </si>
  <si>
    <t>ciudadelalasamericas@gmail.com</t>
  </si>
  <si>
    <t>INST EDUC DOCE DE OCTUBRE</t>
  </si>
  <si>
    <t>DOCE DE OCTUBRE Nº 1</t>
  </si>
  <si>
    <t>CARRERA 77B 103 05</t>
  </si>
  <si>
    <t>4777998  4715975</t>
  </si>
  <si>
    <t>ANGELA MARIA CHAVERRA</t>
  </si>
  <si>
    <t>VICTOR  HUGO GOMEZ - ROSENDO NARANJO PM - GLADYS MESA</t>
  </si>
  <si>
    <t>rosnaranjo@yahoo.com   12deoctubre2017@gmail.com - liceodocedeoctubre@gmail.com</t>
  </si>
  <si>
    <t>SEC ESC LEON DE GREIFF</t>
  </si>
  <si>
    <t>CALLE 101CC 82E 72</t>
  </si>
  <si>
    <t>4717026 2671544  4720414</t>
  </si>
  <si>
    <t>LUZ MARILY ARIAS (COORD)</t>
  </si>
  <si>
    <t>LEIDY MORA AM - JULIO ARTEHAGA PM</t>
  </si>
  <si>
    <t>seccionleondegreiffmedellin@gmail.com</t>
  </si>
  <si>
    <t>INST EDUC AURES</t>
  </si>
  <si>
    <t>AURES Nº 1</t>
  </si>
  <si>
    <t>CARRERA 93 77F 57 - CARRERA 96A 77E 15 INT 102</t>
  </si>
  <si>
    <t>PATRICIA SALAZAR.</t>
  </si>
  <si>
    <t>PATRICIA SALAZAR</t>
  </si>
  <si>
    <t>patricia.salazar@medellin.gov.co; seccionaures@yahoo.com</t>
  </si>
  <si>
    <t>SEC ESC AURES</t>
  </si>
  <si>
    <t>CARRERA 93A 77F 57</t>
  </si>
  <si>
    <t>NATALIA MARIN AM - MARIA DEL SOCORRO CASTAÑO PM</t>
  </si>
  <si>
    <t>institucioneducativaaures01@gmail.com</t>
  </si>
  <si>
    <t>INST EDUC ALFONSO UPEGUI OROZCO</t>
  </si>
  <si>
    <t>PAJARITO - ROBLEDO</t>
  </si>
  <si>
    <t>CALLE 64B  117 177 PAJARITO</t>
  </si>
  <si>
    <t>4260345  4260076</t>
  </si>
  <si>
    <t>GLADYS ELENA ARBOLEDA</t>
  </si>
  <si>
    <t>JORGE RESTREPO OMAR BUITRAGO ASTRID PEÑA</t>
  </si>
  <si>
    <t>gladis.arboleda@gmail.com - ceauo@hotmail.com - pppastrid@hotmail.com - iealfonsoupeguiorozco2016@gmail.com</t>
  </si>
  <si>
    <t>INST EDUC NICANOR RESTREPO SANTAMARIA (ANTES LA HUERTA)</t>
  </si>
  <si>
    <t>INST EDUC NICANOR RESTREPO SANTAMARIA</t>
  </si>
  <si>
    <t>CARRERA 97 69C 71</t>
  </si>
  <si>
    <t>FRANCISCO JAVIER GIRALDO GIRALDO</t>
  </si>
  <si>
    <t>JAIRO ALONSO ZAPATA AM -  BIBIANA MUNERA PM</t>
  </si>
  <si>
    <t>ie.lahuerta@medellin.gov.co;</t>
  </si>
  <si>
    <t>INST EDUC RAFAEL GARCIA HERREROS</t>
  </si>
  <si>
    <t>CUCARACHO</t>
  </si>
  <si>
    <t>CALLE 64 91 20</t>
  </si>
  <si>
    <t>MIGUEL ANGEL VELASQUEZ</t>
  </si>
  <si>
    <t>ROSARIO MEJIA  AM -  LINA PATRICIA RIOS PM</t>
  </si>
  <si>
    <t>lina19765@hotmail.com - ie.rafaelgarcia@hotmail.com</t>
  </si>
  <si>
    <t>INST EDUC BARRIO SANTA MARGARITA</t>
  </si>
  <si>
    <t>SANTA MARGARITA</t>
  </si>
  <si>
    <t>CALLE 63 108BB 160</t>
  </si>
  <si>
    <t>4273895  4271046</t>
  </si>
  <si>
    <t>BEATRIZ ELENA JIMÉNEZ HENAO</t>
  </si>
  <si>
    <t>MONICA MANRIQUE AM - FABIAN LONDOÑO PM</t>
  </si>
  <si>
    <t>monica.manrique@iebarriosantamargarita.edu.co</t>
  </si>
  <si>
    <t>SEC ESC PEDRO NEL OSPINA</t>
  </si>
  <si>
    <t>CARRERA 62C 105C 45</t>
  </si>
  <si>
    <t>DORIS CIRO AM - VIVIANA OSORIO PM</t>
  </si>
  <si>
    <t>osaviviana@hotmail.com</t>
  </si>
  <si>
    <t>SEC ESC SANTA MARGARITA</t>
  </si>
  <si>
    <t>CARRERA 105B 62 68</t>
  </si>
  <si>
    <t>CENIA TOBON PM</t>
  </si>
  <si>
    <t>william.franco@iebarriosantamargarita.edu.co - cenia.tobon@iebarriosantamargarita.edu.co</t>
  </si>
  <si>
    <t>INST EDUC CIUDADELA NUEVO OCCIDENTE</t>
  </si>
  <si>
    <t>CALLE 64B 105A 50</t>
  </si>
  <si>
    <t>4278910  4277760 301 322 89 10</t>
  </si>
  <si>
    <t xml:space="preserve">YOVANNI TAPASCO </t>
  </si>
  <si>
    <t>ANA LOPEZ GARCIA (COORD ENCARGADA)</t>
  </si>
  <si>
    <t>coordinacionie.flores@yahoo.es  [ie.ciudadelanuevooccidente@hotmail.com - ie.nuevooccidente@medellin.gov.co</t>
  </si>
  <si>
    <t>INST EDUC JORGE ROBLEDO</t>
  </si>
  <si>
    <t>ROBLEDO</t>
  </si>
  <si>
    <t>CALLE 65 87 74</t>
  </si>
  <si>
    <t>2345223  4218450</t>
  </si>
  <si>
    <t>JUAN GUILLERMO BASTIDAS</t>
  </si>
  <si>
    <t>SILVIA LONDOÑO AM (BACHI) - GLORIA DUQUE PM (PRIMARIA)</t>
  </si>
  <si>
    <t>ie.jorgerobledo@medellin.gov.co; silvi611@gmail.com</t>
  </si>
  <si>
    <t>INST EDUC VILLA FLORA</t>
  </si>
  <si>
    <t>VILLA FLORA</t>
  </si>
  <si>
    <t>CALLE 76AE 83C 41</t>
  </si>
  <si>
    <t>2348424 - 4221012</t>
  </si>
  <si>
    <t>CARLOS ALBERTO MAZO</t>
  </si>
  <si>
    <t>MIGUEL ANGEL RENDON SANCHEZ AM</t>
  </si>
  <si>
    <t>ie.villaflora@medellin.gov.co</t>
  </si>
  <si>
    <t>INST EDUC MARISCAL ROBLEDO</t>
  </si>
  <si>
    <t>CALLE 65 84 87</t>
  </si>
  <si>
    <t>2340009  4223400</t>
  </si>
  <si>
    <t>JUAN GUILLERMO ZAPATA</t>
  </si>
  <si>
    <t>UZ ELENA VILLA</t>
  </si>
  <si>
    <t>villa@iemariscalrobledo.edu.co</t>
  </si>
  <si>
    <t>INST EDUC CAMILO MORA CARRASQUILLA</t>
  </si>
  <si>
    <t>FUENTE CLARA</t>
  </si>
  <si>
    <t>CALLE 62D 94B 74</t>
  </si>
  <si>
    <t>3117191003 - 4384765</t>
  </si>
  <si>
    <t>LILIANA PATRICIA VILLEGAS</t>
  </si>
  <si>
    <t>GLORIA RESTREPO AM - WALTER TORO PM</t>
  </si>
  <si>
    <t>ie.camilomora@medellin.gov.co</t>
  </si>
  <si>
    <t>INST EDUC VALLEJUELOS</t>
  </si>
  <si>
    <t>VALLEJUELOS</t>
  </si>
  <si>
    <t>CARRERA 104C 62 20</t>
  </si>
  <si>
    <t>4262975
- 4265964</t>
  </si>
  <si>
    <t>LUIS HERNAN SERNA HIGUITA</t>
  </si>
  <si>
    <t>JOSE FERNANDO MENESES</t>
  </si>
  <si>
    <t>ievallejo@yahoo.es
ievallejuelos@medellin.gov.co</t>
  </si>
  <si>
    <t>INST EDUC FE Y ALEGRIA VILLA DE LA CANDELARIA</t>
  </si>
  <si>
    <t>CALLE 77A 90D 35</t>
  </si>
  <si>
    <t>RICARDO DE JESUS ECHEVERRY</t>
  </si>
  <si>
    <t>CARLOS ALBERTO AGUIRRE - BEATRIZ QUINTERO CARDONA</t>
  </si>
  <si>
    <t>ricardoecheverrit@yahoo.es</t>
  </si>
  <si>
    <t>INST EDUC FE Y ALEGRIA AURES</t>
  </si>
  <si>
    <t>AURES Nº 2</t>
  </si>
  <si>
    <t>CARRERA 95 89 73</t>
  </si>
  <si>
    <t>NELSON GONZALEZ</t>
  </si>
  <si>
    <t>FANNY ESTELA DIAZ G.</t>
  </si>
  <si>
    <t>instaures@yahoo.es</t>
  </si>
  <si>
    <t>INST CORFERRINI - SEDE ROBLEDO</t>
  </si>
  <si>
    <t>CARRERA 86 65A 38</t>
  </si>
  <si>
    <t>LUZ DARY CHAVARRIA (RECTORA)</t>
  </si>
  <si>
    <t>JHON JAIRO VELASQUEZ</t>
  </si>
  <si>
    <t>luzdary,chavarria.do@ferrini.edu.co</t>
  </si>
  <si>
    <t>INST EDUC FE Y ALEGRIA SAN JOSE</t>
  </si>
  <si>
    <t>VILLA SOFIA</t>
  </si>
  <si>
    <t>CALLE 86 92 60</t>
  </si>
  <si>
    <t>ANA DELIA CARDENAS MARIN. COORD. SANDRA MILENA GRISALES VELASQUEZ</t>
  </si>
  <si>
    <t>SERGIO RODRIGUEZ JUAN CARLOS VALDERRAMA</t>
  </si>
  <si>
    <t>iefeyalegriasanjose@medellin</t>
  </si>
  <si>
    <t>INST EDUC BARRIO OLAYA HERRERA</t>
  </si>
  <si>
    <t>OLAYA HERRERA</t>
  </si>
  <si>
    <t>CARRERA 101C N 58 44</t>
  </si>
  <si>
    <t>4210567  311 296 24 30</t>
  </si>
  <si>
    <t>DANIEL MARIN CONGOTE</t>
  </si>
  <si>
    <t>CRISTINA OROZCO</t>
  </si>
  <si>
    <t>olayaherrera2@yahoo.es</t>
  </si>
  <si>
    <t>INST EDUC JORGE ELIECER GAITAN</t>
  </si>
  <si>
    <t>CALLE 92 83 41</t>
  </si>
  <si>
    <t>JAIRO HERNÁN ORTIZ M.COORD.CARLOS MARIO MURIEL</t>
  </si>
  <si>
    <t>EDILMA GARCIA, CESAR TANGARIFE</t>
  </si>
  <si>
    <t>munoz.diana@gmail.com</t>
  </si>
  <si>
    <t>INST EDUC SAN VICENTE DE PAUL</t>
  </si>
  <si>
    <t>CORDOBA</t>
  </si>
  <si>
    <t>CARRERA 71A 79D 01</t>
  </si>
  <si>
    <t>2576243 - 4375546</t>
  </si>
  <si>
    <t>YOLANDA LOZANO BARBOSA</t>
  </si>
  <si>
    <t>CARLOS RODRIGUEZ QUIROZ</t>
  </si>
  <si>
    <t>yolanda.lozano.b@gmail.com</t>
  </si>
  <si>
    <t>INST EDUC EL DIAMANTE - SEC ESC EL DIAMANTE</t>
  </si>
  <si>
    <t>EL DIAMANTE</t>
  </si>
  <si>
    <t>CALLE 79A 86 09</t>
  </si>
  <si>
    <t>CARLOS ARANGO</t>
  </si>
  <si>
    <t>GERMAN CARDONA AM - CARLOS ARANGO PM</t>
  </si>
  <si>
    <t>coordinacionsec@ieeldiamante.edu.co</t>
  </si>
  <si>
    <t>SEC ESC LA PORTADA</t>
  </si>
  <si>
    <t>CALLE 80C 88A 37</t>
  </si>
  <si>
    <t>LUDIN DEL CARMEN RESTREPO</t>
  </si>
  <si>
    <t>LUDIN DEL C.RESTREPO (COORD)</t>
  </si>
  <si>
    <t>escuelalaportada@hotmail.com</t>
  </si>
  <si>
    <t>INST EDUC TOMAS CARRASQUILLA NO. 2</t>
  </si>
  <si>
    <t>PALENQUE</t>
  </si>
  <si>
    <t>CARRERA 88 68 109</t>
  </si>
  <si>
    <t>2641122 4747297</t>
  </si>
  <si>
    <t>LUZ ESTELA VALLEJO CARDONA</t>
  </si>
  <si>
    <t>CONRADO ANDRADE AM - BETTY GOMEZ PM</t>
  </si>
  <si>
    <t>ietcarrasquilla@gmail.com</t>
  </si>
  <si>
    <t>INST EDUC LUIS CARLOS GALAN SARMIENTO</t>
  </si>
  <si>
    <t>LOS MANGOS</t>
  </si>
  <si>
    <t>CARRERA 24B 57EE 45</t>
  </si>
  <si>
    <t>CARLOS ANTONIO OLIVEROS MUÑOZ</t>
  </si>
  <si>
    <t>JAIME JARAMILLO</t>
  </si>
  <si>
    <t>iegalansarmiento@yahoo.com;</t>
  </si>
  <si>
    <t>SEC ESC COLINAS DE ENCISO</t>
  </si>
  <si>
    <t>CARRERA 24B 57EE 20</t>
  </si>
  <si>
    <t>WILLIAM VALDERRAMA</t>
  </si>
  <si>
    <t>willvald@une.net.co</t>
  </si>
  <si>
    <t>INST EDUC EL PINAL</t>
  </si>
  <si>
    <t>EL PINAL</t>
  </si>
  <si>
    <t>CALLE 56 25AA 40</t>
  </si>
  <si>
    <t>JAIRO CHAVARRO MENDEZ</t>
  </si>
  <si>
    <t>ERIKA ORTIZ   /  DAFLY PALACIO</t>
  </si>
  <si>
    <t>erikamaria.ortiz@iepinal.edu.co   daflY.palacios@iepinal.edu.co</t>
  </si>
  <si>
    <t>SEC ESC JULIA AGUDELO</t>
  </si>
  <si>
    <t>ENCISO</t>
  </si>
  <si>
    <t>CALLE 58 25 58</t>
  </si>
  <si>
    <t>MÓNICA ROSA LONDOÑO</t>
  </si>
  <si>
    <t>DIANA ALEJANDRA GONZALEZ</t>
  </si>
  <si>
    <t>monicalon@hotmail.com  davialeja@hotmail.com</t>
  </si>
  <si>
    <t>SEC ESC SANTIAGO SANTAMARIA</t>
  </si>
  <si>
    <t>CALLE 58 29 31</t>
  </si>
  <si>
    <t>RODRIGO RODRIGUEZ</t>
  </si>
  <si>
    <t>rarc1956@gmail.com  ie.alfonsolopespumar@medellin.gov.co</t>
  </si>
  <si>
    <t>SEC ESC VILLA TURBAY</t>
  </si>
  <si>
    <t>VILLA TURBAY</t>
  </si>
  <si>
    <t>CARRERA 2 55F 17</t>
  </si>
  <si>
    <t>2698211    3136909515  311 774 96 35</t>
  </si>
  <si>
    <t>IVAN DARIO ZULUAGA ZULUAGA</t>
  </si>
  <si>
    <t>YENNY RODAS</t>
  </si>
  <si>
    <t>yenny1203@hotmail.es ie.lasierracolegiomaestro@gmail.com</t>
  </si>
  <si>
    <t>SEC ESC BEATO HERMANO SALOMON</t>
  </si>
  <si>
    <t>SUCRE</t>
  </si>
  <si>
    <t>CALLE 53 27A 50</t>
  </si>
  <si>
    <t>GUILLERMO YEPES</t>
  </si>
  <si>
    <t>ELISABETH RINCON</t>
  </si>
  <si>
    <t>ie.caracas@ hotmail.com  rinconelizabeth8@gmail.com</t>
  </si>
  <si>
    <t>INST EDUC GABRIEL GARCIA MARQUEZ</t>
  </si>
  <si>
    <t>VILLA LILLIAM</t>
  </si>
  <si>
    <t>CARRERA 8A 57A 93</t>
  </si>
  <si>
    <t>MARÍA MARGARITA AGUDELO VELASQUEZ</t>
  </si>
  <si>
    <t>ie.gabrielgarcía@medellin.gov.co</t>
  </si>
  <si>
    <t>INST EDUC FELIX HENAO BOTERO</t>
  </si>
  <si>
    <t>CALLE 52 23 51</t>
  </si>
  <si>
    <t>2260203EXT106EXT104(RECTOR) 2699624</t>
  </si>
  <si>
    <t>JHONY CANO GIRALDO</t>
  </si>
  <si>
    <t>ABELARDO MATURANA CUESTA</t>
  </si>
  <si>
    <t>ie.felixhenao@medellín.gov.co   rectoria@iefelixhenaobotero.edu.co</t>
  </si>
  <si>
    <t>SEC ESC MIGUEL DE AGUINAGA</t>
  </si>
  <si>
    <t>VILLA TINA</t>
  </si>
  <si>
    <t>CALLE 52 16 71</t>
  </si>
  <si>
    <t>ANTONIO JOSE CASTAÑEDA</t>
  </si>
  <si>
    <t>ie.felixhenao@medellín.gov.co</t>
  </si>
  <si>
    <t>INST EDUC JOAQUIN VALLEJO ARBELAEZ</t>
  </si>
  <si>
    <t>CARRERA 19 59C 175</t>
  </si>
  <si>
    <t>2926199 2545311</t>
  </si>
  <si>
    <t>ALEXANDRA DE LATORRE A.</t>
  </si>
  <si>
    <t>VIVIANA MARIA LONDOÑO</t>
  </si>
  <si>
    <t>colegiodecalidadjva@hotmail.com  rectoriaiejua@gmail.com /VIVIANA4205@HOTMAIL.COM</t>
  </si>
  <si>
    <t>SEC ESC LAS GOLONDRINAS</t>
  </si>
  <si>
    <t>LLANADITAS</t>
  </si>
  <si>
    <t>CALLE 65 18B 160</t>
  </si>
  <si>
    <t>ALEXANDRA DE LA TORRE A.</t>
  </si>
  <si>
    <t>MARTHA RESTREPO</t>
  </si>
  <si>
    <t>martharestrepo2008@gmail.com  colegiodecalidadjva@hotmail.com  rectoriaiejua@gmail.com</t>
  </si>
  <si>
    <t>SEC ESC NUESTRA SEÑORA DEL ROSARIO</t>
  </si>
  <si>
    <t>BOMBONA Nº 2</t>
  </si>
  <si>
    <t>CALLE 43E- 9D51</t>
  </si>
  <si>
    <t>NORA CONSUELO CARVAJAL MEJIA</t>
  </si>
  <si>
    <t>LUZ DARIELA CARDONA</t>
  </si>
  <si>
    <t>ie.merceditasgomez@medellin.gov.com  nora_429@hotmail.com</t>
  </si>
  <si>
    <t>INST EDUC MANUEL JOSE CAYZEDO</t>
  </si>
  <si>
    <t>BARRIO CAICEDO</t>
  </si>
  <si>
    <t>CALLE 50 29 82</t>
  </si>
  <si>
    <t>DORA LUZ GOMEZ BETANCUR (RECTORA)</t>
  </si>
  <si>
    <t>RUBIELA MONTOYA MONTOYA</t>
  </si>
  <si>
    <t>educandoenelamor1940@gmail.com     rubielamontoya@yahoo.es</t>
  </si>
  <si>
    <t>INST EDUC MIRAFLORES - LUIS EDUARDO VALENCIA GARCIA</t>
  </si>
  <si>
    <t>MIRAFLORES</t>
  </si>
  <si>
    <t>CALLE 48 27 05</t>
  </si>
  <si>
    <t>2697583 2699227</t>
  </si>
  <si>
    <t>BLANCA BENJUMEA ZULUAGA</t>
  </si>
  <si>
    <t>MARIA TEREZA MARTINEZ</t>
  </si>
  <si>
    <t>iemiraflores@yohoo.co</t>
  </si>
  <si>
    <t>INST EDUC LA MILAGROSA</t>
  </si>
  <si>
    <t>LA MILAGROSA</t>
  </si>
  <si>
    <t>CARRERA 29 41 14</t>
  </si>
  <si>
    <t>269 99 65   2215773</t>
  </si>
  <si>
    <t>OVIDIO DE JESUS OCHOA</t>
  </si>
  <si>
    <t>MAURIO CANO  GOMEZ</t>
  </si>
  <si>
    <t>SANTOTOMAS18@GMAIL.COM   meano55@hotmail.com</t>
  </si>
  <si>
    <t>SEC ESC SANTO TOMAS DE AQUINO</t>
  </si>
  <si>
    <t>EL SALVADOR</t>
  </si>
  <si>
    <t>CARRERA 33 36A 28</t>
  </si>
  <si>
    <t>216 32 29</t>
  </si>
  <si>
    <t>HERNANDO DEJESUS PANIAGUA</t>
  </si>
  <si>
    <t>SANTOTOMAS18@GMAIL.COM   hdejesus0712@gmail.com</t>
  </si>
  <si>
    <t>INST EDUC GONZALO RESTREPO JARAMILLO</t>
  </si>
  <si>
    <t>BUENOS AIRES</t>
  </si>
  <si>
    <t>CARRERA 26 49 70</t>
  </si>
  <si>
    <t>269 79 40  269 63 80</t>
  </si>
  <si>
    <t>ALVARO CUERVO MONTOYA(RECTOR)</t>
  </si>
  <si>
    <t>HILDA ACERO(PM)                      GLORIA MUNERA(AM)</t>
  </si>
  <si>
    <t>ie.gonzalorestrepo@medellin.gov.co hildaprofesora.acero@gmail.com</t>
  </si>
  <si>
    <t>Comparten comedor - los 250 AM/PM de SE la Anunciación deberan ser entregados en la IE Gonzalo Restrepo</t>
  </si>
  <si>
    <t>SEC ESC LA ANUNCIACION</t>
  </si>
  <si>
    <t>HILDA ACERO</t>
  </si>
  <si>
    <t>SEC ESC JUAN CANCIO RESTREPO</t>
  </si>
  <si>
    <t>CALLE 45 31 63</t>
  </si>
  <si>
    <t>228 04 40   2391959</t>
  </si>
  <si>
    <t>ALBA CECILIA OSORIO</t>
  </si>
  <si>
    <t>gonzalocancio@gmail.com</t>
  </si>
  <si>
    <t>INST EDUC LA PASTORA</t>
  </si>
  <si>
    <t>LOS CERROS EL VERGEL</t>
  </si>
  <si>
    <t>CALLE 45 10A 30</t>
  </si>
  <si>
    <t>269 77 49  221 93 30</t>
  </si>
  <si>
    <t>NELSON DE JESUS VERGARA</t>
  </si>
  <si>
    <t>JUAN PABLO FRANCO</t>
  </si>
  <si>
    <t>nelsonmc174@hotmail.com  coordpastora@gmail.com</t>
  </si>
  <si>
    <t>INST EDUC ARZOBISPO TULIO BOTERO SALAZAR</t>
  </si>
  <si>
    <t>BARRIOS DE JESUS</t>
  </si>
  <si>
    <t>CALLE 49A 3A 06</t>
  </si>
  <si>
    <t>221 26 93    226 73 00</t>
  </si>
  <si>
    <t>JUAN DIAZ LONDOÑO(RECTOR)</t>
  </si>
  <si>
    <t>BEATRIA ELENA OLAYA</t>
  </si>
  <si>
    <t>ie.tuliobotero@medellin.gov.co juand244@gmail.com  beelolla9703@gmail.com</t>
  </si>
  <si>
    <t>INST EDUC FEDERICO OZANAM</t>
  </si>
  <si>
    <t>CARRERA 36 45 08</t>
  </si>
  <si>
    <t>2390358  2390142</t>
  </si>
  <si>
    <t>CARLOS ARTURO PANDALES(RECTOR)</t>
  </si>
  <si>
    <t>ROBERTO RODAS ZAPATA(AM) SANDRA CALDERON(PM)</t>
  </si>
  <si>
    <t>iefedericoozanam@medellin.gov.co -SANDIF1010@HOTMAIL.COM marlango1037@gamil.com</t>
  </si>
  <si>
    <t>SEC ESC ANTONIA SANTOS</t>
  </si>
  <si>
    <t>BOSTON</t>
  </si>
  <si>
    <t>CALLE 50B 38 11</t>
  </si>
  <si>
    <t>ALFONSO GUARIN SALAZAR</t>
  </si>
  <si>
    <t>ANGELA CARDONA</t>
  </si>
  <si>
    <t>105001001562@medellin.gov.co        sanpablo968@yahoo.es                             alrosa38@yahoo.com</t>
  </si>
  <si>
    <t>SEC ESC LUIS ALFONSO AGUDELO</t>
  </si>
  <si>
    <t>SAN DIEGO</t>
  </si>
  <si>
    <t>CARRERA 43A 38 20</t>
  </si>
  <si>
    <t>2320633 2393116</t>
  </si>
  <si>
    <t>OLGA FANNY RUIZ</t>
  </si>
  <si>
    <t>105001001562@medellin.gov.co  ie.javieralondono@medelin.gov.co   enides618@gmail.com</t>
  </si>
  <si>
    <t>INST EDUC TULIO OSPINA</t>
  </si>
  <si>
    <t>JESUS NAZARENO</t>
  </si>
  <si>
    <t>CALLE 60 51 48</t>
  </si>
  <si>
    <t>5123594 5121428</t>
  </si>
  <si>
    <t>YENNY ASTRID DURANGO</t>
  </si>
  <si>
    <t>IRMA DUQUE</t>
  </si>
  <si>
    <t>ie.tuliospina@medellin.gov.co    yenirec2010@hotmail.com</t>
  </si>
  <si>
    <t>SEC COL AGUSTIN NIETO CABALLERO</t>
  </si>
  <si>
    <t>LOS ANGELES</t>
  </si>
  <si>
    <t>CARRERA 40 59A 21</t>
  </si>
  <si>
    <t>2926320 2547259</t>
  </si>
  <si>
    <t>ADOLFO LEON GONZALEZ OSPINA</t>
  </si>
  <si>
    <t>JORGE INESTROZA</t>
  </si>
  <si>
    <t>ie.juancposada@une.net.co  jorgeinestroza55@gmail.com</t>
  </si>
  <si>
    <t>SEC ESC LA IGUANA</t>
  </si>
  <si>
    <t>CARLOS E. RESTREPO</t>
  </si>
  <si>
    <t>CR 70 Nº 53 02</t>
  </si>
  <si>
    <t>MONICA FRANCO</t>
  </si>
  <si>
    <t>NOHELIA BUITRAGO</t>
  </si>
  <si>
    <t>iguana.escuela@gmail.com</t>
  </si>
  <si>
    <t>SEC ESC CUARTA BRIGADA</t>
  </si>
  <si>
    <t>CUARTA BRIGADA</t>
  </si>
  <si>
    <t>CLL 53 N° 76 267</t>
  </si>
  <si>
    <t>2641966 - 2642972</t>
  </si>
  <si>
    <t>CLAUDIA CECILIA RENGIFO</t>
  </si>
  <si>
    <t>ANGELA MARÍA ROJAS</t>
  </si>
  <si>
    <t>escuartabrig@gmail.com</t>
  </si>
  <si>
    <t>SEC ESC CARLOS OBANDO VELASCO</t>
  </si>
  <si>
    <t>SAN JOAQUÍN</t>
  </si>
  <si>
    <t>CR 67A Nº 42 24</t>
  </si>
  <si>
    <t>FANNY MARGARITA LEMOS</t>
  </si>
  <si>
    <t>NEIVA GARCÍA-SORAYA DELGADO</t>
  </si>
  <si>
    <t>fanydelmar@yahoo.com</t>
  </si>
  <si>
    <t>INST EDUC LUCRECIO JARAMILLO VELEZ</t>
  </si>
  <si>
    <t>LORENA</t>
  </si>
  <si>
    <t>CRA 79 N° 38 59</t>
  </si>
  <si>
    <t>4123351 - 4122939</t>
  </si>
  <si>
    <t>JUAN CARLOS RODRIGUEZ</t>
  </si>
  <si>
    <t>OLGA SOFIA PUERTA-JORGE ENRIQUE NUNO TABARES</t>
  </si>
  <si>
    <t>estellasanta@yahoo.es</t>
  </si>
  <si>
    <t>SEC ESC RAFAEL URIBE URIBE</t>
  </si>
  <si>
    <t>LA AMÉRICA</t>
  </si>
  <si>
    <t>CR 83. NO. 42C 54</t>
  </si>
  <si>
    <t>LUZ ANGELICA GUERRERO SANCHEZ</t>
  </si>
  <si>
    <t>ASTRID BETANCUR BEDOYA</t>
  </si>
  <si>
    <t>generalruu@hotmail.com</t>
  </si>
  <si>
    <t>INST EDUC FRANCISCO ANTONIO ZEA</t>
  </si>
  <si>
    <t>SIMON BOLÍVAR</t>
  </si>
  <si>
    <t>CR 82 Nº 35 40</t>
  </si>
  <si>
    <t>4122361 ext. 13</t>
  </si>
  <si>
    <t>JAIR ALBERTO QUIROZ QUIRAMA</t>
  </si>
  <si>
    <t>SARA JANET DUQUE-LUZ AMPARO MENDOZA</t>
  </si>
  <si>
    <t>ie.franciscoantoniozea@hotmail.com</t>
  </si>
  <si>
    <t>INST EDUC SANTA ROSA DE LIMA</t>
  </si>
  <si>
    <t>LA FLORESTA</t>
  </si>
  <si>
    <t>CLL 45G N°80 96</t>
  </si>
  <si>
    <t>4122537 - 4113645</t>
  </si>
  <si>
    <t>LAURA CRISTINA VÁSQUEZ</t>
  </si>
  <si>
    <t>JACQUELINE BOLAÑOS-ALEJANDRO ARANGO</t>
  </si>
  <si>
    <t>laura.vasquez@medellin.gov.co</t>
  </si>
  <si>
    <t>INST EDUC CONCEJO DE MEDELLIN - COMEDOR 1</t>
  </si>
  <si>
    <t>INST EDUC CONCEJO DE MEDELLIN</t>
  </si>
  <si>
    <t>CR 82 Nº 47A 65</t>
  </si>
  <si>
    <t>4119208 - 4119218</t>
  </si>
  <si>
    <t>MÓNICA PÉREZ SÁNCHEZ</t>
  </si>
  <si>
    <t>SILVIA PATRICIA FERNÁNDEZ-</t>
  </si>
  <si>
    <t>monica.perez@medellin.gov.co</t>
  </si>
  <si>
    <t>SEC ESC PICHINCHA</t>
  </si>
  <si>
    <t>CRA 86 N° 45 B 17</t>
  </si>
  <si>
    <t>MARÍA PIEDAD RUIZ</t>
  </si>
  <si>
    <t>MARTHA LUCÍA LÓPEZ-ROMÁN DEL RIO</t>
  </si>
  <si>
    <t>nurynaher@hotmai.com</t>
  </si>
  <si>
    <t>SEC ESC CLODOMIRO RAMIREZ</t>
  </si>
  <si>
    <t>SANTA LUCÍA</t>
  </si>
  <si>
    <t>CR 89A Nº 47B39</t>
  </si>
  <si>
    <t>2344598 - 4211148</t>
  </si>
  <si>
    <t>DAVID RAMÍREZ</t>
  </si>
  <si>
    <t>ESTELLA MONTOYA-CLAUDIA VALENCIA</t>
  </si>
  <si>
    <t>ramirezdavidh@gmail.com</t>
  </si>
  <si>
    <t>INST EDUC LOLA GONZALEZ</t>
  </si>
  <si>
    <t>CLL 47F Nº 94 63</t>
  </si>
  <si>
    <t>2520405 ext:113</t>
  </si>
  <si>
    <t>JESÚS HUBERTO GIRALDO</t>
  </si>
  <si>
    <t>LISIRIA SANTA-ADRIANA LUCIA ESCOBAR</t>
  </si>
  <si>
    <t>hubertogiraldo@gmail.com</t>
  </si>
  <si>
    <t>SEC ESC SANTA LUCIA</t>
  </si>
  <si>
    <t>CRA 89A N°47DD 71</t>
  </si>
  <si>
    <t>DORA LUCÍA RESTREPO RIOS</t>
  </si>
  <si>
    <t>ALBA LUCIA NARANJO-YANETH ZAPATA</t>
  </si>
  <si>
    <t>lolagonzalez.santalucia@hotmail.com</t>
  </si>
  <si>
    <t>INST EDUC SAMUEL BARRIENTOS RESTREPO</t>
  </si>
  <si>
    <t>CAMPO ALEGRE</t>
  </si>
  <si>
    <t>CL44 Nº 94 119</t>
  </si>
  <si>
    <t>2531437 - 4966579</t>
  </si>
  <si>
    <t>ORLANDO SÁNCHEZ URREGO</t>
  </si>
  <si>
    <t>CARMEN EMILIA OROZCO</t>
  </si>
  <si>
    <t>orlando.sanchez@medellin.gov.co</t>
  </si>
  <si>
    <t>INST EDUC BENEDIKTA ZUR NIEDEN</t>
  </si>
  <si>
    <t>CR 95 Nº 42C 03</t>
  </si>
  <si>
    <t>GLORIA DURANGO AGUIRRE</t>
  </si>
  <si>
    <t>MARGARITA MARÍA NUÑEZ-ESTELLA MEJIA.</t>
  </si>
  <si>
    <t>ricardo.echeverri@benedikta.edu.co</t>
  </si>
  <si>
    <t>INST EDUC LA PIEDAD</t>
  </si>
  <si>
    <t>FERRINI</t>
  </si>
  <si>
    <t>CR 81 Nº 54 71</t>
  </si>
  <si>
    <t>2640637  2347999</t>
  </si>
  <si>
    <t>ANTONIO JARAMILLO ARANGO</t>
  </si>
  <si>
    <t>LUZ EDILMA RAMÍREZ-ROLANDO LAVERDE</t>
  </si>
  <si>
    <t>rilaverde@escolme.edu.co</t>
  </si>
  <si>
    <t>INST EDUC AMERICA</t>
  </si>
  <si>
    <t>SANTA MÓNICA</t>
  </si>
  <si>
    <t>CL34EE Nº 91 20</t>
  </si>
  <si>
    <t>4922111- 4922122</t>
  </si>
  <si>
    <t>PILAR LÓPEZ VARGAS</t>
  </si>
  <si>
    <t>DIANA VALENCIA-IVÁN VELEZ</t>
  </si>
  <si>
    <t>ivanvlez@gmail.com</t>
  </si>
  <si>
    <t>SEC ESC BETANIA</t>
  </si>
  <si>
    <t>BETANIA</t>
  </si>
  <si>
    <t>CR 110 A Nº 34 A 82</t>
  </si>
  <si>
    <t>CARLOS MARIO GUTIERREZ</t>
  </si>
  <si>
    <t>OLGA OCHOA/ OLGA CASTRO</t>
  </si>
  <si>
    <t>olgaduque13@hotmail.com</t>
  </si>
  <si>
    <t>INST EDUC PERPETUO SOCORRO</t>
  </si>
  <si>
    <t>BELENCITO</t>
  </si>
  <si>
    <t>CRA 92 N°34 D 53</t>
  </si>
  <si>
    <t>2539037-ext:101</t>
  </si>
  <si>
    <t>HERMANA CLARA INÉS VALENCIA</t>
  </si>
  <si>
    <t>GLORIA GONZÁLEZ-JUDITH LOPERA</t>
  </si>
  <si>
    <t>ie.perpetuosocorro@medellin.gov.co</t>
  </si>
  <si>
    <t>INST EDUC EL CORAZÓN</t>
  </si>
  <si>
    <t>EL CORAZÓN</t>
  </si>
  <si>
    <t>CRA.116F N°34 AA 131</t>
  </si>
  <si>
    <t>EDILSON GIRALDO MONTOYA</t>
  </si>
  <si>
    <t>CARMENZA RIOS -MARITZA MEJÍA</t>
  </si>
  <si>
    <t>geovanymetautecorrea6@gmail.com</t>
  </si>
  <si>
    <t>SEC ESC MONSEÑOR PERDOMO</t>
  </si>
  <si>
    <t>CLL 44 Nº 97 14</t>
  </si>
  <si>
    <t>GLORIA ESTELLA SANTAMARÍA SANCHEZ (300 228 39 09)</t>
  </si>
  <si>
    <t>GIRLESA CONGOTE</t>
  </si>
  <si>
    <t>INST EDUC FUNDADORES</t>
  </si>
  <si>
    <t>EL SOCORRO</t>
  </si>
  <si>
    <t>CR 101 Nº 47C 85</t>
  </si>
  <si>
    <t>4932203 - 4930661</t>
  </si>
  <si>
    <t>JUAN DIEGO GONZÁLEZ</t>
  </si>
  <si>
    <t>GLORIA CECILIA MOLINA</t>
  </si>
  <si>
    <t>glorial300@hotmail.com</t>
  </si>
  <si>
    <t>SEC ESC AMOR AL NIÑO</t>
  </si>
  <si>
    <t>EL SALADO</t>
  </si>
  <si>
    <t>CR 115 Nº 39 BD 06</t>
  </si>
  <si>
    <t>LUZ ENITH TORRES -ANGELA QUINTERO LÓPEZ</t>
  </si>
  <si>
    <t>CATALINA JIMÉNEZ</t>
  </si>
  <si>
    <t>angelaquin58@yahoo.es</t>
  </si>
  <si>
    <t>SEC ESC REFUGIO DEL NIÑO</t>
  </si>
  <si>
    <t>INDEPENDENCIA</t>
  </si>
  <si>
    <t>CR 114 Nº 36 C 61</t>
  </si>
  <si>
    <t>LUZ ENITH TORRES TORRES</t>
  </si>
  <si>
    <t>ADRIANA RIVERA</t>
  </si>
  <si>
    <t>pipelon.1999@hotmail.com</t>
  </si>
  <si>
    <t>INST EDUC EDUARDO SANTOS</t>
  </si>
  <si>
    <t>EDUARDO SANTOS</t>
  </si>
  <si>
    <t>CLL 43N°120 C 77</t>
  </si>
  <si>
    <t>4911022 - 4920920</t>
  </si>
  <si>
    <t>MANUEL ANTONIO LÓPEZ RAMÍREZ</t>
  </si>
  <si>
    <t>RAFAEL RODRIGUEZ-HENRRY VARGAS</t>
  </si>
  <si>
    <t>raro959@hotmail.com</t>
  </si>
  <si>
    <t>SEC ESC PEDRO J GOMEZ</t>
  </si>
  <si>
    <t>CRA.118 N°39 DA 95</t>
  </si>
  <si>
    <t>SUSANA CORTÉS</t>
  </si>
  <si>
    <t>MARIA ELENA CANTERO</t>
  </si>
  <si>
    <t>susanapjg@hotmail.com</t>
  </si>
  <si>
    <t>SEC ESC LA PRADERA</t>
  </si>
  <si>
    <t>LA PRADERA</t>
  </si>
  <si>
    <t>CR 97A Nº 49A15</t>
  </si>
  <si>
    <t>CAMILO OSORIO</t>
  </si>
  <si>
    <t>SIRIA AIDÉ VALENZUELA-CECILIA MAYOLO</t>
  </si>
  <si>
    <t>siriavalen@gmail.com</t>
  </si>
  <si>
    <t>INST EDUC JUAN XXIII</t>
  </si>
  <si>
    <t>JUAN XIII</t>
  </si>
  <si>
    <t>CLL 49 Nº 96 A 11</t>
  </si>
  <si>
    <t>4461100/ 4461090</t>
  </si>
  <si>
    <t>CÉSAR AGUSTO RODRIGUEZ</t>
  </si>
  <si>
    <t>EMILIO MORENO-MAGDALENA CARO</t>
  </si>
  <si>
    <t>maria.vargas@medellin.gov.co</t>
  </si>
  <si>
    <t>INST EDUC STELLA VELEZ LONDOÑO - COMEDOR 1</t>
  </si>
  <si>
    <t>INST EDUC STELLA VELEZ LONDOÑO</t>
  </si>
  <si>
    <t>LA QUIEBRA</t>
  </si>
  <si>
    <t>CLL 48DD N° 99 F 99</t>
  </si>
  <si>
    <t>PEDRO ANTONIO MENA OREJUELA</t>
  </si>
  <si>
    <t>MAURO SOSA GALLEGO</t>
  </si>
  <si>
    <t>clajea27@hotmail.com</t>
  </si>
  <si>
    <t>INST EDUC STELLA VELEZ LONDOÑO - COMEDOR 2</t>
  </si>
  <si>
    <t>INST EDUC STELLA VELEZ LONDOÑO No. 2</t>
  </si>
  <si>
    <t>CLL 48DD Nº 99 D 118</t>
  </si>
  <si>
    <t>CLAUDIA ARIAS ARISTIZABAL</t>
  </si>
  <si>
    <t>INST EDUC BLANQUIZAL</t>
  </si>
  <si>
    <t>BLANQUIZAL</t>
  </si>
  <si>
    <t>CRA. 92 DD N°57 F 41</t>
  </si>
  <si>
    <t>4383507 - 4383896</t>
  </si>
  <si>
    <t>CATALINA SALAZAR</t>
  </si>
  <si>
    <t>LINA PATRICIA RIOS</t>
  </si>
  <si>
    <t>andres@sinfronteras.edu.co</t>
  </si>
  <si>
    <t>INST EDUC JOSE HORACIO BETANCUR</t>
  </si>
  <si>
    <t>SAN CRISTÓBAL</t>
  </si>
  <si>
    <t>CRA. 121 N° 57 57</t>
  </si>
  <si>
    <t>4271454 ext: 101</t>
  </si>
  <si>
    <t>CÉSAR BERRIO</t>
  </si>
  <si>
    <t>MAYLEY RIOS-PILAR ARDILA</t>
  </si>
  <si>
    <t>antonio.aristizabal@medellin.gov.co</t>
  </si>
  <si>
    <t>SEC ESC JUAN NEPOMUCENO MORALES</t>
  </si>
  <si>
    <t>CLL 62 N° 127 6</t>
  </si>
  <si>
    <t>4270173 - 4277152</t>
  </si>
  <si>
    <t>MARLENY CARRILLO</t>
  </si>
  <si>
    <t>GLADIS ZULETA</t>
  </si>
  <si>
    <t>aseolin_@hotmail.com</t>
  </si>
  <si>
    <t>INST EDUC LUSITANIA - PAZ DE COLOMBIA</t>
  </si>
  <si>
    <t>SAN CRISTOBAL</t>
  </si>
  <si>
    <t>CRA 109 A N° 63B - 320</t>
  </si>
  <si>
    <t>DIEGO MAURICIO MONTOYA MISAS</t>
  </si>
  <si>
    <t>EDWAR MORENO</t>
  </si>
  <si>
    <t>diego.montoyam@gmail.com</t>
  </si>
  <si>
    <t>INST EDUC INEM JOSE FELIX DE RESTREPO</t>
  </si>
  <si>
    <t>AV LAS VEGAS</t>
  </si>
  <si>
    <t>CRA 48 NO 1-125</t>
  </si>
  <si>
    <t>2663443 - 2664600 (69) ext 113 - 3108931650 ©</t>
  </si>
  <si>
    <t>FERNANDOCARVAJAL OQUENDO (R )</t>
  </si>
  <si>
    <t>SERGIO GARCES BOTERO</t>
  </si>
  <si>
    <t>inembienestar@inemjose.edu.co</t>
  </si>
  <si>
    <t>SEC ESC GUILLERMO ECHAVARRIA MISAS</t>
  </si>
  <si>
    <t>ASTORGA</t>
  </si>
  <si>
    <t>CR. 43 NO. 9-61</t>
  </si>
  <si>
    <t>311 25 78 -3193201938 ©</t>
  </si>
  <si>
    <t>FERNANDO CARVAJAL OQUENDO (R ) DANIEL RAMIRO OSORIO VILLAGE ©</t>
  </si>
  <si>
    <t>NOHEMY QUIROZ</t>
  </si>
  <si>
    <t>nohemyq@hotmail.com</t>
  </si>
  <si>
    <t>INST EDUC SANTA CATALINA DE SIENA</t>
  </si>
  <si>
    <t>SAN LUCAS</t>
  </si>
  <si>
    <t>CLL 1 SUR N° 29-300</t>
  </si>
  <si>
    <t>3541437 - 3003758241 ®</t>
  </si>
  <si>
    <t>DIANA ROCIO DE LOS RIOS ARIAS ( R)</t>
  </si>
  <si>
    <t>SOLEDAD VELEZ(PM) LINA MARCELA RAMIREZ (AM)</t>
  </si>
  <si>
    <t>dianar.rios@medellin.gov.co linamarch7@hotmail.com</t>
  </si>
  <si>
    <t>INST EDUC LA SALLE DE CAMPOAMOR</t>
  </si>
  <si>
    <t>CAMPO AMOR</t>
  </si>
  <si>
    <t>CRA. 65 B NO. 4-49</t>
  </si>
  <si>
    <t>285 15 71</t>
  </si>
  <si>
    <t>BLANCA DOLLY BUILES</t>
  </si>
  <si>
    <t>GLORIA HERNANDEZ LLANO(D) OSWALDO BARRADA ( D)</t>
  </si>
  <si>
    <t>rectorlasalle@une.net.co osw.barrada@hotmail.com 
rectora@sallecampoamor</t>
  </si>
  <si>
    <t>SEC ESC LA COLINA</t>
  </si>
  <si>
    <t>LA COLINA</t>
  </si>
  <si>
    <t>CRA 52C NO.12A SUR 23</t>
  </si>
  <si>
    <t>255 03 56</t>
  </si>
  <si>
    <t>JULIET AGUILA PACHON ( C)</t>
  </si>
  <si>
    <t>joseacevedo@une.net.co 
soro.al@hotmail.com</t>
  </si>
  <si>
    <t>SEC ESC CRISTO REY-APOLO</t>
  </si>
  <si>
    <t>GUAYABAL</t>
  </si>
  <si>
    <t>CRA 50 G Nº 3 SUR 34</t>
  </si>
  <si>
    <t>255 65 49</t>
  </si>
  <si>
    <t>MARGARITA DUQUE (C )</t>
  </si>
  <si>
    <t>CEBELIA MARIA OTALVARO</t>
  </si>
  <si>
    <t>secretariacristorey09@gmail.com
marduque88@gmail.com</t>
  </si>
  <si>
    <t>INST EDUC OCTAVIO CALDERON MEJIA</t>
  </si>
  <si>
    <t>CRA 58 NO. 7-157</t>
  </si>
  <si>
    <t>2554257 - 3615154</t>
  </si>
  <si>
    <t>CLAUDIA MARIA HOLGIN HERNANDEZ ( R) JOHN FREDY DEVIA MOLINA ( C)</t>
  </si>
  <si>
    <t>EDUAR MORENO ( C)</t>
  </si>
  <si>
    <t>clamohe@une.net.co</t>
  </si>
  <si>
    <t>INST EDUC SAN ROBERTO BELARMINO</t>
  </si>
  <si>
    <t>LAS MERCEDES</t>
  </si>
  <si>
    <t>CLL. 32B NO. 83 - 39</t>
  </si>
  <si>
    <t>2562097 - 2560140- 3103890045 ®</t>
  </si>
  <si>
    <t>ALICIA MARIA MARIN OCHOA ( R)</t>
  </si>
  <si>
    <t>SANDRA PATRICIA RESTREPO- BEATRIZ PATIÑO</t>
  </si>
  <si>
    <t>sanrobertobelarmino@gmail.com</t>
  </si>
  <si>
    <t>INST EDUC PEDRO OCTAVIO AMADO</t>
  </si>
  <si>
    <t>BUENAVISTA</t>
  </si>
  <si>
    <t>CRA 88 A Nª 18 A - 05</t>
  </si>
  <si>
    <t>2385168- 3023880547 (R)</t>
  </si>
  <si>
    <t>GLORIA CECILIA GUTIERREZ ®</t>
  </si>
  <si>
    <t>DIANA MARIA VILLA (RE) ROBERTO CARLOS HERRERA</t>
  </si>
  <si>
    <t>iepoa@yahoo.es
dianamariavilla@hotmail.com</t>
  </si>
  <si>
    <t>INST EDUC ANTONIO RICAURTE</t>
  </si>
  <si>
    <t>BELEN RINCON</t>
  </si>
  <si>
    <t>CLL. 2 NO. 80-28</t>
  </si>
  <si>
    <t>MARTA RESTREPO ( R)</t>
  </si>
  <si>
    <t>TERESA ESPINOSA (D)</t>
  </si>
  <si>
    <t>ie.antonioricaurte@medellin.gov.co
martamariarestrepo@gmail.com</t>
  </si>
  <si>
    <t>SEC ESC GUILLERMO VALENCIA</t>
  </si>
  <si>
    <t>BELEN</t>
  </si>
  <si>
    <t>CALLE 23 N° 78-48</t>
  </si>
  <si>
    <t>LINA VALENCIA CHICA ( C)</t>
  </si>
  <si>
    <t>MARIA DEL ROSARIO OQUENDO</t>
  </si>
  <si>
    <t>linavalenciachica@gmail.com</t>
  </si>
  <si>
    <t>SEC ESC ANTONIO JOSE RESTREPO</t>
  </si>
  <si>
    <t>CLL. 2 NO. 79-42</t>
  </si>
  <si>
    <t>238 30 27</t>
  </si>
  <si>
    <t>JOSE FERNANDO ARCILA ( R)</t>
  </si>
  <si>
    <t>MARGARITA VILLA LOPERA (C )</t>
  </si>
  <si>
    <t>mvillalopera@yahoo.es</t>
  </si>
  <si>
    <t>INST EDUC REPUBLICA DE VENEZUELA</t>
  </si>
  <si>
    <t>LAS VIOLETAS</t>
  </si>
  <si>
    <t>CLL 31C NO. 89 C 62</t>
  </si>
  <si>
    <t>238 82 55 - 3002885717 ©</t>
  </si>
  <si>
    <t>JUAN IGNACIO GALLO ( R ) OLIVA SALDARRIAGA GOMEZ ©</t>
  </si>
  <si>
    <t>ADRIANA LILI SUAREZ- GLORIA GIL MARIN</t>
  </si>
  <si>
    <t>ie.republicadevenezuela@medellin.gov.co 
adrianalilys@gmail.com
'Adriana Lily Suárez Giraldo' &lt;adrianalilys@gmail.com&gt;</t>
  </si>
  <si>
    <t>INST EDUC RAMON GIRALDO CEBALLOS</t>
  </si>
  <si>
    <t>B. ALTAVISTA</t>
  </si>
  <si>
    <t>CLL. 21 NO. 82 A 56</t>
  </si>
  <si>
    <t>3411830 y 2384352- 3053393881 ©</t>
  </si>
  <si>
    <t>CLAUDIA BOADA (R )</t>
  </si>
  <si>
    <t>FLOR QUICENO - GLORIA SUAREZ</t>
  </si>
  <si>
    <t>ieramon_giraldo@yahoo.es - florquiceno@gmail.com</t>
  </si>
  <si>
    <t>INST EDUC CAPILLA DEL ROSARIO</t>
  </si>
  <si>
    <t>CLL 6 SUR 79-195</t>
  </si>
  <si>
    <t>3410913 3438954 - 3012904607 ©</t>
  </si>
  <si>
    <t>JORGE IVAN BUITRAGO ( R)</t>
  </si>
  <si>
    <t>WALTER GUTIERREZ</t>
  </si>
  <si>
    <t>ie.capilladelrosario@yahoo.es walguty@hotmail.com</t>
  </si>
  <si>
    <t>INST EDUC ANTONIO DERKA - SANTO DOMINGO</t>
  </si>
  <si>
    <t>CARRERA 28 107 425</t>
  </si>
  <si>
    <t>5721312 5295216 5295218 CASA 5280020</t>
  </si>
  <si>
    <t>M.(AM) MARTA CECILIA AGUILAR</t>
  </si>
  <si>
    <t>ie.antonioderka@medellin.gov.co ie.antoniosanto@medellin.gov.co ruben.uribe@medellin.gov.co</t>
  </si>
  <si>
    <t>Comparten comedor, los escolares de las dos secciónes pasan almorzar a la IE. principal</t>
  </si>
  <si>
    <t>SEC ESC CARPINELO AMAPOLITA</t>
  </si>
  <si>
    <t>CARPINELO</t>
  </si>
  <si>
    <t>CALLE 97 23 12</t>
  </si>
  <si>
    <t>MARTA CECILIA AGUILAR</t>
  </si>
  <si>
    <t>ie.carpinelloamapolita@medellin.gov.co rudavego1@hotmail.com</t>
  </si>
  <si>
    <t>INST EDUC LA AVANZADA</t>
  </si>
  <si>
    <t>LA AVANZADA</t>
  </si>
  <si>
    <t>CARRERA 27 106BB 65</t>
  </si>
  <si>
    <t>DORA CELIS ROJAS TOBÓN</t>
  </si>
  <si>
    <t>MAGNOLIA DE JESUS CASAS RODRIGUEZ</t>
  </si>
  <si>
    <t>ie.laavanzada@medellin.gov.co; orleyorrego@gmail.com</t>
  </si>
  <si>
    <t>INST EDUC FE Y ALEGRIA SANTO DOMINGO SAVIO</t>
  </si>
  <si>
    <t>CARRERA 29 110A 83</t>
  </si>
  <si>
    <t>5284407 ext 105</t>
  </si>
  <si>
    <t>EDWIN FERNEY MONTOYA VELASQUEZ</t>
  </si>
  <si>
    <t>PAULA VASQUEZ</t>
  </si>
  <si>
    <t>ie.feyalegriasantodo@medellin.gov.co; secresz@gmail.com</t>
  </si>
  <si>
    <t>SEC ESC FE Y ALEGRIA SEGUNDA AGRUPACION</t>
  </si>
  <si>
    <t>CARRERA 30 110B 24</t>
  </si>
  <si>
    <t>5721991 ext 101</t>
  </si>
  <si>
    <t>JAIRO DAZA</t>
  </si>
  <si>
    <t>ie.feyalegriasantodo@medellin.gov.co; audax.lo@gmail.com</t>
  </si>
  <si>
    <t>INST EDUC LA CANDELARIA</t>
  </si>
  <si>
    <t>CALLE 106 32 100</t>
  </si>
  <si>
    <t>5288002 ext 116 - 5721611</t>
  </si>
  <si>
    <t>JORGE ELIECER MURIEL</t>
  </si>
  <si>
    <t>GUSTAVO ATEHORTUA</t>
  </si>
  <si>
    <t>ie.lacandelaria@medellin.gov.co; jorse7098@yahoo.com</t>
  </si>
  <si>
    <t>SEC ESC LA ESPERANZA NO 2</t>
  </si>
  <si>
    <t>LA ESPERANZA Nº 2 - POPULAR</t>
  </si>
  <si>
    <t>CARRERA 29 102A 20</t>
  </si>
  <si>
    <t>JORGE MURIEL MURIEL</t>
  </si>
  <si>
    <t>VILMA MORENO</t>
  </si>
  <si>
    <t>ielaesperanza2@medellin.gov.co negris104@hotmail.com; coordi_laesperanza@ielacandelariamedellin.edu.co</t>
  </si>
  <si>
    <t>SEC ESC DIVINA PROVIDENCIA</t>
  </si>
  <si>
    <t>CALLE 108 43B 17</t>
  </si>
  <si>
    <t>2584850 5241365</t>
  </si>
  <si>
    <t>FLOR DE AZALIA VILLA</t>
  </si>
  <si>
    <t>ESTELLA SALDARRIAGA</t>
  </si>
  <si>
    <t>federicocarrasquilla@gmail.com; stesa425@hotmail.com</t>
  </si>
  <si>
    <t>INST EDUC MARIA DE LOS ANGELES CANO MARQUEZ</t>
  </si>
  <si>
    <t>CALLE 103 33D 75</t>
  </si>
  <si>
    <t>5289494 5287740</t>
  </si>
  <si>
    <t>YOLANDA ZULUAGA CANO</t>
  </si>
  <si>
    <t>SORANY TABORDA</t>
  </si>
  <si>
    <t>yolandazuluaga@hotmail.com; institucionmariacano@gmail.com</t>
  </si>
  <si>
    <t>ESC HERMANA ALCIRA CASTRO OSORIO</t>
  </si>
  <si>
    <t>CARRERA 27B 107FA 138</t>
  </si>
  <si>
    <t>4485298-5292855</t>
  </si>
  <si>
    <t>HNA. GLADIS CALDERON RIVERA</t>
  </si>
  <si>
    <t>DIANA PARRA</t>
  </si>
  <si>
    <t>alciracastro1@outookl.com; misioneras1@une.net.co; dianaparrao26@hotmail.com</t>
  </si>
  <si>
    <t>COL SAGRADA FAMILIA ALDEA PABLO VI</t>
  </si>
  <si>
    <t>ALDEA PABLO VI</t>
  </si>
  <si>
    <t>CARRERA 30 100B 30</t>
  </si>
  <si>
    <t>5290009 Area Administrativa 5290010 Internado</t>
  </si>
  <si>
    <t>HNA MARGARITA BERRIO DUQUE</t>
  </si>
  <si>
    <t>MILENA RAMOS</t>
  </si>
  <si>
    <t>aldeahpar@yahoo.com sagradafamiliahpar@yahoo.es; mile11-@hotmail.com</t>
  </si>
  <si>
    <t>COL GENTE UNIDA JOVENES POR LA PAZ-SANTO DOMINGO</t>
  </si>
  <si>
    <t>CALLE 101C 22B 93</t>
  </si>
  <si>
    <t>JUAN CARLOS ARROYAVE CARLOS ALBERTO ZAPATA</t>
  </si>
  <si>
    <t>DORA ALBA BENITEZ ARIAS</t>
  </si>
  <si>
    <t>laesperanzasecre@hotmail.com juanca_arroyave@hotmail.com</t>
  </si>
  <si>
    <t>INST EDUC SANTA TERESA</t>
  </si>
  <si>
    <t>CARRERA 52 109A 18</t>
  </si>
  <si>
    <t>2584245-2586816</t>
  </si>
  <si>
    <t>AURA CECILIA MEDINA CORREA</t>
  </si>
  <si>
    <t>GUSTAVO ARMANDO GARCÍA -PM; GERMAN MUÑOZ-AM</t>
  </si>
  <si>
    <t>garciaggar@gmail.com; auraceciliamedina@une.net.co; iesantateresa@yahoo.es; gerdamunoz@gmail.com</t>
  </si>
  <si>
    <t>INST EDUC REPUBLICA DE HONDURAS</t>
  </si>
  <si>
    <t>CARRERA 50B 97A 30</t>
  </si>
  <si>
    <t>2360743-2585778</t>
  </si>
  <si>
    <t>LUZ MARINA BEDOYA</t>
  </si>
  <si>
    <t>republicadehonduras@gmail.com; luzmarinabedoyaberrio@hotmail.com</t>
  </si>
  <si>
    <t>INST EDUC FINCA LA MESA</t>
  </si>
  <si>
    <t>CALLE 118 51A 03</t>
  </si>
  <si>
    <t>2149151 2149157</t>
  </si>
  <si>
    <t>LUIS EUGENIO MENA PALACIO</t>
  </si>
  <si>
    <t>JESUS JURADO-PM; CESAR MAURICIO GOMEZ-AM</t>
  </si>
  <si>
    <t>ie.fincalamesa@medellin.gov.co; menapues@gmail.com; tapitasdata@gmail.com</t>
  </si>
  <si>
    <t>SEC ESC LA ISLA</t>
  </si>
  <si>
    <t>LA ISLA</t>
  </si>
  <si>
    <t>CALLE 112 47 39</t>
  </si>
  <si>
    <t>LUIS EUGENIO MENA</t>
  </si>
  <si>
    <t>MAURICIO MURILLO</t>
  </si>
  <si>
    <t>maurrillo@gmail.com</t>
  </si>
  <si>
    <t>INST EDUC JOSE ROBERTO VASQUEZ</t>
  </si>
  <si>
    <t>CALLE 76 39 160</t>
  </si>
  <si>
    <t>NESTOR RENE OTALORA GARZON</t>
  </si>
  <si>
    <t>ELVER GUTIERREZ</t>
  </si>
  <si>
    <t>ie.joserobertovasque@medellin.gov.co; joserobertovasquezbm@gmail.com</t>
  </si>
  <si>
    <t>SEC ESC SAN LORENZO DE ABURRA</t>
  </si>
  <si>
    <t>CALLE 81 40 46</t>
  </si>
  <si>
    <t>EUGENIO DUQUE GOMEZ ; ALEJANDRA MOTOYA GIRLADO , LUZ MAGDALENA LÓPEZ OROZCO</t>
  </si>
  <si>
    <t>ie.sanlorenzodeaburra@medellin.gov.co; duquegenio@gmail.com; maglop18@hotmail.com</t>
  </si>
  <si>
    <t>SEC ESC LA CIMA SAN JOSE</t>
  </si>
  <si>
    <t>SAN JOSE LA CIMA Nº 1</t>
  </si>
  <si>
    <t>CALLE 92C 31BB 23</t>
  </si>
  <si>
    <t>NORA ELENA SOSSA</t>
  </si>
  <si>
    <t>ie.feyalegrialacima@medellin.gov.co; nesy2760@gmail.com</t>
  </si>
  <si>
    <t>INST EDUC GABRIEL RESTREPO MORENO</t>
  </si>
  <si>
    <t>CARRERA 39 85 59</t>
  </si>
  <si>
    <t>2631645 5710343</t>
  </si>
  <si>
    <t>ÁLVARO MEJÍA PAYARES</t>
  </si>
  <si>
    <t>ROCIO MARTINEZ</t>
  </si>
  <si>
    <t>ie.gabrielrestrepo@medellin.gov.co; almapa@hotmail.com; elsyak@hotmail.com</t>
  </si>
  <si>
    <t>SEC ESC SANTA BERNARDITA</t>
  </si>
  <si>
    <t>CARRERA 40 85 20</t>
  </si>
  <si>
    <t>CLAUDIA MARIA GOMEZ</t>
  </si>
  <si>
    <t>campovaldes2013@gmail.com; rectoralacima@gmail.com</t>
  </si>
  <si>
    <t>INST EDUC  MONTECARLO GUILLERMO GAVIRIA CORREA - COMEDOR 1</t>
  </si>
  <si>
    <t>INST EDUC MONTECARLO GUILLERMO GAVIRIA CORREA</t>
  </si>
  <si>
    <t>CARRERA 36 85B 140</t>
  </si>
  <si>
    <t>LUZ MARINA DURANGO SERNA</t>
  </si>
  <si>
    <t>ANA DOLLY OSORIO (P)</t>
  </si>
  <si>
    <t>repbarbados@une.net.co / ie.republicadebarbad@medellin.gov.co</t>
  </si>
  <si>
    <t>INST EDUC RODRIGO LARA BONILLA - COMEDOR 1</t>
  </si>
  <si>
    <t>INST EDUC RODRIGO LARA BONILLA</t>
  </si>
  <si>
    <t>VERSALLES Nº 2</t>
  </si>
  <si>
    <t>CARRERA 25 69D 35</t>
  </si>
  <si>
    <t>JAMES EDUARDO OCAMPO MONSALVE</t>
  </si>
  <si>
    <t>SORAYA ARIAS GÓMEZ</t>
  </si>
  <si>
    <t>ierlb@hotmail.com / ie.rodrigolarabonill@medellin.gov.co; comitecalidad@hotmail.com</t>
  </si>
  <si>
    <t>COL PABLO VI</t>
  </si>
  <si>
    <t>CARRERA 36 69 30</t>
  </si>
  <si>
    <t>254 04 84 2547071</t>
  </si>
  <si>
    <t>JORGE JOSE LUIS SANCHEZ</t>
  </si>
  <si>
    <t>GLORIA E. CASTAÑO</t>
  </si>
  <si>
    <t>cologiopablovl1965@gmail.com; gloriazul.1637@hotmail.com</t>
  </si>
  <si>
    <t>COL GENTE UNIDA JOVENES POR LA PAZ - LUZ DE ORIENTE</t>
  </si>
  <si>
    <t>CARRERA 24 74 130</t>
  </si>
  <si>
    <t>2514254, 2519277</t>
  </si>
  <si>
    <t>DORA ALBA BENITEZ</t>
  </si>
  <si>
    <t>LUZ DARY BENITEZ</t>
  </si>
  <si>
    <t>administracionloriente@genteunida.org.co; luzdeoriente@genteunida.org.co</t>
  </si>
  <si>
    <t>COLEGIO BÁSICO SANTA MARIA DE LA CRUZ</t>
  </si>
  <si>
    <t>CARRERA 23C 75C 246</t>
  </si>
  <si>
    <t>MIGUEL PEREZ VEGA</t>
  </si>
  <si>
    <t>JULIANA VALENCIA</t>
  </si>
  <si>
    <t>santamariadelacruzcolegio@hotmail.com; fundacionteresadecalcuta@hotmail.com</t>
  </si>
  <si>
    <t>INST EDUC GILBERTO ALZATE AVENDAÑO</t>
  </si>
  <si>
    <t>CALLE 92 51A 100</t>
  </si>
  <si>
    <t>5717731 EXT 101 201</t>
  </si>
  <si>
    <t>DARIO ARGAEZ NARANJO (P)</t>
  </si>
  <si>
    <t>ie.gilbertoalzate@medellin.gov.co; betty.mesa@medellin.gov.co; dario.argaez@medellin.co</t>
  </si>
  <si>
    <t>Comparte comedor los 300 Almuerzos deben ser entregados en la S.E Tomas Carrasquilla #1</t>
  </si>
  <si>
    <t>INST EDUC MARIA MONTESSORI</t>
  </si>
  <si>
    <t>CARRERA 69A 92C 87</t>
  </si>
  <si>
    <t>4712416  4776510</t>
  </si>
  <si>
    <t>HERNÁN HERNÁN DARIO QUINTANA</t>
  </si>
  <si>
    <t>JORGE IVÁN PEÑA ( COORD ) AM</t>
  </si>
  <si>
    <t>jipo.197@yahoo.es - iemariamontesori@hotmai.com - secretaria.iemariamontesori@gmail.com</t>
  </si>
  <si>
    <t>INST EDUC PBRO ANTONIO JOSE BERNAL LONDOÑO SJ</t>
  </si>
  <si>
    <t>CALLE 105A 63A 200</t>
  </si>
  <si>
    <t>4631218  2565318, 4631680</t>
  </si>
  <si>
    <t>HERNÁN DÍAZ. ( ) ANTONIO JOSE LONDOÑO LONDOÑO (COORD)</t>
  </si>
  <si>
    <t>HERNAN ALBERTO GONZALES ( D)</t>
  </si>
  <si>
    <t>i.e.antonio.jose.bernal@gmail.com</t>
  </si>
  <si>
    <t>INST EDUC KENNEDY</t>
  </si>
  <si>
    <t>CARRERA 76A 92 200</t>
  </si>
  <si>
    <t>4428362 EXT 115</t>
  </si>
  <si>
    <t>HECTOR CORREA (DOCENTE ENCARGADO)</t>
  </si>
  <si>
    <t>INST EDUC LA ESPERANZA</t>
  </si>
  <si>
    <t>LA ESPERANZA - DOCE DE OCTUBRE</t>
  </si>
  <si>
    <t>CARRERA 73B 96 09</t>
  </si>
  <si>
    <t>MARCOS VILLARREAL</t>
  </si>
  <si>
    <t>FLOR MARIA MONTOYA</t>
  </si>
  <si>
    <t>montoyazapataflormaria@gmail.com</t>
  </si>
  <si>
    <t>SEC ESC LOS COMUNEROS</t>
  </si>
  <si>
    <t>CARRERA 73B 96 77</t>
  </si>
  <si>
    <t>MABEL CRISTINA DARTE CAÑAS</t>
  </si>
  <si>
    <t>mdarte25@yahoo.es</t>
  </si>
  <si>
    <t>SEC ESC REPUBLICA DE CUBA</t>
  </si>
  <si>
    <t>CALLE 97 74 03</t>
  </si>
  <si>
    <t>DORA ALICIA MAZO</t>
  </si>
  <si>
    <t>rosaemma284@yahoo.ese - doramazop@gmail.com</t>
  </si>
  <si>
    <t>SEC ESC SAN FRANCISCO DE PAULA</t>
  </si>
  <si>
    <t>CARRERA 74B 93 58</t>
  </si>
  <si>
    <t>EMA ROSA ZAPATA PARRA</t>
  </si>
  <si>
    <t>roaemma439@gmail.com</t>
  </si>
  <si>
    <t>SEC ESC SAN MARTIN DE PORRES</t>
  </si>
  <si>
    <t>SAN MARTIN DE PORRES</t>
  </si>
  <si>
    <t>CARRERA 75A 97 135</t>
  </si>
  <si>
    <t>MARLENY STELLA LONDOÑO ARANGO</t>
  </si>
  <si>
    <t>marlenylondono@gmail.com</t>
  </si>
  <si>
    <t>INST EDUC CASD</t>
  </si>
  <si>
    <t>CALLE 99 72 192</t>
  </si>
  <si>
    <t>4721313 2379780 EXT 101</t>
  </si>
  <si>
    <t>KAMMEL GUTIERREZ ( R)</t>
  </si>
  <si>
    <t>DAISY KATERINE RODRIGUEZ D ( D)</t>
  </si>
  <si>
    <t>ricardo.franco@medellin.gov.co</t>
  </si>
  <si>
    <t>SEC ESC CONTRANAL</t>
  </si>
  <si>
    <t>CALLE 100 74A 25</t>
  </si>
  <si>
    <t>JAVIER SANCHEZ.</t>
  </si>
  <si>
    <t>ELIZABETH ROLDAN</t>
  </si>
  <si>
    <t>CENTRO EDUCATIVO HOGAR JESÚS REDENTOR</t>
  </si>
  <si>
    <t>CALLE 104B 87 95</t>
  </si>
  <si>
    <t>VIVIANA PARRA GAVIRIA</t>
  </si>
  <si>
    <t>HERMANA NORA LUCIA PARRA. HNA. ADRIANA</t>
  </si>
  <si>
    <t>hogarjr@une.net.co</t>
  </si>
  <si>
    <t>SEC ESC ESTADO DE ISRAEL</t>
  </si>
  <si>
    <t>CALLE 110A 75A 01</t>
  </si>
  <si>
    <t>2732809 4720572</t>
  </si>
  <si>
    <t>FELICITA ARRIAGA</t>
  </si>
  <si>
    <t>INST EDUC EL PICACHITO</t>
  </si>
  <si>
    <t>PICACHITO</t>
  </si>
  <si>
    <t>CARRERA 85A 98B 17</t>
  </si>
  <si>
    <t>4761277  Fax 4760923 4770923 - 4722556</t>
  </si>
  <si>
    <t>LUIS OSVALDO GIRALDO (COORD)</t>
  </si>
  <si>
    <t>LUZ ADIELA ZULUAGA</t>
  </si>
  <si>
    <t>luzadielazuluaga@gmail.com - ie,picachito@gmail.com</t>
  </si>
  <si>
    <t>ESCUELA UNIVERSIDAD NACIONAL</t>
  </si>
  <si>
    <t>CARRERA 88A 68 85</t>
  </si>
  <si>
    <t>JULIO CESAR SANCHEZ HENAO</t>
  </si>
  <si>
    <t>DIANA RIVILLAS OCAMPO</t>
  </si>
  <si>
    <t>dirivill@unal.edu.co - cooracedunal-med@unal.edu.co - cedunal.med@unal.edu.co</t>
  </si>
  <si>
    <t>INST EDUC BELLO HORIZONTE</t>
  </si>
  <si>
    <t>BELLO HORIZONTE</t>
  </si>
  <si>
    <t>CARRERA 86 77AB 53</t>
  </si>
  <si>
    <t>2346584  EXT 105 - 101</t>
  </si>
  <si>
    <t>GLORIA CECILIA GUTIERREZ ZAPATA</t>
  </si>
  <si>
    <t>SIRLEY TAMAYO AM - MIRYAM URIBE PM</t>
  </si>
  <si>
    <t>iebellohorizonte@gmail.com</t>
  </si>
  <si>
    <t>INST EDUC CIUDAD DON BOSCO</t>
  </si>
  <si>
    <t>E</t>
  </si>
  <si>
    <t>CARRERA 96B 78C 11</t>
  </si>
  <si>
    <t>2641199  2642122  EXT 131</t>
  </si>
  <si>
    <t>BRO.RAFAEL BEJARANO RIVERO.</t>
  </si>
  <si>
    <t>JHON JAIME MADRIGAL HERRERA</t>
  </si>
  <si>
    <t>direccion@ciudaddonbosco.org</t>
  </si>
  <si>
    <t>INST EDUC EL DIAMANTE</t>
  </si>
  <si>
    <t>CARRERA 87 79 05</t>
  </si>
  <si>
    <t>NANCY LUCIA PEREZ GONZALEZ</t>
  </si>
  <si>
    <t>JAIME DUQUE AM - ELKIN VELASQUEZ PM</t>
  </si>
  <si>
    <t>jaimerdu@yahoo.es; rectoria@ieeldiamante.edu.co</t>
  </si>
  <si>
    <t>INST EDUC LA LIBERTAD</t>
  </si>
  <si>
    <t>LA LIBERTAD</t>
  </si>
  <si>
    <t>DIAGONAL 17DD 56B 49</t>
  </si>
  <si>
    <t>2267949  3225191221</t>
  </si>
  <si>
    <t>JHON FREDY CORRALES TABARES</t>
  </si>
  <si>
    <t>ANGY URIBE</t>
  </si>
  <si>
    <t>ie.lalibertad@medellin.gov.co  coordilibertad@gmail.com</t>
  </si>
  <si>
    <t>INST EDUC LA SIERRA</t>
  </si>
  <si>
    <t>LA SIERRA</t>
  </si>
  <si>
    <t>CALLE 56 B 4 ESTE 10</t>
  </si>
  <si>
    <t>2218029  2145397  300 202 08 85</t>
  </si>
  <si>
    <t>MARTHA LUCIA MOSQUERA</t>
  </si>
  <si>
    <t>ie.lasierracolegiomaestro@gmail.com  mlml316@hotmail.com</t>
  </si>
  <si>
    <t>INST EDUC JUAN DE LA CRUZ POSADA</t>
  </si>
  <si>
    <t>SAN MIGUEL</t>
  </si>
  <si>
    <t>CALLE 62 39 22</t>
  </si>
  <si>
    <t>2549659  2548163  2914801  3103727883</t>
  </si>
  <si>
    <t>ADOLFO LEÓN GONZALEZ OSPINA</t>
  </si>
  <si>
    <t>FANY RODAS MORENO(AM)  MARIA CONSUELO PEREZ(PM)</t>
  </si>
  <si>
    <t>IE.JUANCPOSADA@YAHOO.ES  katevera@hotmail.com</t>
  </si>
  <si>
    <t>INST EDUC ESCUELA NORMAL SUPERIOR DE MEDELLIN</t>
  </si>
  <si>
    <t>LA LADERA</t>
  </si>
  <si>
    <t>CARRERA 34 65 02</t>
  </si>
  <si>
    <t>2840245      4039040</t>
  </si>
  <si>
    <t>JUAN CARLOS ZAPATA CORREA</t>
  </si>
  <si>
    <t>GUILLERMINA ZAPATA RIVERA</t>
  </si>
  <si>
    <t>ie.normalsuperior@medellin.gov.co   juanca.zapatac@gmail.com / guillerminazr@hotmail.com</t>
  </si>
  <si>
    <t>SEC ESC SAN VICENTE DE PAUL</t>
  </si>
  <si>
    <t>LAS ESTANCIAS</t>
  </si>
  <si>
    <t>CARRERA 6F 54 133</t>
  </si>
  <si>
    <t>JAMES PRADO</t>
  </si>
  <si>
    <t>ie.gabrielgarcía@medellín.gov.co  pradojames@hotmail.com</t>
  </si>
  <si>
    <t>SEC ESC REPUBLICA DEL PERU</t>
  </si>
  <si>
    <t>CALLE 52 23 114</t>
  </si>
  <si>
    <t>ie.felixhenao@medellín.gov.co   antonio.cari@hotmail.com</t>
  </si>
  <si>
    <t>INST EDUC VIDA PARA TODOS</t>
  </si>
  <si>
    <t>CARRERA 12 52 20</t>
  </si>
  <si>
    <t>2260571 2260591</t>
  </si>
  <si>
    <t>DAVID FERNANDO CORTEZ</t>
  </si>
  <si>
    <t>LISETH GARCIA(AM)          CAMILO FERNANDEZ(PM)</t>
  </si>
  <si>
    <t>ie.vidaparatodos@hotmail.com</t>
  </si>
  <si>
    <t>SEC ESC HOGAR ANTIOQUIA</t>
  </si>
  <si>
    <t>CARRERA 12 52 42</t>
  </si>
  <si>
    <t>LUZ DARY ORTIZ</t>
  </si>
  <si>
    <t>SEC ESC SOR MARIA LUISA COURBIN</t>
  </si>
  <si>
    <t>CARRERA 12 52 44</t>
  </si>
  <si>
    <t>IVAN GAVIRIA JARAMILLO CLAUDIA ALVAREZ</t>
  </si>
  <si>
    <t>INST EDUC SOL DE ORIENTE</t>
  </si>
  <si>
    <t>TRECE DE NOVIEMBRE</t>
  </si>
  <si>
    <t>CARRERA 23 56EH 200</t>
  </si>
  <si>
    <t>2914389   2546176</t>
  </si>
  <si>
    <t>JUAN DIEGO RESTREPO ESCOBAR</t>
  </si>
  <si>
    <t>ADRIANA MUNERA</t>
  </si>
  <si>
    <t>ie.soldeoriente@medellin.gov.co   ssoldeoriente@gmail.com  amuneraguerra@yahoo.es</t>
  </si>
  <si>
    <t>SEC ESC BEATO DOMINGO ITURRATE</t>
  </si>
  <si>
    <t>CARRERA 18E 56FA 9</t>
  </si>
  <si>
    <t>LUZ MARINA PENAGOS</t>
  </si>
  <si>
    <t>COL BASICO CAMINO DE PAZ - COMEDOR 1</t>
  </si>
  <si>
    <t>COL BASICO CAMINO DE PAZ</t>
  </si>
  <si>
    <t>CALLE 59C 19 56</t>
  </si>
  <si>
    <t>ALBA LUCIA BAHOS</t>
  </si>
  <si>
    <t>TATIANA DURANGO        EUGENIO HENAO ESTRADA</t>
  </si>
  <si>
    <t>secrecaicedo@fundacionlasgolondrinas.org     nutricion@fundacionlasgolondrinas.org   rectoria@fundacionlasgolondrinas.org</t>
  </si>
  <si>
    <t>COL BASICO CAMINO DE PAZ - COMEDOR 2</t>
  </si>
  <si>
    <t>COL BASICO CAMINO DE PAZ - VILLA LILIAM</t>
  </si>
  <si>
    <t>CARRERA 8A 57A 35</t>
  </si>
  <si>
    <t>INST EDUC EL SALVADOR</t>
  </si>
  <si>
    <t>CARRERA 38A 34 -207</t>
  </si>
  <si>
    <t>2169312   2180993</t>
  </si>
  <si>
    <t>ALBERTO GIRALDO JIMENEZ (RECTOR)</t>
  </si>
  <si>
    <t>LUCERO PINEDA(PM)           SIRIS PINO(AM)</t>
  </si>
  <si>
    <t>iesalvador@medellin.gov.co      lucero-pineda@hotmail.com</t>
  </si>
  <si>
    <t>SEC ESC JOSE DE SAN MARTIN</t>
  </si>
  <si>
    <t>CALLE 39 38 21</t>
  </si>
  <si>
    <t>ALBERTO GIRALDO JIMENEZ RECTOR</t>
  </si>
  <si>
    <t>JUAN CARLOS MURIEL</t>
  </si>
  <si>
    <t>institucioneduelsalvador@gmail.com    jucamugo140@hotmail.com</t>
  </si>
  <si>
    <t>SEC ESC DIVINO SALVADOR</t>
  </si>
  <si>
    <t>CARRERA 38B 40 29</t>
  </si>
  <si>
    <t>216 99 41</t>
  </si>
  <si>
    <t>HECTOR MAURICIO CALLE GALLEGO -RECTOR</t>
  </si>
  <si>
    <t>ieacastrillón@yahoo.es    ectore@une.net.co</t>
  </si>
  <si>
    <t>INST EDUC LORETO-GABRIELA GOMEZ CARVAJAL</t>
  </si>
  <si>
    <t>LORETO</t>
  </si>
  <si>
    <t>CALLE 32 34 06</t>
  </si>
  <si>
    <t>2390090 2393159</t>
  </si>
  <si>
    <t>GUSTAVO DE J. HOYOS AGUDELO RECTOR</t>
  </si>
  <si>
    <t>JUAN CAMILO ALZATE ECHEVERRI</t>
  </si>
  <si>
    <t>ie.Loreto@gmail.com  juank151@hotmail.com  hoyosatavo1952@yahoo.com</t>
  </si>
  <si>
    <t>INST EDUC ASAMBLEA DEPARTAMENTAL</t>
  </si>
  <si>
    <t>CARRERA 27 47 45</t>
  </si>
  <si>
    <t>269 96 79  2218965  2697703</t>
  </si>
  <si>
    <t>JUAN CARLOS AGUDELO SOSA (RECTOR)</t>
  </si>
  <si>
    <t>JOSE ANGELO VARGAS</t>
  </si>
  <si>
    <t>ie.asamblea@gmail.com;  juanca.jas@homail.com</t>
  </si>
  <si>
    <t>INST EDUC JAVIERA LONDOÑO</t>
  </si>
  <si>
    <t>CALLE 53 40 65</t>
  </si>
  <si>
    <t>2395055 2396363 2393116 2281005</t>
  </si>
  <si>
    <t>MARTHA MARIN</t>
  </si>
  <si>
    <t>105001001562@medellin.gov.co  mo156@une.net.co</t>
  </si>
  <si>
    <t>INST EDUC SAN BENITO</t>
  </si>
  <si>
    <t>SAN BENITO</t>
  </si>
  <si>
    <t>CARRERA 56 NO 54A 25</t>
  </si>
  <si>
    <t>MARGARITA MARIA SANCHEZ LEON</t>
  </si>
  <si>
    <t>NEILA ROSA BELLO</t>
  </si>
  <si>
    <t>ie.sanbenito@medellin.gov.co  margarita.sanchez@medellin.gov.co</t>
  </si>
  <si>
    <t>INST EDUC HECTOR ABAD GOMEZ</t>
  </si>
  <si>
    <t>CALLE 50 39 65</t>
  </si>
  <si>
    <t>2163862 2163805 2161258</t>
  </si>
  <si>
    <t>ELKIM RAMIRO OSORIO</t>
  </si>
  <si>
    <t>JAIRO JARAMILLO</t>
  </si>
  <si>
    <t>ie.hectorabad@medellin.gov.co   jmiramuriel@gmail.com</t>
  </si>
  <si>
    <t>SEC ESC DARIO LONDOÑO CARDONA</t>
  </si>
  <si>
    <t>BARRIO COLON</t>
  </si>
  <si>
    <t>CALLE 44 43 96</t>
  </si>
  <si>
    <t>ALBA DIELAZAPATA</t>
  </si>
  <si>
    <t>ie.hectorabad@medellin.gov.co  zapatadh@gmail.com</t>
  </si>
  <si>
    <t>CENT EDUC CASA MAMA MARGARITA</t>
  </si>
  <si>
    <t>BOMBONA Nº 1</t>
  </si>
  <si>
    <t>CALLE 48 39 58</t>
  </si>
  <si>
    <t>2172185  2182156  2182157</t>
  </si>
  <si>
    <t>AMPARO GUEVARA CARRASQUILLA</t>
  </si>
  <si>
    <t>secretariacmm@gmail.com</t>
  </si>
  <si>
    <t>SEC ESC HIPOLITO LONDOÑO MESA</t>
  </si>
  <si>
    <t>CARRERA 40 59 A 52</t>
  </si>
  <si>
    <t>MONS. ARMANDO SANTA</t>
  </si>
  <si>
    <t>HNA.NOEMI CADAVID</t>
  </si>
  <si>
    <t>hogaressanjos60@hotmail.com</t>
  </si>
  <si>
    <t>CENT EDUC EL PLACER</t>
  </si>
  <si>
    <t>SANTA ELENA SECTOR CENTRAL (CABECERA) - CORREG SANTA ELENA</t>
  </si>
  <si>
    <t>VEREDA EL PLACER</t>
  </si>
  <si>
    <t>5380143 / 2695500</t>
  </si>
  <si>
    <t>BEATRIZ ELENA ALVAREZ SERNA</t>
  </si>
  <si>
    <t>GLADYS PATRICIA CANO</t>
  </si>
  <si>
    <t>centroeducativoelplacer@yahoo.es</t>
  </si>
  <si>
    <t>INST EDUC SANTA ELENA</t>
  </si>
  <si>
    <t>CABECERA</t>
  </si>
  <si>
    <t>5381304 / 5381829</t>
  </si>
  <si>
    <t>SILVIA ELENA REDON</t>
  </si>
  <si>
    <t>EDY PATRICIA HUGUITA      DEYCI OSORIO</t>
  </si>
  <si>
    <t>ie.santaelena@medellin.gov.co</t>
  </si>
  <si>
    <t>SEC ESC RURAL SANTA ELENA</t>
  </si>
  <si>
    <t>5380027    5381304  3113608890</t>
  </si>
  <si>
    <t>ARACELY VALENCIA</t>
  </si>
  <si>
    <t>ARACELY.VALENCIA@GMAIL.COM  ie.santaelena@medellin.gov.co</t>
  </si>
  <si>
    <t>CENT EDUC PIEDRAS BLANCAS</t>
  </si>
  <si>
    <t>PIEDRAS BLANCAS - MATAZANO - CORREG SANTA ELENA</t>
  </si>
  <si>
    <t>PIEDRAS BLANCAS</t>
  </si>
  <si>
    <t>JOAQUIN GERMAN OSPINA</t>
  </si>
  <si>
    <t>FELIPE LOZANO</t>
  </si>
  <si>
    <t>cepiedrasblancas@medellin.gov.co</t>
  </si>
  <si>
    <t>CENT EDUC MEDIA LUNA</t>
  </si>
  <si>
    <t>VEREDA MEDIA LUNA</t>
  </si>
  <si>
    <t>ROSMIRA ARROYAVE</t>
  </si>
  <si>
    <t>CENT EDUC EL PLAN</t>
  </si>
  <si>
    <t>EL PLACER - CORREG SANTA ELENA</t>
  </si>
  <si>
    <t>VEREDA EL PLAN</t>
  </si>
  <si>
    <t>5381230  2695500  5380143</t>
  </si>
  <si>
    <t>FABIOLA PINO PEREA</t>
  </si>
  <si>
    <t>CENT EDUC PIEDRA GORDA</t>
  </si>
  <si>
    <t>PIEDRA GORDA - CORREG SANTA ELENA</t>
  </si>
  <si>
    <t>VEREDA PIEDRA GORDA</t>
  </si>
  <si>
    <t>ENRIQUE MAYO GARCIA</t>
  </si>
  <si>
    <t>CAROLINA AREIZA</t>
  </si>
  <si>
    <t>escuela.piedragorda@yahoo.es   ce.juanandrespatino@medellin.gov.co</t>
  </si>
  <si>
    <t>CENT EDUC EL CERRO</t>
  </si>
  <si>
    <t>EL CERRO - CORREG SANTA ELENA</t>
  </si>
  <si>
    <t>VEREDA EL CERRO</t>
  </si>
  <si>
    <t>GLADYS MIRANDA HOYOS</t>
  </si>
  <si>
    <t>ce.juanandrespatino@medellin.gov.co   betyla25@hotmail.com</t>
  </si>
  <si>
    <t>CENT EDUC JUAN ANDRES PATINO</t>
  </si>
  <si>
    <t>BARRO BLANCO - CORREG SANTA ELENA</t>
  </si>
  <si>
    <t>VEREDA BARRO BLANCO</t>
  </si>
  <si>
    <t>5669138  FAX 5669186</t>
  </si>
  <si>
    <t>BEATRIZ ELENA LUGO</t>
  </si>
  <si>
    <t>CENT EDUC PERMANENTE MAZO</t>
  </si>
  <si>
    <t>MAZO - CORREG SANTA ELENA</t>
  </si>
  <si>
    <t>VEREDA MAZO</t>
  </si>
  <si>
    <t>JOAQUIN GERMAN OSPINA TANGARIFE</t>
  </si>
  <si>
    <t>CLAUDIA PATRICIA OSORIO</t>
  </si>
  <si>
    <t>pemazo@gmail.com     didaeco@hotmail.com</t>
  </si>
  <si>
    <t>CORPORACION EDUCATIVA COMBOS</t>
  </si>
  <si>
    <t>CL 51 56 A 35</t>
  </si>
  <si>
    <t>5141672 5126251</t>
  </si>
  <si>
    <t>GLORIA AMPARO HENAO MEDINA</t>
  </si>
  <si>
    <t>INST EDUC MARCO FIDEL SUAREZ</t>
  </si>
  <si>
    <t>SURAMERICANA</t>
  </si>
  <si>
    <t>CR 70 Nº 49 70</t>
  </si>
  <si>
    <t>2301704 - 2301435</t>
  </si>
  <si>
    <t>JOSÉ IGNACIO GUTIÉRREZ</t>
  </si>
  <si>
    <t>ALBA NERY BARRILECHE</t>
  </si>
  <si>
    <t>elsobri21@gmail.com</t>
  </si>
  <si>
    <t>INST EDUC CRISTOBAL COLON - COMEDOR 1</t>
  </si>
  <si>
    <t>INST EDUC CRISTOBAL COLON</t>
  </si>
  <si>
    <t>CL38 Nº 92 93</t>
  </si>
  <si>
    <t>2520535 - 2532517</t>
  </si>
  <si>
    <t>JUAN DE DIOS ARANGO</t>
  </si>
  <si>
    <t>MARTHA DORIS GÓMEZ-LUCELLY GARCÍA</t>
  </si>
  <si>
    <t>martisgc@gmail.com</t>
  </si>
  <si>
    <t>INST EDUC CRISTOBAL COLON - COMEDOR 2</t>
  </si>
  <si>
    <t>INST EDUC CRISTOBAL COLON - ANEXO</t>
  </si>
  <si>
    <t>SEC ESC VEINTE DE JULIO</t>
  </si>
  <si>
    <t>CR 106 Nº 38 40</t>
  </si>
  <si>
    <t>MARÍA ELENA VÁSQUEZ</t>
  </si>
  <si>
    <t>mevz61@gmail.com</t>
  </si>
  <si>
    <t>INST EDUC LA INDEPENDENCIA</t>
  </si>
  <si>
    <t>CLL 39D Nº 112 81</t>
  </si>
  <si>
    <t>BEATRIZ EUGENIA RIOS</t>
  </si>
  <si>
    <t>OLGA LUCÍA DÍAZ</t>
  </si>
  <si>
    <t>beatrizrios5@hotmail.com</t>
  </si>
  <si>
    <t>SEC ESC PALMITAS</t>
  </si>
  <si>
    <t>INST EDUC HECTOR ROGELIO MONTOYA</t>
  </si>
  <si>
    <t>PALMITAS- CABECERA</t>
  </si>
  <si>
    <t>CALLE 20 N° 32 60</t>
  </si>
  <si>
    <t>3870058 - 3870112</t>
  </si>
  <si>
    <t>MANUEL ARANGO</t>
  </si>
  <si>
    <t>DIANA CAROLINA RIVERA</t>
  </si>
  <si>
    <t>ie.hrmpalmitas@gmail.com</t>
  </si>
  <si>
    <t>CENT EDUC LA SUIZA</t>
  </si>
  <si>
    <t>CENT EDUC LA VOLCANA</t>
  </si>
  <si>
    <t>PALMITAS</t>
  </si>
  <si>
    <t>VEREDA LA VOLCANA</t>
  </si>
  <si>
    <t>4463286-3870022</t>
  </si>
  <si>
    <t>GILMA PASTORA AYALA</t>
  </si>
  <si>
    <t>DORIELA MONTOYA SIERRA</t>
  </si>
  <si>
    <t>gilmayala@hotmail.com</t>
  </si>
  <si>
    <t>CENT EDUC LA FRISOLA</t>
  </si>
  <si>
    <t>VEREDA FRISOLA</t>
  </si>
  <si>
    <t>EROINA PALACIO VILLA</t>
  </si>
  <si>
    <t>palaciovillaeroina@gmail.com</t>
  </si>
  <si>
    <t>VEREDA LA SUIZA</t>
  </si>
  <si>
    <t>CONSUELO GUTIERREZ</t>
  </si>
  <si>
    <t>coguma@hotmail.com</t>
  </si>
  <si>
    <t xml:space="preserve">Comparten comedor - los 28 Almuerzos de Cibercolegio y los 23 de la volcana con los 41 de La Suiza. El servicio para los 3 centros educativos se presta en La Suiza. </t>
  </si>
  <si>
    <t>CIBERCOLEGIO UCN</t>
  </si>
  <si>
    <t>Comparten comedor - los 30 Almuerzos de Cibercolegio y los 23 de la volcana deben ser entregados en el CE la Suiza.</t>
  </si>
  <si>
    <t>CENT EDUC LA ALDEA</t>
  </si>
  <si>
    <t>VEREDA LA ALDEA</t>
  </si>
  <si>
    <t>DIANA VICTORIA MONTOYA</t>
  </si>
  <si>
    <t>50 en la aldea - 16 en las teresitas, total 66. En Aldea se atiende con RIT por infraestructura y en Las Teresitas también porque no hay infraestructura para RPS. Tenerlo presente para inicio de 2019.</t>
  </si>
  <si>
    <t>CENT EDUC LEON ARANGO PAUCAR</t>
  </si>
  <si>
    <t>VEREDA LA SUCIA</t>
  </si>
  <si>
    <t>LUZ MARLENY MUÑOZ</t>
  </si>
  <si>
    <t>CENT EDUC LA POTRERA</t>
  </si>
  <si>
    <t>VEREDA POTRERA</t>
  </si>
  <si>
    <t>LUZ ASTRID CORREA RIVERA</t>
  </si>
  <si>
    <t>CENT EDUC LUIS MESA VILLA</t>
  </si>
  <si>
    <t>VEREDA URQUITA</t>
  </si>
  <si>
    <t>BEATRIZ ELENA MUÑOZ</t>
  </si>
  <si>
    <t>INST EDUC LOMA HERMOSA</t>
  </si>
  <si>
    <t>CRA. 123B N° 53B 05</t>
  </si>
  <si>
    <t>4271116-4385229</t>
  </si>
  <si>
    <t>MARÍA FANNY VARGAS</t>
  </si>
  <si>
    <t>GUSTAVO GONZÁLEZ</t>
  </si>
  <si>
    <t>mariogiraldo2011@gmail.com</t>
  </si>
  <si>
    <t>SEC ESC SAN VICENTE FERRER</t>
  </si>
  <si>
    <t>CL.48CC NO.120E 66</t>
  </si>
  <si>
    <t>GLORIA ISABEL SEPULVEDA</t>
  </si>
  <si>
    <t>alejavivax@hotmail.com</t>
  </si>
  <si>
    <t>INST EDUC SAN CRISTOBAL</t>
  </si>
  <si>
    <t>CRA. 131 N° 65 07</t>
  </si>
  <si>
    <t>4279181 - 4279180</t>
  </si>
  <si>
    <t>JOSÉ CHARLES VÉLEZ BETANCUR</t>
  </si>
  <si>
    <t>JUVENAL MAURICIO CORTES-CARLOS TULIO FRANCO</t>
  </si>
  <si>
    <t>tuliofranco@iesancristobal.edu.co</t>
  </si>
  <si>
    <t>CENT EDUC TRAVESIAS EL MORRO</t>
  </si>
  <si>
    <t>CRA 143 N° 68 20</t>
  </si>
  <si>
    <t>JHON ALEXANDER GARCÍA RODRIGUEZ</t>
  </si>
  <si>
    <t>MIRIAM BASTIDAS-ANDREI ECHEVERRY</t>
  </si>
  <si>
    <t>cetem@hotmail.com</t>
  </si>
  <si>
    <t>CENT EDUC FABIO ZULUAGA OROZCO</t>
  </si>
  <si>
    <t>VEREDA LA PALMA</t>
  </si>
  <si>
    <t>MARTA DIONNY TOBON</t>
  </si>
  <si>
    <t>dionnytobon@hotmail.com</t>
  </si>
  <si>
    <t>ESC POPULAR EUCARISTICA SANTA ANGELA</t>
  </si>
  <si>
    <t>VEREDA EL PICACHO</t>
  </si>
  <si>
    <t>SANTIAGO LUJÁN MUÑOZ</t>
  </si>
  <si>
    <t>ELKIN DARIO GUTIERREZ</t>
  </si>
  <si>
    <t>epesantaangela@hotmail.com</t>
  </si>
  <si>
    <t>CENT EDUC PEDREGAL ALTO</t>
  </si>
  <si>
    <t>CRA.121 N° 69 136</t>
  </si>
  <si>
    <t>MARTA IRENE LONDOÑO RESTREPO</t>
  </si>
  <si>
    <t>LINA CORREA</t>
  </si>
  <si>
    <t>escuelitacepa@hotmail.com</t>
  </si>
  <si>
    <t>CENT EDUC EL YOLOMBO</t>
  </si>
  <si>
    <t>VEREDA EL YOLOMBO</t>
  </si>
  <si>
    <t>YUDY MILENA MARIN DUQUE</t>
  </si>
  <si>
    <t>ceyolombo@hotmail.com</t>
  </si>
  <si>
    <t>CENT EDUC SAN JOSE DE LA MONTAÑA</t>
  </si>
  <si>
    <t>VEREDA SAN JOSÉ</t>
  </si>
  <si>
    <t>ANA MARÍA ROMERO</t>
  </si>
  <si>
    <t>ce.sanjosedelamontaña@yahoo.es</t>
  </si>
  <si>
    <t>CENT EDUC BOQUERON</t>
  </si>
  <si>
    <t>VEREDA BOQUERON</t>
  </si>
  <si>
    <t>YOHNN JAIRO GALLO NOREÑA</t>
  </si>
  <si>
    <t>perezsalasa@gmail.com</t>
  </si>
  <si>
    <t>CENT EDUC PEDREGAL BAJO</t>
  </si>
  <si>
    <t>CRA 115 N° 66 85</t>
  </si>
  <si>
    <t>ALEISA IVONNE PARRA</t>
  </si>
  <si>
    <t>DORA PINEDA</t>
  </si>
  <si>
    <t>annyurga@hotmail.com</t>
  </si>
  <si>
    <t>CENT EDUC LAS PLAYAS</t>
  </si>
  <si>
    <t>VEREDA LAS PLAYAS</t>
  </si>
  <si>
    <t>4272915 - 4271840</t>
  </si>
  <si>
    <t>FLOR ALBA PÉREZ CAICEDO</t>
  </si>
  <si>
    <t>CRISTINA HIGUITA RODRIGUEZ</t>
  </si>
  <si>
    <t>cristhir@yahoo.com</t>
  </si>
  <si>
    <t>CENT EDUC SAGRADO CORAZON</t>
  </si>
  <si>
    <t>VEREDA LA CUCHILLA</t>
  </si>
  <si>
    <t>4276317- 4273456</t>
  </si>
  <si>
    <t>LUIS FELIPE PALACIO CANO</t>
  </si>
  <si>
    <t>sagradocorazon936@yahoo.es</t>
  </si>
  <si>
    <t>CENT EDUC EL PATIO</t>
  </si>
  <si>
    <t>VEREDA EL PATIO</t>
  </si>
  <si>
    <t>JULIA PATRICIA GARCÍA</t>
  </si>
  <si>
    <t>jupagaba30@gmail.com</t>
  </si>
  <si>
    <t>INST EDUC CARLOS ALBERTO CALDERON</t>
  </si>
  <si>
    <t>VEREDA EL LLANO</t>
  </si>
  <si>
    <t>NOHEMI POSADA</t>
  </si>
  <si>
    <t>KELLY JOHANA CHAVERRA</t>
  </si>
  <si>
    <t>ie.carlosalbertocald@medellin.gov.co</t>
  </si>
  <si>
    <t>CENT EDUC MARIA PAULINA TABORDA</t>
  </si>
  <si>
    <t>ALTAVISTA</t>
  </si>
  <si>
    <t>VEREDA TRAVESIAS</t>
  </si>
  <si>
    <t>MARTHA LUCIA ARANGO</t>
  </si>
  <si>
    <t>LUZ DERLY BETANCUR</t>
  </si>
  <si>
    <t>canordorai@hotmail.com</t>
  </si>
  <si>
    <t>INST EDUC JOSE ACEVEDO Y GOMEZ</t>
  </si>
  <si>
    <t>SAN RAFAEL</t>
  </si>
  <si>
    <t>CLL 08 SUR NO. 52C - 20</t>
  </si>
  <si>
    <t>3612637 - 2552996 - 3612145</t>
  </si>
  <si>
    <t>JAIME ALBERTO SIERRA TORRES (R )</t>
  </si>
  <si>
    <t>YUDI ESTELLA CARDONA G.</t>
  </si>
  <si>
    <t>ie.joseacevedo@medellin.gov.co</t>
  </si>
  <si>
    <t>SEC ESC REPUBLICA DE COSTA RICA</t>
  </si>
  <si>
    <t>CRA 52 NO .7 SUR 23</t>
  </si>
  <si>
    <t>2852538 - 3529731</t>
  </si>
  <si>
    <t>LINA MARIA GOMEZ BETANCUR (C )</t>
  </si>
  <si>
    <t>linamgh@hotmail.com</t>
  </si>
  <si>
    <t>INST EDUC CRISTO REY</t>
  </si>
  <si>
    <t>CRISTO REY</t>
  </si>
  <si>
    <t>CLL 2 SUR NO. 50D 30</t>
  </si>
  <si>
    <t>2850798 - 2850778</t>
  </si>
  <si>
    <t>JUAN ANGEL ( R)</t>
  </si>
  <si>
    <t>BIBIANA OCAMPO GUERRA ( D) ANDRES ESCOBAR ( D)</t>
  </si>
  <si>
    <t>secretariacristorey09@gmail.com</t>
  </si>
  <si>
    <t>INST EDUC OCTAVIO HARRY - JACQUELINE KENNEDY</t>
  </si>
  <si>
    <t>LAS PLAYAS</t>
  </si>
  <si>
    <t>CLL 17 NO. 73-37</t>
  </si>
  <si>
    <t>343 59 34</t>
  </si>
  <si>
    <t>GLORIA GUTIERREZ (R )</t>
  </si>
  <si>
    <t>JAIME MARTINEZ ESCOBAR (C ) IMELDA PALACIOS (A.M)</t>
  </si>
  <si>
    <t>iloharry@une.net.co</t>
  </si>
  <si>
    <t>SEC JARDIN INFANTIL NO 1</t>
  </si>
  <si>
    <t>CRA 72A NO. 20 A 62</t>
  </si>
  <si>
    <t>343 -51- 81</t>
  </si>
  <si>
    <t>INST EDUC YERMO Y PARRES</t>
  </si>
  <si>
    <t>CLL 28 NO. 77-84</t>
  </si>
  <si>
    <t>GUILLERMO LÓPEZ RAMÍREZ ( R) JORGE WILLIAM VALENCIA ( C)</t>
  </si>
  <si>
    <t>YOLANDA MARTINEZ PEREZ (D) JAIR SALDARRIAGA (D)</t>
  </si>
  <si>
    <t>ie.yermoyparres@medellin.gov.co</t>
  </si>
  <si>
    <t>INST EDUC ROSALIA SUAREZ</t>
  </si>
  <si>
    <t>CRA. 77 NO. 30 A 53</t>
  </si>
  <si>
    <t>2387380 -</t>
  </si>
  <si>
    <t>RAUL ALBERTO ARIAS DUQUE(R )</t>
  </si>
  <si>
    <t>FLOR ALBA ROBAYO OCHOA ©</t>
  </si>
  <si>
    <t>coordinacionelcorazon@gmail.com</t>
  </si>
  <si>
    <t>INST EDUC FATIMA NUTIBARA</t>
  </si>
  <si>
    <t>FATIMA</t>
  </si>
  <si>
    <t>CRA 65 A NO. 32B-120</t>
  </si>
  <si>
    <t>2655463 2650823
3513394 ©</t>
  </si>
  <si>
    <t>AURELIANA LONDOÑO BUSTAMANTE ( C)</t>
  </si>
  <si>
    <t>GENNY MARIA PEREAÑEZ (D)</t>
  </si>
  <si>
    <t>ie.fatimanutibara@medellin.gov.co
aurelondo@yahoo.es</t>
  </si>
  <si>
    <t>INST EDUC JUAN MARIA CESPEDES</t>
  </si>
  <si>
    <t>B. MIRAVALLE</t>
  </si>
  <si>
    <t>CALLE 32B NO. 76 A 48</t>
  </si>
  <si>
    <t>2569086- 3414468(R)</t>
  </si>
  <si>
    <t>LUBIN HERNANDEZ OTALVARO ( R)</t>
  </si>
  <si>
    <t>CARMEN ESTRELLA MURILLO</t>
  </si>
  <si>
    <t>cemurillo.cespedes@gmail.com</t>
  </si>
  <si>
    <t>INST EDUC DEBORA ARANGO PEREZ</t>
  </si>
  <si>
    <t>CLLE 18 Nº 105 - 20</t>
  </si>
  <si>
    <t>3411386 3433654 ( R) - 3163673824 ©</t>
  </si>
  <si>
    <t>CARLOS E. ROJAS ( R)</t>
  </si>
  <si>
    <t>JORGE ALONSO TUBERQUIA</t>
  </si>
  <si>
    <t>iedeboraarango@gamil.com - coordinadordeboriano@gmail.com</t>
  </si>
  <si>
    <t>INST EDUC HORACIO MUÑOZ SUESCUN</t>
  </si>
  <si>
    <t>BELEN LAS MERCEDEZ</t>
  </si>
  <si>
    <t>CLL.32 NO. 86 35</t>
  </si>
  <si>
    <t>2381265- 3182385196 ©</t>
  </si>
  <si>
    <t>GILDARDO RESTREPO ®</t>
  </si>
  <si>
    <t>MARILUZ MORENO</t>
  </si>
  <si>
    <t>homusu@hotmail.com - morenochmary@hotmail.com</t>
  </si>
  <si>
    <t>SEC ESC SAN PABLO</t>
  </si>
  <si>
    <t>V AGUAS FRIAS</t>
  </si>
  <si>
    <t>CRA. 102 NO 31B 29</t>
  </si>
  <si>
    <t>2564182- 3052943218 ©</t>
  </si>
  <si>
    <t>JORGE RESTREPO (C )</t>
  </si>
  <si>
    <t>ROSMIRA CASTAÑO</t>
  </si>
  <si>
    <t>rosmiracastaño@gmail.com- jorgerpo@une.net.co</t>
  </si>
  <si>
    <t>INST EDUC MARINA ORTH</t>
  </si>
  <si>
    <t>C. ALTAVISTA</t>
  </si>
  <si>
    <t>3412359 - 3002071189 (R)</t>
  </si>
  <si>
    <t>ORLANDO MOSQUERA GALVIS (R)</t>
  </si>
  <si>
    <t>LINA MARIA JIMENEZ</t>
  </si>
  <si>
    <t>ie.marinaorth@medellin.gov.co -linajimenez30@hotmail.com</t>
  </si>
  <si>
    <t>SEC ESC AGUAS FRÍAS</t>
  </si>
  <si>
    <t>V. SANTA CLARA</t>
  </si>
  <si>
    <t>3454862- 3155823233 ©</t>
  </si>
  <si>
    <t>MARIA MELFI ARROYAVE</t>
  </si>
  <si>
    <t>ie.marinaorth@medellin.gov.co melfi02@gmail.com</t>
  </si>
  <si>
    <t>CENT EDUC EL MANZANILLO</t>
  </si>
  <si>
    <t>V.MANZANILLO</t>
  </si>
  <si>
    <t>C.ALTAVISTA</t>
  </si>
  <si>
    <t>3410940 - 3013709186 (C)</t>
  </si>
  <si>
    <t>MARTA LUCIA ARANGO (D )</t>
  </si>
  <si>
    <t>LILIANA MARIA RAQUEJO</t>
  </si>
  <si>
    <t>centroeducativomanzanillo@yahoo.es; liliraquejo@hotmail.com</t>
  </si>
  <si>
    <t>INST EDUC ALTAVISTA</t>
  </si>
  <si>
    <t>SEC.LA PERLA</t>
  </si>
  <si>
    <t>2568552 - 3146741357 Rector</t>
  </si>
  <si>
    <t>ZOCIMO RAMOS RIVAS ®</t>
  </si>
  <si>
    <t>CLAUDIA ELENA TAPIAS GOMEZ</t>
  </si>
  <si>
    <t>cltapias@iealtavistamedellin.edu.co xocimor61@yahoo.es</t>
  </si>
  <si>
    <t>CENT EDUC CARLOS MESA SANCHEZ</t>
  </si>
  <si>
    <t>VEREDA BUGA</t>
  </si>
  <si>
    <t>3433980- 3004997888 ©</t>
  </si>
  <si>
    <t>MARGARITA GOMEZ SALAZAR</t>
  </si>
  <si>
    <t>marguis713@yahoo.es marthaluarpa@gmail.com</t>
  </si>
  <si>
    <t>CENT EDUC YARUMALITO</t>
  </si>
  <si>
    <t>V.YARUMALITO</t>
  </si>
  <si>
    <t>CTO.SAN ANTONIO DE PRADO</t>
  </si>
  <si>
    <t>HENRY DÍAZ (DIR)</t>
  </si>
  <si>
    <t>PAULA ARBOLEDA (D)</t>
  </si>
  <si>
    <t>cesalado7@gmail.com</t>
  </si>
  <si>
    <t>CENT EDUC MONTAÑITA</t>
  </si>
  <si>
    <t>QUEB. LARGA</t>
  </si>
  <si>
    <t>PAULA ANDREA MUNERA QUINTERO</t>
  </si>
  <si>
    <t>pmunera612@hotmail.com</t>
  </si>
  <si>
    <t>SEC ESC CARLOS BETANCUR BETANCUR</t>
  </si>
  <si>
    <t>C. S. ANTONIO</t>
  </si>
  <si>
    <t>CRA 77 41 SUR 02</t>
  </si>
  <si>
    <t>JUAN CARLOS ALMIROLA (C )</t>
  </si>
  <si>
    <t>ADRIANA MEJÍA (D )</t>
  </si>
  <si>
    <t>juago98@hotmail.com</t>
  </si>
  <si>
    <t>CENT EDUC QUEBRADA LARGA</t>
  </si>
  <si>
    <t>V.POTRERITO</t>
  </si>
  <si>
    <t>CGTO. SAN ANTONIO</t>
  </si>
  <si>
    <t>NIDIA DÍAZ (D)</t>
  </si>
  <si>
    <t>INST EDUC ANGELA RESTREPO MORENO</t>
  </si>
  <si>
    <t>V.PRADERA</t>
  </si>
  <si>
    <t>CRA 55 48 C SUR 90</t>
  </si>
  <si>
    <t>3740170 (R )</t>
  </si>
  <si>
    <t>MARTHA ELENA BETANCUR (R )</t>
  </si>
  <si>
    <t>YAMILED GAVIRIA ( C) ROCIO ARISTIZABAL HERRERA (P.M.)</t>
  </si>
  <si>
    <t>ieangelarestrepo@gmail.com</t>
  </si>
  <si>
    <t>SEC ESC LUIS GUILLERMO ECHEVERRY ABAD</t>
  </si>
  <si>
    <t>C. S ANTONIO</t>
  </si>
  <si>
    <t>CRA 54 57 SUR 21</t>
  </si>
  <si>
    <t>3384376 - 3732489</t>
  </si>
  <si>
    <t>GLORIA YANETH GOMEZ BENJUMEA (C )</t>
  </si>
  <si>
    <t>gloriagomezben@hotmail.com</t>
  </si>
  <si>
    <t>INST EDUC MONSEÑOR VICTOR WIEDEMANN</t>
  </si>
  <si>
    <t>PRADITO</t>
  </si>
  <si>
    <t>DIAG. 60 C 41 A SUR 30</t>
  </si>
  <si>
    <t>ALBA NERY ECHEVERRY ( R ) JULIÁN GÓMEZ (C)</t>
  </si>
  <si>
    <t>HERNANDO MEJÍA TORO ( D )</t>
  </si>
  <si>
    <t>ie.victorwiedemann@medellin.gov.co;
julian.gomez@udea.edu.co</t>
  </si>
  <si>
    <t>INST EDUC SAN JOSE OBRERO</t>
  </si>
  <si>
    <t>FLORIDA</t>
  </si>
  <si>
    <t>CRA 85 48 A SUR 51</t>
  </si>
  <si>
    <t>2865867(58) - 2860164</t>
  </si>
  <si>
    <t>JULIO CESAR VELASQUEZ BOTERO (R )</t>
  </si>
  <si>
    <t>ANA MARÍA GALLEGO (D)</t>
  </si>
  <si>
    <t>ie.sanjoseobrero@medellin.gov.co</t>
  </si>
  <si>
    <t>SEC ESC SAN JOSE</t>
  </si>
  <si>
    <t>V.SAN JOSE</t>
  </si>
  <si>
    <t>CALLE 64 SUR 67 A 18</t>
  </si>
  <si>
    <t>279 43 21 2797888</t>
  </si>
  <si>
    <t>JULIO CESAR VELASQUEZ (R )
MARTÍN A. GONZÁLEZ ( C )</t>
  </si>
  <si>
    <t>ALBA ROCIO VELASQUEZ (D)</t>
  </si>
  <si>
    <t>INST EDUC EL LIMONAR</t>
  </si>
  <si>
    <t>LIMONAR NO. 1</t>
  </si>
  <si>
    <t>CALLE 57 SUR 65 63</t>
  </si>
  <si>
    <t>JAIME SANCHEZ ( R)
DIANA MARÍA RAMÍREZ ( C )</t>
  </si>
  <si>
    <t>MERCEDEZ TABORDA RODAS (A.M)</t>
  </si>
  <si>
    <t>ie.limonar@medellin.gov.co; 
rectorialimonar@gmail.com</t>
  </si>
  <si>
    <t>SEC ESC VENTANITAS</t>
  </si>
  <si>
    <t>LIMONAR NO 2</t>
  </si>
  <si>
    <t>CRA 63 52 SUR 46</t>
  </si>
  <si>
    <t>286 77 59</t>
  </si>
  <si>
    <t>EDGAR ROMÁN ( R ) LIA CORDOBA ( C)</t>
  </si>
  <si>
    <t>LIA CORDOBA (C )</t>
  </si>
  <si>
    <t>lia.cordoba@gmail.com</t>
  </si>
  <si>
    <t>CENT EDUC EL SALADO</t>
  </si>
  <si>
    <t>V. EL SALADO</t>
  </si>
  <si>
    <t>MARÍA VICTORIA LOAIZA ( D )</t>
  </si>
  <si>
    <t>ce.salado@medellin.gov.co</t>
  </si>
  <si>
    <t>CENT EDUC POTRERITO</t>
  </si>
  <si>
    <t>V. MONTAÑITA</t>
  </si>
  <si>
    <t>286 01 68</t>
  </si>
  <si>
    <t>MARIA NAZARETH SERNA ( D)</t>
  </si>
  <si>
    <t>INST EDUC PRADITO</t>
  </si>
  <si>
    <t>CALLE 38 A SUR 66 A 137</t>
  </si>
  <si>
    <t>RUBIELA MEJIA SOTO (R )</t>
  </si>
  <si>
    <t>CRISTIAN BETANCUR ( C)</t>
  </si>
  <si>
    <t>praditosede2013@hotmail.com</t>
  </si>
  <si>
    <t>INST EDUC MANUEL J. BETANCUR - COMEDOR 1</t>
  </si>
  <si>
    <t>INST EDUC MANUEL J. BETANCUR</t>
  </si>
  <si>
    <t>CRA 81 43 SUR 38</t>
  </si>
  <si>
    <t>2861980 - 2860078</t>
  </si>
  <si>
    <t>RAFAEL FRANCO VALENCIA (R )</t>
  </si>
  <si>
    <t>GLORIA INES VALENCIA ( D) LUZMILA QUINTERO LOPEZ (P.M)</t>
  </si>
  <si>
    <t>coordinacionacademicamjb@hotmail.es</t>
  </si>
  <si>
    <t>SEC ESC GUSTAVO RODAS ISAZA</t>
  </si>
  <si>
    <t>CALLE 48 SUR 66 B 22</t>
  </si>
  <si>
    <t>286 23 42</t>
  </si>
  <si>
    <t>MANUEL VACCA ( C)
BEATRIZ ZAPATA VASQUEZ (D )</t>
  </si>
  <si>
    <t>edugrodas@gmail.com
nacho.vaca45@hotmail.com
labiata3@hotmail.com</t>
  </si>
  <si>
    <t>CENT EDUC EL ASTILLERO</t>
  </si>
  <si>
    <t>V. ASTILLERO</t>
  </si>
  <si>
    <t>ISABEL CRISTINA CASTRILLÓN SANCHEZ</t>
  </si>
  <si>
    <t>ie.sacris@hotmail.com</t>
  </si>
  <si>
    <t>COL COOP SAN ANTONIO DE PRADO (AC) - COMEDOR 2</t>
  </si>
  <si>
    <t>COL COOP SAN ANTONIO DE PRADO (AC)</t>
  </si>
  <si>
    <t>CALLE 110 43A 51</t>
  </si>
  <si>
    <t>4444262 ext 506- 2584244- 3164132076</t>
  </si>
  <si>
    <t>CESAR AUGUSTO GOMEZ</t>
  </si>
  <si>
    <t>LAURA CASTRILLON</t>
  </si>
  <si>
    <t>gabrielacardona@coomulsap.com, escuelasannicolas@gmail.com</t>
  </si>
  <si>
    <t>SEC ESC SANTO DOMINGO SAVIO</t>
  </si>
  <si>
    <t>CARRERA 28 107 - 473</t>
  </si>
  <si>
    <t>UBER CALLE
GILBERTO OSPINA</t>
  </si>
  <si>
    <t>INST EDUC SAN PABLO</t>
  </si>
  <si>
    <t>CALLE 98B 37 38</t>
  </si>
  <si>
    <t>5213098 ext 107 - 5213099</t>
  </si>
  <si>
    <t>OMAR CUESTA PALACIO</t>
  </si>
  <si>
    <t>MARIA NOHELIA GARCIA</t>
  </si>
  <si>
    <t>iesanpablo811@gmail.com</t>
  </si>
  <si>
    <t>SEC ESC MARCO FIDEL SUAREZ</t>
  </si>
  <si>
    <t>CALLE 99B 37 18</t>
  </si>
  <si>
    <t>JORGE LUIS SALDA</t>
  </si>
  <si>
    <t>DIEGO LOPEZ</t>
  </si>
  <si>
    <t>iemarcofidelsuarez1@medellin.gov.co/costi44@hotmail.com; dalc98@hotmail.com</t>
  </si>
  <si>
    <t>SEC ESC AGRIPINA MONTES DEL VALLE</t>
  </si>
  <si>
    <t>CALLE 95A 42B 44</t>
  </si>
  <si>
    <t>CAROLINA SERNA HENAO</t>
  </si>
  <si>
    <t>ie.agripinamontesdelvalle@medellin.gov.co/orieltb@hotmail.com; ieguadalupe@gmail.com</t>
  </si>
  <si>
    <t>ESC POPULAR EUCARISTICA JULIO C. HERNANDEZ</t>
  </si>
  <si>
    <t>CALLE 108 43 16</t>
  </si>
  <si>
    <t>NORA GONZALEZ GIRALDO</t>
  </si>
  <si>
    <t>NORA GONZALEZ</t>
  </si>
  <si>
    <t>e.p.e.julioc.hernandez@hotmail.com</t>
  </si>
  <si>
    <t>INSTITUCIÓN EDUCATIVA PEQUEÑA MARIA</t>
  </si>
  <si>
    <t>CALLE 97A 24F 66</t>
  </si>
  <si>
    <t>5290103- 5281994- 5292233</t>
  </si>
  <si>
    <t>HECTOR SOTO VASQUEZ</t>
  </si>
  <si>
    <t>MABEL COLORADO</t>
  </si>
  <si>
    <t>zabala38@msn.com; mabelcolorado73@gmail.com</t>
  </si>
  <si>
    <t>INST EDUC EL PLAYON</t>
  </si>
  <si>
    <t>EL PLAYON DE LOS COMUNEROS</t>
  </si>
  <si>
    <t>CALLE 125 51D 12</t>
  </si>
  <si>
    <t>4620705- 3122501439(rector)</t>
  </si>
  <si>
    <t>MIGUEL VALOIS ASPRILLA</t>
  </si>
  <si>
    <t>VENSY ROCIO PALACIO</t>
  </si>
  <si>
    <t>ie.elplayon@medellin.gov.co</t>
  </si>
  <si>
    <t xml:space="preserve"> Comparten comedor - Los 240 AM/PM y 130 VL de la SE Asia Ignaciana se deben entregar en la I.E Asia Ignaciana.
ITEM 3: Comparten comedor - Los 60 RI de SP el Playon y los 130 de la SE Asia Ignaciana se deben entregar en la I.E Asia Ignaciana</t>
  </si>
  <si>
    <t>SEC PREESC EL PLAYON</t>
  </si>
  <si>
    <t>INST EDUC VILLA DEL SOCORRO</t>
  </si>
  <si>
    <t>CALLE 104C 48 50</t>
  </si>
  <si>
    <t>DIANA PATRICIA CORDOBA-AM,</t>
  </si>
  <si>
    <t>ie.villadelsocorro@medellin.gov.co; diamajo2@hotmail.com;</t>
  </si>
  <si>
    <t>SEC ESC ARZOBISPO GARCIA</t>
  </si>
  <si>
    <t>CARRERA 49 98 48</t>
  </si>
  <si>
    <t>GERMAN RINCON</t>
  </si>
  <si>
    <t>ie.arzobispogarcia@medellin.gov.co; 
alicelenis@hotmail.com</t>
  </si>
  <si>
    <t>INST EDUC LA ASUNCION</t>
  </si>
  <si>
    <t>CARRERA 47 99 77</t>
  </si>
  <si>
    <t>HILDUARA VELASQUEZ ECHAVARRIA</t>
  </si>
  <si>
    <t>BEATRIZ HERNANDEZ</t>
  </si>
  <si>
    <t>iedu.laasuncion@gmail.com; ie.laasuncion2014@gmail.com</t>
  </si>
  <si>
    <t>INST EDUC JOSE MARIA VELAZ</t>
  </si>
  <si>
    <t>CALLE 121 48 67</t>
  </si>
  <si>
    <t>4644146- 4640912-4627507</t>
  </si>
  <si>
    <t>ELVER ARIAS BARRAGAN</t>
  </si>
  <si>
    <t>ANA MARCELA ARANGO-AM; JUAN G. TAPIAS-PM</t>
  </si>
  <si>
    <t>josemariavelaz915@gmail.com; juantc81@hotmail.com</t>
  </si>
  <si>
    <t>SEC ESC JUAN BAUTISTA MONTINI</t>
  </si>
  <si>
    <t>PABLO VI</t>
  </si>
  <si>
    <t>CARRERA 50A 114 10</t>
  </si>
  <si>
    <t>ANTONY JURADO</t>
  </si>
  <si>
    <t>mgalvarezt@gmail.com; coordinacionsedemontini@iefincalamesa.edu.co</t>
  </si>
  <si>
    <t>INST EDUC BELLO ORIENTE</t>
  </si>
  <si>
    <t>CARRERA 23B 84B 27</t>
  </si>
  <si>
    <t>WEIMAR ALBERTO SANCHEZ</t>
  </si>
  <si>
    <t>ELENA ESCUDERO-AM; GLORIA SALAZAR-PM</t>
  </si>
  <si>
    <t>ie.reinodebelgica@gmail.com</t>
  </si>
  <si>
    <t>CENT EDUC NUEVO AMANECER</t>
  </si>
  <si>
    <t>CARRERA 22D 87 48</t>
  </si>
  <si>
    <t>5286366 5290860</t>
  </si>
  <si>
    <t>GUSTAVO ADOLFO BELTRAN</t>
  </si>
  <si>
    <t>LUISA F. PAMPLONA-PM; DIANA ECHAVARRIA-AM</t>
  </si>
  <si>
    <t>calmecac2712@yahoo.es,nuevoamanecer1711@hotamil.com; Dimarce2125@hotmail.com</t>
  </si>
  <si>
    <t>CALLE 71 33 18</t>
  </si>
  <si>
    <t>CESAR CORRALES</t>
  </si>
  <si>
    <t>ALBERTO GALLEGO</t>
  </si>
  <si>
    <t>ie.sanjose@medellin.gov.co; manuelabeltran.ie@gmail.com</t>
  </si>
  <si>
    <t>INST EDUC PEDRO LUIS VILLA</t>
  </si>
  <si>
    <t>MANRIQUE CENTRAL Nº 2</t>
  </si>
  <si>
    <t>CARRERA 43 66C 40</t>
  </si>
  <si>
    <t>2116350-2337963</t>
  </si>
  <si>
    <t>GUSTAVO PATIÑO</t>
  </si>
  <si>
    <t>JUAN DE JESUS HIGUITA - PEDRO ANTONIO GOMEZ CESAR AUGUSTO OSORNO</t>
  </si>
  <si>
    <t>ie.pedroluisvilla@medellin.gov.co; gustavonata@gmail.com; cosorno@gmail.com; juanhigui@latinmail.com; pagomes02@yahoo.com; plv2011@hotmail.com</t>
  </si>
  <si>
    <t>CALLE 70A 43 74</t>
  </si>
  <si>
    <t>ANDREA HERRERA</t>
  </si>
  <si>
    <t>bendary.molina@hotmail.com; dollydelsocorro@yahoo.com.ar; horoscopo29@gmail.com; tlvcoordinacion@gmail.com</t>
  </si>
  <si>
    <t>SEC ESC BALDOMERO SANIN CANO</t>
  </si>
  <si>
    <t>CARRERA 37 75A 02</t>
  </si>
  <si>
    <t>2338492- 3206965291(COORDINADOR)</t>
  </si>
  <si>
    <t>NESTOR RENE OTALORA GARZON- GILDARDO LÒPEZ( COORDINADOR)</t>
  </si>
  <si>
    <t>LUZ MARINA CARDONA</t>
  </si>
  <si>
    <t>jaimehumbertofc@yahoo.es; daluqui@yahoo.es</t>
  </si>
  <si>
    <t>SEC ESC JOSE MANUEL MORA VASQUEZ</t>
  </si>
  <si>
    <t>CARRERA 42A 75 09</t>
  </si>
  <si>
    <t>2334402- 2331414 -3116381009(COORDINADORA)-3113325600 (DOCENTE)</t>
  </si>
  <si>
    <t>NESTOR RENE OTALORA GARZON- CLARA EUGENIA MOORE ( COORDINADORA)</t>
  </si>
  <si>
    <t>LIZ MADELEYNE RODRIGUEZ- GILDARDO LOPEZ</t>
  </si>
  <si>
    <t>joserobertovasquez@hotmail.com,ceumoore18@hotmail.com, dosica_29@hotmail.com, Imaderodriguez@hotmail.com; gildardolopez30@hotmail.com</t>
  </si>
  <si>
    <t>INST EDUC ALVARO MARIN VELASCO</t>
  </si>
  <si>
    <t>CARRERA 42A 76 28</t>
  </si>
  <si>
    <t>ALEJANDRO JARAMILLO YEPES (RECTOR)- VIVIANA OSSA ( coordinadora)</t>
  </si>
  <si>
    <t>RENATA VELEZ SALDARRIAGA</t>
  </si>
  <si>
    <t>ie.alvaromarin@medellin.gov.co; 
bibianaossa@hotmail.com; 
amarin2007@gmail.com</t>
  </si>
  <si>
    <t>SEC ESC VICTOR GOMEZ RESTREPO</t>
  </si>
  <si>
    <t>CAMPO VALDES Nº 2</t>
  </si>
  <si>
    <t>CALLE 79 44 57</t>
  </si>
  <si>
    <t>CARLOTA ACEVEDO</t>
  </si>
  <si>
    <t>ie.nuestraseñoradelasnieves@medellin.gov.co; ceacevedom@hotmail.com</t>
  </si>
  <si>
    <t>Comparten comedor -Los 100 RI de SE nuestra señora de las Nieves se debe entregar en SE Victor Gomez</t>
  </si>
  <si>
    <t>SEC ESC NUESTRA SEÑORA DE LAS NIEVES</t>
  </si>
  <si>
    <t>ceacevedom@hotmail.com</t>
  </si>
  <si>
    <t>INST EDUC  MONTECARLO GUILLERMO GAVIRIA CORREA - COMEDOR 2</t>
  </si>
  <si>
    <t>INST EDUC MONTECARLO GUILLERMO GAVIRIA CORREA - BLOQUE BARBADOS</t>
  </si>
  <si>
    <t>2639104-5160486</t>
  </si>
  <si>
    <t>ie.montecarlo-guillermogaviria@medellin.gov.co</t>
  </si>
  <si>
    <t>INST EDUC RODRIGO LARA BONILLA - COMEDOR 2</t>
  </si>
  <si>
    <t>INST EDUC RODRIGO LARA BONILLA - SEC ESC SUSANITA DIAZ</t>
  </si>
  <si>
    <t>CARRERA 41B 66E 50</t>
  </si>
  <si>
    <t>211 82 84</t>
  </si>
  <si>
    <t>ERIKA FRANCO CANO</t>
  </si>
  <si>
    <t>ie.rodrigolarabonill@medellin.gov.co; erika2486@hotmail.com; comitecalidad@hotmail.com</t>
  </si>
  <si>
    <t>CENT PEDAG LA MAGIA DE APRENDER</t>
  </si>
  <si>
    <t>CALLE 69 33 12</t>
  </si>
  <si>
    <t>2911974-2547607</t>
  </si>
  <si>
    <t>MARIA TERESA PELAEZ</t>
  </si>
  <si>
    <t>JENNIFER GÒMEZ OLIVEROS</t>
  </si>
  <si>
    <t>gestiongeneralccf@gmail.com</t>
  </si>
  <si>
    <t>INST EDUC JOSE MARIA BRAVO MARQUEZ</t>
  </si>
  <si>
    <t>CALLE 70 47A 04</t>
  </si>
  <si>
    <t>2114410 2635951 2331575</t>
  </si>
  <si>
    <t>BLANCA DORA GALEANO UPEGUI</t>
  </si>
  <si>
    <t>SANTIAGO CORREA</t>
  </si>
  <si>
    <t>ie.josemariabravomar@medellin.gov.co; santiagocorreacorrea@hotmail.com</t>
  </si>
  <si>
    <t>SEC ESC PORFIRIO BARBA JACOB</t>
  </si>
  <si>
    <t>CARRERA 47 74 32</t>
  </si>
  <si>
    <t>2118236 2636085</t>
  </si>
  <si>
    <t>HECTOR J. BUILES</t>
  </si>
  <si>
    <t>seporfirio@gmail.com; javierbuiles.bravomar@gmail.com</t>
  </si>
  <si>
    <t>INST EDUC SAN JUAN BOSCO</t>
  </si>
  <si>
    <t>CALLE 82 50C 10</t>
  </si>
  <si>
    <t>2120355 2122419</t>
  </si>
  <si>
    <t>DIEGO GARCIA</t>
  </si>
  <si>
    <t>HERMANA FILOMENA ZULUAGA
FRANCISCO PALACIOS</t>
  </si>
  <si>
    <t>filomenazuluaga75@yahoo.es diegorec2009@hotmail.com franciscopalcuar@hotmail.com
franciscopalcuar@hotmail.com</t>
  </si>
  <si>
    <t>INST EDUC ALVERNIA</t>
  </si>
  <si>
    <t>BRASILIA</t>
  </si>
  <si>
    <t>CALLE 82C 50C 120</t>
  </si>
  <si>
    <t>2333540-2334296</t>
  </si>
  <si>
    <t>ALEXANDRA LATORRE AHUMADA</t>
  </si>
  <si>
    <t>DORLAN ALEXANDER MUÑOZ</t>
  </si>
  <si>
    <t>ie.alvernia@medellin.gov.co; dorlantax@gmail.com; ie.alvernia@medellin.gov.co; secretariaalvernia@gmail.com</t>
  </si>
  <si>
    <t>INST EDUC EL BOSQUE</t>
  </si>
  <si>
    <t>MORAVIA</t>
  </si>
  <si>
    <t>CARRERA 58 85B 081</t>
  </si>
  <si>
    <t>5160365-8853156</t>
  </si>
  <si>
    <t>CARLOS HORACIO BETANCUR ALVAREZ</t>
  </si>
  <si>
    <t>JUAN C. CASTAÑO</t>
  </si>
  <si>
    <t>ieelbosque@gmail.com; carloshoraciob@yahoo.es</t>
  </si>
  <si>
    <t>SEC ESC TOMAS CARRASQUILLA NO 1</t>
  </si>
  <si>
    <t>5717731 EXT 124</t>
  </si>
  <si>
    <t>blancacisazaj@gmail.com</t>
  </si>
  <si>
    <t>SEC ESC SEGUROS BOLIVAR</t>
  </si>
  <si>
    <t>BERMEJAL - LOS ALAMOS</t>
  </si>
  <si>
    <t>CARRERA 52 86 21</t>
  </si>
  <si>
    <t>MARIA GALVIS</t>
  </si>
  <si>
    <t>mariagalvis150@hotmail.com</t>
  </si>
  <si>
    <t>INST EDUC LORENZA VILLEGAS DE SANTOS</t>
  </si>
  <si>
    <t>CARRERA 51 87 40</t>
  </si>
  <si>
    <t>2117446 -2634408- 2114779</t>
  </si>
  <si>
    <t>CLAUDIA QUINTERO-AM; DORALBA ARISTIZABAL-PM</t>
  </si>
  <si>
    <t>ie.lorenzavillegas@medellin.gov.co ; juang.villa@medellin.gov.co; familiaquinterolondoo@yahoo.es; joaros@hotmail.com</t>
  </si>
  <si>
    <t>SEC ESC ANA FRANK</t>
  </si>
  <si>
    <t>CARRERA 50AA 88 13</t>
  </si>
  <si>
    <t>LUIS ALFONSO QUINTERO CORREA</t>
  </si>
  <si>
    <t>luisqco@yahoo.com; info.iecristobaltoro@gmail.com</t>
  </si>
  <si>
    <t>SEC ESC EPIFANIO MEJIA</t>
  </si>
  <si>
    <t>CALLE 90 50A 09</t>
  </si>
  <si>
    <t>ALBA FORONDA</t>
  </si>
  <si>
    <t>albam-foronda@hotmail.com</t>
  </si>
  <si>
    <t>INST EDUC FE Y ALEGRIA LUIS AMIGO</t>
  </si>
  <si>
    <t>CARRERA 58 84 40</t>
  </si>
  <si>
    <t>MARGARITA MARIA SANCHEZ</t>
  </si>
  <si>
    <t>SUSANA ARROYAVE</t>
  </si>
  <si>
    <t>ie.feyalegrialuisami@medellin.gov.co; susan3024@hotmail.com; margarita.sanchez@medellin.gov.co</t>
  </si>
  <si>
    <t>COL GENTE UNIDA JOVENES POR LA PAZ - MORAVIA</t>
  </si>
  <si>
    <t>CARRERA 58 85B 25</t>
  </si>
  <si>
    <t>6046777-4447405</t>
  </si>
  <si>
    <t>DORALBA BENITEZ ARIAS</t>
  </si>
  <si>
    <t>CLAUDIA TAMAYO</t>
  </si>
  <si>
    <t>moravia@genteunida.org.co; academicomoravia@genteunida.org.co; administracionmoravia@genteunida.org.co</t>
  </si>
  <si>
    <t>COL NUESTRA SENORA DE LOURDES</t>
  </si>
  <si>
    <t>CALLE 82 50BB 30</t>
  </si>
  <si>
    <t>HNA LIBIA MARGARITA CADAVID</t>
  </si>
  <si>
    <t>DIANA P. FLOREZ</t>
  </si>
  <si>
    <t>paty0210@yahoo.es; margy7027@yahoo.es</t>
  </si>
  <si>
    <t>SEC ESC LA UNION</t>
  </si>
  <si>
    <t>CARRERA 67 93 75</t>
  </si>
  <si>
    <t>RUBÉN DARÍO BUILES</t>
  </si>
  <si>
    <t>YURANI RIOS.</t>
  </si>
  <si>
    <t>rubencho442@hotmail.com</t>
  </si>
  <si>
    <t>INST EDUC COLEGIO LOYOLA PARA LA CIENCIA Y LA INNOVACIÓN</t>
  </si>
  <si>
    <t>CARRERA 64AA 113A 04</t>
  </si>
  <si>
    <t>CESAR CEBALLOS</t>
  </si>
  <si>
    <t>ROSALBA QUINTERO</t>
  </si>
  <si>
    <t>rectorialoyola@gmail.com</t>
  </si>
  <si>
    <t>SEC ESC CARDENAL CRISANTO LUQUE</t>
  </si>
  <si>
    <t>CARRERA 71C 89A 71</t>
  </si>
  <si>
    <t>2574197  2573944  2579575</t>
  </si>
  <si>
    <t>INST EDUC FELIX DE BEDOUT MORENO</t>
  </si>
  <si>
    <t>CALLE 108 70 39</t>
  </si>
  <si>
    <t>4631980  4633090</t>
  </si>
  <si>
    <t>RENE DE JESUS ANDRADE (COORD9 PM. CECILIA VILLEGAS.</t>
  </si>
  <si>
    <t>JAZMIN CALLEJAS ( D) PM  -  MAGNOLIA RESTREPO AM</t>
  </si>
  <si>
    <t>malu.ospina@gmail.com - febemo@gmail.com</t>
  </si>
  <si>
    <t>INST EDUC SEBASTIAN DE BELALCAZAR</t>
  </si>
  <si>
    <t>BELALCAZAR</t>
  </si>
  <si>
    <t>CALLE 103EE 63D 185</t>
  </si>
  <si>
    <t>2672090 - 2674506</t>
  </si>
  <si>
    <t>JOSÉ CICERÓN PEREA (RECTOR)</t>
  </si>
  <si>
    <t>NORA GALLEGO PM - DOLLY SERNA AM</t>
  </si>
  <si>
    <t>gloriaeugenia06@hotmail.com; joseperea@medellin.gov.co - IE.SEBASTIANDEBELAC@GMAIL.COM</t>
  </si>
  <si>
    <t>INST EDUC PEDRO CLAVER AGUIRRE</t>
  </si>
  <si>
    <t>CARRERA 67 95 118</t>
  </si>
  <si>
    <t>SIMÓN ENRIQUE IBARG"UEN PALACIO 311 711 8195</t>
  </si>
  <si>
    <t>SOR YANET SALAZAR. IBSEN COSSIO P.</t>
  </si>
  <si>
    <t>ibsencossio@gmail.com - pedroclaveraguirre@yahoo.es</t>
  </si>
  <si>
    <t>INST EDUC REPUBLICA DE URUGUAY</t>
  </si>
  <si>
    <t>CALLE 91A 70A 123</t>
  </si>
  <si>
    <t>2574945  4427746</t>
  </si>
  <si>
    <t>OSCAR EMILIO MURILLO (RECTOR)</t>
  </si>
  <si>
    <t>NIDIA MARÍN - ELVA AUXILIO VELEZ</t>
  </si>
  <si>
    <t>iuruguay@hotmail.com</t>
  </si>
  <si>
    <t>INST EDUC JOSE ASUNCION SILVA</t>
  </si>
  <si>
    <t>CALLE 118 64CC 68</t>
  </si>
  <si>
    <t>JAIME SUAREZ ESCOBAR. (RECTOR)</t>
  </si>
  <si>
    <t>LEIDA MONSALVE (COORD)</t>
  </si>
  <si>
    <t>ie.joseasuncionsilva@medellin.gov.co</t>
  </si>
  <si>
    <t>INST EDUC MANUEL JOSE GOMEZ SERNA</t>
  </si>
  <si>
    <t>CARRERA 71 97 101</t>
  </si>
  <si>
    <t>2671962  4715574</t>
  </si>
  <si>
    <t>ALDEMAR TAPIAS</t>
  </si>
  <si>
    <t>HELMER FRANCO</t>
  </si>
  <si>
    <t>manueljosegomez@hotmail.es</t>
  </si>
  <si>
    <t>INST EDUC SOR JUANA INES DE LA CRUZ</t>
  </si>
  <si>
    <t>GIRARDOT</t>
  </si>
  <si>
    <t>CARRERA 67 103EE 1</t>
  </si>
  <si>
    <t>2678688  2675005</t>
  </si>
  <si>
    <t>IVÁN DARIO ESCOBAR GONZALEZ - FRANKLIN GONZALES LLOREDA ( C)</t>
  </si>
  <si>
    <t>iesorjuanadelacruz@medellin.gov.co</t>
  </si>
  <si>
    <t>SEC ESC SOR JUANA</t>
  </si>
  <si>
    <t>CENT EDUC JESUS AMIGO</t>
  </si>
  <si>
    <t>CALLE 99 82 08</t>
  </si>
  <si>
    <t>DORA NELLY CANO DE GIRALDO</t>
  </si>
  <si>
    <t>ANDRES COSSIO ( C)</t>
  </si>
  <si>
    <t>i.ejesusamigo@gmail.com; isabelcristinatorresd@gmail.com</t>
  </si>
  <si>
    <t>SEC ESC CONRADO GONZÁLEZ MEJÍA</t>
  </si>
  <si>
    <t>CALLE 76 N° 80 496 - CALLE 76 80 496</t>
  </si>
  <si>
    <t>421 64 83  320 687 33 86</t>
  </si>
  <si>
    <t>SAYDA RUEDA</t>
  </si>
  <si>
    <t>srueda@iemariscalrobledo.edu.co</t>
  </si>
  <si>
    <t>INST EDUC LUIS LOPEZ DE MESA</t>
  </si>
  <si>
    <t>LOPEZ DE MESA</t>
  </si>
  <si>
    <t>CALLE 84 74 60</t>
  </si>
  <si>
    <t>EDI ESTEA LOPEZ VARGAS</t>
  </si>
  <si>
    <t>NIDIA DUARTE  AM - ANGELA HERNANDEZ PM</t>
  </si>
  <si>
    <t>rectoria.ielopezdemesa@gmail.com - lopezdemesa16241@yahoo.es</t>
  </si>
  <si>
    <t>SEC ESC ALFREDO COCK ARANGO</t>
  </si>
  <si>
    <t>CARRERA 70 79A 43</t>
  </si>
  <si>
    <t>YOLANDA LOZANO (RECTORA) DIANA CECILIA PELAEZ (COORD) 312 7292952</t>
  </si>
  <si>
    <t>MARIA DOLORES DIEZ GARCIA</t>
  </si>
  <si>
    <t>dianaceciliapelaez@yahoo.com; coordinación.ea@gmail.com - secretaria.sedealfredocock@gmail.com</t>
  </si>
  <si>
    <t>INST EDUC MONSEÑOR GERARDO VALENCIA CANO</t>
  </si>
  <si>
    <t>SAN GERMAN</t>
  </si>
  <si>
    <t>CALLE 65 74B 273</t>
  </si>
  <si>
    <t>LUZ ANGELA PUERTA</t>
  </si>
  <si>
    <t>MIRIAM ZULETA AM - VICKY GOMEZ PM</t>
  </si>
  <si>
    <t>colegiogerardo@yahoo.es; rectoria@iemonsegerardovalencia.edu.co</t>
  </si>
  <si>
    <t>INST EDUC RODRIGO ARENAS BENTANCUR</t>
  </si>
  <si>
    <t>CALLE 81 94AA 15</t>
  </si>
  <si>
    <t>AIDA MARIA RAMIREZ DE OSSA</t>
  </si>
  <si>
    <t>MARLENY MONTOYA</t>
  </si>
  <si>
    <t>vidaypazrodrigoarenas@funde.org.co</t>
  </si>
  <si>
    <t>INST EDUC JESUS REY - COMEDOR 1</t>
  </si>
  <si>
    <t>INST EDUC JESUS REY</t>
  </si>
  <si>
    <t>CARRERA 88 NO. 77 A 11</t>
  </si>
  <si>
    <t>NANCY HERRERA LOPEZ ( R)</t>
  </si>
  <si>
    <t>WILSON URREGO  (DOCENTE) - EURLINE VILLADIEGO (COORD)</t>
  </si>
  <si>
    <t>iejesusrey2011@gmail.com - wincour@hotmail.com</t>
  </si>
  <si>
    <t>INST EDUC JESUS REY - COMEDOR 2</t>
  </si>
  <si>
    <t>INST EDUC JESUS REY - BLOQUE 2</t>
  </si>
  <si>
    <t>CALLE 77C. NO. 88 - 21 INTERIOR 101</t>
  </si>
  <si>
    <t>EURLINE VILLEGAS ( C) WILSON URREGO (D )</t>
  </si>
  <si>
    <t>wincour@hotmail.com</t>
  </si>
  <si>
    <t>GIMN GUAYACANES</t>
  </si>
  <si>
    <t>CALLE 77BB 82 69</t>
  </si>
  <si>
    <t>2640547  2341111</t>
  </si>
  <si>
    <t>WILLIAM GIRALDO LOPEZ. COORD.DIANA PAULINA JIMENEZ G.</t>
  </si>
  <si>
    <t>FÁTIMA GUTIERREZ</t>
  </si>
  <si>
    <t>gimnasioguayacanes@hotmail.com; gutierrezfatima@hotmail.com</t>
  </si>
  <si>
    <t>INS TEC INDUSTRIAL PASCUAL BRAVO</t>
  </si>
  <si>
    <t>LA PILARICA</t>
  </si>
  <si>
    <t>TRANSVERSAL 73 73A 226 - CALLE 73 73A 226</t>
  </si>
  <si>
    <t>4223700  EXT 105  CEL 311 2392209</t>
  </si>
  <si>
    <t>JHON ARIEL AGUDELO  ECHEVERRI</t>
  </si>
  <si>
    <t>BERNANDO MEJIA TAMAYO (COORD)</t>
  </si>
  <si>
    <t>iepascualbravo@medellin.gov.co - bernardomejia@tecnicopascualbravo.edu.co</t>
  </si>
  <si>
    <t>COL SAN JUAN EUDES</t>
  </si>
  <si>
    <t>ALTAMIRA</t>
  </si>
  <si>
    <t>CARRERA 78 79B 35</t>
  </si>
  <si>
    <t>2345349 - 2341590</t>
  </si>
  <si>
    <t>DARIO RESTREPO</t>
  </si>
  <si>
    <t>ANDRES FELIPE TRIANA PARRA ( C)</t>
  </si>
  <si>
    <t>sanjuaneudes@gmail.com</t>
  </si>
  <si>
    <t>SEC ESC NIÑO JESUS DE PRAGA</t>
  </si>
  <si>
    <t>CALLE 57C 23 200</t>
  </si>
  <si>
    <t>ANTONIO GUISAO</t>
  </si>
  <si>
    <t>sede.jesus2112@gmail.com</t>
  </si>
  <si>
    <t>SEC ESC EL PINAL</t>
  </si>
  <si>
    <t>CALLE 56EE 25AA 10</t>
  </si>
  <si>
    <t>ADRIANA DIAZ DUQUE  MARTHA HINCAPIE</t>
  </si>
  <si>
    <t>ie.elpinal@medellin.gov.co  adriana.diaz@iepinal.edu.co</t>
  </si>
  <si>
    <t>INST EDUC ALFONSO LOPEZ PUMAREJO</t>
  </si>
  <si>
    <t>CALLE 58 36B 41</t>
  </si>
  <si>
    <t>DORA EDILMA ALVAREZ</t>
  </si>
  <si>
    <t>ie.alfonsolopespumar@medellin.gov.co</t>
  </si>
  <si>
    <t>SEC ESC FRANCISCO ANTONIO URIBE</t>
  </si>
  <si>
    <t>VILLA HERMOSA</t>
  </si>
  <si>
    <t>CALLE 66A 39 75</t>
  </si>
  <si>
    <t>2549659  2545366</t>
  </si>
  <si>
    <t>OLGA RUBIELA MENESES(AM) ANA MARIA CORREA(PM)</t>
  </si>
  <si>
    <t>iejuancposada@gmail.com /anaco24@hotmail.com</t>
  </si>
  <si>
    <t>INST EDUC CARACAS</t>
  </si>
  <si>
    <t>CALLE 54 33 67</t>
  </si>
  <si>
    <t>YADIRA MEJIA</t>
  </si>
  <si>
    <t>ie.caracas@ hotmail.com     yadireme@gmail.com</t>
  </si>
  <si>
    <t>INST EDUC JOSE CELESTINO MUTIS</t>
  </si>
  <si>
    <t>LA MANSION</t>
  </si>
  <si>
    <t>CALLE 65 45 15</t>
  </si>
  <si>
    <t>MARIA LUCELLY GIRALDO</t>
  </si>
  <si>
    <t>CARLOS UPEGUI MEJIA</t>
  </si>
  <si>
    <t>infomutis12@gmail.com</t>
  </si>
  <si>
    <t>INST EDUC SAN FRANCISCO DE ASIS</t>
  </si>
  <si>
    <t>CALLE 56 16 18</t>
  </si>
  <si>
    <t>FLOR DEISY AGUDELO DURANGO .</t>
  </si>
  <si>
    <t>CARLOS MARIO GUTIERREZ E.</t>
  </si>
  <si>
    <t>ie.sanfranciscodeasi@medellin.gov.co</t>
  </si>
  <si>
    <t>INST EDUC JUAN DE DIOS CARVAJAL</t>
  </si>
  <si>
    <t>CALLE 65AA 36 39</t>
  </si>
  <si>
    <t>2840808      3006197039(RECTOR)</t>
  </si>
  <si>
    <t>DORIAN ALEXANDER AGUDELO</t>
  </si>
  <si>
    <t>CRUZ RODRIGUEZ</t>
  </si>
  <si>
    <t>ie.juandedioscarvaja@medellin.gov.co   CRUZRODRIGUEZ@IEJUANDEDIOSCARVAJAL.EDU.CO</t>
  </si>
  <si>
    <t>SEC ESC BATALLON GIRARDOT</t>
  </si>
  <si>
    <t>CALLE 66D 39A 20</t>
  </si>
  <si>
    <t>PAOLA ARENAS</t>
  </si>
  <si>
    <t>ie.juandedioscarvaja@medellin.gov.co paolaarenas@yahoo.com</t>
  </si>
  <si>
    <t>SEC ESC ALTOS DE LA TORRE</t>
  </si>
  <si>
    <t>CALLE 57 B 16 B 139</t>
  </si>
  <si>
    <t>FANNY ARBELAEZ SOTO</t>
  </si>
  <si>
    <t>fannyarbelaez@gmail.com   rectoriaiejva@gmail.com</t>
  </si>
  <si>
    <t>SEC ESC LAS ESTANCIAS</t>
  </si>
  <si>
    <t>CALLE 52 4 38</t>
  </si>
  <si>
    <t>JUAN DÍAZ LONDOÑO</t>
  </si>
  <si>
    <t>JUAN CARLOS VALENCIA</t>
  </si>
  <si>
    <t>INST EDUC MERCEDITAS GOMEZ MARTINEZ</t>
  </si>
  <si>
    <t>CALLE 45 18 03</t>
  </si>
  <si>
    <t>ALONSO ALBERTO GONZALEZ</t>
  </si>
  <si>
    <t>ie.merceditasgomez@medellin.gov.com  nora_429@hotmail.com  nerbehu@yahoo.es</t>
  </si>
  <si>
    <t>SEC ESC JUAN MANUEL GONZALEZ ARBELAEZ</t>
  </si>
  <si>
    <t>GERONA</t>
  </si>
  <si>
    <t>CALLE 40A 32 80</t>
  </si>
  <si>
    <t>MAURICIO LONDOÑO LONDOÑO</t>
  </si>
  <si>
    <t>maurojlondo@gmail.com    nora_429@homail.com ie.merceditasgomez@medellin.gov.com</t>
  </si>
  <si>
    <t>SEC ESC ETERNA PRIMAVERA</t>
  </si>
  <si>
    <t>CALLE 34 19 05</t>
  </si>
  <si>
    <t>INST EDUC ANA DE CASTRILLON</t>
  </si>
  <si>
    <t>CARRERA 38C 39B 86</t>
  </si>
  <si>
    <t>CALOS COSIO                          FELIX GOMEZ</t>
  </si>
  <si>
    <t>ieacastrillón@yahoo.es maceblan@yahoo.com</t>
  </si>
  <si>
    <t>SEC ESC MERCEDES YEPES ISAZA</t>
  </si>
  <si>
    <t>CARRERA 32 32A 57</t>
  </si>
  <si>
    <t>2396564 2390090 2393159</t>
  </si>
  <si>
    <t>GUSTAVO DE J. HOYOS AGUDELO (RECTOR)</t>
  </si>
  <si>
    <t>ie.loreto@gmail.com   juank151@hotmail.com</t>
  </si>
  <si>
    <t>SEC ESC ALEJANDRO ECHAVARRIA</t>
  </si>
  <si>
    <t>ALEJANDRO ECHEVARRIA</t>
  </si>
  <si>
    <t>CARRERA 30 50 07</t>
  </si>
  <si>
    <t>269 45 23 Coord. 269 71 82 Porteria</t>
  </si>
  <si>
    <t>JUAN CARLOS AGUDELO SOSA(RECTOR)</t>
  </si>
  <si>
    <t>JULIO CESAR RODRIGUEZ</t>
  </si>
  <si>
    <t>ie.asamblea@gmail.com;  juanca.jas@homail.com  ceferino25@gmail.com</t>
  </si>
  <si>
    <t>INST EDUC MADRE LAURA</t>
  </si>
  <si>
    <t>CATALUÑA</t>
  </si>
  <si>
    <t>CALLE 45 22A 81</t>
  </si>
  <si>
    <t>HNA: MARIA ISABEL LONDOÑO VASQUEZ(RECTORA)</t>
  </si>
  <si>
    <t>NANCY YANETH MIRANDA</t>
  </si>
  <si>
    <t>iemadrelaura@hotmail.com; nayamire@hotmail.com</t>
  </si>
  <si>
    <t>INST EDUC MADRE MARIA MAZARELLO</t>
  </si>
  <si>
    <t>CALLE 48 33 62</t>
  </si>
  <si>
    <t>2167211*112  *104  2167901</t>
  </si>
  <si>
    <t>HERMANA SOR LUZ GLORIA YEPEZ VALLEJO</t>
  </si>
  <si>
    <t>MARIA TERESA VELASQUEZ</t>
  </si>
  <si>
    <t>ie.madremazzarello@medellin.gov.co     iemmazzarello@yahoo.com</t>
  </si>
  <si>
    <t>COL TOMAS CARRASQUILLA</t>
  </si>
  <si>
    <t>CARRERA 38 TRV2 42 41</t>
  </si>
  <si>
    <t>MARGARITA DEL SOCORRO OSPINA DE RAMIREZ</t>
  </si>
  <si>
    <t>colegiotc@hotmail.co</t>
  </si>
  <si>
    <t>INST EDUC MATER DEI</t>
  </si>
  <si>
    <t>CR 68 N° 42 71</t>
  </si>
  <si>
    <t>NANCY BERNAL</t>
  </si>
  <si>
    <t>MARGARITA MARÍA CEBALLOS CORREA</t>
  </si>
  <si>
    <t>nancy.bernal@medellin.gov.co</t>
  </si>
  <si>
    <t>SEC ESC AGRUPACION COLOMBIA</t>
  </si>
  <si>
    <t>FLORIDA NUEVA</t>
  </si>
  <si>
    <t>CLL 44 A N° 75 68</t>
  </si>
  <si>
    <t>ADRIANA MARÍA MONTAÑO PELAEZ</t>
  </si>
  <si>
    <t>LUZ ESTELLA HERRERA-LUCELY RUIZ</t>
  </si>
  <si>
    <t>ie.lucreciojaramillo@medellin.gov.co</t>
  </si>
  <si>
    <t>INST EDUC RAFAEL URIBE URIBE</t>
  </si>
  <si>
    <t>CR 82 Nº 42C 58</t>
  </si>
  <si>
    <t>2504191- 2508312</t>
  </si>
  <si>
    <t>MARCO AURELIO GAVIRIA</t>
  </si>
  <si>
    <t>GLORIA JIMÉNEZ-MANUEL PALACIO</t>
  </si>
  <si>
    <t>glojila@yahoo.es</t>
  </si>
  <si>
    <t>SEC ESC PEDRO DE CASTRO</t>
  </si>
  <si>
    <t>BARRIO CRISTÓBAL</t>
  </si>
  <si>
    <t>CLL. 40 N° 86 A 101</t>
  </si>
  <si>
    <t>GLORIA PATRICIA GARCIA</t>
  </si>
  <si>
    <t>GLADIS OSPINA</t>
  </si>
  <si>
    <t>epedrodecastro@gmail.com</t>
  </si>
  <si>
    <t>INST EDUC CONCEJO DE MEDELLIN - COMEDOR 2</t>
  </si>
  <si>
    <t>INST EDUC CONCEJO DE MEDELLIN - ANEXO</t>
  </si>
  <si>
    <t>CLL 47 A N° 83 38</t>
  </si>
  <si>
    <t>JADY GISELA CUESTA</t>
  </si>
  <si>
    <t>lettyblandon@gmail.com</t>
  </si>
  <si>
    <t>SEC ESC EL CORAZON</t>
  </si>
  <si>
    <t>CLL 34B N°116 D 25</t>
  </si>
  <si>
    <t>YOLANDA JIMENEZ</t>
  </si>
  <si>
    <t>yolandapjimenez@hotmail.com</t>
  </si>
  <si>
    <t>COL EL HOGAR DE SU NIÑO</t>
  </si>
  <si>
    <t>CLL. 45 N° 99 29</t>
  </si>
  <si>
    <t>LUIS ALBERTO GIRÓN</t>
  </si>
  <si>
    <t>JOSÉ ALDEMAR ACEVEDO AGUDELO</t>
  </si>
  <si>
    <t>montaneros@gmail.com</t>
  </si>
  <si>
    <t>SEC ESC PIO XII</t>
  </si>
  <si>
    <t>CR 98 Nº 44 52</t>
  </si>
  <si>
    <t>MARÍA GRACIELA ARANGO</t>
  </si>
  <si>
    <t>EUGENIA GIRALDO</t>
  </si>
  <si>
    <t>marulyn94@yahoo.es</t>
  </si>
  <si>
    <t>SEC ESC EL SOCORRO</t>
  </si>
  <si>
    <t>CR 102B Nº 47 B 32</t>
  </si>
  <si>
    <t>GUSTAVO MUÑOZ</t>
  </si>
  <si>
    <t>MARÍA ELCY GARCÍA-GLORIA RIVERA</t>
  </si>
  <si>
    <t>deschampsenix@gmail.com</t>
  </si>
  <si>
    <t>INST EDUC CARLOS VIECO ORTIZ</t>
  </si>
  <si>
    <t>CLL 40 N°105 36</t>
  </si>
  <si>
    <t>2532504 ext:103</t>
  </si>
  <si>
    <t>YOLANDA VAHOS CEBALLOS</t>
  </si>
  <si>
    <t>LUIS HERNANDO VARGAS</t>
  </si>
  <si>
    <t>vargasluis28@gmail.com</t>
  </si>
  <si>
    <t>SEC ESC JUAN DE DIOS ARANZAZU</t>
  </si>
  <si>
    <t>CLL 42 Nº 105 42</t>
  </si>
  <si>
    <t>CARLOS CASTAÑEDA</t>
  </si>
  <si>
    <t>CLAUDIA PATRICIA TOBON</t>
  </si>
  <si>
    <t>carlos.castaneda@carlosvieco.edu.co</t>
  </si>
  <si>
    <t>SEC ESC MUNICIPAL SAN JAVIER</t>
  </si>
  <si>
    <t>VEINTE DE JULIO</t>
  </si>
  <si>
    <t>CR 108 Nº 39D 07</t>
  </si>
  <si>
    <t>BEATRIZ ELENA MORA</t>
  </si>
  <si>
    <t>SEC ESC REPUBLICA DE PANAMA</t>
  </si>
  <si>
    <t>SANTA ROSA DE LIMA</t>
  </si>
  <si>
    <t>CRA. 88 NO. 49DD 70</t>
  </si>
  <si>
    <t>LEONARDO OSORIO</t>
  </si>
  <si>
    <t>ADIELA AGUDELO</t>
  </si>
  <si>
    <t>ie.santarosadelima@medellin.gov.co</t>
  </si>
  <si>
    <t>INST CORFERRINI - SEDE LA DIVISA</t>
  </si>
  <si>
    <t>CLL 49B Nº 99 EE 117</t>
  </si>
  <si>
    <t>4913526 - 4346334</t>
  </si>
  <si>
    <t>PHAYSULY BALDOSEA MENA</t>
  </si>
  <si>
    <t>LAURA BEATRIZ BUSTAMANTE</t>
  </si>
  <si>
    <t>luz.espinal.do@ferrini.edu.co</t>
  </si>
  <si>
    <t>COL ARENYS DEL MAR</t>
  </si>
  <si>
    <t>CLL 58D Nº 93 A 87</t>
  </si>
  <si>
    <t>MADRE CLAUDIA ZAMIRA AVILA</t>
  </si>
  <si>
    <t>ANA CECILIA VALLEJO</t>
  </si>
  <si>
    <t>anace235@gmail.com</t>
  </si>
  <si>
    <t>INST EDUC PRESBITERO JUAN J. ESCOBAR</t>
  </si>
  <si>
    <t>CLL. 62 N° 128 120</t>
  </si>
  <si>
    <t>JAIME ALBERTO CASTAÑO BOTERO</t>
  </si>
  <si>
    <t>ALVARO ALVAREZ</t>
  </si>
  <si>
    <t>rector.jjescobar@gmail.com</t>
  </si>
  <si>
    <t>COL GENTE UNIDA JOVENES POR LA PAZ - SEDE VILLA CAFE</t>
  </si>
  <si>
    <t>GENTE UNIDA SAGRADA FAMILIA</t>
  </si>
  <si>
    <t>VEREDA PAJARITO KILOMETRO 8</t>
  </si>
  <si>
    <t>JHON FREDY GÓMEZ</t>
  </si>
  <si>
    <t>MARÍA ISABEL RUA</t>
  </si>
  <si>
    <t>sagradafamilia@genteunida.org.co</t>
  </si>
  <si>
    <t>SEC ESC EL TIROL</t>
  </si>
  <si>
    <t>CL 66A 104 74</t>
  </si>
  <si>
    <t>INST EDUC BENJAMIN HERRERA</t>
  </si>
  <si>
    <t>TRINIDAD</t>
  </si>
  <si>
    <t>CRA 52 NO. 52 140</t>
  </si>
  <si>
    <t>2650073 - 2653004 - 2657072</t>
  </si>
  <si>
    <t>CARLOS BENGUECHEA (R )</t>
  </si>
  <si>
    <t>YOLANDA ARANGO V (D)</t>
  </si>
  <si>
    <t>benjamin.herrera1@medellin.gov.co</t>
  </si>
  <si>
    <t>SEC ESC SANTISIMA TRINIDAD</t>
  </si>
  <si>
    <t>CLL 26 NO. 65 C 100</t>
  </si>
  <si>
    <t>235 52 36 265 6646</t>
  </si>
  <si>
    <t>GONZALO VILLA ARBOLEDA (C )</t>
  </si>
  <si>
    <t>BEATRIZ ELENA GALLEGO (D)</t>
  </si>
  <si>
    <t>coortrinidad@gmail.com</t>
  </si>
  <si>
    <t>INST EDUC SANTOS ANGELES CUSTODIOS</t>
  </si>
  <si>
    <t>CALLE 17A 65G 04</t>
  </si>
  <si>
    <t>MARY LUZ RODRIGUEZ GIRALDO</t>
  </si>
  <si>
    <t>WALTER OSSA ( C) FRANCISCO CARDONA CASTAÑO (AM)- CARLOS HUGO PANIAGUA (PM)</t>
  </si>
  <si>
    <t>iacustod@une.net.co 
nancy5098@hotmail.com</t>
  </si>
  <si>
    <t>SEC ESC JUAN PABLO II</t>
  </si>
  <si>
    <t>CARRERA 65G 16A 12</t>
  </si>
  <si>
    <t>WALTER OSSA ( C) NANCY VELEZ HOYOS (A.M) MARIA ELIDA (P.M)</t>
  </si>
  <si>
    <t>iacustod@une.net.co</t>
  </si>
  <si>
    <t>INST EDUC SANTO ANGEL</t>
  </si>
  <si>
    <t>CALLE 2 SUR Nª 53 - 140</t>
  </si>
  <si>
    <t>2853623 (ext 104) - 2851411</t>
  </si>
  <si>
    <t>ALBA RUTH JARAMILLO CARDONA ( R)</t>
  </si>
  <si>
    <t>LUZ NASLY GARCIA AMADOR ( C)</t>
  </si>
  <si>
    <t>coor.academica.sa@gmail.com</t>
  </si>
  <si>
    <t>SEC ESC CARLOS FRANCO</t>
  </si>
  <si>
    <t>CRA 77 NO. 25-67</t>
  </si>
  <si>
    <t>FABIOLA J. LIZARAZO ( C)</t>
  </si>
  <si>
    <t>PIEDAD GIRALDO (A.M) GLORIA ELENA PIEDRAHITA (P.M)</t>
  </si>
  <si>
    <t>fain.lizh@gmail.com</t>
  </si>
  <si>
    <t>INST EDUC ALCALDIA DE MEDELLIN</t>
  </si>
  <si>
    <t>CRR 2B B Nº 79 - 80</t>
  </si>
  <si>
    <t>3419090 - 342 37 42</t>
  </si>
  <si>
    <t>CARLOS FERNANDO A JARAMILLO ( C )</t>
  </si>
  <si>
    <t>institucionalcaldiademedellin@gmail.com</t>
  </si>
  <si>
    <t>SEC ESC YERMO Y PARRES</t>
  </si>
  <si>
    <t>CRA.2 Nº 2 - 15</t>
  </si>
  <si>
    <t>341 65 78</t>
  </si>
  <si>
    <t>SEC ESC MUNICIPAL BELEN</t>
  </si>
  <si>
    <t>CLL 30 A NO. 80-18</t>
  </si>
  <si>
    <t>LUCERO ZAPATA ( C)</t>
  </si>
  <si>
    <t>MARTA INES LOPEZ ( C)</t>
  </si>
  <si>
    <t>iersuarez@latinmail.com</t>
  </si>
  <si>
    <t>SEC SOFIA OSPINA DE NAVARRO</t>
  </si>
  <si>
    <t>CLLE 32 NO. 65 - 20</t>
  </si>
  <si>
    <t>INST EDUC JOSE MARIA BERNAL</t>
  </si>
  <si>
    <t>CRA. 70 A NO. 13 A 19</t>
  </si>
  <si>
    <t>343 20 86 - 3104179378 ©</t>
  </si>
  <si>
    <t>JOSE HUGO CASTAÑO GARCIA (R ) MARIA FERNANDA ARCE (C )</t>
  </si>
  <si>
    <t>CLARA MAESTRE BUITRAGO</t>
  </si>
  <si>
    <t>iejmb@hotmail.com - gcmaestre@yahoo.com</t>
  </si>
  <si>
    <t>SEC ESC LAS PLAYAS</t>
  </si>
  <si>
    <t>SEC ESC MANO DE DIOS</t>
  </si>
  <si>
    <t>SECTOR NUEVO AMANECER</t>
  </si>
  <si>
    <t>CRA: 90 NO. 15-60</t>
  </si>
  <si>
    <t>GLEIDYS AVENDAÑO ( D)</t>
  </si>
  <si>
    <t>gleidysavendano@gmail.com</t>
  </si>
  <si>
    <t>INST EDUC SAN ANTONIO DE PRADO</t>
  </si>
  <si>
    <t>CRA 79 CON CALLE 42 SUR- PARQUE PPAL.</t>
  </si>
  <si>
    <t>2864285 - 2864372</t>
  </si>
  <si>
    <t>CONSUELO GIRALDO ARROYAVE (R )</t>
  </si>
  <si>
    <t>CLARA MAESTRE ( C ) HERNÁN ALVAREZ (D)</t>
  </si>
  <si>
    <t>ie.sanantoniodeprado@medellin.gov.co</t>
  </si>
  <si>
    <t>SEC ESC MANUEL MARIA MALLARINO</t>
  </si>
  <si>
    <t>C.SAN ANTONIO</t>
  </si>
  <si>
    <t>CALLE 40 SUR 75 B 101</t>
  </si>
  <si>
    <t>CARLOS AYARZA ( C)</t>
  </si>
  <si>
    <t>PATRICIA GOMEZ (P.M) LUZ MATILDE LAVERDE (A.M)</t>
  </si>
  <si>
    <t>jadumall@yahoo.com</t>
  </si>
  <si>
    <t>SEC ESC LA VERDE</t>
  </si>
  <si>
    <t>VDA. LA VERDE</t>
  </si>
  <si>
    <t>CRA 60 D 36 C SUR 2</t>
  </si>
  <si>
    <t>MARIA ISABEL ALVARES GIL ( C)</t>
  </si>
  <si>
    <t>CATALINA MOSQUERA PINO ( D)</t>
  </si>
  <si>
    <t>ie.victorwiedemann@medellin.gov.co</t>
  </si>
  <si>
    <t>INST EDUC FE Y ALEGRIA EL LIMONAR</t>
  </si>
  <si>
    <t>CALLE 55 SUR 60 A 13</t>
  </si>
  <si>
    <t>337 06 53</t>
  </si>
  <si>
    <t>EDGAR ROMÁN ( R)</t>
  </si>
  <si>
    <t>SERGIO ANDRÉS ROJAS GÓMEZ (C )</t>
  </si>
  <si>
    <t>ie.feyalegriaellimonar@medellin.gov.co</t>
  </si>
  <si>
    <t>INST EDUC COMPARTIR</t>
  </si>
  <si>
    <t>CRA 62 A 42 D SUR 26</t>
  </si>
  <si>
    <t>2865300 - 2868822</t>
  </si>
  <si>
    <t>RUBEN DARIO ISAZA GOMEZ ( R)</t>
  </si>
  <si>
    <t>BERTA LUCY AGUDELO (C )</t>
  </si>
  <si>
    <t>ccprado@une.net.co</t>
  </si>
  <si>
    <t>INST EDUC CORVIDE</t>
  </si>
  <si>
    <t>LIMONAR NO. 2</t>
  </si>
  <si>
    <t>CR 60 D 48 SUR 25</t>
  </si>
  <si>
    <t>286 55 79</t>
  </si>
  <si>
    <t>BEATRIZ GÓMEZ ( R)</t>
  </si>
  <si>
    <t>AMALIA BETANCUR ( C ) 
TATIANA ROJAS VALENCIA (D)</t>
  </si>
  <si>
    <t>cesargomez@coomulsap.com</t>
  </si>
  <si>
    <t>COL COOP SAN ANTONIO DE PRADO (AC) - COMEDOR 1</t>
  </si>
  <si>
    <t>4444262 ext. 601 y 602</t>
  </si>
  <si>
    <t>CESAR AUGUSTO</t>
  </si>
  <si>
    <t>VANESA PAOLA ROLONG (A.M) YANETH ASTRID ZAPATA (P.M)</t>
  </si>
  <si>
    <t>rubenisaza@coomulsap.com</t>
  </si>
  <si>
    <t>INST EDUC MANUEL J. BETANCUR - COMEDOR 2</t>
  </si>
  <si>
    <t>INST EDUC MANUEL J BETANCUR - ANEXO</t>
  </si>
  <si>
    <t>CALLE 44 SUR NO. 81-28</t>
  </si>
  <si>
    <t>2860078 ext 27</t>
  </si>
  <si>
    <t>GLORIA INES VALENCIA ( D)</t>
  </si>
  <si>
    <t>COLEGIO EMPRESARIAL</t>
  </si>
  <si>
    <t>VILLA LOMA</t>
  </si>
  <si>
    <t>CALLE 42 SUR 69 A 58</t>
  </si>
  <si>
    <t>RAMON ECHAVARRIA (R )</t>
  </si>
  <si>
    <t>RAMIRO CORTES (D)</t>
  </si>
  <si>
    <t>empresarial@coomulsap,com</t>
  </si>
  <si>
    <t>CONTRATISTA</t>
  </si>
  <si>
    <t>SALAMANCA S.A</t>
  </si>
  <si>
    <t>COMPLEMENTO TIPO ALMUERZO</t>
  </si>
  <si>
    <t>PERIODO O MES EVALUADO</t>
  </si>
  <si>
    <t>La edificación debe estar diseñada y construida de manera que proteja los ambientes de producción e impida la entrada de polvo, lluvia, suciedades u otros contaminantes, así como del ingreso y refugio de plagas y animales domésticos.</t>
  </si>
  <si>
    <t>La edificación y sus instalaciones deben estar construidas de manera que se faciliten las operaciones de limpieza, desinfección y control de plagas según lo establecido en el plan de saneamiento del establecimiento.</t>
  </si>
  <si>
    <t>El tamaño de los almacenes o depósitos debe estar en proporción a los volúmenes de insumos y de productos terminados manejados por el establecimiento, disponiendo además de espacios libres para la circulación del personal, el traslado de materiales o productos y para realizar la limpieza y el mantenimiento de las áreas respectivas.</t>
  </si>
  <si>
    <t>No se permite la presencia de animales en los establecimientos objeto de la presente resolución, específicamente en las áreas destinadas a la fabricación, procesamiento, preparación, envase, almacenamiento y expendio.</t>
  </si>
  <si>
    <t>En los establecimientos que lo requieran, especialmente las fábricas, procesadoras y envasadoras de alimentos, se debe contar con un área adecuada para el consumo de alimentos y descanso del personal que labora en el establecimiento.</t>
  </si>
  <si>
    <t>En los establecimientos contemplados en el presente título, no se permite el almacenamiento de elementos, productos químicos o peligrosos ajenos a las actividades propias realizadas en este.</t>
  </si>
  <si>
    <t>El establecimiento debe disponer de un tanque de almacenamiento de agua con capacidad suficiente para un día de trabajo, garantizando la potabilidad de la misma. La construcción y el material de dicho tanque se realizará conforme a lo establecido en las normas sanitarias vigentes y deberá cumplir con los siguientes requisitos:</t>
  </si>
  <si>
    <t>Los pisos, paredes y tapas deben estar construidos con materiales que no generen sustancias o contaminantes tóxicos, deben ser resistentes, no porosos, impermeables, no absorbentes y con acabados libres de grietas o defectos que dificulten la limpieza y desinfección.</t>
  </si>
  <si>
    <t>Los residuos sólidos deben ser removidos frecuentemente de las áreas de producción y disponerse de manera que se elimine la generación de malos olores, el refugio y alimento de animales y plagas y que no contribuya de otra forma al deterioro ambiental.</t>
  </si>
  <si>
    <t>El establecimiento debe estar dotado de un sistema de recolección y almacenamiento de residuos sólidos que impida el acceso y proliferación de insectos, roedores y otras plagas, el cual debe cumplir con las normas sanitarias vigentes.</t>
  </si>
  <si>
    <t>Deben disponer de instalaciones sanitarias en cantidad suficiente tales como servicios sanitarios y vestidores, independientes para hombres y mujeres, separados de las áreas de elaboración. Para el caso de microempresas que tienen un reducido número de operarios (no más de 6 operarios), se podrá disponer de un baño para el servicio de hombres y mujeres.</t>
  </si>
  <si>
    <t>En las proximidades de los lavamanos se deben colocar avisos o advertencias al personal sobre la necesidad de lavarse las manos luego de usar los servicios sanitarios, después de cualquier cambio de actividad y antes de iniciar las labores de producción.</t>
  </si>
  <si>
    <t>Los pisos deben estar construidos con materiales que no generen sustancias o contaminantes tóxicos, resistentes, no porosos, impermeables, no absorbentes, no deslizantes y con acabados libres de grietas o defectos que dificulten la limpieza, desinfección y mantenimiento sanitario.</t>
  </si>
  <si>
    <t>Cuando el drenaje de las cavas o cuartos fríos de refrigeración o congelación se encuentren en el interior de los mismos, se debe disponer de un mecanismo que garantice el sellamiento total del drenaje, el cual puede ser removido para propósitos de limpieza y desinfección.</t>
  </si>
  <si>
    <t>Los techos deben estar diseñados y construidos de manera que se evite la acumulación de suciedad, la condensación, la formación de hongos y levaduras, el desprendimiento superficial y además facilitar la limpieza y el mantenimiento.</t>
  </si>
  <si>
    <t>En lo posible, no se debe permitir el uso de techos falsos o dobles techos, a menos que se construyan con materiales impermeables, resistentes, lisos, de fácil limpieza y con accesibilidad a la cámara superior para realizar la limpieza, desinfección y desinfestación.</t>
  </si>
  <si>
    <t>En el caso de los falsos techos, las láminas utilizadas, deben fijarse de tal manera que se evite su fácil remoción por acción de corrientes de aire u otro factor externo ajeno a las labores de limpieza, desinfección y desinfestación.</t>
  </si>
  <si>
    <t>Las ventanas y otras aberturas en las paredes deben construirse de manera tal que se evite la entrada y acumulación de polvo, suciedades, al igual que el ingreso de plagas y facilitar la limpieza y desinfección.</t>
  </si>
  <si>
    <t>Las puertas deben tener superficie lisa, no absorbente, deben ser resistentes y de suficiente amplitud; donde se precise, tendrán dispositivos de cierre automático y ajuste hermético. Las aberturas entre las puertas exteriores y los pisos, y entre estas y las paredes deben ser de tal manera que se evite el ingreso de plagas.</t>
  </si>
  <si>
    <t>Las estructuras elevadas y los accesorios deben aislarse en donde sea requerido, estar diseñadas y con un acabado para prevenir la acumulación de suciedad, minimizar la condensación, el desarrollo de hongos y el desprendimiento superficial.</t>
  </si>
  <si>
    <t>Los establecimientos a que hace referencia el artículo 2° de la presente resolución tendrán una adecuada y suficiente iluminación natural o artificial, la cual se obtendrá por medio de ventanas, claraboyas, y lámparas convenientemente distribuidas.</t>
  </si>
  <si>
    <t>Los equipos y utensilios empleados en el manejo de alimentos deben estar fabricados con materiales resistentes al uso y a la corrosión, así como a la utilización frecuente de los agentes de limpieza y desinfección.</t>
  </si>
  <si>
    <t>Las mesas y mesones empleados en el manejo de alimentos deben tener superficies lisas, con bordes sin aristas y estar construidas con materiales resistentes, impermeables y de fácil limpieza y desinfección.</t>
  </si>
  <si>
    <t>La distancia entre los equipos y las paredes perimetrales, columnas u otros elementos de la edificación, debe ser tal que les permita funcionar adecuadamente y facilite el acceso para la inspección, mantenimiento, limpieza y desinfección.</t>
  </si>
  <si>
    <t>Las tuberías elevadas no deben instalarse directamente por encima de las líneas de elaboración, salvo en los casos tecnológicamente justificados y en donde no exista peligro de contaminación del alimento.</t>
  </si>
  <si>
    <t>El manipulador de alimentos debe ser entrenado para comprender y manejar el control de los puntos del proceso que están bajo su responsabilidad y la importancia de su vigilancia o monitoreo; además, debe conocer los límites del punto del proceso y las acciones correctivas a tomar cuando existan desviaciones en dichos límites.</t>
  </si>
  <si>
    <t>Mantener una estricta limpieza e higiene personal y aplicar buenas prácticas higiénicas en sus labores, de manera que se evite la contaminación del alimento y de las superficies de contacto con este.</t>
  </si>
  <si>
    <t>Lavarse las manos con agua y jabón desinfectante, antes de comenzar su trabajo, cada vez que salga y regrese al área asignada y después de manipular cualquier material u objeto que pudiese representar un riesgo de contaminación para el alimento. Será obligatorio realizar la desinfección de las manos cuando los riesgos asociados con la etapa del proceso así lo justifiquen.</t>
  </si>
  <si>
    <t>Mantener el cabello recogido y cubierto totalmente mediante malla, gorro u otro medio efectivo y en caso de llevar barba, bigote o patillas se debe usar cubiertas para estas. No se permite el uso de maquillaje.</t>
  </si>
  <si>
    <t>Dependiendo del riesgo de contaminación asociado con el proceso o preparación, será obligatorio el uso de tapabocas desechables cubriendo nariz y boca mientras se manipula el alimento. Es necesario evaluar sobre todo el riesgo asociado a un alimento de mayor y riesgo medio en salud pública en las etapas finales de elaboración o manipulación del mismo, cuando este se encuentra listo para el consumo y puede estar expuesto a posible contaminación.</t>
  </si>
  <si>
    <t>No se permite utilizar reloj, anillos, aretes, joyas u otros accesorios mientras el personal realice sus labores. En caso de usar lentes, deben asegurarse a la cabeza mediante bandas, cadenas u otros medios ajustables.</t>
  </si>
  <si>
    <t>De ser necesario el uso de guantes, estos deben mantenerse limpios, sin roturas o desperfectos y ser tratados con el mismo cuidado higiénico de las manos sin protección. El material de los guantes, debe ser apropiado para la operación realizada y debe evitarse la acumulación de humedad y contaminación en su interior para prevenir posibles afecciones cutáneas de los operarios. El uso de guantes no exime al operario de la obligación de lavarse las manos, según lo contempla el numeral 4 del presente artículo.</t>
  </si>
  <si>
    <t>Los visitantes a los establecimientos o plantas deben cumplir estrictamente todas las prácticas de higiene establecidas en esta resolución y portar la vestimenta y dotación adecuada, la cual debe ser suministrada por la empresa.</t>
  </si>
  <si>
    <t>La recepción de materias primas debe realizarse en condiciones que eviten su contaminación, alteración y daños físicos y deben estar debidamente identificadas de conformidad con la Resolución 5109 de 2005 o las normas que la modifiquen, adicionen o sustituyan, y para el caso de los insumos, deben cumplir con las resoluciones 1506 de 2011 y/o la 683 de 2012, según corresponda, o las normas que las modifiquen, adicionen o sustituyan.</t>
  </si>
  <si>
    <t>Las materias primas se someterán a la limpieza con agua potable u otro medio adecuado de ser requerido y, si le aplica, a la descontaminación previa a su incorporación en las etapas sucesivas del proceso.</t>
  </si>
  <si>
    <t>Los depósitos de materias primas y productos terminados ocuparán espacios independientes, salvo en aquellos casos en que a juicio de la autoridad sanitaria competente no se presenten peligros de contaminación para los alimentos.</t>
  </si>
  <si>
    <t>Las zonas donde se reciban o almacenen materias primas estarán separadas de las que se destinan a elaboración o envasado del producto final. La autoridad sanitaria competente podrá eximir del cumplimiento de este requisito a los establecimientos en los cuales no exista peligro de contaminación para los alimentos.</t>
  </si>
  <si>
    <t>Los envases y embalajes deben estar fabricados con materiales tales que garanticen la inocuidad del alimento, de acuerdo a lo establecido en la reglamentación expedida por el Ministerio de Salud y Protección Social especialmente las resoluciones 683, 4142 y 4143 de 2012; 834 y 835 de 2013 o las normas que las modifiquen, adicionen o sustituyan al respecto.</t>
  </si>
  <si>
    <t>Los alimentos que por su naturaleza permiten un rápido crecimiento de microorganismos indeseables, deben mantenerse en condiciones tales que se evite su proliferación. Para el cumplimiento de este requisito deben adoptarse medidas efectivas como:</t>
  </si>
  <si>
    <t>Registros de elaboración, procesamiento y producción. De cada lote debe llevarse un registro, legible y con fecha de los detalles pertinentes de elaboración, procesamiento y producción. Estos registros se conservarán durante un período que exceda el de la vida útil del producto, salvo en caso de necesidad específica, no se conservarán más de dos años.</t>
  </si>
  <si>
    <t>Todo producto al momento de salir de una planta de proceso, independiente de su destino debe encontrarse debidamente rotulado, de conformidad con lo establecido en la reglamentación sanitaria vigente.</t>
  </si>
  <si>
    <t>Durante las operaciones de fabricación, procesamiento, envasado y almacenamiento se tomarán medidas eficaces para evitar la contaminación de los alimentos por contacto directo o indirecto con materias primas que se encuentren en las fases iníciales del proceso.</t>
  </si>
  <si>
    <t>Hasta que no se cambien de indumentaria y adopten las debidas precauciones higiénicas y medidas de protección, las personas que manipulen materias primas o productos semielaborados susceptibles de contaminar el producto final no deben entrar en contacto con el producto terminado.</t>
  </si>
  <si>
    <t>Especificaciones sobre las materias primas y productos terminados. Las especificaciones definen completamente la calidad de todos los productos y de todas las materias primas con los cuales son elaborados y deben incluir criterios claros para su aceptación, liberación, retención o rechazo.</t>
  </si>
  <si>
    <t>Limpieza y desinfección. Los procedimientos de limpieza y desinfección deben satisfacer las necesidades particulares del proceso y del producto de que se trate. Cada establecimiento debe tener por escrito todos los procedimientos, incluyendo los agentes y sustancias utilizadas, así como las concentraciones o formas de uso, tiempos de contacto y los equipos e implementos requeridos para efectuar las operaciones y periodicidad de limpieza y desinfección.</t>
  </si>
  <si>
    <t>Control de plagas. Las plagas deben ser objeto de un programa de control específico, el cual debe involucrar el concepto de control integral, apelando a la aplicación armónica de las diferentes medidas de control conocidas, con especial énfasis en las radicales y de orden preventivo.</t>
  </si>
  <si>
    <t>Debe llevarse un control de primeras entradas y primeras salidas con el fin de garantizar la rotación de los productos. Es necesario que la empresa periódicamente dé salida a productos y materiales inútiles, en desuso, obsoletos o fuera de especificaciones para facilitar la limpieza de las instalaciones y eliminar posibles focos de contaminación.</t>
  </si>
  <si>
    <t>El almacenamiento de los insumos, materias primas o productos terminados se realizará ordenadamente en pilas o estibas con separación mínima de 60 centímetros con respecto a las paredes perimetrales, y disponerse sobre palés o tarimas limpias y en buen estado, elevadas del piso por lo menos 15 centímetros de manera que se permita la inspección, limpieza y fumigación, si es el caso.</t>
  </si>
  <si>
    <t>Los alimentos y materias primas que por su naturaleza requieran mantenerse refrigerados o congelados deben ser transportados y distribuidos bajo condiciones que aseguren y garanticen el mantenimiento de las condiciones de refrigeración o congelación hasta su destino final, que podrá verificarse mediante plantillas de registro de la temperatura del vehículo durante el transporte del alimento, o al producto durante el cargue y descargue.</t>
  </si>
  <si>
    <t>Se permite transportar conjuntamente en un mismo vehículo, alimentos con diferente riesgo en salud pública siempre y cuando se encuentren debidamente envasados, protegidos y se evite la contaminación cruzada.</t>
  </si>
  <si>
    <t>Se prohíbe disponer los alimentos directamente sobre el piso de los medios de transporte. Para este fin se utilizarán los recipientes, canastillas, o implementos de material adecuado, de manera que aíslen el producto de toda posibilidad de contaminación.</t>
  </si>
  <si>
    <t>UT PAE 2019</t>
  </si>
  <si>
    <t>MODALIDAD DE ATENCION</t>
  </si>
  <si>
    <t>CONCEPTO DE SECRETARÍA DE SALUD O  INVIMA</t>
  </si>
  <si>
    <t>Enero</t>
  </si>
  <si>
    <t>Columna11</t>
  </si>
  <si>
    <t>Columna26</t>
  </si>
  <si>
    <t>Columna27</t>
  </si>
  <si>
    <t>LISTA DE CHEQUEO DE PARÁMETROS CONTRACTUALES APLICABLES A BODEGAS - PLANTAS ADMINISTRATIVAS Y OPERATIVAS</t>
  </si>
  <si>
    <t>MES</t>
  </si>
  <si>
    <t>Febero</t>
  </si>
  <si>
    <t>Marzo</t>
  </si>
  <si>
    <t>Abril</t>
  </si>
  <si>
    <t>Mayo</t>
  </si>
  <si>
    <t>Junio</t>
  </si>
  <si>
    <t>Julio</t>
  </si>
  <si>
    <t>Agosto</t>
  </si>
  <si>
    <t>Septiembre</t>
  </si>
  <si>
    <t>Octubre</t>
  </si>
  <si>
    <t>Noviembre</t>
  </si>
  <si>
    <t>Diciembre</t>
  </si>
  <si>
    <t>Columna202</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</si>
  <si>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</si>
  <si>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</si>
  <si>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</si>
  <si>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</si>
  <si>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</si>
  <si>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</si>
  <si>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</si>
  <si>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</si>
  <si>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</si>
  <si>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</si>
  <si>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</si>
  <si>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</si>
  <si>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</si>
  <si>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</si>
  <si>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</si>
  <si>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</si>
  <si>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</si>
  <si>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</si>
  <si>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</si>
  <si>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</si>
  <si>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</si>
  <si>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</si>
  <si>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</si>
  <si>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</si>
  <si>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</si>
  <si>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</si>
  <si>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</si>
  <si>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</si>
  <si>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</si>
  <si>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</si>
  <si>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</si>
  <si>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</si>
  <si>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</si>
  <si>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</si>
  <si>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</si>
  <si>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</si>
  <si>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</si>
  <si>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</si>
  <si>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</si>
  <si>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</si>
  <si>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</si>
  <si>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</si>
  <si>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</si>
  <si>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</si>
  <si>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</si>
  <si>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</si>
  <si>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</si>
  <si>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</si>
  <si>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</si>
  <si>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</si>
  <si>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SEGUIMIENTO A LAS CONDICIONES HIGIÉNICO SANITARIAS</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</si>
  <si>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</si>
  <si>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</si>
  <si>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</si>
  <si>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</si>
  <si>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</si>
  <si>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</si>
  <si>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</si>
  <si>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</si>
  <si>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</si>
  <si>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</si>
  <si>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</si>
  <si>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</si>
  <si>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</si>
  <si>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</si>
  <si>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</si>
  <si>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</si>
  <si>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</si>
  <si>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</si>
  <si>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</si>
  <si>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</si>
  <si>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</si>
  <si>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</si>
  <si>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</si>
  <si>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</si>
  <si>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</si>
  <si>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</si>
  <si>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</si>
  <si>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</si>
  <si>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</si>
  <si>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</si>
  <si>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</si>
  <si>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</si>
  <si>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</si>
  <si>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</si>
  <si>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</si>
  <si>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</si>
  <si>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</si>
  <si>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</si>
  <si>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</si>
  <si>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</si>
  <si>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</si>
  <si>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</si>
  <si>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</si>
  <si>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</si>
  <si>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</si>
  <si>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</si>
  <si>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</si>
  <si>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</si>
  <si>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</si>
  <si>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</si>
  <si>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</si>
  <si>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</si>
  <si>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</si>
  <si>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</si>
  <si>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</si>
  <si>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</si>
  <si>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</si>
  <si>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</si>
  <si>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</si>
  <si>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</si>
  <si>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</si>
  <si>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</si>
  <si>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</si>
  <si>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</si>
  <si>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</si>
  <si>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</si>
  <si>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</si>
  <si>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</si>
  <si>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</si>
  <si>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</si>
  <si>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</si>
  <si>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</si>
  <si>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</si>
  <si>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</si>
  <si>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</si>
  <si>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</si>
  <si>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</si>
  <si>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</si>
  <si>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</si>
  <si>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</si>
  <si>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</si>
  <si>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</si>
  <si>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</si>
  <si>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</si>
  <si>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</si>
  <si>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</si>
  <si>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</si>
  <si>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</si>
  <si>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</si>
  <si>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</si>
  <si>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</si>
  <si>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</si>
  <si>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</si>
  <si>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</si>
  <si>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</si>
  <si>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</si>
  <si>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</si>
  <si>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</si>
  <si>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</si>
  <si>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</si>
  <si>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</si>
  <si>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</si>
  <si>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</si>
  <si>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</si>
  <si>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</si>
  <si>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Artículo 6 (2.7)</t>
  </si>
  <si>
    <t>Artículo 6 (6.2)</t>
  </si>
  <si>
    <t>Artículo 6 (6.4)</t>
  </si>
  <si>
    <t>Artículo 10 (2)</t>
  </si>
  <si>
    <t>El manipulador de alimentos no podrá salir e ingresar al establecimiento con la vestimenta de trabajo.</t>
  </si>
  <si>
    <t>Mantener las uñas cortas, limpias y sin esmalte.</t>
  </si>
  <si>
    <t>Usar calzado cerrado, de material resistente e impermeable y de tacón bajo.</t>
  </si>
  <si>
    <t>No está permitido comer, beber o masticar cualquier objeto o producto, como tampoco fumar o escupir en las áreas donde se manipulen alimentos.</t>
  </si>
  <si>
    <t>Los manipuladores no deben sentarse, acostarse, inclinarse o similares en el pasto, andenes o lugares donde la ropa de trabajo pueda contaminarse.</t>
  </si>
  <si>
    <t>En los sitios o lugares destinados al almacenamiento de materias primas, insumos y productos terminados no podrán realizarse actividades diferentes a estas.</t>
  </si>
  <si>
    <t>EVALUACION FINAL DE LA VISITA</t>
  </si>
  <si>
    <t>TOTAL PUNTAJE ESPERADO</t>
  </si>
  <si>
    <t>PUNTAJE TOTAL OBTENIDO  DE LA VISITA</t>
  </si>
  <si>
    <t>PORCENTAJE DE CUMPLIMIENTO DE LA VISITA</t>
  </si>
  <si>
    <t>CUMPLIMIENTO GENERAL DE LA VISITA</t>
  </si>
  <si>
    <t>OBSERVACIONES GENERALES DE LA VISITA</t>
  </si>
  <si>
    <r>
      <t>NOTAS DE APOYO (</t>
    </r>
    <r>
      <rPr>
        <sz val="10"/>
        <color theme="1"/>
        <rFont val="Calibri"/>
        <family val="2"/>
        <scheme val="minor"/>
      </rPr>
      <t>Utilice el cuadro de Notas de Apoyo para ampliar o justificar calificaciones como N.A – N.O u otras variables encontradas durante de la visita de Supervisión que ameriten claridad</t>
    </r>
    <r>
      <rPr>
        <b/>
        <sz val="10"/>
        <color theme="1"/>
        <rFont val="Calibri"/>
        <family val="2"/>
        <scheme val="minor"/>
      </rPr>
      <t>.)</t>
    </r>
  </si>
  <si>
    <t>TIPO COMPLEMENTO</t>
  </si>
  <si>
    <t>OPERADOR2</t>
  </si>
  <si>
    <t xml:space="preserve">TOTAL CUPOS
</t>
  </si>
  <si>
    <t>TIPO COMPLEMENTO2</t>
  </si>
  <si>
    <t>OPERADOR3</t>
  </si>
  <si>
    <t>TOTAL CUPOS
4</t>
  </si>
  <si>
    <t>UT MEDELLIN SOCIAL 2019</t>
  </si>
  <si>
    <t>CAM/PM</t>
  </si>
  <si>
    <t>CAM/PM
VL</t>
  </si>
  <si>
    <t>VL</t>
  </si>
  <si>
    <t>SERVICIOS Y SUMINISTROS DE ALIMENTACION S.A.S</t>
  </si>
  <si>
    <t>ALIRIO GOMEZ G S.A.S</t>
  </si>
  <si>
    <t>CTA</t>
  </si>
  <si>
    <t>CTA
VL</t>
  </si>
  <si>
    <t>RI</t>
  </si>
  <si>
    <t>RI
VL</t>
  </si>
  <si>
    <t>NO</t>
  </si>
  <si>
    <t>NO OBSERVADO</t>
  </si>
  <si>
    <t>NO APLICA</t>
  </si>
  <si>
    <t>RESPUESTA</t>
  </si>
  <si>
    <t>REQUISITO</t>
  </si>
  <si>
    <t>REGISTRO</t>
  </si>
  <si>
    <t>Estarán ubicados en lugares aislados de cualquier foco de insalubridad que represente riesgos potenciales para la contaminación del alimento.</t>
  </si>
  <si>
    <t>Su funcionamiento no debe poner en riesgo la salud y el bienestar de la comunidad.</t>
  </si>
  <si>
    <t>Sus áreas deben ser independientes y separadas físicamente de cualquier tipo de vivienda y no pueden ser utilizadas como dormitorio.</t>
  </si>
  <si>
    <t>El agua que se utilice debe ser de calidad potable y cumplir con las normas vigentes establecidas por el Ministerio de Salud y Protección Social.</t>
  </si>
  <si>
    <t>Se debe disponer de agua potable a la temperatura y presión requeridas en las diferentes actividades que se realizan en el establecimiento, así como para una limpieza y desinfección efectiva.</t>
  </si>
  <si>
    <t>El sistema de conducción o tuberías debe garantizar la protección de la potabilidad del agua.</t>
  </si>
  <si>
    <t>Debe ser de fácil acceso para limpieza y desinfección periódica según lo establecido en el plan de saneamiento.</t>
  </si>
  <si>
    <t>Debe garantizar protección total contra el acceso de animales, cuerpos extraños o contaminación por aguas lluvias.</t>
  </si>
  <si>
    <t>Dispondrán de sistemas sanitarios adecuados para la recolección, el tratamiento y la disposición de aguas residuales, aprobadas por la autoridad competente.</t>
  </si>
  <si>
    <t>Los residuos sólidos que se generen deben ser ubicados de manera tal que no representen riesgo de contaminación al alimento, a los ambientes o superficies de potencial contacto con este.</t>
  </si>
  <si>
    <t>Aquellos establecimientos que generen residuos peligrosos deben cumplir con la reglamentación sanitaria vigente.</t>
  </si>
  <si>
    <t>Las uniones entre las paredes y entre estas y los pisos, deben estar selladas y tener forma redondeada para impedir la acumulación de suciedad y facilitar la limpieza y desinfección.</t>
  </si>
  <si>
    <t>Las instalaciones eléctricas, mecánicas y de prevención de incendios deben estar diseñadas y con un acabado de manera que impidan la acumulación de suciedades y el albergue de plagas.</t>
  </si>
  <si>
    <t>La iluminación debe ser de la calidad e intensidad adecuada para la ejecución higiénica y efectiva de todas las actividades.</t>
  </si>
  <si>
    <t>El personal que presente afecciones de la piel o enfermedad infectocontagiosa debe ser excluido de toda actividad directa de manipulación de alimentos.</t>
  </si>
  <si>
    <t>Toda materia prima debe poseer una ficha técnica la cual debe estar a disposición de la autoridad sanitaria competente cuando esta lo requiera.</t>
  </si>
  <si>
    <t>El material del envase y embalaje debe ser adecuado y conferir una protección apropiada contra la contaminación.</t>
  </si>
  <si>
    <t>No deben haber sido utilizados previamente para fines diferentes que puedan ocasionar la contaminación del alimento a contener.</t>
  </si>
  <si>
    <t>Los envases y embalajes deben almacenarse en un sitio exclusivo para este fin en condiciones de limpieza y debidamente protegidos.</t>
  </si>
  <si>
    <t>Mantener los alimentos a temperaturas de refrigeración no mayores de 4°C +/-2ºC.</t>
  </si>
  <si>
    <t>Mantener el alimento en estado congelado.</t>
  </si>
  <si>
    <t>El envasado y embalado debe hacerse en condiciones que impidan la contaminación del alimento o materias primas y debe realizarse en un área exclusiva para este fin.</t>
  </si>
  <si>
    <t>Los planes de muestreo, los procedimientos de laboratorio, especificaciones y métodos de ensayo deben garantizar que los resultados sean confiables y representativos del lote analizado.</t>
  </si>
  <si>
    <t>Artículo 29</t>
  </si>
  <si>
    <t>Revisar los medios de transporte antes de cargar los alimentos o materias primas, con el fin de asegurar que se encuentren en adecuadas condiciones sanitarias.</t>
  </si>
  <si>
    <t>Los vehículos transportadores de alimentos deben llevar en su exterior en forma claramente visible la leyenda: Transporte de Alimentos.</t>
  </si>
  <si>
    <t>FECHA CONCEPTO SECRETARÍA DE SALUD O INVIMA</t>
  </si>
  <si>
    <t>SERVICIOS Y SUMINISTRO DE ALIMENTACIÓN S.A.S</t>
  </si>
  <si>
    <t>SALAMANCA S.A
SERVICIOS Y SUMINISTRO DE ALIMENTACIÓN S.A.S</t>
  </si>
  <si>
    <t>IDENTIFICACION INTERVENTOR</t>
  </si>
  <si>
    <t>CONTACTO INTERVENTOR</t>
  </si>
  <si>
    <t># PROFESIONAL</t>
  </si>
  <si>
    <t>IDENTIFICACION DE QUIEN RECIBE LA VISITA</t>
  </si>
  <si>
    <t>Las lámparas, accesorios y otros medios de iluminación del establecimiento deben ser del tipo de seguridad y estar protegidos para evitar la contaminación en caso de ruptura y, en general, contar con una iluminación uniforme que no altere los colores naturales.</t>
  </si>
  <si>
    <t>Articulo 6 (1.1)</t>
  </si>
  <si>
    <t>Artículo 6 (1.2)</t>
  </si>
  <si>
    <t>Artículo 6 (1.3)</t>
  </si>
  <si>
    <t>Artículo 6 (2.1)</t>
  </si>
  <si>
    <t>Artículo 6 (2.3)</t>
  </si>
  <si>
    <t>Artículo 6 (2.4)</t>
  </si>
  <si>
    <t>Artículo 6 (2.5)</t>
  </si>
  <si>
    <t>Artículo 6 (2.6)</t>
  </si>
  <si>
    <t>Artículo 6 (2.8)</t>
  </si>
  <si>
    <t>Artículo 6 (2.9)</t>
  </si>
  <si>
    <t>Artículo 6 (3.1)</t>
  </si>
  <si>
    <t>Artículo 6 (3.2)</t>
  </si>
  <si>
    <t>Artículo 6 (3.4)</t>
  </si>
  <si>
    <t>Artículo 6 (3.5)</t>
  </si>
  <si>
    <t>Artículo 6 (3.5.1)</t>
  </si>
  <si>
    <t>Artículo 6 (3.5.2)</t>
  </si>
  <si>
    <t>Artículo 6 (3.5.3)</t>
  </si>
  <si>
    <t>Artículo 6 (4.1)</t>
  </si>
  <si>
    <t>Artículo 6  (5.1)</t>
  </si>
  <si>
    <t>Artículo 6  (5.2)</t>
  </si>
  <si>
    <t>Artículo 6  (5.3)</t>
  </si>
  <si>
    <t>Artículo 6  (5.5)</t>
  </si>
  <si>
    <t>Artículo 6 (6.1)</t>
  </si>
  <si>
    <t>Artículo 6 (6.3)</t>
  </si>
  <si>
    <t>Artículo 7 (1.1)</t>
  </si>
  <si>
    <t>Artículo 7 (1.3)</t>
  </si>
  <si>
    <t>Artículo 7 (1.4)</t>
  </si>
  <si>
    <t>Artículo 7 (2.2)</t>
  </si>
  <si>
    <t>Artículo 7 (3.1)</t>
  </si>
  <si>
    <t>Artículo 7 (3.2)</t>
  </si>
  <si>
    <t>Artículo 7 (3.3)</t>
  </si>
  <si>
    <t>Artículo 7  (4.1)</t>
  </si>
  <si>
    <t>Artículo 7  (4.2)</t>
  </si>
  <si>
    <t>Artículo 7 (5.1)</t>
  </si>
  <si>
    <t>Artículo 7 (6.2)</t>
  </si>
  <si>
    <t>Artículo 7 (6.3)</t>
  </si>
  <si>
    <t>Artículo 7 (7.1)</t>
  </si>
  <si>
    <t>Artículo 7 (7.2)</t>
  </si>
  <si>
    <t>Artículo 7 (7.3)</t>
  </si>
  <si>
    <t>Artículo 8</t>
  </si>
  <si>
    <t>Artículo 9 (1)</t>
  </si>
  <si>
    <t>Artículo 9 (2)</t>
  </si>
  <si>
    <t>Artículo 9 (10)</t>
  </si>
  <si>
    <t>Artículo 9 (11)</t>
  </si>
  <si>
    <t>Artículo 10 (3)</t>
  </si>
  <si>
    <t>Artículo 10 (4)</t>
  </si>
  <si>
    <t>Artículo 12</t>
  </si>
  <si>
    <t>Artículo 13</t>
  </si>
  <si>
    <t>Artículo 13 Parágrafo 1</t>
  </si>
  <si>
    <t>Artículo 13 Parágrafo 2</t>
  </si>
  <si>
    <t xml:space="preserve">Articulo 14 (1) </t>
  </si>
  <si>
    <t xml:space="preserve">Articulo 14 (2) </t>
  </si>
  <si>
    <t xml:space="preserve">Articulo 14 (3) </t>
  </si>
  <si>
    <t xml:space="preserve">Articulo 14 (4) </t>
  </si>
  <si>
    <t xml:space="preserve">Articulo 14 (5) </t>
  </si>
  <si>
    <t xml:space="preserve">Articulo 14 (6) </t>
  </si>
  <si>
    <t xml:space="preserve">Articulo 14 (7) </t>
  </si>
  <si>
    <t xml:space="preserve">Articulo 14 (8) </t>
  </si>
  <si>
    <t xml:space="preserve">Articulo 14 (9) </t>
  </si>
  <si>
    <t xml:space="preserve">Articulo 14 (10) </t>
  </si>
  <si>
    <t xml:space="preserve">Articulo 14 (11) </t>
  </si>
  <si>
    <t xml:space="preserve">Articulo 14 (12) </t>
  </si>
  <si>
    <t xml:space="preserve">Articulo 14 (13) </t>
  </si>
  <si>
    <t xml:space="preserve">Articulo 14 (14) </t>
  </si>
  <si>
    <t>Artículo 16 (1)</t>
  </si>
  <si>
    <t>Artículo 16 (2)</t>
  </si>
  <si>
    <t>Artículo 16 (3)</t>
  </si>
  <si>
    <t>Artículo 16 (4)</t>
  </si>
  <si>
    <t>Artículo 16 (7)</t>
  </si>
  <si>
    <t>Artículo 16 (8)</t>
  </si>
  <si>
    <t>Artículo 17 (1)</t>
  </si>
  <si>
    <t>Artículo 17 (2)</t>
  </si>
  <si>
    <t>Artículo 17 (3)</t>
  </si>
  <si>
    <t>Artículo 17 (5)</t>
  </si>
  <si>
    <t xml:space="preserve">Articulo 18 (1) </t>
  </si>
  <si>
    <t xml:space="preserve">Articulo 18 (3) </t>
  </si>
  <si>
    <t>Articulo 18 (3.1)</t>
  </si>
  <si>
    <t>Articulo 18 (3.2)</t>
  </si>
  <si>
    <t xml:space="preserve">Articulo 18 (4) </t>
  </si>
  <si>
    <t>Artículo 19 (1)</t>
  </si>
  <si>
    <t>Artículo 19 (2)</t>
  </si>
  <si>
    <t>Artículo 19 (3)</t>
  </si>
  <si>
    <t>Artículo 19 (4)</t>
  </si>
  <si>
    <t xml:space="preserve">Artículo 20 (1) </t>
  </si>
  <si>
    <t xml:space="preserve">Artículo 20 (2) </t>
  </si>
  <si>
    <t xml:space="preserve">Artículo 20 (6) </t>
  </si>
  <si>
    <t>Artículo 21</t>
  </si>
  <si>
    <t>Artículo 22</t>
  </si>
  <si>
    <t>Artículo 22 (1)</t>
  </si>
  <si>
    <t>Artículo 22 (2)</t>
  </si>
  <si>
    <t>Artículo 22 (3)</t>
  </si>
  <si>
    <t>Artículo 22 (4)</t>
  </si>
  <si>
    <t>Artículo 23</t>
  </si>
  <si>
    <t xml:space="preserve">Artículo 24. </t>
  </si>
  <si>
    <t xml:space="preserve">Artículo 25. </t>
  </si>
  <si>
    <t>Artículo 26 (1)</t>
  </si>
  <si>
    <t>Artículo 26 (2)</t>
  </si>
  <si>
    <t>Artículo 26 (3)</t>
  </si>
  <si>
    <t>Artículo 27</t>
  </si>
  <si>
    <t xml:space="preserve">Artículo 28 (1) </t>
  </si>
  <si>
    <t xml:space="preserve">Artículo 28 (2) </t>
  </si>
  <si>
    <t xml:space="preserve">Artículo 28 (3) </t>
  </si>
  <si>
    <t xml:space="preserve">Artículo 28 (4) </t>
  </si>
  <si>
    <t xml:space="preserve">Artículo 28 (5) </t>
  </si>
  <si>
    <t xml:space="preserve">Artículo 28 (6) </t>
  </si>
  <si>
    <t>Artículo 29 (1)</t>
  </si>
  <si>
    <t>Artículo 29 (2)</t>
  </si>
  <si>
    <t>Artículo 29 (3)</t>
  </si>
  <si>
    <t>Artículo 29 (4)</t>
  </si>
  <si>
    <t>Artículo 29 (5)</t>
  </si>
  <si>
    <t>Artículo 29 (6)</t>
  </si>
  <si>
    <t>Artículo 29 (7)</t>
  </si>
  <si>
    <t>Artículo 29 (8)</t>
  </si>
  <si>
    <t>Artículo 29 (9)</t>
  </si>
  <si>
    <t>Artículo 29 (10)</t>
  </si>
  <si>
    <t>Parágrafo</t>
  </si>
  <si>
    <t>CONTACTO</t>
  </si>
  <si>
    <t>MARTHA ELENA DIEZ ALVAREZ</t>
  </si>
  <si>
    <t>JOSE ELIBER TORRES AREIZA</t>
  </si>
  <si>
    <t>JUDITH ESTHER PINEDA BERMUDEZ</t>
  </si>
  <si>
    <t>ORAIDES CRISTINA CASTAÑO CANO</t>
  </si>
  <si>
    <t>CLARITA MELINA ZAMBRANO ORTEGA</t>
  </si>
  <si>
    <t>MARIA ANGELA CALLE VERA</t>
  </si>
  <si>
    <t>LIANA PATRICIA CAMPO RODRIGUEZ</t>
  </si>
  <si>
    <t>MARIA EDILIA BONILLA SANCHEZ</t>
  </si>
  <si>
    <t>JULIA PINEDA GOMEZ</t>
  </si>
  <si>
    <t>CRUZ ELENA GARCIA OCHOA</t>
  </si>
  <si>
    <t>LUZ MAGDALENA RIOS ARBELAEZ</t>
  </si>
  <si>
    <t>LUIS FELIPE ROJO ALVAREZ</t>
  </si>
  <si>
    <t>LUZ ESTELA ZAPATA JIMEMEZ</t>
  </si>
  <si>
    <t>GLORIA CRISTINA CASTAÑO ZULUAGA</t>
  </si>
  <si>
    <t>JUAN ESTEBAN DUQUE CARDONA</t>
  </si>
  <si>
    <t>JOSÉ UVARNEY TABORDA MARÍN</t>
  </si>
  <si>
    <t>SEBASTIAN PUENTES GONZÁLEZ</t>
  </si>
  <si>
    <t>DIANA MARIA FONSECA FERNANDEZ</t>
  </si>
  <si>
    <t>JOHN ALEJANDRO ATEHORTÚA CORREA</t>
  </si>
  <si>
    <t>PAULA ANDREA URIBE YEPES</t>
  </si>
  <si>
    <t>EDILSON ARLEY QUINTERO YEPES</t>
  </si>
  <si>
    <t>JULIANA JARAMILLO RODRÍGUEZ</t>
  </si>
  <si>
    <t>ALBANY HENAO VALENCIA</t>
  </si>
  <si>
    <t>CLAUDIA ELENA LOPERA MESA</t>
  </si>
  <si>
    <t>JOSE JULIÁN VALENCIA LÓPEZ</t>
  </si>
  <si>
    <t>MARIBELL DUQUE BUILES</t>
  </si>
  <si>
    <t>RONNY ANTONIO ARRIETA RIVERO</t>
  </si>
  <si>
    <t>EDDY YANED MONTOYA VASQUEZ</t>
  </si>
  <si>
    <t>MARÍA MAGDALENA PABÓN ALVAREZ</t>
  </si>
  <si>
    <t>ASTRID JOHANA GIRALDO CIRO</t>
  </si>
  <si>
    <t>ERIKA VIVIANA SUÁREZ ZULETA</t>
  </si>
  <si>
    <t>JENY MARLEN ARGUELLO LEÓN</t>
  </si>
  <si>
    <t>ANGELA MARÍA JARAMILLO HINCAPIÉ</t>
  </si>
  <si>
    <t>JESUS ALBEIRO YEPES CHALARCA</t>
  </si>
  <si>
    <t>LUZ MARINA JIMÉNEZ DÁVILA</t>
  </si>
  <si>
    <t>ADRIANA MARIA TORO AMADO</t>
  </si>
  <si>
    <t>MIRYAM NATALIA TEJADA PEÑA</t>
  </si>
  <si>
    <t>SANTIAGO GIRALDO GARCÍA</t>
  </si>
  <si>
    <t>ISABEL CRISTINA RÚA CARDONA</t>
  </si>
  <si>
    <t>MARTHA LILIANA RENDON ACEVEDO</t>
  </si>
  <si>
    <t>CAROLINA RESTREPO QUIROZ</t>
  </si>
  <si>
    <t>GLORIA EMILCEN GAVIRIA LLANOS</t>
  </si>
  <si>
    <t>DANNY YULIEHT LÓPEZ RESTREPO</t>
  </si>
  <si>
    <t>LILIANA PATRICIA MONSALVE OSORIO</t>
  </si>
  <si>
    <t>ASTRID EUGENIA VILLA GÓMEZ</t>
  </si>
  <si>
    <t>SANTIAGO ALBERTO VARGAS CARDONA</t>
  </si>
  <si>
    <t>BEATRIZ CELENE CARMONA CORREA</t>
  </si>
  <si>
    <t>ESPERANZA DEL SOCORRO PALACIO PEREZ</t>
  </si>
  <si>
    <t>JUAN CARLOS OCAMPO GOMEZ</t>
  </si>
  <si>
    <t>VANESA PINO GUIRALES</t>
  </si>
  <si>
    <t>DIANA MEJIA HENAO</t>
  </si>
  <si>
    <t>MANUELITA ANGÉLICA GIL HOYOS</t>
  </si>
  <si>
    <t>JENNY ENNITH OSPINA DURANGO</t>
  </si>
  <si>
    <t>RUBY CAROLINA VARGAS VELASQUEZ</t>
  </si>
  <si>
    <t>CARMEN IRENE VALLEJO CHAUCANEZ</t>
  </si>
  <si>
    <t>DIEGO NAPOLEON HERRERA CADAVID</t>
  </si>
  <si>
    <t>JUAN CARLOS BARÓN PUCHE</t>
  </si>
  <si>
    <t>MIGUEL ANGEL URIBE VARGAS</t>
  </si>
  <si>
    <t>JAVIER FRANCISCO SÁNCHEZ BLANCO</t>
  </si>
  <si>
    <t>JUAN PABLO SALDARRIAGA FERNANDEZ</t>
  </si>
  <si>
    <t>ALEXANDRA TAMAYO VASQUEZ</t>
  </si>
  <si>
    <t>ANGELA CAROLINA GIRALDO SALAZAR</t>
  </si>
  <si>
    <t>KELLY BERNAYS DURANGO ALEANS</t>
  </si>
  <si>
    <t>ERIK SEBASTIAN LLANO METRIO</t>
  </si>
  <si>
    <t>FABIO ALEJANDRO TABORDA GALLEGO</t>
  </si>
  <si>
    <t>JORGE ORLANDO CORREA RODAS</t>
  </si>
  <si>
    <t>JUAN FERNANDO CORDOBA BERMUDEZ</t>
  </si>
  <si>
    <t>LUIS CARLOS PAZOS</t>
  </si>
  <si>
    <t>LÍDER GENERAL DE INTERVENTORÍA</t>
  </si>
  <si>
    <t>COORDINADOR TECNICO</t>
  </si>
  <si>
    <t>INTERVENTOR JURIDICO 1</t>
  </si>
  <si>
    <t>INTERVENTOR JURIDICO 2</t>
  </si>
  <si>
    <t>ENLACE TECNICO 1</t>
  </si>
  <si>
    <t>ENLACE TECNICO 2</t>
  </si>
  <si>
    <t>ENLACE TECNICO 3</t>
  </si>
  <si>
    <t>ENLACE TECNICO 4</t>
  </si>
  <si>
    <t>ENLACE TECNICO 5</t>
  </si>
  <si>
    <t>INTERVENTOR EJECUTOR 1</t>
  </si>
  <si>
    <t>INTERVENTOR EJECUTOR 2</t>
  </si>
  <si>
    <t>INTERVENTOR EJECUTOR 3</t>
  </si>
  <si>
    <t>INTERVENTOR EJECUTOR 4</t>
  </si>
  <si>
    <t>INTERVENTOR EJECUTOR 5</t>
  </si>
  <si>
    <t>INTERVENTOR EJECUTOR 6</t>
  </si>
  <si>
    <t>INTERVENTOR EJECUTOR 7</t>
  </si>
  <si>
    <t>INTERVENTOR EJECUTOR 8</t>
  </si>
  <si>
    <t>INTERVENTOR EJECUTOR 9</t>
  </si>
  <si>
    <t>INTERVENTOR EJECUTOR 10</t>
  </si>
  <si>
    <t>INTERVENTOR EJECUTOR 11</t>
  </si>
  <si>
    <t>INTERVENTOR EJECUTOR 12</t>
  </si>
  <si>
    <t>INTERVENTOR EJECUTOR 13</t>
  </si>
  <si>
    <t>INTERVENTOR EJECUTOR 14</t>
  </si>
  <si>
    <t>INTERVENTOR EJECUTOR 15</t>
  </si>
  <si>
    <t>INTERVENTOR EJECUTOR 16</t>
  </si>
  <si>
    <t>INTERVENTOR EJECUTOR 17</t>
  </si>
  <si>
    <t>INTERVENTOR EJECUTOR 18</t>
  </si>
  <si>
    <t>INTERVENTOR EJECUTOR 19</t>
  </si>
  <si>
    <t>INTERVENTOR EJECUTOR 20</t>
  </si>
  <si>
    <t>INTERVENTOR EJECUTOR 21</t>
  </si>
  <si>
    <t>INTERVENTOR EJECUTOR 22</t>
  </si>
  <si>
    <t>INTERVENTOR EJECUTOR 23</t>
  </si>
  <si>
    <t>INTERVENTOR EJECUTOR 24</t>
  </si>
  <si>
    <t>INTERVENTOR EJECUTOR 25</t>
  </si>
  <si>
    <t>INTERVENTOR EJECUTOR 26</t>
  </si>
  <si>
    <t>INTERVENTOR EJECUTOR 27</t>
  </si>
  <si>
    <t>INTERVENTOR EJECUTOR 28</t>
  </si>
  <si>
    <t>INTERVENTOR EJECUTOR 29</t>
  </si>
  <si>
    <t>INTERVENTOR EJECUTOR 30</t>
  </si>
  <si>
    <t>INTERVENTOR EJECUTOR 31</t>
  </si>
  <si>
    <t>INTERVENTOR EJECUTOR 32</t>
  </si>
  <si>
    <t>INTERVENTOR EJECUTOR 33</t>
  </si>
  <si>
    <t>INTERVENTOR EJECUTOR 34</t>
  </si>
  <si>
    <t>INTERVENTOR EJECUTOR 35</t>
  </si>
  <si>
    <t>INTERVENTOR EJECUTOR 36</t>
  </si>
  <si>
    <t>INTERVENTOR EJECUTOR 37</t>
  </si>
  <si>
    <t>INTERVENTOR EJECUTOR 38</t>
  </si>
  <si>
    <t>INTERVENTOR EJECUTOR 39</t>
  </si>
  <si>
    <t>INTERVENTOR EJECUTOR 40</t>
  </si>
  <si>
    <t>INTERVENTOR EJECUTOR 41</t>
  </si>
  <si>
    <t>INTERVENTOR EJECUTOR 42</t>
  </si>
  <si>
    <t>INTERVENTOR EJECUTOR 43</t>
  </si>
  <si>
    <t>INTERVENTOR EJECUTOR 44</t>
  </si>
  <si>
    <t>INTERVENTOR EJECUTOR 45</t>
  </si>
  <si>
    <t>INTERVENTOR EJECUTOR 46</t>
  </si>
  <si>
    <t>INTERVENTOR EJECUTOR 47</t>
  </si>
  <si>
    <t>INTERVENTOR EJECUTOR 48</t>
  </si>
  <si>
    <t>INTERVENTOR EJECUTOR 49</t>
  </si>
  <si>
    <t>INTERVENTOR EJECUTOR 50</t>
  </si>
  <si>
    <t>INTERVENTOR EJECUTOR 51</t>
  </si>
  <si>
    <t>INTERVENTOR EJECUTOR 52</t>
  </si>
  <si>
    <t>TECNÓLOGO EN MANTENIMIENTO</t>
  </si>
  <si>
    <t>TÉCNICO EN MANTENIMIENTO 1</t>
  </si>
  <si>
    <t>TÉCNICO EN MANTENIMIENTO 2</t>
  </si>
  <si>
    <t>TÉCNICO EN MANTENIMIENTO 3</t>
  </si>
  <si>
    <t>TÉCNICO EN MANTENIMIENTO 4</t>
  </si>
  <si>
    <t>INTERVENTOR FINANCIERO 1</t>
  </si>
  <si>
    <t>INTERVENTOR FINANCIERO 2</t>
  </si>
  <si>
    <t>FECHA DE VISITA DD/MM/AAAA</t>
  </si>
  <si>
    <t xml:space="preserve">HORA INICIO DE VISITA HH:MM </t>
  </si>
  <si>
    <t xml:space="preserve">HORA FINALIZACION DE VISITA HH:MM </t>
  </si>
  <si>
    <t>FORMATO
FO-GESR Acta de Visita de Supervisión en Planta o Bodega – Seguridad Alimentaria</t>
  </si>
  <si>
    <t>1-ALMACENAMIENTO - PLANTA DE ENSAMBLE Y DISTRIBUCIÓN DE ALIMENTOS</t>
  </si>
  <si>
    <t>1.1 ¿La bodega está ubicada en el Valle de Aburrá, con área requerida y con uso exclusivo para el almacenamiento y distribución de alimentos?</t>
  </si>
  <si>
    <t>1.2 ¿Cuándo convergen varios programas estos están debidamente separados, señalizados y son de uso exclusivo para alimentos de consumo humano?</t>
  </si>
  <si>
    <t>1.3 ¿Cuenta con área mínima de bodega de acuerdo con el lote adjudicado?</t>
  </si>
  <si>
    <t>1.4 ¿Cuenta con equipos e implementos requeridos y sus características según el pliego de condiciones? (todos los equipos incluyendo estibas, carretillas y canastillas)</t>
  </si>
  <si>
    <t>1.5 ¿Cada vehículo cuenta con mínimo una carretilla para el transporte de alimentos?</t>
  </si>
  <si>
    <t>1.6 ¿La planta o bodega del contratista cuenta con concepto sanitario favorable sin observaciones ni condicionamientos?</t>
  </si>
  <si>
    <t>1.7 ¿Si el concepto sanitario cambia a desfavorable o a favorable con observaciones y/o condicionamientos, el contratista tendrá plazo de dos días hábiles para realizar todas las adecuaciones que retornen al concepto sanitario favorable o realizar cambio de bodega que cumpla con el requisito</t>
  </si>
  <si>
    <t>Columna28</t>
  </si>
  <si>
    <t>Columna29</t>
  </si>
  <si>
    <t>Columna30</t>
  </si>
  <si>
    <t>Columna31</t>
  </si>
  <si>
    <t>Columna32</t>
  </si>
  <si>
    <t>Columna33</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</si>
  <si>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</si>
  <si>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</si>
  <si>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</si>
  <si>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</si>
  <si>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</si>
  <si>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</si>
  <si>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</si>
  <si>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</si>
  <si>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</si>
  <si>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</si>
  <si>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</si>
  <si>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</si>
  <si>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</si>
  <si>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</si>
  <si>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</si>
  <si>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</si>
  <si>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</si>
  <si>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</si>
  <si>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</si>
  <si>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</si>
  <si>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</si>
  <si>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</si>
  <si>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</si>
  <si>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</si>
  <si>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</si>
  <si>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</si>
  <si>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</si>
  <si>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</si>
  <si>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</si>
  <si>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</si>
  <si>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</si>
  <si>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</si>
  <si>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</si>
  <si>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</si>
  <si>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</si>
  <si>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</si>
  <si>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</si>
  <si>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</si>
  <si>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</si>
  <si>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</si>
  <si>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</si>
  <si>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</si>
  <si>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</si>
  <si>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</si>
  <si>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</si>
  <si>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</si>
  <si>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</si>
  <si>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</si>
  <si>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</si>
  <si>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</si>
  <si>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</si>
  <si>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</si>
  <si>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</si>
  <si>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</si>
  <si>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</si>
  <si>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</si>
  <si>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</si>
  <si>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</si>
  <si>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</si>
  <si>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</si>
  <si>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</si>
  <si>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</si>
  <si>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</si>
  <si>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</si>
  <si>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</si>
  <si>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</si>
  <si>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</si>
  <si>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</si>
  <si>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</si>
  <si>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</si>
  <si>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</si>
  <si>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</si>
  <si>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</si>
  <si>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</si>
  <si>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</si>
  <si>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</si>
  <si>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</si>
  <si>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</si>
  <si>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</si>
  <si>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</si>
  <si>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</si>
  <si>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</si>
  <si>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</si>
  <si>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</si>
  <si>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</si>
  <si>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</si>
  <si>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</si>
  <si>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</si>
  <si>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</si>
  <si>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</si>
  <si>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</si>
  <si>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</si>
  <si>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</si>
  <si>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</si>
  <si>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</si>
  <si>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</si>
  <si>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</si>
  <si>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</si>
  <si>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</si>
  <si>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</si>
  <si>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</si>
  <si>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</si>
  <si>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</si>
  <si>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</si>
  <si>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</si>
  <si>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</si>
  <si>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</si>
  <si>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</si>
  <si>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</si>
  <si>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</si>
  <si>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</si>
  <si>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</si>
  <si>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</si>
  <si>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</si>
  <si>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</si>
  <si>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</si>
  <si>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</si>
  <si>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</si>
  <si>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</si>
  <si>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</si>
  <si>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</si>
  <si>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</si>
  <si>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</si>
  <si>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</si>
  <si>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</si>
  <si>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</si>
  <si>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</si>
  <si>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</si>
  <si>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</si>
  <si>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</si>
  <si>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</si>
  <si>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</si>
  <si>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</si>
  <si>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</si>
  <si>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</si>
  <si>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</si>
  <si>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</si>
  <si>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</si>
  <si>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</si>
  <si>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</si>
  <si>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</si>
  <si>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</si>
  <si>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</si>
  <si>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</si>
  <si>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</si>
  <si>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</si>
  <si>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</si>
  <si>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</si>
  <si>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</si>
  <si>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</si>
  <si>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</si>
  <si>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</si>
  <si>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</si>
  <si>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</si>
  <si>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</si>
  <si>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</si>
  <si>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</si>
  <si>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</si>
  <si>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</si>
  <si>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</si>
  <si>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</si>
  <si>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</si>
  <si>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</si>
  <si>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</si>
  <si>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</si>
  <si>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</si>
  <si>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</si>
  <si>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</si>
  <si>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Columna203</t>
  </si>
  <si>
    <t>2-ANÁLISIS FISICOQUÍMICOS Y MICROBIOLÓGICOS</t>
  </si>
  <si>
    <t>2.1 ¿Una vez obtenidos los resultados de los exámenes fisicoquímicos y/o microbiológicos, el Contratista inicia de inmediato los ajustes en aquellos productos que presentaron algún grado de alteración y garantiza la implementación de las acciones correctivas pertinentes, según los análisis realizados  al  proceso  desde  la producción hasta la distribución.</t>
  </si>
  <si>
    <t>2.2 ¿Toma una nueva muestra del producto que se encuentre disponible para distribución al siguiente día de conocidos los resultados microbiológicos con presencia de Patógenos?</t>
  </si>
  <si>
    <t>2.3 ¿En caso tal de que el proveedor sea suspendido y desee continuar suministrando el producto para el programa, implementa las acciones correctivas a las que haya lugar y a través del contratista solicita la visita técnica a la interventoría o supervisión para que esta verifique la validez y efectividad de las mismas?</t>
  </si>
  <si>
    <t xml:space="preserve">2.4 ¿Se solicita al contratista retire de inmediato la entrega de dicho alimento por parte de este proveedor y garantiza a la vez, el suministro del producto con otro proveedor que dé cumplimiento, en el caso en que el segundo resultado continúe presentando presencia de microorganismos patógenos?  </t>
  </si>
  <si>
    <t>3-CARACTERISTICAS DE LOS VEHICULOS PARA EL TRANSPORTE DE ALIMENTOS</t>
  </si>
  <si>
    <t>3.1 ¿Los vehículos cuentan con condiciones higiénico- sanitarias adecuadas según la resolución 2674 de 2013?</t>
  </si>
  <si>
    <t>3.2 ¿Los vehículos para el transporte de alimentos cumplen con la Resolución 2505 de 2004?</t>
  </si>
  <si>
    <t>3.3 ¿Cuenta con la documentación requerida para los vehículos transportadores de alimentos y son suficientes para garantizar la entrega adecuada y oportuna de los alimentos?</t>
  </si>
  <si>
    <t>3.4 ¿Todos los vehículos transportadores de alimentos cuentan con concepto sanitario favorable durante toda la ejecución del contrato?</t>
  </si>
  <si>
    <t>3.5 ¿Todos los vehículos transportadores de alimentos se encuentran identificados con una lona u otro material según los lineamientos de Comunicaciones de la Alcaldía de Medellín y es utilizada exclusivamente durante la jornada que demande la prestación del servicio PAE?</t>
  </si>
  <si>
    <t>4-CARACTERÍSTICAS GENERALES DE LOS ALIMENTOS</t>
  </si>
  <si>
    <t>4.1 ¿Los alimentos cumplen con las características establecidas en el Anexo B?</t>
  </si>
  <si>
    <t xml:space="preserve">4.2 ¿Los alimentos cumplen con el rotulado de acuerdo con la Resolución 5109/2005, 1506/2011 y 333/2011? </t>
  </si>
  <si>
    <t>4.3 ¿Los alimentos re empacados para el suministro a los EE deben cumplir lo establecido en el pliego de condiciones en cuanto a presentación, etiquetado incluyendo sticker que contenga nombre del producto, marca comercial, peso del producto, lote, fecha de vencimiento, instrucciones de conservación y numero, registro o permiso sanitario en los casos que aplique?</t>
  </si>
  <si>
    <t>4.4 ¿Realiza el reempaque de alimentos cumpliendo con los requisitos exigidos por la ley?  ¿No se re empaca margarina, pastas, queso fresco, leche en polvo, pulpas de frutas, salsas, atún y todos aquellos productos con empaques al vacío?</t>
  </si>
  <si>
    <t>4.5 ¿Se cumple con las marcas de alimentos aprobadas y relacionadas en el Anexo D?</t>
  </si>
  <si>
    <t>5-CICLOS DE MENÚ</t>
  </si>
  <si>
    <t>5.1 ¿La ración industrializada temporal se entrega diariamente en la zona urbana y como mínimo 2 veces a la semana en la zona rural en el horario concertado en coordinación con el EE?</t>
  </si>
  <si>
    <t>5.2 ¿La ración industrializada temporal semana 4 menú 19 se suministra cuando es solicitado, cumpliendo con las características de empaque individual y en bolsa de polipropileno transparente?</t>
  </si>
  <si>
    <t>5.3 ¿Se realizó la reposición de alimentos oportunamente ante una situación de alerta reportada por la interventoría, supervisión o personal del CIF?</t>
  </si>
  <si>
    <t>5.4 ¿El contratista cumple con los ciclos de menú establecidos por la Secretaria de Inclusión Social, familia y Derechos Humanos?</t>
  </si>
  <si>
    <t>5.5 ¿No repite la misma fruta o sabor de pulpa más de tres veces durante el ciclo de 20 días?  APLICA PARA RPS (AM/PM, CTA y RI)</t>
  </si>
  <si>
    <t>5.6 ¿Notifica por escrito los cambios de un componente del menú del VL por otro de la misma semana, y que corresponda a un producto del mismo grupo de alimentos?</t>
  </si>
  <si>
    <t>6-DISTRIBUCIÓN Y TRANSPORTE</t>
  </si>
  <si>
    <t>6.1 ¿El contratista lleva semanalmente a los EE, de acuerdo con los pedidos realizados por el ESAN, los insumos requeridos según el ciclo de menú y los cupos asignados en los horarios de 6:30am a 4:00pm en zona urbana y de 7:00am a 1:00pm en zona rural?</t>
  </si>
  <si>
    <t>6.2 ¿Se utiliza para el transporte de los alimentos las canastillas plásticas de alta densidad con perforaciones para frutas y verduras y en buen estado, costales de fibra o bolsas plásticas trasparentes según el tipo de alimento y dispone de estibas de polietileno de alta densidad y en buen estado (cuando el piso del vehículo no es acanalado); todos estos en adecuadas condiciones de limpieza y garantizan la protección de los alimentos?</t>
  </si>
  <si>
    <t>6.3 ¿En el formato de entrega de víveres se identifica los productos y cantidades de alimentos que se despachan de más por aproximación en la unidad de medida?</t>
  </si>
  <si>
    <t>6.4 ¿Se cumple con el plazo máximo de 16 horas para la reposición de faltantes antes de la preparación del menú correspondiente?</t>
  </si>
  <si>
    <t>6.5 ¿Si se presentan cancelaciones del suministro del Complemento Alimentario por situaciones de fuerza mayor, el contratista coordina con el ESAN la destinación de los complementos, plantea alternativas de servicio, atiende con otra modalidad o recoge?</t>
  </si>
  <si>
    <t>6.6 ¿Si se presenta cancelación del servicio o la asistencia es inferior al 70% de la R.P.S, se presta el servicio a los escolares con la modalidad VL por dos días máximo y si la emergencia persiste garantiza la atención con R.I.T?</t>
  </si>
  <si>
    <t>6.7 ¿El día viernes inmediatamente anterior al inicio de los periodos cortos y largos de vacaciones se presta el servicio con ración industrializada temporal con el menú correspondiente para dicha semana?</t>
  </si>
  <si>
    <t>6.8 ¿Después de los periodos de vacaciones escolares el contratista realiza la entrega de víveres dentro de los tres días anteriores al inicio de la jornada escolar con el fin de reiniciar el servicio a todos los escolares desde el primer día de jornada escolar?</t>
  </si>
  <si>
    <t xml:space="preserve">6.9 ¿Se inicia con el primer menú, si para el inicio del programa después de semana Santa, se requiere realizar dos entregas de alimentos en la misma semana a un EE, siempre y cuando la primera entrega no supere tres (3) días descontando los primeros menú de la semana y en la segunda entrega los días de menú pendientes y correspondientes al pedido?  </t>
  </si>
  <si>
    <t>6.10 ¿En reinicios escolares posterior a vacaciones (excepto Semana Santa) se realiza el despacho con los menús correspondientes a la semana 1 y el segundo despacho con los menús correspondientes a la semana 2?</t>
  </si>
  <si>
    <t>6.11 ¿Diariamente de acuerdo con el pedido, se entrega el VL, la RI? T y la R.I, al personal distribuidor según menú y cupos asignados?</t>
  </si>
  <si>
    <t>6.12 ¿Las bebidas lácteas: ¿leche líquida y yogur, cuentan en su empaque con la siguiente leyenda? “Municipio de Medellín Secretaría de Inclusión Social, Familia y Derechos Humanos; prohibida su venta o comercialización”
 El empaque primario de las bebidas lácteas no podrá ser de fondo transparente. Esta leyenda no podrá ir con sticker, ni con maquina selladora al calor.</t>
  </si>
  <si>
    <t>6.13 ¿Los Complementos RI? T, V.L y RI son distribuidos al E.E según las condiciones de temperatura y empaque descritas en el pliego para cada modalidad.  ¿El dulce o postre y el panificado sin queso solo se refrigera en el transporte?</t>
  </si>
  <si>
    <t>6.14 ¿Cuenta con la porción completa de RI.T, R.I Y V.L para ser evaluados diariamente por el interventor y/o Supervisor en el momento del despacho en la planta o bodega de alimentos?</t>
  </si>
  <si>
    <t>6.15 ¿Si algún componente del Complemento presenta desviaciones en cuanto a características físico – organolépticas y/o de temperatura, que impiden el despacho del producto el contratista está preparado para suministrar un alimento de características nutricionales y de costo similar al del producto retenido para ser despachado?</t>
  </si>
  <si>
    <t xml:space="preserve">6.16 ¿Repone los faltantes de alimentos para las modalidades R?I.T - R.I y V.L hasta las 9:30 am  </t>
  </si>
  <si>
    <t>6.17 ¿Después de los periodos de vacaciones hace entrega del Complemento RI y VL desde el primer día de la jornada escolar, iniciando con la semana 1 y el número de menú que corresponda al día de inicio?</t>
  </si>
  <si>
    <t>7-DOTACIÓN DE EQUIPOS DE MEDICIÓN</t>
  </si>
  <si>
    <t>7.1 ¿Remite copia a la interventoría y/o Supervisión de las actas de entrega de equipos de medición a los EE?</t>
  </si>
  <si>
    <t>7.2 ¿Los equipos de medición cumplen con las especificaciones establecidas?</t>
  </si>
  <si>
    <t>8-MANEJO HIGIÉNICO SANITARIO</t>
  </si>
  <si>
    <t>8.2 ¿Preparan con máximo 72 horas de anticipación a la distribución los productos de panadería que conforman el ciclo de menú de la R?I.T, R.I y V.L (excepto calados y bizcochos)?</t>
  </si>
  <si>
    <t xml:space="preserve">8.3 ¿Guarda una muestra completa del menú VL, RIT y RI ofrecido por día y por número de lote a los que haya lugar, durante 72 o 96 horas fin de semana con festivo, esta muestra está rotulada, mínimo con fecha de distribución, hora de despacho e ingredientes del menú? </t>
  </si>
  <si>
    <t>9-OBLIGACIÓN  51 Y 52</t>
  </si>
  <si>
    <t>9.1 ¿El Contratista da cumplimiento a los procesos establecidos en el Programa de gestión de proveedores, realiza y documenta el seguimiento para garantizar las condiciones de entrega de productos con calidad?</t>
  </si>
  <si>
    <t>10-PERSONAL REQUERIDO</t>
  </si>
  <si>
    <t>10.1 ¿El Contratista tiene en un lugar visible los horarios de trabajo del personal vinculado para la ejecución del Programa?</t>
  </si>
  <si>
    <t xml:space="preserve">10.3 ¿Los conductores y auxiliares empleados en la ejecución del Programa tienen certificado de manipulación de alimentos, lo portan de manera permanente y usan el uniforme que cumple con las especificaciones contempladas en el capítulo III artículo 14 de la Resolución 2674 de 2013 y la imagen corporativa vigente del Municipio de Medellín (logo y slogan)? </t>
  </si>
  <si>
    <t xml:space="preserve">10.2 ¿Los conductores y auxiliares empleados en la ejecución del Programa usan el uniforme cumpliendo con la imagen corporativa del Municipio de Medellín? </t>
  </si>
  <si>
    <t>10.4 ¿El Contratista adiestra  el personal manipulador de alimentos en ciclo de menú, la preparación de los alimentos, aspectos higiénico-sanitarios, entrega de raciones, población focalizada, diligenciamiento de formatos, manejo de Kárdex, plan de saneamiento básico y buen servicio (relaciones interpersonales con los escolares titulares de derecho y la comunidad educativa donde labora)?</t>
  </si>
  <si>
    <t>10.5 ¿El Contratista formula e implementa un Plan de Capacitación Continua, no inferior a 10 horas anuales y contiene metodología, duración, formación del profesional que lo dicta, cronograma y temas específicos (manejo adecuado de alimentos, preparación y presentación de alimentos, contratación y temas en materia laboral)?</t>
  </si>
  <si>
    <t>10.6 ¿El Contratista cumple con el perfil requerido del "Supervisor" y este es capacitado y entrenado en sus funciones previa a su iniciación de actividades de campo?</t>
  </si>
  <si>
    <t>10.7 ¿El Supervisor del contratista cuenta con balanza, termómetro, gorro y delantal de color claro con imagen corporativa de la Alcaldía de Medellín y el Nombre?</t>
  </si>
  <si>
    <t>11-PLAN DE SANEAMIENTO BÁSICO</t>
  </si>
  <si>
    <t>11.1 ¿El Contratista diseña un Plan de Saneamiento Básico (PSB), cuenta con una copia en la Bodega de almacenamiento y distribución y lo implementa?</t>
  </si>
  <si>
    <t>11.2 ¿El Plan de Saneamiento Básico cuenta con las fichas técnicas y hojas de seguridad de los productos de aseo y fumigación utilizados, el Plan está ajustado a cada EE y cuenta con los registros de verificación, listas de chequeo y demás soportes de estas actividades en cada uno de ellos?</t>
  </si>
  <si>
    <t>12-PLANTA DE ENSAMBLE Y DISTRIBUCIÓN DE ALIMENTOS</t>
  </si>
  <si>
    <t>12.1 ¿Para RI, cuenta con una capacidad de ensamble acorde con los cupos licitados para esta modalidad ¿dicha capacidad se cumple en un máximo de 18 horas?</t>
  </si>
  <si>
    <t>13-PROCESAMIENTO Y DISTRIBUCIÓN DE LA ALIMENTACIÓN (MODALIDAD RACIÓN PREPARADA EN SITIO)</t>
  </si>
  <si>
    <t>13.1 ¿Si se presentan sobrantes de alimentos, el Contratista los recoge oportunamente y reporta el ESAN en el Formato y tiempo establecido?</t>
  </si>
  <si>
    <t>14-PROGRAMA DE CONTROL DE PLAGAS</t>
  </si>
  <si>
    <t>14.1 ¿Instala barreras físicas para evitar el ingreso de plagas del exterior al interior de la planta y/o bodega reportadas y cumplen con las condiciones solicitadas en el pliego?</t>
  </si>
  <si>
    <t>14.2 ¿Realiza el control químico o biológico y de manera oportuna? (Se diligencia cuando aplica)</t>
  </si>
  <si>
    <t>14.3 ¿Realiza al final de año lectivo escolar la fumigación a la totalidad de los comedores escolares y espacios físicos para el funcionamiento del vaso de leche asignados, una semana posterior a la terminación de la prestación del servicio después de realizar una limpieza exhaustiva?</t>
  </si>
  <si>
    <t>14.4 ¿Gestiona con el rector del EE la realización de acciones conjuntas y efectivas de control de plagas y el ingreso de la empresa fumigadora por fuera de la jornada escolar?</t>
  </si>
  <si>
    <t>15.5 ¿Gestiona el permiso con los EE para las actividades de control de plagas que requieren el ingreso por fuera de la jornada escolar?</t>
  </si>
  <si>
    <t>15-PROGRAMA DE LIMPIEZA Y DESINFECCIÓN</t>
  </si>
  <si>
    <t>15.1 ¿Los procedimientos de limpieza y desinfección satisfacen las necesidades particulares del proceso y del producto de que se trate? ¿Y tienen por escrito todos los POES (Procedimientos Operativos Estandarizados de Saneamiento) incluyendo agentes y sustancias que se utilicen con sus respectivas concentraciones y usos en planta y en EE?</t>
  </si>
  <si>
    <t>16-SOLICITUD DE PEDIDOS</t>
  </si>
  <si>
    <t>16.1 ¿Cuenta mínimo con tres (3) líneas telefónicas fijas o un (1) PBX, y asigna el personal suficiente para la atención telefónica que garantice la oportunidad en la misma?</t>
  </si>
  <si>
    <t>16.2 ¿Para RPS, en los casos donde el pedido sea inferior a cinco (5) días, el contratista descuenta el menú o los menús según el caso, de adelante para atrás?</t>
  </si>
  <si>
    <t>16.3 ¿El contrista recibe, almacena y/o distribuye las donaciones conjuntamente con los víveres solicitados y entregados semanalmente sin generar un costo adicional?</t>
  </si>
  <si>
    <t>17-SUMINISTRO DE IMPLEMENTOS DE ASEO Y GAS</t>
  </si>
  <si>
    <t>17.1 ¿El contratista relaciona los productos de aseo en una remisión de entrega indicando los requisitos mínimos establecidos en la licitación pública 0070006718</t>
  </si>
  <si>
    <t>17.2 ¿Efectúa la primera entrega de los implementos de aseo al inicio de la ejecución del contrato o luego de los periodos cortos y largos de vacaciones, previo a la prestación del servicio garantizando la jornada exhaustiva de limpieza y desinfección de todas las áreas del comedor escolar antes del recibo de los alimentos?</t>
  </si>
  <si>
    <t>18-TEMPERATURAS Y EMPAQUE</t>
  </si>
  <si>
    <t>18.1 ¿El Contratista diariamente suministra la R.I empacadas en bolsa de polipropileno transparente con un (1) adhesivo de color rojo para transición a 3°, verde de 4° a 8° y blanco 9° a 11°, con leyenda: “Municipio de Medellín Secretaría de Inclusión Social, Familia y Derechos Humanos; prohibida su venta o comercialización”, logo y slogan vigente de la Alcaldía de Medellín, menú, nombre del Contratista, teléfono y fecha máxima de consumo y contiene una servilleta en su interior?</t>
  </si>
  <si>
    <t>18.2 ¿El Complemento se distribuye al EE con las condiciones de temperatura y empaque descritas en el pliego de condiciones, las bolsas con producto son resistentes y se transportan en canastillas, la fruta, el dulce y el panificado solo se refrigera en el transporte?</t>
  </si>
  <si>
    <t>19.1 ¿El Contratista suministró refrigeradores verticales y hornos Semi - industriales con la oferta de calidad?</t>
  </si>
  <si>
    <t>19-OFERTA DE CALIDAD</t>
  </si>
  <si>
    <t>Artículo 26.</t>
  </si>
  <si>
    <t>Sus accesos y alrededores se mantendrán limpios, libres de acumulación de basuras y deberán tener superficies pavimentadas o recubiertas con materiales que faciliten el mantenimiento sanitario e impidan la generación de polvo, el estancamiento de aguas o la presencia de otras fuentes de contaminación para el alimento.</t>
  </si>
  <si>
    <t>Los diversos ambientes de la edificación deben tener el tamaño adecuado para la instalación, operación y mantenimiento de los equipos, así como para la circulación del personal y el traslado de materiales o productos. Estos ambientes deben estar ubicados según la secuencia lógica del proceso, desde la recepción de los insumos hasta el despacho del producto terminado, de tal manera que se eviten retrasos indebidos y la contaminación cruzada. De ser requerido, tales ambientes deben dotarse de las condiciones de temperatura, humedad u otras necesarias para la ejecución higiénica de las operaciones de producción y/o para la conservación del alimento.</t>
  </si>
  <si>
    <t>Los servicios sanitarios deben mantenerse limpios y proveerse de los recursos requeridos para la higiene personal, tales como, pero sin limitarse a: papel higiénico, dispensador de jabón, desinfectante, implementos desechables o equipos automáticos para el secado de las manos y papeleras de accionamiento indirecto o no manual.</t>
  </si>
  <si>
    <t>Se deben instalar lavamanos con grifos de accionamiento no manual dotados con dispensador de jabón desinfectante, implementos desechables o equipos automáticos para el secado de manos, en las áreas de elaboración o próximos a estas para la higiene del personal que participe en la manipulación de los alimentos y para facilitar la supervisión de estas prácticas. Estas áreas deben ser de uso exclusivo para este propósito.</t>
  </si>
  <si>
    <t>El sistema de tuberías y drenajes para la conducción y recolección de las aguas residuales debe tener la capacidad y la pendiente requeridas para permitir una salida rápida y efectiva de los volúmenes máximos generados por el establecimiento. Los drenajes de piso deben tener la debida protección con rejillas y si se requieren trampas adecuadas para grasas y/o sólidos, deben estar diseñadas de forma que permitan su limpieza.</t>
  </si>
  <si>
    <t>En lo posible, no se debe permitir el uso de techos falsos o dobles techos, a menos que se construyan con materiales impermeables, resistentes, lisos, de fácil limpieza y con accesibilidad a la cámara superior para realizar la limpieza, desinfección y des infestación.</t>
  </si>
  <si>
    <t>En el caso de los falsos techos, las láminas utilizadas, deben fijarse de tal manera que se evite su fácil remoción por acción de corrientes de aire u otro factor externo ajeno a las labores de limpieza, desinfección y des infestación.</t>
  </si>
  <si>
    <t xml:space="preserve"> Las ventanas y otras aberturas en las paredes deben construirse de manera tal que se evite la entrada y acumulación de polvo, suciedades, al igual que el ingreso de plagas y facilitar la limpieza y desinfección.</t>
  </si>
  <si>
    <t>Las ventanas que se comuniquen con el ambiente exterior deben estar diseñadas de tal manera que se evite el ingreso de plagas y otros contaminantes, y estar provistas con malla antiinsecto de fácil limpieza y buena conservación que sean resistentes a la limpieza y la manipulación. Los vidrios de las ventanas ubicadas en áreas de proceso deben tener protección para evitar contaminación en caso de ruptura.</t>
  </si>
  <si>
    <t>Condiciones generales. Los equipos y utensilios utilizados en el procesamiento, fabricación, preparación, envasado y expendio de alimentos dependen del tipo del alimento, materia prima o insumo, de la tecnología a emplear y de la máxima capacidad de producción prevista. Todos ellos deben estar diseñados, construidos, instalados y mantenidos de manera que se evite la contaminación del alimento, facilite la limpieza y desinfección de sus superficies y permitan desempeñar adecuadamente el uso previsto.</t>
  </si>
  <si>
    <t>Todas las superficies de contacto con el alimento deben cumplir con las resoluciones 683, 4142 y 4143 de 2012 o las normas que las modifiquen, adicionen o sustituyan.</t>
  </si>
  <si>
    <t>Los recipientes usados para materiales no comestibles y desechos deben ser a prueba de fugas, debidamente identificados, construidos de material impermeable, de fácil limpieza y desinfección y, de ser requerido, provistos de tapa hermética. Los mismos no pueden utilizarse para contener productos comestibles.</t>
  </si>
  <si>
    <t>Los equipos que se utilicen en operaciones críticas para lograr la inocuidad del alimento deben estar dotados de los instrumentos y accesorios requeridos para la medición y registro de las variables del proceso. Así mismo, deben poseer dispositivos para permitir la toma de muestras del alimento y materias primas.</t>
  </si>
  <si>
    <t>Educación y capacitación. Todas las personas que realizan actividades de manipulación de alimentos deben tener formación en educación sanitaria, principios básicos de Buenas Prácticas de Manufactura y prácticas higiénicas en manipulación de alimentos. Igualmente, deben estar capacitados para llevar a cabo las tareas que se les asignen o desempeñen, con el fin de que se encuentren en capacidad de adoptar las precauciones y medidas preventivas necesarias para evitar la contaminación o deterioro de los alimentos.</t>
  </si>
  <si>
    <t>Las empresas deben tener un plan de capacitación continuo y permanente para el personal manipulador de alimentos desde el momento de su contratación y luego ser reforzado mediante charlas, cursos u otros medios efectivos de actualización. Dicho plan debe ser de por lo menos 10 horas anuales, sobre asuntos específicos de que trata la presente resolución. Esta capacitación estará bajo la responsabilidad de la empresa y podrá ser efectuada por esta, por personas naturales o jurídicas contratadas y por las autoridades sanitarias. Cuando el plan de capacitación se realice a través de personas naturales o jurídicas diferentes a la empresa, estas deben demostrar su idoneidad técnica y científica y su formación y experiencia específica en las áreas de higiene de los alimentos, Buenas Prácticas de Manufactura y sistemas preventivos de aseguramiento de la inocuidad.</t>
  </si>
  <si>
    <t>Plan de capacitación. El plan de capacitación debe contener, al menos, los siguientes aspectos: Metodología, duración, docentes, cronograma y temas específicos a impartir. El enfoque, contenido y alcance de la capacitación impartida debe ser acorde con la empresa, el proceso tecnológico y tipo de establecimiento de que se trate. En todo caso, la empresa debe demostrar a través del desempeño de los operarios y la condición sanitaria del establecimiento la efectividad e impacto de la capacitación impartida.</t>
  </si>
  <si>
    <t>Para reforzar el cumplimiento de las prácticas higiénicas, se colocarán en sitios estratégicos avisos alusivos a la obligatoriedad y necesidad de su observancia durante la manipulación de alimentos.</t>
  </si>
  <si>
    <t>Usar vestimenta de trabajo que cumpla los siguientes requisitos: De color claro que permita visualizar fácilmente su limpieza; con cierres o cremalleras y/o broches en lugar de botones u otros accesorios que puedan caer en el alimento; sin bolsillos ubicados por encima de la cintura; cuando se utiliza delantal, este debe permanecer atado al cuerpo en forma segura para evitar la contaminación del alimento y accidentes de trabajo.  La empresa será responsable de una dotación de vestimenta de trabajo en número suficiente para el personal manipulador, con el propósito de facilitar el cambio de indumentaria el cual será consistente con el tipo de trabajo que desarrolla.  En ningún caso se podrán aceptar colores grises o aquellos que impidan evidenciar su limpieza, en la dotación de los manipuladores de alimentos.</t>
  </si>
  <si>
    <t>Las materias primas e insumos deben ser inspeccionados previo al uso, clasificados y sometidos a análisis de laboratorio cuando así se requiera, para determinar si cumplen con las especificaciones de calidad establecidas al efecto. Es responsabilidad de la persona natural o jurídica propietaria del establecimiento, garantizar la calidad e inocuidad de las materias primas e insumos.</t>
  </si>
  <si>
    <t>Todo el proceso de fabricación del alimento, incluyendo las operaciones de envasado y almacenamiento, deben realizarse en óptimas condiciones sanitarias, de limpieza y conservación y con los controles necesarios para reducir el crecimiento de microorganismos y evitar la contaminación del alimento. Para cumplir con este requisito, se deben controlar factores, tales como tiempo, temperatura, humedad, actividad acuosa (Aw), PH, presión y velocidad de flujo. Adicionalmente, se debe vigilar las operaciones de fabricación, tales como congelación, deshidratación, tratamiento térmico, acidificación y refrigeración, asegurando que los tiempos de espera, las fluctuaciones de temperatura y otros factores, no contribuyan a la alteración o contaminación del alimento.</t>
  </si>
  <si>
    <t>Los métodos de esterilización, irradiación, ozonización, cloración, pasteurización, ultra pasteurización, ultra alta temperatura, congelación, refrigeración, control de pH, y de actividad acuosa (Aw) entre otros, que se utilizan para destruir y evitar el crecimiento de microorganismos indeseables, deben ser suficientes y validados bajo las condiciones de fabricación, procesamiento, manipulación, distribución y comercialización, para evitar la alteración y deterioro de los alimentos.</t>
  </si>
  <si>
    <t>Identificación de lotes. Cada envase y embalaje debe llevar marcado o grabado la identificación de la fábrica productora y el lote de fabricación, la cual se debe hacer en clave o en lenguaje claro, de forma visible, legible e indeleble (Números, alfanumérico, ranuras, barras, perforaciones, fecha de producción, fecha de fabricación, fecha de vencimiento), teniendo en cuenta lo establecido en la resolución 5109 de 2005 o la norma que la modifique, adicione o sustituya. A partir del lote, fecha de vencimiento o fabricación se debe garantizar la trazabilidad hacia adelante y hacia atrás de los productos elaborados, así como de las materias primas utilizadas en su fabricación. No se aceptará el uso de adhesivos para declarar esta información.</t>
  </si>
  <si>
    <t>Cuando sea requerido, se deben implementar filtros sanitarios (lava bota, pediluvios o instalaciones para limpieza y desinfección de calzado, lava manos de accionamiento no manual y toallas desechables o secador de manos, aspiradoras de polvo y contaminación, etc.), debidamente dotados y provistos de sustancias desinfectantes en cantidad suficiente para impedir el paso de contaminación de unas zonas a otras. En cualquier caso, se debe garantizar la limpieza y desinfección de manos de los operarios al ingreso de la sala de proceso o de manipulación de los productos.</t>
  </si>
  <si>
    <t>Control de la calidad e inocuidad. Todas las operaciones de fabricación, procesamiento, envase, embalado, almacenamiento, distribución, comercialización y expendio de los alimentos deben estar sujetas a los controles de calidad e inocuidad apropiados. Los procedimientos de control de calidad e inocuidad deben prevenir los defectos evitables y reducir los defectos naturales o inevitables a niveles tales que no representen riesgo para la salud. Estos controles variarán según el tipo de alimento y las necesidades del establecimiento y deben rechazar todo alimento que represente riesgo para la salud del consumidor.</t>
  </si>
  <si>
    <t>Sistema de control. Todas las fábricas de alimentos deben contar con un sistema de control y aseguramiento de calidad, el cual debe ser esencialmente preventivo y cubrir todas las etapas de procesamiento del alimento, desde la obtención de materias primas e insumos, hasta la distribución de productos terminados, el cual debe contar como mínimo, con los siguientes aspectos:</t>
  </si>
  <si>
    <t>Documentación sobre planta, equipos y proceso. Se debe disponer de manuales de instrucciones, guías y regulaciones donde se describen los detalles esenciales de equipos, procesos y procedimientos requeridos para fabricar o procesar productos.  Estos documentos deben cubrir todos los factores que puedan afectar la calidad, manejo de los alimentos, del equipo de procesamiento, el control de calidad, almacenamiento, distribución, métodos y procedimientos de laboratorio.</t>
  </si>
  <si>
    <t>El control y el aseguramiento de la calidad no se limita a las operaciones de laboratorio, sino que debe estar presente en todas las decisiones vinculadas con la calidad del producto.</t>
  </si>
  <si>
    <t>Laboratorios.  Todas las fábricas de alimentos que procesen elaboren o envasen alimentos deben tener acceso a un laboratorio de pruebas y ensayos, propio o externo. Estos laboratorios deberán cumplir con lo dispuesto en la Resolución 16078 de 1985, o la norma que la modifique, adicione o sustituya.</t>
  </si>
  <si>
    <t>Obligatoriedad de profesional o personal técnico. Los establecimientos que fabriquen procesen, elaboren o envasen alimentos de alto riesgo en salud pública, deben contar con los servicios de tiempo completo de personal técnico idóneo en las áreas de producción y control de calidad de alimentos, quien debe tener a cargo el programa de capacitación del personal manipulador de alimentos.</t>
  </si>
  <si>
    <t>Garantía de la confiabilidad de las mediciones. Toda persona natural o jurídica propietaria del establecimiento de que trata esta resolución deben garantizar la confiabilidad de las mediciones que se realizan para el control de puntos o variables críticas del proceso, para lo cual deben tener implementado un programa de calibración de los equipos e instrumentos de medición, que se encuentren relacionados con la inocuidad del producto procesado.</t>
  </si>
  <si>
    <t>Plan de saneamiento. Toda persona natural o jurídica propietaria del establecimiento que fabrique, procese, envase, embale, almacene y expenda alimentos y sus materias primas debe implantar y desarrollar un Plan de Saneamiento con objetivos claramente definidos y con los procedimientos requeridos para disminuir los riesgos de contaminación de los alimentos. Este plan debe estar escrito y a disposición de la autoridad sanitaria competente; este debe incluir como mínimo los procedimientos, cronogramas, registros, listas de chequeo y responsables de los siguientes programas:</t>
  </si>
  <si>
    <t>Desechos sólidos. Debe contarse con la infraestructura, elementos, áreas, recursos y procedimientos que garanticen una eficiente labor de recolección, conducción, manejo, almacenamiento interno, clasificación, transporte y disposición final de los desechos sólidos, lo cual tendrá que hacerse observando las normas de higiene y salud ocupacional establecidas con el propósito de evitar la contaminación de los alimentos, áreas, dependencias y equipos, y el deterioro del medio ambiente.</t>
  </si>
  <si>
    <t>El almacenamiento de productos que requieren refrigeración o congelación se realizará teniendo en cuenta las condiciones de temperatura, humedad y circulación del aire que requiera el alimento, materia prima o insumo.  Estas instalaciones se mantendrán limpias y en buenas condiciones higiénicas, además, se llevará a cabo un control de temperatura y humedad que asegure la conservación del producto. Los dispositivos de registro de la temperatura y humedad deben inspeccionarse a intervalos regulares y se debe comprobar su exactitud. La temperatura de congelación debe ser de -18ºC o menor.</t>
  </si>
  <si>
    <t>El almacenamiento de los insumos, materias primas y productos terminados se realizará de manera que se minimice su deterioro y se eviten aquellas condiciones que puedan afectar la inocuidad, funcionalidad e integridad de los mismos. Además, se deben identificar claramente y llevar registros para conocer su uso, procedencia, calidad y tiempo de vida.</t>
  </si>
  <si>
    <t>El almacenamiento de los alimentos y materias primas devueltos a la empresa o que se encuentren dentro de sus instalaciones con fecha de vencimiento caducada, debe realizarse en un área o depósito exclusivo para tal fin; este lugar debe identificarse claramente, se llevará un libro de registro en el cual se consigne la fecha y la cantidad de producto, las salidas parciales o totales y su destino final. Estos productos en ningún caso pueden destinarse al reproceso para elaboración de alimentos para consumo humano. Estos registros estarán a disposición de la autoridad sanitaria competente.</t>
  </si>
  <si>
    <t>En condiciones que impidan la contaminación y la proliferación de microorganismos y eviten su alteración, así como los daños en el envase o embalaje según sea el caso.</t>
  </si>
  <si>
    <t>Los medios de transporte que posean sistema de refrigeración o congelación deben contar con un adecuado funcionamiento que garantice el mantenimiento de las temperaturas requeridas para la conservación de los alimentos o sus materias primas, contando con indicadores y sistemas de registro.</t>
  </si>
  <si>
    <t>Los medios de transporte y los recipientes en los cuales se transportan los alimentos o materias primas deben estar fabricados con materiales tales que permitan una correcta limpieza y desinfección.</t>
  </si>
  <si>
    <t>Se prohibe disponer los alimentos directamente sobre el piso de los medios de transporte. Para este fin se utilizarán los recipientes, canastillas, o implementos de material adecuado, de manera que aislen el producto de toda posibilidad de contaminación.</t>
  </si>
  <si>
    <t>Se prohibe transportar conjuntamente en un mismo vehículo alimentos o materias primas con sustancias peligrosas y otras sustancias que por su naturaleza representen riesgo de contaminación del alimento o la materia prima.</t>
  </si>
  <si>
    <t>Los vehículos transportadores de alimentos deben llevar en su exterior en forma claramente visible la leyenda Transporte de Alimentos.</t>
  </si>
  <si>
    <t>Los vehículos destinados al transporte de alimentos y materias primas deben cumplir dentro del territorio colombiano con los requisitos sanitarios que garanticen la adecuada protección y conservación de los mismos, para lo cual las autoridades sanitarias realizarán las actividades de inspección, vigilancia y control necesarias para velar por su cumplimiento. Parágrafo Las autoridades sanitarias practicarán la inspección en el vehículo y/o medio de transporte y, por acta harán constar las condiciones sanitarias del mismo.</t>
  </si>
  <si>
    <t>Las autoridades sanitarias practicarán la inspección en el vehículo y/o medio de transporte y, por acta harán constar las condiciones sanitarias del mismo.</t>
  </si>
  <si>
    <t xml:space="preserve"> Condiciones generales. Las operaciones y condiciones de almacenamiento, distribución, transporte y comercialización deben evitar:
a) La contaminación y alteración;
b) La proliferación de microorganismos indeseables;
c) El deterioro o daño del envase o embalaje.</t>
  </si>
  <si>
    <t>14.5 ¿Gestiona el permiso con los EE para las actividades de control de plagas que requieren el ingreso por fuera de la jornada escolar?</t>
  </si>
  <si>
    <t>COMPLEMENTO ALIMENTARIO AM/PM</t>
  </si>
  <si>
    <t>VASO DE LECHE</t>
  </si>
  <si>
    <t>Visita 6</t>
  </si>
  <si>
    <t>ACT-006</t>
  </si>
  <si>
    <t>Visita 7</t>
  </si>
  <si>
    <t>ACT-007</t>
  </si>
  <si>
    <t>Visita 8</t>
  </si>
  <si>
    <t>ACT-008</t>
  </si>
  <si>
    <t>Visita 9</t>
  </si>
  <si>
    <t>ACT-009</t>
  </si>
  <si>
    <t>Visita 10</t>
  </si>
  <si>
    <t>ACT-010</t>
  </si>
  <si>
    <t>Visita 11</t>
  </si>
  <si>
    <t>ACT-011</t>
  </si>
  <si>
    <t>Visita 12</t>
  </si>
  <si>
    <t>ACT-012</t>
  </si>
  <si>
    <t>Visita 13</t>
  </si>
  <si>
    <t>ACT-013</t>
  </si>
  <si>
    <t>Visita 14</t>
  </si>
  <si>
    <t>ACT-014</t>
  </si>
  <si>
    <t>Visita 15</t>
  </si>
  <si>
    <t>ACT-015</t>
  </si>
  <si>
    <t>Visita 16</t>
  </si>
  <si>
    <t>ACT-016</t>
  </si>
  <si>
    <t>Visita 17</t>
  </si>
  <si>
    <t>ACT-017</t>
  </si>
  <si>
    <t>Visita 18</t>
  </si>
  <si>
    <t>ACT-018</t>
  </si>
  <si>
    <t>Visita 19</t>
  </si>
  <si>
    <t>ACT-019</t>
  </si>
  <si>
    <t>Visita 20</t>
  </si>
  <si>
    <t>ACT-020</t>
  </si>
  <si>
    <t>Visita 21</t>
  </si>
  <si>
    <t>ACT-021</t>
  </si>
  <si>
    <t>Visita 22</t>
  </si>
  <si>
    <t>ACT-022</t>
  </si>
  <si>
    <t>Visita 23</t>
  </si>
  <si>
    <t>ACT-023</t>
  </si>
  <si>
    <t>Visita 24</t>
  </si>
  <si>
    <t>ACT-024</t>
  </si>
  <si>
    <t>Visita 25</t>
  </si>
  <si>
    <t>ACT-025</t>
  </si>
  <si>
    <t>EMMA MUÑOZ</t>
  </si>
  <si>
    <t>OPERADOR 1</t>
  </si>
  <si>
    <t>OPERADOR 2</t>
  </si>
  <si>
    <t>Columna5</t>
  </si>
  <si>
    <t>Columna6</t>
  </si>
  <si>
    <t>BODEGA 1</t>
  </si>
  <si>
    <t>BODEGA 2</t>
  </si>
  <si>
    <t>JULIO</t>
  </si>
  <si>
    <t>NOMBRE SUPERVISOR</t>
  </si>
  <si>
    <t>NOMBRE DE QUIEN RECIBE LA SOCIALIZACION</t>
  </si>
  <si>
    <t>1. FECHA DE VISITA</t>
  </si>
  <si>
    <t>1. CONDICIONES 
HIGIENICO-SANITARIAS</t>
  </si>
  <si>
    <t>1. SOCIALIZACIÓN 
DE HALLAZGOS</t>
  </si>
  <si>
    <t>1. CONTROL 
METROLÓGICO</t>
  </si>
  <si>
    <t>1. SEGUIMIENTO A 
PERSONAL O VEHÍCULOS</t>
  </si>
  <si>
    <t>1. REGISTRO 
DE LA BITÁCORA</t>
  </si>
  <si>
    <t>1. RASTREO FISICOQUÍMICO
O MICROBIOLÓGICO</t>
  </si>
  <si>
    <t>1. PROCESOS REALIZADOS</t>
  </si>
  <si>
    <t>2. PROCESOS REALIZADOS</t>
  </si>
  <si>
    <t>2. FECHA DE VISITA</t>
  </si>
  <si>
    <t>2. VERIFICACIÓN 
DE MATERIA PRIMA</t>
  </si>
  <si>
    <t>1. VERIFICACIÓN 
DE MATERIA PRIMA</t>
  </si>
  <si>
    <t>2. CONDICIONES 
HIGIENICO-SANITARIAS</t>
  </si>
  <si>
    <t>2. SOCIALIZACIÓN 
DE HALLAZGOS</t>
  </si>
  <si>
    <t>2. CONTROL 
METROLÓGICO</t>
  </si>
  <si>
    <t>2. SEGUIMIENTO A 
PERSONAL O VEHÍCULOS</t>
  </si>
  <si>
    <t>2. REGISTRO 
DE LA BITÁCORA</t>
  </si>
  <si>
    <t>2. RASTREO FISICOQUÍMICO
O MICROBIOLÓGICO</t>
  </si>
  <si>
    <t>3. PROCESOS REALIZADOS</t>
  </si>
  <si>
    <t>3. FECHA DE VISITA</t>
  </si>
  <si>
    <t>3. VERIFICACIÓN 
DE MATERIA PRIMA</t>
  </si>
  <si>
    <t>3. CONDICIONES 
HIGIENICO-SANITARIAS</t>
  </si>
  <si>
    <t>3. SOCIALIZACIÓN 
DE HALLAZGOS</t>
  </si>
  <si>
    <t>3. CONTROL 
METROLÓGICO</t>
  </si>
  <si>
    <t>3. SEGUIMIENTO A 
PERSONAL O VEHÍCULOS</t>
  </si>
  <si>
    <t>3. REGISTRO 
DE LA BITÁCORA</t>
  </si>
  <si>
    <t>3. RASTREO FISICOQUÍMICO
O MICROBIOLÓGICO</t>
  </si>
  <si>
    <t>4. PROCESOS REALIZADOS</t>
  </si>
  <si>
    <t>4. FECHA DE VISITA</t>
  </si>
  <si>
    <t>4. VERIFICACIÓN 
DE MATERIA PRIMA</t>
  </si>
  <si>
    <t>4. CONDICIONES 
HIGIENICO-SANITARIAS</t>
  </si>
  <si>
    <t>4. SOCIALIZACIÓN 
DE HALLAZGOS</t>
  </si>
  <si>
    <t>4. CONTROL 
METROLÓGICO</t>
  </si>
  <si>
    <t>4. SEGUIMIENTO A 
PERSONAL O VEHÍCULOS</t>
  </si>
  <si>
    <t>4. REGISTRO 
DE LA BITÁCORA</t>
  </si>
  <si>
    <t>4. RASTREO FISICOQUÍMICO
O MICROBIOLÓGICO</t>
  </si>
  <si>
    <t>5. PROCESOS REALIZADOS</t>
  </si>
  <si>
    <t>5. FECHA DE VISITA</t>
  </si>
  <si>
    <t>5. VERIFICACIÓN 
DE MATERIA PRIMA</t>
  </si>
  <si>
    <t>5. CONDICIONES 
HIGIENICO-SANITARIAS</t>
  </si>
  <si>
    <t>5. SOCIALIZACIÓN 
DE HALLAZGOS</t>
  </si>
  <si>
    <t>5. CONTROL 
METROLÓGICO</t>
  </si>
  <si>
    <t>5. SEGUIMIENTO A 
PERSONAL O VEHÍCULOS</t>
  </si>
  <si>
    <t>5. REGISTRO 
DE LA BITÁCORA</t>
  </si>
  <si>
    <t>5. RASTREO FISICOQUÍMICO
O MICROBIOLÓGICO</t>
  </si>
  <si>
    <t>6. PROCESOS REALIZADOS</t>
  </si>
  <si>
    <t>6. FECHA DE VISITA</t>
  </si>
  <si>
    <t>6. VERIFICACIÓN 
DE MATERIA PRIMA</t>
  </si>
  <si>
    <t>6. CONDICIONES 
HIGIENICO-SANITARIAS</t>
  </si>
  <si>
    <t>6. SOCIALIZACIÓN 
DE HALLAZGOS</t>
  </si>
  <si>
    <t>6. CONTROL 
METROLÓGICO</t>
  </si>
  <si>
    <t>6. SEGUIMIENTO A 
PERSONAL O VEHÍCULOS</t>
  </si>
  <si>
    <t>6. REGISTRO 
DE LA BITÁCORA</t>
  </si>
  <si>
    <t>6. RASTREO FISICOQUÍMICO
O MICROBIOLÓGICO</t>
  </si>
  <si>
    <t>7. PROCESOS REALIZADOS</t>
  </si>
  <si>
    <t>7. FECHA DE VISITA</t>
  </si>
  <si>
    <t>7. VERIFICACIÓN 
DE MATERIA PRIMA</t>
  </si>
  <si>
    <t>7. CONDICIONES 
HIGIENICO-SANITARIAS</t>
  </si>
  <si>
    <t>7. SOCIALIZACIÓN 
DE HALLAZGOS</t>
  </si>
  <si>
    <t>7. CONTROL 
METROLÓGICO</t>
  </si>
  <si>
    <t>7. SEGUIMIENTO A 
PERSONAL O VEHÍCULOS</t>
  </si>
  <si>
    <t>7. REGISTRO 
DE LA BITÁCORA</t>
  </si>
  <si>
    <t>7. RASTREO FISICOQUÍMICO
O MICROBIOLÓGICO</t>
  </si>
  <si>
    <t>8. PROCESOS REALIZADOS</t>
  </si>
  <si>
    <t>8. FECHA DE VISITA</t>
  </si>
  <si>
    <t>8. VERIFICACIÓN 
DE MATERIA PRIMA</t>
  </si>
  <si>
    <t>8. CONDICIONES 
HIGIENICO-SANITARIAS</t>
  </si>
  <si>
    <t>8. SOCIALIZACIÓN 
DE HALLAZGOS</t>
  </si>
  <si>
    <t>8. CONTROL 
METROLÓGICO</t>
  </si>
  <si>
    <t>8. SEGUIMIENTO A 
PERSONAL O VEHÍCULOS</t>
  </si>
  <si>
    <t>8. REGISTRO 
DE LA BITÁCORA</t>
  </si>
  <si>
    <t>8. RASTREO FISICOQUÍMICO
O MICROBIOLÓGICO</t>
  </si>
  <si>
    <t>9. PROCESOS REALIZADOS</t>
  </si>
  <si>
    <t>9. FECHA DE VISITA</t>
  </si>
  <si>
    <t>9. VERIFICACIÓN 
DE MATERIA PRIMA</t>
  </si>
  <si>
    <t>9. CONDICIONES 
HIGIENICO-SANITARIAS</t>
  </si>
  <si>
    <t>9. SOCIALIZACIÓN 
DE HALLAZGOS</t>
  </si>
  <si>
    <t>9. CONTROL 
METROLÓGICO</t>
  </si>
  <si>
    <t>9. SEGUIMIENTO A 
PERSONAL O VEHÍCULOS</t>
  </si>
  <si>
    <t>9. REGISTRO 
DE LA BITÁCORA</t>
  </si>
  <si>
    <t>9. RASTREO FISICOQUÍMICO
O MICROBIOLÓGICO</t>
  </si>
  <si>
    <t>10. PROCESOS REALIZADOS</t>
  </si>
  <si>
    <t>10. FECHA DE VISITA</t>
  </si>
  <si>
    <t>10. VERIFICACIÓN 
DE MATERIA PRIMA</t>
  </si>
  <si>
    <t>10. CONDICIONES 
HIGIENICO-SANITARIAS</t>
  </si>
  <si>
    <t>10. SOCIALIZACIÓN 
DE HALLAZGOS</t>
  </si>
  <si>
    <t>10. CONTROL 
METROLÓGICO</t>
  </si>
  <si>
    <t>10. SEGUIMIENTO A 
PERSONAL O VEHÍCULOS</t>
  </si>
  <si>
    <t>10. REGISTRO 
DE LA BITÁCORA</t>
  </si>
  <si>
    <t>10. RASTREO FISICOQUÍMICO
O MICROBIOLÓGICO</t>
  </si>
  <si>
    <t>PREGUNTA ORIENTADORA</t>
  </si>
  <si>
    <t>¿El contratista cuenta con una o más bodegas ubicadas en el Valle de Aburrá y/o Municipios de Antioquia, con un área mínima y de uso único y exclusivo para el almacenamiento y distribución de alimentos, a una distancia lineal no mayor a 30 kilómetros desde la plomada puente punto cero del Municipio de Medellín?</t>
  </si>
  <si>
    <t>¿Si el contratista dispone de una bodega en donde concurren varias actividades, las cuales son afines al sector de alimentos de consumo humano, y discrimina e identifica cada uno de los programas o actividades que convergen en ella?</t>
  </si>
  <si>
    <t>¿El contratista cuenta con los equipos (cava de refrigeración y de congelación, básculas, balanzas y termómetros) e implementos (canastillas, estibas y carretillas), que dan cumplimiento a las normas higiénico-sanitarias requeridas por ley, a las especificaciones y cantidades mínimas establecidas y que garantizan el adecuado almacenamiento, transporte y distribución de los alimentos?</t>
  </si>
  <si>
    <t>¿El contratista cuenta con un plan de mantenimiento para equipos, el cual contempla actividades de mantenimiento preventivo y correctivo, tanto para la bodega como para los comedores escolares; y cumple con los requisitos exigidos en las especificaciones técnicas?</t>
  </si>
  <si>
    <t>Se debe tener una carpeta con toda la documentación: copia del plan de mantenimiento, inventario de equipos, ficha técnica, hoja de vida con la información de los mantenimientos preventivos y correctivos realizados a cada uno de los equipos y mantenerlas actualizadas incluyendo los resultados de los mantenimientos preventivos y correctivos que se hayan realizado durante su vida útil o ejecución del contrato.</t>
  </si>
  <si>
    <r>
      <t xml:space="preserve">¿El contratista cumple con los ciclos de menú establecidos por la Secretaría de Inclusión Social, Familia y Derechos Humanos, </t>
    </r>
    <r>
      <rPr>
        <b/>
        <sz val="7"/>
        <color theme="1"/>
        <rFont val="Calibri"/>
        <family val="2"/>
        <scheme val="minor"/>
      </rPr>
      <t>Anexo A- Ciclos de Menú</t>
    </r>
    <r>
      <rPr>
        <sz val="7"/>
        <color theme="1"/>
        <rFont val="Calibri"/>
        <family val="2"/>
        <scheme val="minor"/>
      </rPr>
      <t>, ¿garantizando la entrega de las preparaciones y alimentos establecidos para cada uno de los ciclos?</t>
    </r>
  </si>
  <si>
    <t>¿Los menús cumplen con el gramaje establecido según los rangos de edad para las modalidades RC, RI, RPS?</t>
  </si>
  <si>
    <t>¿Se realiza la reposición de alimentos oportunamente ante una situación de alerta reportada por la supervisión, interventoría o personal del CIF?</t>
  </si>
  <si>
    <t>¿Notifica por escrito los cambios de un componente del menú del VL por otro de la misma semana, cumpliendo con el mismo grupo de alimentos?</t>
  </si>
  <si>
    <t>El contratista garantiza la entrega de fruta entera y pulpa de fruta, donde solo podrá repetir como máximo 3 veces durante el ciclo de 20 días, utilizando todas las variedades presentadas en la relación de frutas por grupo.</t>
  </si>
  <si>
    <r>
      <t xml:space="preserve">¿Los alimentos suministrados según los ciclos de menú son de primera calidad, cumplen con lo exigido en las características generales de los alimentos, </t>
    </r>
    <r>
      <rPr>
        <b/>
        <sz val="7"/>
        <color theme="1"/>
        <rFont val="Calibri"/>
        <family val="2"/>
        <scheme val="minor"/>
      </rPr>
      <t xml:space="preserve">Anexo B Características de Alimentos </t>
    </r>
    <r>
      <rPr>
        <sz val="7"/>
        <color theme="1"/>
        <rFont val="Calibri"/>
        <family val="2"/>
        <scheme val="minor"/>
      </rPr>
      <t>del pliego de condiciones?</t>
    </r>
  </si>
  <si>
    <t>¿El empaque y rotulado de todos los alimentos a suministrar durante la ejecución del contrato, deberán cumplir con lo estipulado en la Resolución 005109 de diciembre 29 de 2005, la Resolución 1506 de mayo 6 de 2011 y la Resolución 333 de febrero 10 de 2011 y las demás normas vigentes?</t>
  </si>
  <si>
    <t>¿Los productos panificados que componen el ciclo de menú, de Ración industrializada, Ración de Contingencia y VL, son entregados garantizando como mínimo el 40% de su vida útil?</t>
  </si>
  <si>
    <t>Los alimentos que suministra el contratista cumplen con el registro, permiso o notificación sanitaria, acorde con lo establecido en el título III capítulo I de la Resolución 2674 de 2013 y las normas vigentes que lo modifiquen, excepto los que se eximen en dicho capítulo.</t>
  </si>
  <si>
    <t>¿Cumple con el uso de las marcas de alimentos actualizado, autorizadas y relacionadas en el Anexo D?</t>
  </si>
  <si>
    <t>¿El contratista realiza el re empaque de alimentos cumpliendo con los requisitos exigidos por las especificaciones técnicas y la normatividad vigente?</t>
  </si>
  <si>
    <t xml:space="preserve">¿Para la modalidad Ración Industrializada (RI) el contratista hace entrega de los alimentos funcionales a partir de productos de panadería con adición de 40 mg de ácidos grasos omega 3 EPA o DHA microencapsulado por cada 100 gr de producto, dos veces por semana de acuerdo a lo establecido en el Anexo A del pliego de condiciones?   </t>
  </si>
  <si>
    <t xml:space="preserve">¿En el ciclo de menú se incluye la entrega de Alimentos Funcionales a partir de leches fermentadas como yogures con mezcla de cultivos probióticos y fibra prebiótica, de acuerdo con lo definido en el Anexo A - Ciclos de Menú del pliego de condiciones y según los parámetros establecidos? </t>
  </si>
  <si>
    <t>El contratista garantiza la implementación de acciones correctivas cuando se presenta algún grado de alteración en los resultados obtenidos de los análisis físico- químicos y/o microbiológicos, en un periodo de tiempo máximo de 15 días calendario?</t>
  </si>
  <si>
    <t>¿El contratista retira de forma inmediata tanto en la bodega como en comedores escolares el lote correspondiente a los productos que presenten resultados de análisis microbiológicos con presencia de microorganismos patógenos e inicia de inmediato las gestiones necesarias?</t>
  </si>
  <si>
    <t>¿La planta o bodega del contratista cumple con las condiciones higiénico-sanitarias según la resolución 2674 de 2013?</t>
  </si>
  <si>
    <t>¿Para el complemento vaso de leche, ración industrializada y ración de contingencia el contratista guarda diariamente en refrigeración una muestra completa del menú ofrecido por día y por número de lote a los que haya lugar, por un tiempo mínimo de 72 horas o 96 horas en fines de semana con festivo? ¿Esta muestra es rotulada como mínimo con fecha de distribución, hora de despacho e ingredientes del menú?</t>
  </si>
  <si>
    <t>¿El contratista diseña un plan de saneamiento básico (PSB) que incluya la planta o bodega y es implementado según lo establecido en las especificaciones técnicas?</t>
  </si>
  <si>
    <t>¿Para la desinfección de equipos, utensilios, superficies, canastillas, estibas y canecas, el contratista utiliza solución desinfectante con amonio cuaternario de quinta generación?</t>
  </si>
  <si>
    <t>¿El contratista implementa el uso de la cintilla medidora para medir la concentración de amonio cuaternario establecida?</t>
  </si>
  <si>
    <t>¿Se mantiene en óptimas condiciones de higiene y limpieza las zonas altas como techos, paredes y lámparas de la planta o bodega?</t>
  </si>
  <si>
    <t>¿El contratista formula e implementa un programa de control de plagas, el cual incluya un mapa de riesgo y los formatos de registro de control de prevención y presencia de plagas, ajustado a las condiciones de cada una de las instalaciones de la bodega y de cada espacio físico en donde funcionen las diferentes modalidades, según especificaciones técnicas?</t>
  </si>
  <si>
    <t>¿El contratista instala barreras físicas para evitar el ingreso de plagas del exterior al interior de la planta y/o bodega y estas cumplen con las condiciones solicitadas en el pliego?</t>
  </si>
  <si>
    <t>¿El contratista elabora el procedimiento a implementar para dar cumplimiento a la recolección y disposición final del aceite usado?</t>
  </si>
  <si>
    <t>¿El contratista documenta y aplica un programa de control de agua potable, para el proceso de almacenamiento, distribución y producción; cumpliendo con lo establecido en la legislación colombiana, el cual debe incluir las acciones a aplicar en caso de emergencia que impidan el normal suministro o abastecimiento de agua debido a daños en redes de suministro, suspensión del servicio, ¿entre otras?</t>
  </si>
  <si>
    <t>¿El contratista relaciona los productos de aseo en una remisión de entrega indicando los requisitos mínimos establecidos en la licitación pública?</t>
  </si>
  <si>
    <t>¿Todos los alimentos que componen el complemento de las diferentes modalidades cuentan con empaque primario, que cumple con el rotulado según la normatividad que aplique, excepto las frutas y verduras?</t>
  </si>
  <si>
    <t>¿Las bebidas lácteas: leche líquida, yogurt y yogurt griego o tipo griego, tienen impreso en su empaque la leyenda: “Municipio de Medellín Secretaría de Inclusión Social, Familia y Derechos Humanos; prohibida su venta o comercialización”? Además, contiene la imagen vigente de la Alcaldía de Medellín, ¿acorde a los lineamientos impartidos por el área de comunicaciones de la Alcaldía?</t>
  </si>
  <si>
    <t>¿El queso de porción individual deberá ser suministrado en bolsa plástica individual, transparente y sellada?</t>
  </si>
  <si>
    <t>¿La fruta y la bebida de todos los menús están empacados según las cantidades requeridas, teniendo en cuenta para las bebidas un máximo de 50 unidades por bolsa y para las frutas su transporte es en canastillas plásticas perforadas garantizando la conservación adecuada del producto?</t>
  </si>
  <si>
    <t>¿El complemento se distribuye al EE con las condiciones de temperatura y empaque descritas en el pliego de condiciones, la fruta, ¿el dulce y el panificado solo se refrigera en el transporte?</t>
  </si>
  <si>
    <t>¿El contratista dentro del Plan Integral de Gestión De Residuos Sólidos (PGIRS) se tiene contemplado actividades y/o estrategias para la reducción de residuos plásticos de un solo uso, dando así respuesta a lo establecido en el acuerdo 020 de diciembre de 2020 del municipio de Medellín?</t>
  </si>
  <si>
    <t>¿El contratista para el transporte de los alimentos utiliza canastillas plásticas, costales de fibra o bolsas plásticas transparentes según el tipo de alimento; todos estos en adecuadas condiciones de limpieza, y respeta el margen mínimo de 5 cm entre el borde superior de la canastilla y el tendido del producto, ¿para evitar el deterioro de los alimentos cuando las canastillas sean apiladas?</t>
  </si>
  <si>
    <t>¿Las bolsas que contienen los productos se transportan en canastillas?</t>
  </si>
  <si>
    <t>¿El contratista tiene disponible en la planta o bodega una porción completa de los alimentos que componen el complemento tipo Vaso de Leche, ración industrializada y ración de contingencia, con el fin de ser evaluada por parte de la Interventoría o Supervisión en el momento del despacho?</t>
  </si>
  <si>
    <t>¿Los alimentos son transportados en vehículos que garantizan las adecuadas condiciones higiénico-sanitarias de estos, dando cumplimiento a lo establecido en la resolución 2674 de 2013 del Ministerio de Salud y Protección Social en su artículo 29 y 30 y en la resolución 2505 de 2004 del Ministerio de Transporte y demás normas que las modifique?</t>
  </si>
  <si>
    <t>¿Los vehículos utilizados para la realización de esta actividad son suficientes para garantizar la entrega adecuada y oportuna de los alimentos teniendo en cuenta el tiempo establecido para ello en el presente pliego de condiciones?</t>
  </si>
  <si>
    <t>¿El contratista cuenta con una carpeta en bodega, en donde se encuentra copia de la documentación de cada vehículo, como lo indican las especificaciones técnicas?</t>
  </si>
  <si>
    <t>¿Los vehículos utilizados para esta actividad, conservan durante la ejecución del contrato el concepto sanitario favorable; y en caso del cambio de este concepto, ¿el contratista aporta un vehículo que cumpla con todas las condiciones requeridas?</t>
  </si>
  <si>
    <t>¿Los vehículos empleados en la entrega de los alimentos e insumos para el programa, se encuentran identificados con lona, imantado u otro material, según los lineamientos emitidos por el área de Comunicaciones de la</t>
  </si>
  <si>
    <t>Alcaldía de Medellín?</t>
  </si>
  <si>
    <t>¿El contratista tiene en un lugar visible los horarios de trabajo del personal vinculado para la ejecución del programa?</t>
  </si>
  <si>
    <t>¿El contratista establece e implementa acorde al Decreto 1072 de 2015, la Resolución 0312 de 2019 y la circular 20196000014 de 2019 un sistema de gestión de la seguridad y salud en el trabajo?</t>
  </si>
  <si>
    <t>¿Los conductores y auxiliares empleados en la ejecución del Programa usan el uniforme cumpliendo con la imagen corporativa del Municipio de Medellín?</t>
  </si>
  <si>
    <t>¿Los conductores y auxiliares empleados en la ejecución del programa cuentan con certificado de aptitud para manipular alimentos, lo portan de manera permanente?</t>
  </si>
  <si>
    <t>¿El contratista cuenta con el personal mínimo requerido en bodega para la operación del programa solicitado en las especificaciones técnicas?</t>
  </si>
  <si>
    <t>¿El personal que labora en bodega y de transporte no presenta sintomatología que ponga en riesgo la inocuidad del complemento?</t>
  </si>
  <si>
    <r>
      <t xml:space="preserve">SEGUIMIENTO A LAS CONDICIONES HIGIÉNICO SANITARIAS, </t>
    </r>
    <r>
      <rPr>
        <sz val="7.5"/>
        <color theme="1"/>
        <rFont val="Calibri"/>
        <family val="2"/>
        <scheme val="minor"/>
      </rPr>
      <t xml:space="preserve">Evalúe cada una de las Condiciones Higiénico Sanitarias con los siguientes términos: Cumple con la letra </t>
    </r>
    <r>
      <rPr>
        <b/>
        <sz val="7.5"/>
        <color theme="1"/>
        <rFont val="Calibri"/>
        <family val="2"/>
        <scheme val="minor"/>
      </rPr>
      <t xml:space="preserve">(C), </t>
    </r>
    <r>
      <rPr>
        <sz val="7.5"/>
        <color theme="1"/>
        <rFont val="Calibri"/>
        <family val="2"/>
        <scheme val="minor"/>
      </rPr>
      <t xml:space="preserve">No cumple </t>
    </r>
    <r>
      <rPr>
        <b/>
        <sz val="7.5"/>
        <color theme="1"/>
        <rFont val="Calibri"/>
        <family val="2"/>
        <scheme val="minor"/>
      </rPr>
      <t>(N.C)</t>
    </r>
    <r>
      <rPr>
        <sz val="7.5"/>
        <color theme="1"/>
        <rFont val="Calibri"/>
        <family val="2"/>
        <scheme val="minor"/>
      </rPr>
      <t>, No Aplica (</t>
    </r>
    <r>
      <rPr>
        <b/>
        <sz val="7.5"/>
        <color theme="1"/>
        <rFont val="Calibri"/>
        <family val="2"/>
        <scheme val="minor"/>
      </rPr>
      <t xml:space="preserve">N.A) </t>
    </r>
    <r>
      <rPr>
        <sz val="7.5"/>
        <color theme="1"/>
        <rFont val="Calibri"/>
        <family val="2"/>
        <scheme val="minor"/>
      </rPr>
      <t>y No Observado (</t>
    </r>
    <r>
      <rPr>
        <b/>
        <sz val="7.5"/>
        <color theme="1"/>
        <rFont val="Calibri"/>
        <family val="2"/>
        <scheme val="minor"/>
      </rPr>
      <t>N.O)</t>
    </r>
  </si>
  <si>
    <t>Utilizando la Casilla de Registro según la programación de verificación del periodo evaluado.</t>
  </si>
  <si>
    <t>Res 2674 Título II De 2013</t>
  </si>
  <si>
    <t>Artículo 6 (1.1)</t>
  </si>
  <si>
    <t>La planta o bodega están ubicados en lugares aislados de cualquier foco de insalubridad que represente riesgos potenciales para la contaminación del alimento.</t>
  </si>
  <si>
    <t>Artículo 6 (3.5.4)</t>
  </si>
  <si>
    <t>Deben estar debidamente identificado e indicada su capacidad.</t>
  </si>
  <si>
    <t>Artículo 6 (4.2)</t>
  </si>
  <si>
    <r>
      <t>E</t>
    </r>
    <r>
      <rPr>
        <sz val="7.5"/>
        <color theme="1"/>
        <rFont val="Calibri"/>
        <family val="2"/>
        <scheme val="minor"/>
      </rPr>
      <t>l manejo de residuos líquidos dentro del establecimiento debe realizarse de manera que impida la contaminación del alimento o de las superficies de potencial contacto con este.</t>
    </r>
  </si>
  <si>
    <t>Artículo 6 (5.1)</t>
  </si>
  <si>
    <t>Artículo 6 (5.2)</t>
  </si>
  <si>
    <t>Artículo 6 (5.3)</t>
  </si>
  <si>
    <t>Artículo 6 (5.5)</t>
  </si>
  <si>
    <t>Las uniones entre las paredes y entre éstas y los pisos, deben estar selladas y tener forma redondeada para impedir la acumulación de suciedad y facilitar la limpieza y desinfección.</t>
  </si>
  <si>
    <t>Artículo 7 (4.1)</t>
  </si>
  <si>
    <t>Artículo 7 (4.2)</t>
  </si>
  <si>
    <t>Las ventanas que se comuniquen con el ambiente exterior deben estar diseñadas de tal manera que se evite el ingreso de plagas y otros contaminantes, y estar provistas con malla anti insecto de fácil limpieza y buena conservación que sean resistentes a la limpieza y la manipulación. Los vidrios de las ventanas ubicadas en áreas de proceso deben tener protección para evitar contaminación en caso de ruptura.</t>
  </si>
  <si>
    <t>Las puertas deben tener superficie lisa, no absorbente, deben ser resistentes y de suficiente amplitud; donde se precise, tendrán dispositivos de cierre automático y ajuste hermético. Las aberturas entre las puertas exteriores y los pisos, y entre éstas y las paredes deben ser de tal manera que se evite el ingreso de plagas.</t>
  </si>
  <si>
    <t>Artículo 12ª</t>
  </si>
  <si>
    <t>Artículo 14 (1)</t>
  </si>
  <si>
    <t>Artículo 14 (2)</t>
  </si>
  <si>
    <t>Usar vestimenta de trabajo que cumpla los siguientes requisitos: De color claro que permita visualizar fácilmente su limpieza; con cierres o cremalleras y/o broches en lugar de botones u otros accesorios que puedan caer en el alimento; sin bolsillos ubicados por encima de la cintura; cuando se utiliza delantal, este debe permanecer atado al cuerpo en forma segura para evitar la contaminación del alimento y accidentes de trabajo. La empresa será responsable de una dotación de vestimenta de trabajo en número suficiente para el personal manipulador, con el propósito de facilitar el cambio de indumentaria el cual será consistente con el tipo de trabajo que desarrolla. En ningún caso se podrán aceptar colores grises o aquellos que impidan evidenciar su limpieza, en la dotación de los manipuladores de alimentos.</t>
  </si>
  <si>
    <t>Artículo 14 (3)</t>
  </si>
  <si>
    <t>Artículo 14 (4)</t>
  </si>
  <si>
    <t>Artículo 14 (5)</t>
  </si>
  <si>
    <t>Artículo 14 (6)</t>
  </si>
  <si>
    <t>Artículo 14 (7)</t>
  </si>
  <si>
    <t>Artículo 14 (8)</t>
  </si>
  <si>
    <t>Artículo 14 (9)</t>
  </si>
  <si>
    <t>Artículo 14 (10)</t>
  </si>
  <si>
    <t>Artículo 14 (11)</t>
  </si>
  <si>
    <t>Artículo 14 (12)</t>
  </si>
  <si>
    <t>Artículo 14 (13)</t>
  </si>
  <si>
    <t>Artículo 14 (14)</t>
  </si>
  <si>
    <t>Artículo 18 (1)</t>
  </si>
  <si>
    <t>Todo el proceso de fabricación del alimento, incluyendo las operaciones de envasado y almacenamiento, deben realizarse en óptimas condiciones sanitarias, de limpieza y conservación y con los controles necesarios para reducir el crecimiento de microorganismos y evitar la contaminación del alimento. Para cumplir con este requisito, se deben controlar factores, tales como tiempo, temperatura, humedad, actividad acuosa (Aw), pH, presión y velocidad de flujo. Adicionalmente, se debe vigilar las operaciones de fabricación, tales como congelación, deshidratación, tratamiento térmico, acidificación y refrigeración, asegurando que los tiempos de espera, las fluctuaciones de temperatura y otros factores, no contribuyan a la alteración o contaminación del alimento.</t>
  </si>
  <si>
    <t>Artículo 18 (3)</t>
  </si>
  <si>
    <t>Artículo 18 (3.1)</t>
  </si>
  <si>
    <t>Artículo 18 (3.2)</t>
  </si>
  <si>
    <t>Artículo 18 (4)</t>
  </si>
  <si>
    <t>Artículo 20 (1)</t>
  </si>
  <si>
    <t>Artículo 20 (6)</t>
  </si>
  <si>
    <t>Documentación sobre planta, equipos y proceso. Se debe disponer de manuales de instrucciones, guías y regulaciones donde se describen los detalles esenciales de equipos, procesos y procedimientos requeridos para fabricar o procesar productos. Estos documentos deben cubrir todos los factores que puedan afectar la calidad, manejo de los alimentos, del equipo de procesamiento, el control de calidad, almacenamiento, distribución, métodos y procedimientos de laboratorio.</t>
  </si>
  <si>
    <t>El control y el aseguramiento de la calidad no se limitan a las operaciones de laboratorio, sino que debe estar presente en todas las decisiones vinculadas con la calidad del producto.</t>
  </si>
  <si>
    <t>Laboratorios. Todas las fábricas de alimentos que procesen, elaboren o envasen alimentos deben tener acceso a un laboratorio de pruebas y ensayos, propio o externo. Estos laboratorios deberán cumplir con lo dispuesto en la Resolución 16078 de 1985, o la norma que la modifique, adicione o sustituya.</t>
  </si>
  <si>
    <t>Artículo 24.</t>
  </si>
  <si>
    <t>Artículo 25.</t>
  </si>
  <si>
    <t>Artículo 26 (4)</t>
  </si>
  <si>
    <t>Abastecimiento o suministro de agua potable. Todos los establecimientos de que trata la presente resolución deben tener documentado el proceso de abastecimiento de agua que incluye claramente: fuente de captación o suministro, tratamientos realizados, manejo, diseño y capacidad del tanque de almacenamiento, distribución; mantenimiento, limpieza y desinfección de redes y tanque de almacenamiento; controles realizados para garantizar el cumplimiento de los requisitos fisicoquímicos y microbiológicos establecidos en la normatividad vigente, así como los registros que soporten el cumplimiento de los mismos.</t>
  </si>
  <si>
    <t>Condiciones generales. Las operaciones y condiciones de almacenamiento, distribución, transporte y comercialización deben evitar: a) La contaminación y alteración; b) La proliferación de microorganismos indeseables; c) El deterioro o daño del envase o embalaje.</t>
  </si>
  <si>
    <t>Artículo 28 (1)</t>
  </si>
  <si>
    <t>Artículo 28 (2)</t>
  </si>
  <si>
    <t>El almacenamiento de productos que requieren refrigeración o congelación se realizará teniendo en cuenta las condiciones de temperatura, humedad y circulación del aire que requiera el alimento, materia prima o insumo. Estas instalaciones se mantendrán limpias y en buenas condiciones higiénicas, además, se llevará a cabo un control de temperatura y humedad que asegure la conservación del producto. Los dispositivos de registro de la temperatura y humedad deben inspeccionarse a intervalos regulares y se debe comprobar su exactitud. La temperatura de congelación debe ser de -18ºC o menor.</t>
  </si>
  <si>
    <t>Artículo 28 (3)</t>
  </si>
  <si>
    <t>Artículo 28 (4)</t>
  </si>
  <si>
    <t>Artículo 28 (5)</t>
  </si>
  <si>
    <t>Artículo 28 (6)</t>
  </si>
  <si>
    <t>El transporte de alimentos y sus materias primas se realizará cumpliendo con las siguientes condiciones:</t>
  </si>
  <si>
    <t>Se prohíbe transportar conjuntamente en un mismo vehículo alimentos o materias primas con sustancias peligrosas y otras sustancias que por su naturaleza representen riesgo de contaminación del alimento o la materia prima.</t>
  </si>
  <si>
    <t>¿La bodega cuenta con concepto sanitario favorable; dicho concepto no es “Favorable con observaciones” o “Favorable condicionado”, es emitido por Secretaría de Salud del Municipio correspondiente o la autoridad competente y se mantiene durante todo el tiempo de ejecución del contrato?</t>
  </si>
  <si>
    <t>1.1. ¿El contratista cuenta con una o más bodegas ubicadas en el Valle de Aburrá y/o Municipios de Antioquia, con un área mínima y de uso único y exclusivo para el almacenamiento y distribución de alimentos, a una distancia lineal no mayor a 30 kilómetros desde la plomada puente punto cero del Municipio de Medellín?</t>
  </si>
  <si>
    <t>1.2. ¿Si el contratista dispone de una bodega en donde concurren varias actividades, las cuales son afines al sector de alimentos de consumo humano, y discrimina e identifica cada uno de los programas o actividades que convergen en ella?</t>
  </si>
  <si>
    <t>1.3. ¿El contratista cuenta con los equipos (cava de refrigeración y de congelación, básculas, balanzas y termómetros) e implementos (canastillas, estibas y carretillas), que dan cumplimiento a las normas higiénico-sanitarias requeridas por ley, a las especificaciones y cantidades mínimas establecidas y que garantizan el adecuado almacenamiento, transporte y distribución de los alimentos?</t>
  </si>
  <si>
    <t>1.4. ¿La bodega cuenta con concepto sanitario favorable; dicho concepto no es “Favorable con observaciones” o “Favorable condicionado”, es emitido por Secretaría de Salud del Municipio correspondiente o la autoridad competente y se mantiene durante todo el tiempo de ejecución del contrato?</t>
  </si>
  <si>
    <t>2. MANTENIMIENTO DE EQUIPOS</t>
  </si>
  <si>
    <t>1. PUNTAJE ESPERADO</t>
  </si>
  <si>
    <t xml:space="preserve">1. PUNTAJE OBTENIDO </t>
  </si>
  <si>
    <t>1. PORCENTAJE CUMPLIMIENTO</t>
  </si>
  <si>
    <t>1. CUMPLIMIENTO GENERAL</t>
  </si>
  <si>
    <t>2.1. ¿El contratista cuenta con un plan de mantenimiento para equipos, el cual contempla actividades de mantenimiento preventivo y correctivo, tanto para la bodega como para los comedores escolares; y cumple con los requisitos exigidos en las especificaciones técnicas?</t>
  </si>
  <si>
    <t>2.2. Se debe tener una carpeta con toda la documentación: copia del plan de mantenimiento, inventario de equipos, ficha técnica, hoja de vida con la información de los mantenimientos preventivos y correctivos realizados a cada uno de los equipos y mantenerlas actualizadas incluyendo los resultados de los mantenimientos preventivos y correctivos que se hayan realizado durante su vida útil o ejecución del contrato.</t>
  </si>
  <si>
    <t>2. PUNTAJE ESPERADO</t>
  </si>
  <si>
    <t xml:space="preserve">2. PUNTAJE OBTENIDO </t>
  </si>
  <si>
    <t>2. PORCENTAJE CUMPLIMIENTO</t>
  </si>
  <si>
    <t>2. CUMPLIMIENTO GENERAL</t>
  </si>
  <si>
    <t>3. CICLOS DE MENÚ</t>
  </si>
  <si>
    <t>3.2. ¿Los menús cumplen con el gramaje establecido según los rangos de edad para las modalidades RC, RI, RPS?</t>
  </si>
  <si>
    <t>3.3. ¿Se realiza la reposición de alimentos oportunamente ante una situación de alerta reportada por la supervisión, interventoría o personal del CIF?</t>
  </si>
  <si>
    <t>3.4. ¿Notifica por escrito los cambios de un componente del menú del VL por otro de la misma semana, cumpliendo con el mismo grupo de alimentos?</t>
  </si>
  <si>
    <t>3.5. El contratista garantiza la entrega de fruta entera y pulpa de fruta, donde solo podrá repetir como máximo 3 veces durante el ciclo de 20 días, utilizando todas las variedades presentadas en la relación de frutas por grupo.</t>
  </si>
  <si>
    <t>3. PUNTAJE ESPERADO</t>
  </si>
  <si>
    <t xml:space="preserve">3. PUNTAJE OBTENIDO </t>
  </si>
  <si>
    <t>3. PORCENTAJE CUMPLIMIENTO</t>
  </si>
  <si>
    <t>3. CUMPLIMIENTO GENERAL</t>
  </si>
  <si>
    <t>¿El contratista identifica como “producto no conforme” los productos que no cumplen con las características generales de los alimentos, estipuladas en el anexo B del presente pliego de condiciones e indica por escrito el procedimiento para el manejo y disposición final de los mismos?</t>
  </si>
  <si>
    <t>4. CARACTERISTICAS GENERALES DE LOS ALIMENTOS</t>
  </si>
  <si>
    <t>4.2. ¿El empaque y rotulado de todos los alimentos a suministrar durante la ejecución del contrato, deberán cumplir con lo estipulado en la Resolución 005109 de diciembre 29 de 2005, la Resolución 1506 de mayo 6 de 2011 y la Resolución 333 de febrero 10 de 2011 y las demás normas vigentes?</t>
  </si>
  <si>
    <t>4.3. ¿Los productos panificados que componen el ciclo de menú, de Ración industrializada, Ración de Contingencia y VL, son entregados garantizando como mínimo el 40% de su vida útil?</t>
  </si>
  <si>
    <t>4.4. Los alimentos que suministra el contratista cumplen con el registro, permiso o notificación sanitaria, acorde con lo establecido en el título III capítulo I de la Resolución 2674 de 2013 y las normas vigentes que lo modifiquen, excepto los que se eximen en dicho capítulo.</t>
  </si>
  <si>
    <t>4.5. ¿El contratista identifica como “producto no conforme” los productos que no cumplen con las características generales de los alimentos, estipuladas en el anexo B del presente pliego de condiciones e indica por escrito el procedimiento para el manejo y disposición final de los mismos?</t>
  </si>
  <si>
    <t>4.6. ¿Cumple con el uso de las marcas de alimentos actualizado, autorizadas y relacionadas en el Anexo D?</t>
  </si>
  <si>
    <t>4.7. ¿El contratista realiza el re empaque de alimentos cumpliendo con los requisitos exigidos por las especificaciones técnicas y la normatividad vigente?</t>
  </si>
  <si>
    <t xml:space="preserve">4.8. ¿Para la modalidad Ración Industrializada (RI) el contratista hace entrega de los alimentos funcionales a partir de productos de panadería con adición de 40 mg de ácidos grasos omega 3 EPA o DHA microencapsulado por cada 100 gr de producto, dos veces por semana de acuerdo a lo establecido en el Anexo A del pliego de condiciones?   </t>
  </si>
  <si>
    <t xml:space="preserve">4.9. ¿En el ciclo de menú se incluye la entrega de Alimentos Funcionales a partir de leches fermentadas como yogures con mezcla de cultivos probióticos y fibra prebiótica, de acuerdo con lo definido en el Anexo A - Ciclos de Menú del pliego de condiciones y según los parámetros establecidos? </t>
  </si>
  <si>
    <t>4. PUNTAJE ESPERADO</t>
  </si>
  <si>
    <t xml:space="preserve">4. PUNTAJE OBTENIDO </t>
  </si>
  <si>
    <t>4. PORCENTAJE CUMPLIMIENTO</t>
  </si>
  <si>
    <t>4. CUMPLIMIENTO GENERAL</t>
  </si>
  <si>
    <t>5. ANÁLISIS MICROBIOLÓGICOS Y FISICOQUÍMICOS</t>
  </si>
  <si>
    <t>5. PUNTAJE ESPERADO</t>
  </si>
  <si>
    <t xml:space="preserve">5. PUNTAJE OBTENIDO </t>
  </si>
  <si>
    <t>5. PORCENTAJE CUMPLIMIENTO</t>
  </si>
  <si>
    <t>5. CUMPLIMIENTO GENERAL</t>
  </si>
  <si>
    <t>5.1. El contratista garantiza la implementación de acciones correctivas cuando se presenta algún grado de alteración en los resultados obtenidos de los análisis físico- químicos y/o microbiológicos, en un periodo de tiempo máximo de 15 días calendario?</t>
  </si>
  <si>
    <t>5.2. ¿El contratista retira de forma inmediata tanto en la bodega como en comedores escolares el lote correspondiente a los productos que presenten resultados de análisis microbiológicos con presencia de microorganismos patógenos e inicia de inmediato las gestiones necesarias?</t>
  </si>
  <si>
    <t>6. MANEJO HIGIÉNICO SANITARIO</t>
  </si>
  <si>
    <t>¿En caso de presentarse producto vencido, deteriorado o contaminado (animales, insectos o roedores o sustancias químicas), signos y/o sínto mas característicos de presunta enfermedad o brote alimentario en uno o más titulares de derecho, el contratista reporta de manera inmediata a la Secretaría de Salud del Municipio, a la interventoría o Supervisión y al Equipo de Seguridad Alimentaria, con el fin de realizar el procedimiento técnico y administrativo correspondiente?</t>
  </si>
  <si>
    <t>6.1. ¿La planta o bodega del contratista cumple con las condiciones higiénico-sanitarias según la resolución 2674 de 2013?</t>
  </si>
  <si>
    <t>6.2. ¿Para el complemento vaso de leche, ración industrializada y ración de contingencia el contratista guarda diariamente en refrigeración una muestra completa del menú ofrecido por día y por número de lote a los que haya lugar, por un tiempo mínimo de 72 horas o 96 horas en fines de semana con festivo? ¿Esta muestra es rotulada como mínimo con fecha de distribución, hora de despacho e ingredientes del menú?</t>
  </si>
  <si>
    <t>6.3. ¿En caso de presentarse producto vencido, deteriorado o contaminado (animales, insectos o roedores o sustancias químicas), signos y/o sínto mas característicos de presunta enfermedad o brote alimentario en uno o más titulares de derecho, el contratista reporta de manera inmediata a la Secretaría de Salud del Municipio, a la interventoría o Supervisión y al Equipo de Seguridad Alimentaria, con el fin de realizar el procedimiento técnico y administrativo correspondiente?</t>
  </si>
  <si>
    <t>6. PUNTAJE ESPERADO</t>
  </si>
  <si>
    <t xml:space="preserve">6. PUNTAJE OBTENIDO </t>
  </si>
  <si>
    <t>6. PORCENTAJE CUMPLIMIENTO</t>
  </si>
  <si>
    <t>6. CUMPLIMIENTO GENERAL</t>
  </si>
  <si>
    <t>7. PLAN DE SANEAMIENTO BASICO</t>
  </si>
  <si>
    <t>¿El Plan de Saneamiento Básico (PSB) cuenta con las fichas técnicas y hojas de seguridad de los insumos químicos empleados, y como evidencia de su implementación cuenta con registros de verificación, listas de chequeo y demás soportes de las actividades realizadas?</t>
  </si>
  <si>
    <t>7.1. ¿El contratista diseña un plan de saneamiento básico (PSB) que incluya la planta o bodega y es implementado según lo establecido en las especificaciones técnicas?</t>
  </si>
  <si>
    <t>7.2. ¿El Plan de Saneamiento Básico (PSB) cuenta con las fichas técnicas y hojas de seguridad de los insumos químicos empleados, y como evidencia de su implementación cuenta con registros de verificación, listas de chequeo y demás soportes de las actividades realizadas?</t>
  </si>
  <si>
    <t>7. PUNTAJE ESPERADO</t>
  </si>
  <si>
    <t xml:space="preserve">7. PUNTAJE OBTENIDO </t>
  </si>
  <si>
    <t>7. PORCENTAJE CUMPLIMIENTO</t>
  </si>
  <si>
    <t>7. CUMPLIMIENTO GENERAL</t>
  </si>
  <si>
    <t>8. PROGRAMA DE LIMPIEZA Y DESINFECCIÓN</t>
  </si>
  <si>
    <t>¿Los procedimientos de limpieza y desinfección satisfacen las necesidades particulares del proceso y cuenta con todos los Procedimientos Operativos Estandarizados de Saneamiento - POES, incluyendo los agentes y sustancias que se utilizan indicando las concentraciones o formas de uso, tiempos de contacto, los equipos e implementos requeridos para efectuar las operaciones y la periodicidad de las actividades desarrolladas en planta?</t>
  </si>
  <si>
    <t>8.1. ¿Los procedimientos de limpieza y desinfección satisfacen las necesidades particulares del proceso y cuenta con todos los Procedimientos Operativos Estandarizados de Saneamiento - POES, incluyendo los agentes y sustancias que se utilizan indicando las concentraciones o formas de uso, tiempos de contacto, los equipos e implementos requeridos para efectuar las operaciones y la periodicidad de las actividades desarrolladas en planta?</t>
  </si>
  <si>
    <t>8.2. ¿Para la desinfección de equipos, utensilios, superficies, canastillas, estibas y canecas, el contratista utiliza solución desinfectante con amonio cuaternario de quinta generación?</t>
  </si>
  <si>
    <t>8.3. ¿El contratista implementa el uso de la cintilla medidora para medir la concentración de amonio cuaternario establecida?</t>
  </si>
  <si>
    <t>8.4. ¿Se mantiene en óptimas condiciones de higiene y limpieza las zonas altas como techos, paredes y lámparas de la planta o bodega?</t>
  </si>
  <si>
    <t>8. PUNTAJE ESPERADO</t>
  </si>
  <si>
    <t xml:space="preserve">8. PUNTAJE OBTENIDO </t>
  </si>
  <si>
    <t>8. PORCENTAJE CUMPLIMIENTO</t>
  </si>
  <si>
    <t>8. CUMPLIMIENTO GENERAL</t>
  </si>
  <si>
    <t>9. PROGRAMA DE CONTROL DE PLAGAS</t>
  </si>
  <si>
    <t>¿El contratista realiza el control químico o biológico de manera oportuna si se evidencia infestación de plagas, y deja registro de las actividades realizadas y del tipo de sustancias empleadas; así como la copia de licencia sanitaria de funcionamiento del proveedor de la aplicación y certificado de la empresa MIRP?</t>
  </si>
  <si>
    <t>9.1. ¿El contratista formula e implementa un programa de control de plagas, el cual incluya un mapa de riesgo y los formatos de registro de control de prevención y presencia de plagas, ajustado a las condiciones de cada una de las instalaciones de la bodega y de cada espacio físico en donde funcionen las diferentes modalidades, según especificaciones técnicas?</t>
  </si>
  <si>
    <t>9.2. ¿El contratista instala barreras físicas para evitar el ingreso de plagas del exterior al interior de la planta y/o bodega y estas cumplen con las condiciones solicitadas en el pliego?</t>
  </si>
  <si>
    <t>9.3. ¿El contratista realiza el control químico o biológico de manera oportuna si se evidencia infestación de plagas, y deja registro de las actividades realizadas y del tipo de sustancias empleadas; así como la copia de licencia sanitaria de funcionamiento del proveedor de la aplicación y certificado de la empresa MIRP?</t>
  </si>
  <si>
    <t>9. PUNTAJE ESPERADO</t>
  </si>
  <si>
    <t xml:space="preserve">9. PUNTAJE OBTENIDO </t>
  </si>
  <si>
    <t>9. PORCENTAJE CUMPLIMIENTO</t>
  </si>
  <si>
    <t>9. CUMPLIMIENTO GENERAL</t>
  </si>
  <si>
    <t>10. PROGRAMA DE DESECHOS SÓLIDOS</t>
  </si>
  <si>
    <t>¿El contratista elabora un programa de desechos sólidos, teniendo en cuenta el Resolución 879 de 2007 del Área Metropolitana del Valle de Aburrá y la normatividad vigente, y este es verificado para garantizar que el plan sea eficiente?</t>
  </si>
  <si>
    <t>¿El contratista garantiza un adecuado manejo de residuos sólidos, para evitar que estos sean fuente de alimento y albergue de plagas, e implementa el uso de las bolsas entregadas en el kit de aseo establecido en el pliego de condiciones?</t>
  </si>
  <si>
    <t>10.1. ¿El contratista elabora un programa de desechos sólidos, teniendo en cuenta el Resolución 879 de 2007 del Área Metropolitana del Valle de Aburrá y la normatividad vigente, y este es verificado para garantizar que el plan sea eficiente?</t>
  </si>
  <si>
    <t>10.2. ¿El contratista garantiza un adecuado manejo de residuos sólidos, para evitar que estos sean fuente de alimento y albergue de plagas, e implementa el uso de las bolsas entregadas en el kit de aseo establecido en el pliego de condiciones?</t>
  </si>
  <si>
    <t>10.3. ¿El contratista elabora el procedimiento a implementar para dar cumplimiento a la recolección y disposición final del aceite usado?</t>
  </si>
  <si>
    <t>10. PUNTAJE ESPERADO</t>
  </si>
  <si>
    <t xml:space="preserve">10. PUNTAJE OBTENIDO </t>
  </si>
  <si>
    <t>10. PORCENTAJE CUMPLIMIENTO</t>
  </si>
  <si>
    <t>10. CUMPLIMIENTO GENERAL</t>
  </si>
  <si>
    <t>11. PROGRAMA DE ABASTECIMIENTO O SUMINISTRO DE AGUA</t>
  </si>
  <si>
    <t>11.1 ¿El Contratista tiene en un lugar visible los horarios de trabajo del personal vinculado para la ejecución del Programa?</t>
  </si>
  <si>
    <t>11. PUNTAJE ESPERADO</t>
  </si>
  <si>
    <t xml:space="preserve">11. PUNTAJE OBTENIDO </t>
  </si>
  <si>
    <t>11. PORCENTAJE CUMPLIMIENTO</t>
  </si>
  <si>
    <t>11. CUMPLIMIENTO GENERAL</t>
  </si>
  <si>
    <t>1. ALMACENAMIENTO - PLANTA DE ENSAMBLE Y DISTRIBUCIÓN DE ALIMENTOS</t>
  </si>
  <si>
    <t>4. CARACTERÍSTICAS GENERALES DE LOS ALIMENTOS</t>
  </si>
  <si>
    <t>7. PLAN DE SANEAMIENTO BÁSICO</t>
  </si>
  <si>
    <t>¿El contratista garantiza los insumos e implementos necesarios para llevar a cabo de forma adecuada la limpieza y desinfección, y además garantiza la permanencia de los productos en cantidades suficientes y en perfecto estado?</t>
  </si>
  <si>
    <t>12. SUMINISTRO DE IMPLEMENTOS DE ASEO</t>
  </si>
  <si>
    <t>12.1. ¿El contratista garantiza los insumos e implementos necesarios para llevar a cabo de forma adecuada la limpieza y desinfección, y además garantiza la permanencia de los productos en cantidades suficientes y en perfecto estado?</t>
  </si>
  <si>
    <t>12.2. ¿El contratista relaciona los productos de aseo en una remisión de entrega indicando los requisitos mínimos establecidos en la licitación pública?</t>
  </si>
  <si>
    <t>12. PUNTAJE ESPERADO</t>
  </si>
  <si>
    <t xml:space="preserve">12. PUNTAJE OBTENIDO </t>
  </si>
  <si>
    <t>12. PORCENTAJE CUMPLIMIENTO</t>
  </si>
  <si>
    <t>12. CUMPLIMIENTO GENERAL</t>
  </si>
  <si>
    <t>13. TEMPERATURAS Y EMPAQUE</t>
  </si>
  <si>
    <t>¿El producto panificado es empacado en bolsa de polipropileno transparente y marcada con rótulo de color rojo para el grupo de transición, amarillo para primero a tercero, verde para cuarto y quinto, blanco para sexto a noveno y negro para decimo, y con la siguiente leyenda:
“Municipio de Medellín Secretaría de Inclusión Social, Familia y Derechos Humanos; prohibida su venta o comercialización”. Además, contiene la imagen vigente de la Alcaldía de Medellín acorde a los lineamientos
impartidos por el área de comunicaciones de la Alcaldía, nombre del contratista y teléfono?</t>
  </si>
  <si>
    <t>13.1. ¿Todos los alimentos que componen el complemento de las diferentes modalidades cuentan con empaque primario, que cumple con el rotulado según la normatividad que aplique, excepto las frutas y verduras?</t>
  </si>
  <si>
    <t>13.2. ¿El producto panificado es empacado en bolsa de polipropileno transparente y marcada con rótulo de color rojo para el grupo de transición, amarillo para primero a tercero, verde para cuarto y quinto, blanco para sexto a noveno y negro para decimo, y con la siguiente leyenda:
“Municipio de Medellín Secretaría de Inclusión Social, Familia y Derechos Humanos; prohibida su venta o comercialización”. Además, contiene la imagen vigente de la Alcaldía de Medellín acorde a los lineamientos
impartidos por el área de comunicaciones de la Alcaldía, nombre del contratista y teléfono?</t>
  </si>
  <si>
    <t>13.3. ¿Las bebidas lácteas: leche líquida, yogurt y yogurt griego o tipo griego, tienen impreso en su empaque la leyenda: “Municipio de Medellín Secretaría de Inclusión Social, Familia y Derechos Humanos; prohibida su venta o comercialización”? Además, contiene la imagen vigente de la Alcaldía de Medellín, ¿acorde a los lineamientos impartidos por el área de comunicaciones de la Alcaldía?</t>
  </si>
  <si>
    <t>13.4. ¿El queso de porción individual deberá ser suministrado en bolsa plástica individual, transparente y sellada?</t>
  </si>
  <si>
    <t>13.5. ¿La fruta y la bebida de todos los menús están empacados según las cantidades requeridas, teniendo en cuenta para las bebidas un máximo de 50 unidades por bolsa y para las frutas su transporte es en canastillas plásticas perforadas garantizando la conservación adecuada del producto?</t>
  </si>
  <si>
    <t>13.6. ¿El complemento se distribuye al EE con las condiciones de temperatura y empaque descritas en el pliego de condiciones, la fruta, ¿el dulce y el panificado solo se refrigera en el transporte?</t>
  </si>
  <si>
    <t>13.7. ¿El contratista dentro del Plan Integral de Gestión De Residuos Sólidos (PGIRS) se tiene contemplado actividades y/o estrategias para la reducción de residuos plásticos de un solo uso, dando así respuesta a lo establecido en el acuerdo 020 de diciembre de 2020 del municipio de Medellín?</t>
  </si>
  <si>
    <t>13. PUNTAJE ESPERADO</t>
  </si>
  <si>
    <t xml:space="preserve">13. PUNTAJE OBTENIDO </t>
  </si>
  <si>
    <t>13. PORCENTAJE CUMPLIMIENTO</t>
  </si>
  <si>
    <t>13. CUMPLIMIENTO GENERAL</t>
  </si>
  <si>
    <t>14. DISTRIBUCIÓN Y TRANSPORTE</t>
  </si>
  <si>
    <r>
      <t xml:space="preserve">¿El contratista de acuerdo con los pedidos realizados por el equipo de Seguridad Alimentaria, entrega a los EE atendidos y reportados en el </t>
    </r>
    <r>
      <rPr>
        <b/>
        <sz val="7"/>
        <color theme="1"/>
        <rFont val="Calibri"/>
        <family val="2"/>
        <scheme val="minor"/>
      </rPr>
      <t>Anexo C - Consolidado de Cupos por IE</t>
    </r>
    <r>
      <rPr>
        <sz val="7"/>
        <color theme="1"/>
        <rFont val="Calibri"/>
        <family val="2"/>
        <scheme val="minor"/>
      </rPr>
      <t>, los insumos que componen la ración según el ciclo de menú y los cupos asignados?</t>
    </r>
  </si>
  <si>
    <t>¿La planilla de remisión de entrega de víveres, vaso de leche, ración contingencia y ración industrializada para cada establecimiento educativo, está acorde a la establecida por el MEN, así mismo el formato establecido por el MEN para la reposición o entrega de faltantes (formato reposición faltantes – Ración Preparada en sitio)?</t>
  </si>
  <si>
    <t>¿El contratista elabora y entrega diligenciado el formato establecido por el MEN (Rutas, periodicidad y días de entrega de víveres, en EE) al Equipo de Seguridad Alimentaria y cuando se presentan novedades en los EE atendidos (ingreso o retiro), estas son incluidas, oficializando dicho cambio a la Interventoría o Supervisión y al Equipo de Seguridad Alimentaria?</t>
  </si>
  <si>
    <t>14.2. ¿El contratista para el transporte de los alimentos utiliza canastillas plásticas, costales de fibra o bolsas plásticas transparentes según el tipo de alimento; todos estos en adecuadas condiciones de limpieza, y respeta el margen mínimo de 5 cm entre el borde superior de la canastilla y el tendido del producto, ¿para evitar el deterioro de los alimentos cuando las canastillas sean apiladas?</t>
  </si>
  <si>
    <t>14.3. ¿Las bolsas que contienen los productos se transportan en canastillas?</t>
  </si>
  <si>
    <t>14.4. ¿El contratista elabora y entrega diligenciado el formato establecido por el MEN (Rutas, periodicidad y días de entrega de víveres, en EE) al Equipo de Seguridad Alimentaria y cuando se presentan novedades en los EE atendidos (ingreso o retiro), estas son incluidas, oficializando dicho cambio a la Interventoría o Supervisión y al Equipo de Seguridad Alimentaria?</t>
  </si>
  <si>
    <t>14.5. ¿La planilla de remisión de entrega de víveres, vaso de leche, ración contingencia y ración industrializada para cada establecimiento educativo, está acorde a la establecida por el MEN, así mismo el formato establecido por el MEN para la reposición o entrega de faltantes (formato reposición faltantes – Ración Preparada en sitio)?</t>
  </si>
  <si>
    <t>14.6. ¿El contratista tiene disponible en la planta o bodega una porción completa de los alimentos que componen el complemento tipo Vaso de Leche, ración industrializada y ración de contingencia, con el fin de ser evaluada por parte de la Interventoría o Supervisión en el momento del despacho?</t>
  </si>
  <si>
    <t>14. PUNTAJE ESPERADO</t>
  </si>
  <si>
    <t xml:space="preserve">14. PUNTAJE OBTENIDO </t>
  </si>
  <si>
    <t>14. PORCENTAJE CUMPLIMIENTO</t>
  </si>
  <si>
    <t>14. CUMPLIMIENTO GENERAL</t>
  </si>
  <si>
    <t>15. CARACTERÍSTICAS DE LOS VEHÍCULOS PARA EL TRANSPORTE DE ALIMENTOS</t>
  </si>
  <si>
    <t>15.1. ¿Los alimentos son transportados en vehículos que garantizan las adecuadas condiciones higiénico-sanitarias de estos, dando cumplimiento a lo establecido en la resolución 2674 de 2013 del Ministerio de Salud y Protección Social en su artículo 29 y 30 y en la resolución 2505 de 2004 del Ministerio de Transporte y demás normas que las modifique?</t>
  </si>
  <si>
    <t>15.2. ¿Los vehículos utilizados para la realización de esta actividad son suficientes para garantizar la entrega adecuada y oportuna de los alimentos teniendo en cuenta el tiempo establecido para ello en el presente pliego de condiciones?</t>
  </si>
  <si>
    <t>15.3. ¿El contratista cuenta con una carpeta en bodega, en donde se encuentra copia de la documentación de cada vehículo, como lo indican las especificaciones técnicas?</t>
  </si>
  <si>
    <t>15.4. ¿Los vehículos utilizados para esta actividad, conservan durante la ejecución del contrato el concepto sanitario favorable; y en caso del cambio de este concepto, ¿el contratista aporta un vehículo que cumpla con todas las condiciones requeridas?</t>
  </si>
  <si>
    <t>15.5. ¿Los vehículos empleados en la entrega de los alimentos e insumos para el programa, se encuentran identificados con lona, imantado u otro material, según los lineamientos emitidos por el área de Comunicaciones de la
Alcaldía de Medellín?</t>
  </si>
  <si>
    <t>15. PUNTAJE ESPERADO</t>
  </si>
  <si>
    <t xml:space="preserve">15. PUNTAJE OBTENIDO </t>
  </si>
  <si>
    <t>15. PORCENTAJE CUMPLIMIENTO</t>
  </si>
  <si>
    <t>15. CUMPLIMIENTO GENERAL</t>
  </si>
  <si>
    <t>16. PERSONAL REQUERIDO</t>
  </si>
  <si>
    <t>¿El contratista formula e implementa un plan de capacitación continua, no inferior a 10 horas anuales y este contiene metodología, duración, profesional que dicte la actualización, cronograma y temas específicos a impartir?</t>
  </si>
  <si>
    <t>¿El contratista proporciona un ambiente laboral adecuado a todo el personal, donde cada uno de ellos se siente respetado y valorado como persona y como empleado, lo cual llevará a un gran compromiso en el cumplimiento de sus obligaciones?</t>
  </si>
  <si>
    <t>¿El contratista cuenta con una carpeta en la bodega por cada manipulador de alimentos contratado, que contiene la hoja de vida, copia del certificado de manipulación y copia del certificado de aptitud laboral en las condiciones solicitadas en las especificaciones técnicas?</t>
  </si>
  <si>
    <t>16.1. ¿El contratista cuenta con una carpeta en la bodega por cada manipulador de alimentos contratado, que contiene la hoja de vida, copia del certificado de manipulación y copia del certificado de aptitud laboral en las condiciones solicitadas en las especificaciones técnicas?</t>
  </si>
  <si>
    <t>16.2. ¿El contratista tiene en un lugar visible los horarios de trabajo del personal vinculado para la ejecución del programa?</t>
  </si>
  <si>
    <t>16.3. ¿El contratista proporciona un ambiente laboral adecuado a todo el personal, donde cada uno de ellos se siente respetado y valorado como persona y como empleado, lo cual llevará a un gran compromiso en el cumplimiento de sus obligaciones?</t>
  </si>
  <si>
    <t>16.4. ¿El contratista formula e implementa un plan de capacitación continua, no inferior a 10 horas anuales y este contiene metodología, duración, profesional que dicte la actualización, cronograma y temas específicos a impartir?</t>
  </si>
  <si>
    <t>16.5. ¿El contratista establece e implementa acorde al Decreto 1072 de 2015, la Resolución 0312 de 2019 y la circular 20196000014 de 2019 un sistema de gestión de la seguridad y salud en el trabajo?</t>
  </si>
  <si>
    <t>16.6. ¿Los conductores y auxiliares empleados en la ejecución del Programa usan el uniforme cumpliendo con la imagen corporativa del Municipio de Medellín?</t>
  </si>
  <si>
    <t>16.7. ¿Los conductores y auxiliares empleados en la ejecución del programa cuentan con certificado de aptitud para manipular alimentos, lo portan de manera permanente?</t>
  </si>
  <si>
    <t>16.8. ¿El contratista cuenta con el personal mínimo requerido en bodega para la operación del programa solicitado en las especificaciones técnicas?</t>
  </si>
  <si>
    <t>16.9. ¿El personal que labora en bodega y de transporte no presenta sintomatología que ponga en riesgo la inocuidad del complemento?</t>
  </si>
  <si>
    <t>16. PUNTAJE ESPERADO</t>
  </si>
  <si>
    <t xml:space="preserve">16. PUNTAJE OBTENIDO </t>
  </si>
  <si>
    <t>16. PORCENTAJE CUMPLIMIENTO</t>
  </si>
  <si>
    <t>16. CUMPLIMIENTO GENERAL</t>
  </si>
  <si>
    <t>Artículo 6 (1.1). La planta o bodega están ubicados en lugares aislados de cualquier foco de insalubridad que represente riesgos potenciales para la contaminación del alimento.</t>
  </si>
  <si>
    <t>Artículo 6 (1.2). Su funcionamiento no debe poner en riesgo la salud y el bienestar de la comunidad.</t>
  </si>
  <si>
    <t>Artículo 6 (1.3). Sus accesos y alrededores se mantendrán limpios, libres de acumulación de basuras y deberán tener superficies pavimentadas o recubiertas con materiales que faciliten el mantenimiento sanitario e impidan la generación de polvo, el estancamiento de aguas o la presencia de otras fuentes de contaminación para el alimento.</t>
  </si>
  <si>
    <t>Artículo 6 (2.1). La edificación debe estar diseñada y construida de manera que proteja los ambientes de producción e impida la entrada de polvo, lluvia, suciedades u otros contaminantes, así como del ingreso y refugio de plagas y animales domésticos.</t>
  </si>
  <si>
    <t>Artículo 6 (2.3). Los diversos ambientes de la edificación deben tener el tamaño adecuado para la instalación, operación y mantenimiento de los equipos, así como para la circulación del personal y el traslado de materiales o productos. Estos ambientes deben estar ubicados según la secuencia lógica del proceso, desde la recepción de los insumos hasta el despacho del producto terminado, de tal manera que se eviten retrasos indebidos y la contaminación cruzada. De ser requerido, tales ambientes deben dotarse de las condiciones de temperatura, humedad u otras necesarias para la ejecución higiénica de las operaciones de producción y/o para la conservación del alimento.</t>
  </si>
  <si>
    <t>Artículo 6 (2.4). La edificación y sus instalaciones deben estar construidas de manera que se faciliten las operaciones de limpieza, desinfección y control de plagas según lo establecido en el plan de saneamiento del establecimiento.</t>
  </si>
  <si>
    <t>Artículo 6 (2.6). Sus áreas deben ser independientes y separadas físicamente de cualquier tipo de vivienda y no pueden ser utilizadas como dormitorio.</t>
  </si>
  <si>
    <t>Artículo 6 (2.9). En los establecimientos contemplados en el presente título, no se permite el almacenamiento de elementos, productos químicos o peligrosos ajenos a las actividades propias realizadas en este.</t>
  </si>
  <si>
    <t>Artículo 6 (3.1). El agua que se utilice debe ser de calidad potable y cumplir con las normas vigentes establecidas por el Ministerio de Salud y Protección Social.</t>
  </si>
  <si>
    <t>Artículo 6 (3.2). Se debe disponer de agua potable a la temperatura y presión requeridas en las diferentes actividades que se realizan en el establecimiento, así como para una limpieza y desinfección efectiva.</t>
  </si>
  <si>
    <t>Artículo 6 (3.4). El sistema de conducción o tuberías debe garantizar la protección de la potabilidad del agua.</t>
  </si>
  <si>
    <t>Artículo 6 (3.5). El establecimiento debe disponer de un tanque de almacenamiento de agua con capacidad suficiente para un día de trabajo, garantizando la potabilidad de la misma. La construcción y el material de dicho tanque se realizará conforme a lo establecido en las normas sanitarias vigentes y deberá cumplir con los siguientes requisitos:</t>
  </si>
  <si>
    <t>Artículo 6 (3.5.1). Los pisos, paredes y tapas deben estar construidos con materiales que no generen sustancias o contaminantes tóxicos, deben ser resistentes, no porosos, impermeables, no absorbentes y con acabados libres de grietas o defectos que dificulten la limpieza y desinfección.</t>
  </si>
  <si>
    <t>Artículo 6 (3.5.2). Debe ser de fácil acceso para limpieza y desinfección periódica según lo establecido en el plan de saneamiento.</t>
  </si>
  <si>
    <t>Artículo 6 (3.5.3). Debe garantizar protección total contra el acceso de animales, cuerpos extraños o contaminación por aguas lluvias.</t>
  </si>
  <si>
    <t>Artículo 6 (3.5.4). Deben estar debidamente identificado e indicada su capacidad.</t>
  </si>
  <si>
    <t>Artículo 6 (4.2). El manejo de residuos líquidos dentro del establecimiento debe realizarse de manera que impida la contaminación del alimento o de las superficies de potencial contacto con este.</t>
  </si>
  <si>
    <t>Artículo 6 (5.1). Los residuos sólidos que se generen deben ser ubicados de manera tal que no representen riesgo de contaminación al alimento, a los ambientes o superficies de potencial contacto con este.</t>
  </si>
  <si>
    <t>Artículo 6 (5.2). Los residuos sólidos deben ser removidos frecuentemente de las áreas de producción y disponerse de manera que se elimine la generación de malos olores, el refugio y alimento de animales y plagas y que no contribuya de otra forma al deterioro ambiental.</t>
  </si>
  <si>
    <t>Artículo 6 (5.3). El establecimiento debe estar dotado de un sistema de recolección y almacenamiento de residuos sólidos que impida el acceso y proliferación de insectos, roedores y otras plagas, el cual debe cumplir con las normas sanitarias vigentes.</t>
  </si>
  <si>
    <t>Artículo 6 (5.5). Aquellos establecimientos que generen residuos peligrosos deben cumplir con la reglamentación sanitaria vigente.</t>
  </si>
  <si>
    <t>Artículo 6 (6.1). Deben disponer de instalaciones sanitarias en cantidad suficiente tales como servicios sanitarios y vestidores, independientes para hombres y mujeres, separados de las áreas de elaboración. Para el caso de microempresas que tienen un reducido número de operarios (no más de 6 operarios), se podrá disponer de un baño para el servicio de hombres y mujeres.</t>
  </si>
  <si>
    <t>Artículo 6 (6.2). Los servicios sanitarios deben mantenerse limpios y proveerse de los recursos requeridos para la higiene personal, tales como, pero sin limitarse a: papel higiénico, dispensador de jabón, desinfectante, implementos desechables o equipos automáticos para el secado de las manos y papeleras de accionamiento indirecto o no manual.</t>
  </si>
  <si>
    <t>Artículo 6 (6.3). Se deben instalar lavamanos con grifos de accionamiento no manual dotados con dispensador de jabón desinfectante, implementos desechables o equipos automáticos para el secado de manos, en las áreas de elaboración o próximos a estas para la higiene del personal que participe en la manipulación de los alimentos y para facilitar la supervisión de estas prácticas. Estas áreas deben ser de uso exclusivo para este propósito.</t>
  </si>
  <si>
    <t>Artículo 6 (6.4). En las proximidades de los lavamanos se deben colocar avisos o advertencias al personal sobre la necesidad de lavarse las manos luego de usar los servicios sanitarios, después de cualquier cambio de actividad y antes de iniciar las labores de producción.</t>
  </si>
  <si>
    <t>Artículo 7 (1.1). Los pisos deben estar construidos con materiales que no generen sustancias o contaminantes tóxicos, resistentes, no porosos, impermeables, no absorbentes, no deslizantes y con acabados libres de grietas o defectos que dificulten la limpieza, desinfección y mantenimiento sanitario.</t>
  </si>
  <si>
    <t>Artículo 7 (1.3). Cuando el drenaje de las cavas o cuartos fríos de refrigeración o congelación se encuentren en el interior de los mismos, se debe disponer de un mecanismo que garantice el sellamiento total del drenaje, el cual puede ser removido para propósitos de limpieza y desinfección.</t>
  </si>
  <si>
    <t>Artículo 7 (1.4). El sistema de tuberías y drenajes para la conducción y recolección de las aguas residuales debe tener la capacidad y la pendiente requeridas para permitir una salida rápida y efectiva de los volúmenes máximos generados por el establecimiento. Los drenajes de piso deben tener la debida protección con rejillas y si se requieren trampas adecuadas para grasas y/o sólidos, deben estar diseñadas de forma que permitan su limpieza.</t>
  </si>
  <si>
    <t>Artículo 7 (2.2). Las uniones entre las paredes y entre éstas y los pisos, deben estar selladas y tener forma redondeada para impedir la acumulación de suciedad y facilitar la limpieza y desinfección.</t>
  </si>
  <si>
    <t>Artículo 7 (3.1). Los techos deben estar diseñados y construidos de manera que se evite la acumulación de suciedad, la condensación, la formación de hongos y levaduras, el desprendimiento superficial y además facilitar la limpieza y el mantenimiento.</t>
  </si>
  <si>
    <t>Artículo 7 (3.2). En lo posible, no se debe permitir el uso de techos falsos o dobles techos, a menos que se construyan con materiales impermeables, resistentes, lisos, de fácil limpieza y con accesibilidad a la cámara superior para realizar la limpieza, desinfección y desinfestación.</t>
  </si>
  <si>
    <t>Artículo 7 (3.3). En el caso de los falsos techos, las láminas utilizadas, deben fijarse de tal manera que se evite su fácil remoción por acción de corrientes de aire u otro factor externo ajeno a las labores de limpieza, desinfección y desinfestación.</t>
  </si>
  <si>
    <t>Artículo 7 (4.1). Las ventanas y otras aberturas en las paredes deben construirse de manera tal que se evite la entrada y acumulación de polvo, suciedades, al igual que el ingreso de plagas y facilitar la limpieza y desinfección.</t>
  </si>
  <si>
    <t>Artículo 7 (4.2). Las ventanas que se comuniquen con el ambiente exterior deben estar diseñadas de tal manera que se evite el ingreso de plagas y otros contaminantes, y estar provistas con malla anti insecto de fácil limpieza y buena conservación que sean resistentes a la limpieza y la manipulación. Los vidrios de las ventanas ubicadas en áreas de proceso deben tener protección para evitar contaminación en caso de ruptura.</t>
  </si>
  <si>
    <t>Artículo 7 (5.1). Las puertas deben tener superficie lisa, no absorbente, deben ser resistentes y de suficiente amplitud; donde se precise, tendrán dispositivos de cierre automático y ajuste hermético. Las aberturas entre las puertas exteriores y los pisos, y entre éstas y las paredes deben ser de tal manera que se evite el ingreso de plagas.</t>
  </si>
  <si>
    <t>Artículo 7 (6.2). Las estructuras elevadas y los accesorios deben aislarse en donde sea requerido, estar diseñadas y con un acabado para prevenir la acumulación de suciedad, minimizar la condensación, el desarrollo de hongos y el desprendimiento superficial.</t>
  </si>
  <si>
    <t>Artículo 7 (6.3). Las instalaciones eléctricas, mecánicas y de prevención de incendios deben estar diseñadas y con un acabado de manera que impidan la acumulación de suciedades y el albergue de plagas.</t>
  </si>
  <si>
    <t>Artículo 7 (7.1). Los establecimientos a que hace referencia el artículo 2° de la presente resolución tendrán una adecuada y suficiente iluminación natural o artificial, la cual se obtendrá por medio de ventanas, claraboyas, y lámparas convenientemente distribuidas.</t>
  </si>
  <si>
    <t>Artículo 7 (7.2). La iluminación debe ser de la calidad e intensidad adecuada para la ejecución higiénica y efectiva de todas las actividades.</t>
  </si>
  <si>
    <t>Artículo 7 (7.3). Las lámparas, accesorios y otros medios de iluminación del establecimiento deben ser del tipo de seguridad y estar protegidos para evitar la contaminación en caso de ruptura y, en general, contar con una iluminación uniforme que no altere los colores naturales.</t>
  </si>
  <si>
    <t>Artículo 9 (1). Los equipos y utensilios empleados en el manejo de alimentos deben estar fabricados con materiales resistentes al uso y a la corrosión, así como a la utilización frecuente de los agentes de limpieza y desinfección.</t>
  </si>
  <si>
    <t>Artículo 9 (2). Todas las superficies de contacto con el alimento deben cumplir con las resoluciones 683, 4142 y 4143 de 2012 o las normas que las modifiquen, adicionen o sustituyan.</t>
  </si>
  <si>
    <t>Artículo 9 (10). Las mesas y mesones empleados en el manejo de alimentos deben tener superficies lisas, con bordes sin aristas y estar construidas con materiales resistentes, impermeables y de fácil limpieza y desinfección.</t>
  </si>
  <si>
    <t>Artículo 9 (11). Los recipientes usados para materiales no comestibles y desechos deben ser a prueba de fugas, debidamente identificados, construidos de material impermeable, de fácil limpieza y desinfección y, de ser requerido, provistos de tapa hermética. Los mismos no pueden utilizarse para contener productos comestibles.</t>
  </si>
  <si>
    <t>Artículo 10 (2). La distancia entre los equipos y las paredes perimetrales, columnas u otros elementos de la edificación, debe ser tal que les permita funcionar adecuadamente y facilite el acceso para la inspección, mantenimiento, limpieza y desinfección.</t>
  </si>
  <si>
    <t>Artículo 10 (3). Los equipos que se utilicen en operaciones críticas para lograr la inocuidad del alimento deben estar dotados de los instrumentos y accesorios requeridos para la medición y registro de las variables del proceso. Así mismo, deben poseer dispositivos para permitir la toma de muestras del alimento y materias primas.</t>
  </si>
  <si>
    <t>Artículo 12. Educación y capacitación. Todas las personas que realizan actividades de manipulación de alimentos deben tener formación en educación sanitaria, principios básicos de Buenas Prácticas de Manufactura y prácticas higiénicas en manipulación de alimentos. Igualmente, deben estar capacitados para llevar a cabo las tareas que se les asignen o desempeñen, con el fin de que se encuentren en capacidad de adoptar las precauciones y medidas preventivas necesarias para evitar la contaminación o deterioro de los alimentos.</t>
  </si>
  <si>
    <t>Artículo 12ª. Las empresas deben tener un plan de capacitación continuo y permanente para el personal manipulador de alimentos desde el momento de su contratación y luego ser reforzado mediante charlas, cursos u otros medios efectivos de actualización. Dicho plan debe ser de por lo menos 10 horas anuales, sobre asuntos específicos de que trata la presente resolución. Esta capacitación estará bajo la responsabilidad de la empresa y podrá ser efectuada por esta, por personas naturales o jurídicas contratadas y por las autoridades sanitarias. Cuando el plan de capacitación se realice a través de personas naturales o jurídicas diferentes a la empresa, estas deben demostrar su idoneidad técnica y científica y su formación y experiencia específica en las áreas de higiene de los alimentos, Buenas Prácticas de Manufactura y sistemas preventivos de aseguramiento de la inocuidad.</t>
  </si>
  <si>
    <t>Artículo 13. Plan de capacitación. El plan de capacitación debe contener, al menos, los siguientes aspectos: Metodología, duración, docentes, cronograma y temas específicos a impartir. El enfoque, contenido y alcance de la capacitación impartida debe ser acorde con la empresa, el proceso tecnológico y tipo de establecimiento de que se trate. En todo caso, la empresa debe demostrar a través del desempeño de los operarios y la condición sanitaria del establecimiento la efectividad e impacto de la capacitación impartida.</t>
  </si>
  <si>
    <t>Artículo 13 Parágrafo 1. Para reforzar el cumplimiento de las prácticas higiénicas, se colocarán en sitios estratégicos avisos alusivos a la obligatoriedad y necesidad de su observancia durante la manipulación de alimentos.</t>
  </si>
  <si>
    <t>Artículo 13 Parágrafo 2. El manipulador de alimentos debe ser entrenado para comprender y manejar el control de los puntos del proceso que están bajo su responsabilidad y la importancia de su vigilancia o monitoreo; además, debe conocer los límites del punto del proceso y las acciones correctivas a tomar cuando existan desviaciones en dichos límites.</t>
  </si>
  <si>
    <t>Artículo 14 (1). Mantener una estricta limpieza e higiene personal y aplicar buenas prácticas higiénicas en sus labores, de manera que se evite la contaminación del alimento y de las superficies de contacto con este.</t>
  </si>
  <si>
    <t>Artículo 14 (2). Usar vestimenta de trabajo que cumpla los siguientes requisitos: De color claro que permita visualizar fácilmente su limpieza; con cierres o cremalleras y/o broches en lugar de botones u otros accesorios que puedan caer en el alimento; sin bolsillos ubicados por encima de la cintura; cuando se utiliza delantal, este debe permanecer atado al cuerpo en forma segura para evitar la contaminación del alimento y accidentes de trabajo. La empresa será responsable de una dotación de vestimenta de trabajo en número suficiente para el personal manipulador, con el propósito de facilitar el cambio de indumentaria el cual será consistente con el tipo de trabajo que desarrolla. En ningún caso se podrán aceptar colores grises o aquellos que impidan evidenciar su limpieza, en la dotación de los manipuladores de alimentos.</t>
  </si>
  <si>
    <t>Artículo 14 (3). El manipulador de alimentos no podrá salir e ingresar al establecimiento con la vestimenta de trabajo.</t>
  </si>
  <si>
    <t>Artículo 14 (4). Lavarse las manos con agua y jabón desinfectante, antes de comenzar su trabajo, cada vez que salga y regrese al área asignada y después de manipular cualquier material u objeto que pudiese representar un riesgo de contaminación para el alimento. Será obligatorio realizar la desinfección de las manos cuando los riesgos asociados con la etapa del proceso así lo justifiquen.</t>
  </si>
  <si>
    <t>Artículo 14 (5). Mantener el cabello recogido y cubierto totalmente mediante malla, gorro u otro medio efectivo y en caso de llevar barba, bigote o patillas se debe usar cubiertas para estas. No se permite el uso de maquillaje.</t>
  </si>
  <si>
    <t>Artículo 14 (6). Dependiendo del riesgo de contaminación asociado con el proceso o preparación, será obligatorio el uso de tapabocas desechables cubriendo nariz y boca mientras se manipula el alimento. Es necesario evaluar sobre todo el riesgo asociado a un alimento de mayor y riesgo medio en salud pública en las etapas finales de elaboración o manipulación del mismo, cuando este se encuentra listo para el consumo y puede estar expuesto a posible contaminación.</t>
  </si>
  <si>
    <t>Artículo 14 (7). Mantener las uñas cortas, limpias y sin esmalte.</t>
  </si>
  <si>
    <t>Artículo 14 (8). No se permite utilizar reloj, anillos, aretes, joyas u otros accesorios mientras el personal realice sus labores. En caso de usar lentes, deben asegurarse a la cabeza mediante bandas, cadenas u otros medios ajustables.</t>
  </si>
  <si>
    <t>Artículo 14 (9). Usar calzado cerrado, de material resistente e impermeable y de tacón bajo.</t>
  </si>
  <si>
    <t>Artículo 14 (10). De ser necesario el uso de guantes, estos deben mantenerse limpios, sin roturas o desperfectos y ser tratados con el mismo cuidado higiénico de las manos sin protección. El material de los guantes, debe ser apropiado para la operación realizada y debe evitarse la acumulación de humedad y contaminación en su interior para prevenir posibles afecciones cutáneas de los operarios. El uso de guantes no exime al operario de la obligación de lavarse las manos, según lo contempla el numeral 4 del presente artículo.</t>
  </si>
  <si>
    <t>Artículo 14 (11). No está permitido comer, beber o masticar cualquier objeto o producto, como tampoco fumar o escupir en las áreas donde se manipulen alimentos.</t>
  </si>
  <si>
    <t>Artículo 14 (12). El personal que presente afecciones de la piel o enfermedad infectocontagiosa debe ser excluido de toda actividad directa de manipulación de alimentos.</t>
  </si>
  <si>
    <t>Artículo 14 (13). Los manipuladores no deben sentarse, acostarse, inclinarse o similares en el pasto, andenes o lugares donde la ropa de trabajo pueda contaminarse.</t>
  </si>
  <si>
    <t>Artículo 14 (14). Los visitantes a los establecimientos o plantas deben cumplir estrictamente todas las prácticas de higiene establecidas en esta resolución y portar la vestimenta y dotación adecuada, la cual debe ser suministrada por la empresa.</t>
  </si>
  <si>
    <t>Artículo 16 (1). La recepción de materias primas debe realizarse en condiciones que eviten su contaminación, alteración y daños físicos y deben estar debidamente identificadas de conformidad con la Resolución 5109 de 2005 o las normas que la modifiquen, adicionen o sustituyan, y para el caso de los insumos, deben cumplir con las resoluciones 1506 de 2011 y/o la 683 de 2012, según corresponda, o las normas que las modifiquen, adicionen o sustituyan.</t>
  </si>
  <si>
    <t>Artículo 16 (2). Toda materia prima debe poseer una ficha técnica la cual debe estar a disposición de la autoridad sanitaria competente cuando esta lo requiera.</t>
  </si>
  <si>
    <t>Artículo 16 (7). Los depósitos de materias primas y productos terminados ocuparán espacios independientes, salvo en aquellos casos en que a juicio de la autoridad sanitaria competente no se presenten peligros de contaminación para los alimentos.</t>
  </si>
  <si>
    <t>Artículo 16 (8). Las zonas donde se reciban o almacenen materias primas estarán separadas de las que se destinan a elaboración o envasado del producto final. La autoridad sanitaria competente podrá eximir del cumplimiento de este requisito a los establecimientos en los cuales no exista peligro de contaminación para los alimentos.</t>
  </si>
  <si>
    <t>Artículo 17 (1). Los envases y embalajes deben estar fabricados con materiales tales que garanticen la inocuidad del alimento, de acuerdo a lo establecido en la reglamentación expedida por el Ministerio de Salud y Protección Social especialmente las resoluciones 683, 4142 y 4143 de 2012; 834 y 835 de 2013 o las normas que las modifiquen, adicionen o sustituyan al respecto.</t>
  </si>
  <si>
    <t>Artículo 17 (2). El material del envase y embalaje debe ser adecuado y conferir una protección apropiada contra la contaminación.</t>
  </si>
  <si>
    <t>Artículo 17 (3). No deben haber sido utilizados previamente para fines diferentes que puedan ocasionar la contaminación del alimento a contener.</t>
  </si>
  <si>
    <t>Artículo 17 (5). Los envases y embalajes deben almacenarse en un sitio exclusivo para este fin en condiciones de limpieza y debidamente protegidos.</t>
  </si>
  <si>
    <t>Artículo 18 (1). Todo el proceso de fabricación del alimento, incluyendo las operaciones de envasado y almacenamiento, deben realizarse en óptimas condiciones sanitarias, de limpieza y conservación y con los controles necesarios para reducir el crecimiento de microorganismos y evitar la contaminación del alimento. Para cumplir con este requisito, se deben controlar factores, tales como tiempo, temperatura, humedad, actividad acuosa (Aw), pH, presión y velocidad de flujo. Adicionalmente, se debe vigilar las operaciones de fabricación, tales como congelación, deshidratación, tratamiento térmico, acidificación y refrigeración, asegurando que los tiempos de espera, las fluctuaciones de temperatura y otros factores, no contribuyan a la alteración o contaminación del alimento.</t>
  </si>
  <si>
    <t>Artículo 18 (3). Los alimentos que por su naturaleza permiten un rápido crecimiento de microorganismos indeseables, deben mantenerse en condiciones tales que se evite su proliferación. Para el cumplimiento de este requisito deben adoptarse medidas efectivas como:</t>
  </si>
  <si>
    <t>Artículo 18 (3.1). Mantener los alimentos a temperaturas de refrigeración no mayores de 4°C +/-2ºC.</t>
  </si>
  <si>
    <t>Artículo 18 (3.2). Mantener el alimento en estado congelado.</t>
  </si>
  <si>
    <t>Artículo 18 (4). Los métodos de esterilización, irradiación, ozonización, cloración, pasteurización, ultra pasteurización, ultra alta temperatura, congelación, refrigeración, control de pH, y de actividad acuosa (Aw) entre otros, que se utilizan para destruir y evitar el crecimiento de microorganismos indeseables, deben ser suficientes y validados bajo las condiciones de fabricación, procesamiento, manipulación, distribución y comercialización, para evitar la alteración y deterioro de los alimentos.</t>
  </si>
  <si>
    <t>Artículo 19 (1). El envasado y embalado debe hacerse en condiciones que impidan la contaminación del alimento o materias primas y debe realizarse en un área exclusiva para este fin.</t>
  </si>
  <si>
    <t>Artículo 19 (2). Identificación de lotes. Cada envase y embalaje debe llevar marcado o grabado la identificación de la fábrica productora y el lote de fabricación, la cual se debe hacer en clave o en lenguaje claro, de forma visible, legible e indeleble (Números, alfanumérico, ranuras, barras, perforaciones, fecha de producción, fecha de fabricación, fecha de vencimiento), teniendo en cuenta lo establecido en la resolución 5109 de 2005 o la norma que la modifique, adicione o sustituya. A partir del lote, fecha de vencimiento o fabricación se debe garantizar la trazabilidad hacia adelante y hacia atrás de los productos elaborados, así como de las materias primas utilizadas en su fabricación. No se aceptará el uso de adhesivos para declarar esta información.</t>
  </si>
  <si>
    <t>Artículo 19 (4). Todo producto al momento de salir de una planta de proceso, independiente de su destino debe encontrarse debidamente rotulado, de conformidad con lo establecido en la reglamentación sanitaria vigente.</t>
  </si>
  <si>
    <t>Artículo 20 (1). Durante las operaciones de fabricación, procesamiento, envasado y almacenamiento se tomarán medidas eficaces para evitar la contaminación de los alimentos por contacto directo o indirecto con materias primas que se encuentren en las fases iníciales del proceso.</t>
  </si>
  <si>
    <t>Artículo 20 (6). Cuando sea requerido, se deben implementar filtros sanitarios (lava bota, pediluvios o instalaciones para limpieza y desinfección de calzado, lava manos de accionamiento no manual y toallas desechables o secador de manos, aspiradoras de polvo y contaminación, etc.), debidamente dotados y provistos de sustancias desinfectantes en cantidad suficiente para impedir el paso de contaminación de unas zonas a otras. En cualquier caso, se debe garantizar la limpieza y desinfección de manos de los operarios al ingreso de la sala de proceso o de manipulación de los productos.</t>
  </si>
  <si>
    <t>Artículo 21. Control de la calidad e inocuidad. Todas las operaciones de fabricación, procesamiento, envase, embalado, almacenamiento, distribución, comercialización y expendio de los alimentos deben estar sujetas a los controles de calidad e inocuidad apropiados. Los procedimientos de control de calidad e inocuidad deben prevenir los defectos evitables y reducir los defectos naturales o inevitables a niveles tales que no representen riesgo para la salud. Estos controles variarán según el tipo de alimento y las necesidades del establecimiento y deben rechazar todo alimento que represente riesgo para la salud del consumidor.</t>
  </si>
  <si>
    <t>Artículo 22. Sistema de control. Todas las fábricas de alimentos deben contar con un sistema de control y aseguramiento de calidad, el cual debe ser esencialmente preventivo y cubrir todas las etapas de procesamiento del alimento, desde la obtención de materias primas e insumos, hasta la distribución de productos terminados, el cual debe contar como mínimo, con los siguientes aspectos:</t>
  </si>
  <si>
    <t>Artículo 22 (1). Especificaciones sobre las materias primas y productos terminados. Las especificaciones definen completamente la calidad de todos los productos y de todas las materias primas con los cuales son elaborados y deben incluir criterios claros para su aceptación, liberación, retención o rechazo.</t>
  </si>
  <si>
    <t>Artículo 22 (2). Documentación sobre planta, equipos y proceso. Se debe disponer de manuales de instrucciones, guías y regulaciones donde se describen los detalles esenciales de equipos, procesos y procedimientos requeridos para fabricar o procesar productos. Estos documentos deben cubrir todos los factores que puedan afectar la calidad, manejo de los alimentos, del equipo de procesamiento, el control de calidad, almacenamiento, distribución, métodos y procedimientos de laboratorio.</t>
  </si>
  <si>
    <t>Artículo 22 (3). Los planes de muestreo, los procedimientos de laboratorio, especificaciones y métodos de ensayo deben garantizar que los resultados sean confiables y representativos del lote analizado.</t>
  </si>
  <si>
    <t>Artículo 22 (4). El control y el aseguramiento de la calidad no se limitan a las operaciones de laboratorio, sino que debe estar presente en todas las decisiones vinculadas con la calidad del producto.</t>
  </si>
  <si>
    <t>Artículo 23. Laboratorios. Todas las fábricas de alimentos que procesen, elaboren o envasen alimentos deben tener acceso a un laboratorio de pruebas y ensayos, propio o externo. Estos laboratorios deberán cumplir con lo dispuesto en la Resolución 16078 de 1985, o la norma que la modifique, adicione o sustituya.</t>
  </si>
  <si>
    <t>Artículo 24.. Obligatoriedad de profesional o personal técnico. Los establecimientos que fabriquen procesen, elaboren o envasen alimentos de alto riesgo en salud pública, deben contar con los servicios de tiempo completo de personal técnico idóneo en las áreas de producción y control de calidad de alimentos, quien debe tener a cargo el programa de capacitación del personal manipulador de alimentos.</t>
  </si>
  <si>
    <t>Artículo 25.. Garantía de la confiabilidad de las mediciones. Toda persona natural o jurídica propietaria del establecimiento de que trata esta resolución deben garantizar la confiabilidad de las mediciones que se realizan para el control de puntos o variables críticas del proceso, para lo cual deben tener implementado un programa de calibración de los equipos e instrumentos de medición, que se encuentren relacionados con la inocuidad del producto procesado.</t>
  </si>
  <si>
    <t>Artículo 26.. Plan de saneamiento. Toda persona natural o jurídica propietaria del establecimiento que fabrique, procese, envase, embale, almacene y expenda alimentos y sus materias primas debe implantar y desarrollar un Plan de Saneamiento con objetivos claramente definidos y con los procedimientos requeridos para disminuir los riesgos de contaminación de los alimentos. Este plan debe estar escrito y a disposición de la autoridad sanitaria competente; este debe incluir como mínimo los procedimientos, cronogramas, registros, listas de chequeo y responsables de los siguientes programas:</t>
  </si>
  <si>
    <t>Artículo 26 (1). Limpieza y desinfección. Los procedimientos de limpieza y desinfección deben satisfacer las necesidades particulares del proceso y del producto de que se trate. Cada establecimiento debe tener por escrito todos los procedimientos, incluyendo los agentes y sustancias utilizadas, así como las concentraciones o formas de uso, tiempos de contacto y los equipos e implementos requeridos para efectuar las operaciones y periodicidad de limpieza y desinfección.</t>
  </si>
  <si>
    <t>Artículo 26 (2). Desechos sólidos. Debe contarse con la infraestructura, elementos, áreas, recursos y procedimientos que garanticen una eficiente labor de recolección, conducción, manejo, almacenamiento interno, clasificación, transporte y disposición final de los desechos sólidos, lo cual tendrá que hacerse observando las normas de higiene y salud ocupacional establecidas con el propósito de evitar la contaminación de los alimentos, áreas, dependencias y equipos, y el deterioro del medio ambiente.</t>
  </si>
  <si>
    <t>Artículo 26 (3). Control de plagas. Las plagas deben ser objeto de un programa de control específico, el cual debe involucrar el concepto de control integral, apelando a la aplicación armónica de las diferentes medidas de control conocidas, con especial énfasis en las radicales y de orden preventivo.</t>
  </si>
  <si>
    <t>Artículo 26 (4). Abastecimiento o suministro de agua potable. Todos los establecimientos de que trata la presente resolución deben tener documentado el proceso de abastecimiento de agua que incluye claramente: fuente de captación o suministro, tratamientos realizados, manejo, diseño y capacidad del tanque de almacenamiento, distribución; mantenimiento, limpieza y desinfección de redes y tanque de almacenamiento; controles realizados para garantizar el cumplimiento de los requisitos fisicoquímicos y microbiológicos establecidos en la normatividad vigente, así como los registros que soporten el cumplimiento de los mismos.</t>
  </si>
  <si>
    <t>Artículo 27. Condiciones generales. Las operaciones y condiciones de almacenamiento, distribución, transporte y comercialización deben evitar: a) La contaminación y alteración; b) La proliferación de microorganismos indeseables; c) El deterioro o daño del envase o embalaje.</t>
  </si>
  <si>
    <t>Artículo 28 (1). Debe llevarse un control de primeras entradas y primeras salidas con el fin de garantizar la rotación de los productos. Es necesario que la empresa periódicamente dé salida a productos y materiales inútiles, en desuso, obsoletos o fuera de especificaciones para facilitar la limpieza de las instalaciones y eliminar posibles focos de contaminación.</t>
  </si>
  <si>
    <t>Artículo 28 (2). El almacenamiento de productos que requieren refrigeración o congelación se realizará teniendo en cuenta las condiciones de temperatura, humedad y circulación del aire que requiera el alimento, materia prima o insumo. Estas instalaciones se mantendrán limpias y en buenas condiciones higiénicas, además, se llevará a cabo un control de temperatura y humedad que asegure la conservación del producto. Los dispositivos de registro de la temperatura y humedad deben inspeccionarse a intervalos regulares y se debe comprobar su exactitud. La temperatura de congelación debe ser de -18ºC o menor.</t>
  </si>
  <si>
    <t>Artículo 28 (3). El almacenamiento de los insumos, materias primas y productos terminados se realizará de manera que se minimice su deterioro y se eviten aquellas condiciones que puedan afectar la inocuidad, funcionalidad e integridad de los mismos. Además, se deben identificar claramente y llevar registros para conocer su uso, procedencia, calidad y tiempo de vida.</t>
  </si>
  <si>
    <t>Artículo 28 (4). El almacenamiento de los insumos, materias primas o productos terminados se realizará ordenadamente en pilas o estibas con separación mínima de 60 centímetros con respecto a las paredes perimetrales, y disponerse sobre palés o tarimas limpias y en buen estado, elevadas del piso por lo menos 15 centímetros de manera que se permita la inspección, limpieza y fumigación, si es el caso.</t>
  </si>
  <si>
    <t>Artículo 28 (5). En los sitios o lugares destinados al almacenamiento de materias primas, insumos y productos terminados no podrán realizarse actividades diferentes a estas.</t>
  </si>
  <si>
    <t>Artículo 28 (6). El almacenamiento de los alimentos y materias primas devueltos a la empresa o que se encuentren dentro de sus instalaciones con fecha de vencimiento caducada, debe realizarse en un área o depósito exclusivo para tal fin; este lugar debe identificarse claramente, se llevará un libro de registro en el cual se consigne la fecha y la cantidad de producto, las salidas parciales o totales y su destino final. Estos productos en ningún caso pueden destinarse al reproceso para elaboración de alimentos para consumo humano. Estos registros estarán a disposición de la autoridad sanitaria competente.</t>
  </si>
  <si>
    <t>Artículo 29. El transporte de alimentos y sus materias primas se realizará cumpliendo con las siguientes condiciones:</t>
  </si>
  <si>
    <t>Artículo 29 (1). En condiciones que impidan la contaminación y la proliferación de microorganismos y eviten su alteración, así como los daños en el envase o embalaje según sea el caso.</t>
  </si>
  <si>
    <t>Artículo 29 (2). Los alimentos y materias primas que por su naturaleza requieran mantenerse refrigerados o congelados deben ser transportados y distribuidos bajo condiciones que aseguren y garanticen el mantenimiento de las condiciones de refrigeración o congelación hasta su destino final, que podrá verificarse mediante plantillas de registro de la temperatura del vehículo durante el transporte del alimento, o al producto durante el cargue y descargue.</t>
  </si>
  <si>
    <t>Artículo 29 (3). Los medios de transporte que posean sistema de refrigeración o congelación deben contar con un adecuado funcionamiento que garantice el mantenimiento de las temperaturas requeridas para la conservación de los alimentos o sus materias primas, contando con indicadores y sistemas de registro.</t>
  </si>
  <si>
    <t>Artículo 29 (4). Revisar los medios de transporte antes de cargar los alimentos o materias primas, con el fin de asegurar que se encuentren en adecuadas condiciones sanitarias.</t>
  </si>
  <si>
    <t>Artículo 29 (5). Los medios de transporte y los recipientes en los cuales se transportan los alimentos o materias primas deben estar fabricados con materiales tales que permitan una correcta limpieza y desinfección.</t>
  </si>
  <si>
    <t>Artículo 29 (6). Se permite transportar conjuntamente en un mismo vehículo, alimentos con diferente riesgo en salud pública siempre y cuando se encuentren debidamente envasados, protegidos y se evite la contaminación cruzada.</t>
  </si>
  <si>
    <t>Artículo 29 (7). Se prohíbe disponer los alimentos directamente sobre el piso de los medios de transporte. Para este fin se utilizarán los recipientes, canastillas, o implementos de material adecuado, de manera que aíslen el producto de toda posibilidad de contaminación.</t>
  </si>
  <si>
    <t>Artículo 29 (8). Se prohíbe transportar conjuntamente en un mismo vehículo alimentos o materias primas con sustancias peligrosas y otras sustancias que por su naturaleza representen riesgo de contaminación del alimento o la materia prima.</t>
  </si>
  <si>
    <t>Artículo 29 (9). Los vehículos transportadores de alimentos deben llevar en su exterior en forma claramente visible la leyenda: Transporte de Alimentos.</t>
  </si>
  <si>
    <t>Artículo 29 (10). Los vehículos destinados al transporte de alimentos y materias primas deben cumplir dentro del territorio colombiano con los requisitos sanitarios que garanticen la adecuada protección y conservación de los mismos, para lo cual las autoridades sanitarias realizarán las actividades de inspección, vigilancia y control necesarias para velar por su cumplimiento. Parágrafo Las autoridades sanitarias practicarán la inspección en el vehículo y/o medio de transporte y, por acta harán constar las condiciones sanitarias del mismo.</t>
  </si>
  <si>
    <t>Parágrafo. Las autoridades sanitarias practicarán la inspección en el vehículo y/o medio de transporte y, por acta harán constar las condiciones sanitarias del mismo.</t>
  </si>
  <si>
    <r>
      <t xml:space="preserve">3.1. ¿El contratista cumple con los ciclos de menú establecidos por la Secretaría de Inclusión Social, Familia y Derechos Humanos, </t>
    </r>
    <r>
      <rPr>
        <b/>
        <sz val="10"/>
        <color theme="1"/>
        <rFont val="Calibri"/>
        <family val="2"/>
        <scheme val="minor"/>
      </rPr>
      <t>Anexo A- Ciclos de Menú</t>
    </r>
    <r>
      <rPr>
        <sz val="10"/>
        <color theme="1"/>
        <rFont val="Calibri"/>
        <family val="2"/>
        <scheme val="minor"/>
      </rPr>
      <t>, ¿garantizando la entrega de las preparaciones y alimentos establecidos para cada uno de los ciclos?</t>
    </r>
  </si>
  <si>
    <r>
      <t xml:space="preserve">4.1. ¿Los alimentos suministrados según los ciclos de menú son de primera calidad, cumplen con lo exigido en las características generales de los alimentos, </t>
    </r>
    <r>
      <rPr>
        <b/>
        <sz val="10"/>
        <color theme="1"/>
        <rFont val="Calibri"/>
        <family val="2"/>
        <scheme val="minor"/>
      </rPr>
      <t xml:space="preserve">Anexo B Características de Alimentos </t>
    </r>
    <r>
      <rPr>
        <sz val="10"/>
        <color theme="1"/>
        <rFont val="Calibri"/>
        <family val="2"/>
        <scheme val="minor"/>
      </rPr>
      <t>del pliego de condiciones?</t>
    </r>
  </si>
  <si>
    <r>
      <t xml:space="preserve">14.1. ¿El contratista de acuerdo con los pedidos realizados por el equipo de Seguridad Alimentaria, entrega a los EE atendidos y reportados en el </t>
    </r>
    <r>
      <rPr>
        <b/>
        <sz val="10"/>
        <color theme="1"/>
        <rFont val="Calibri"/>
        <family val="2"/>
        <scheme val="minor"/>
      </rPr>
      <t>Anexo C - Consolidado de Cupos por IE</t>
    </r>
    <r>
      <rPr>
        <sz val="10"/>
        <color theme="1"/>
        <rFont val="Calibri"/>
        <family val="2"/>
        <scheme val="minor"/>
      </rPr>
      <t>, los insumos que componen la ración según el ciclo de menú y los cupos asignados?</t>
    </r>
  </si>
  <si>
    <t>17. REQUISITOS</t>
  </si>
  <si>
    <t>17. PUNTAJE ESPERADO</t>
  </si>
  <si>
    <t xml:space="preserve">17. PUNTAJE OBTENIDO </t>
  </si>
  <si>
    <t>17. PORCENTAJE CUMPLIMIENTO</t>
  </si>
  <si>
    <t>17. CUMPLIMIENTO GENERAL</t>
  </si>
  <si>
    <t>GR LOGISTICA INTEGRAL</t>
  </si>
  <si>
    <t>CTAV1E518896</t>
  </si>
  <si>
    <t>JUAN ESTEBAN FIGUEROA</t>
  </si>
  <si>
    <t>REGISTRE LA FECHA DE DILIGENCIAMIENTO DEL PERFIL HIGIÉNICO SANITARIO  DD/MM/AAAA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</si>
</sst>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64" formatCode="_(&quot;$&quot;\ * #,##0.00_);_(&quot;$&quot;\ * \(#,##0.00\);_(&quot;$&quot;\ * &quot;-&quot;??_);_(@_)"/>
    <numFmt numFmtId="165" formatCode="_(* #,##0.00_);_(* \(#,##0.00\);_(* &quot;-&quot;??_);_(@_)"/>
    <numFmt numFmtId="166" formatCode="_-* #,##0.00\ &quot;€&quot;_-;\-* #,##0.00\ &quot;€&quot;_-;_-* &quot;-&quot;??\ &quot;€&quot;_-;_-@_-"/>
    <numFmt numFmtId="167" formatCode="_-* #,##0.00\ _€_-;\-* #,##0.00\ _€_-;_-* &quot;-&quot;??\ _€_-;_-@_-"/>
    <numFmt numFmtId="168" formatCode="_ [$€-2]\ * #,##0.00_ ;_ [$€-2]\ * \-#,##0.00_ ;_ [$€-2]\ * &quot;-&quot;??_ "/>
    <numFmt numFmtId="169" formatCode="_([$€]* #,##0.00_);_([$€]* \(#,##0.00\);_([$€]* &quot;-&quot;??_);_(@_)"/>
    <numFmt numFmtId="170" formatCode="_-* #,##0.00\ [$€]_-;\-* #,##0.00\ [$€]_-;_-* &quot;-&quot;??\ [$€]_-;_-@_-"/>
    <numFmt numFmtId="171" formatCode="_-* #,##0\ _P_t_s_-;\-* #,##0\ _P_t_s_-;_-* &quot;-&quot;\ _P_t_s_-;_-@_-"/>
    <numFmt numFmtId="172" formatCode="_ * #,##0.00_ ;_ * \-#,##0.00_ ;_ * &quot;-&quot;??_ ;_ @_ "/>
    <numFmt numFmtId="173" formatCode="_-* #,##0.00\ _P_t_s_-;\-* #,##0.00\ _P_t_s_-;_-* &quot;-&quot;??\ _P_t_s_-;_-@_-"/>
    <numFmt numFmtId="174" formatCode="_ &quot;$&quot;\ * #,##0.00_ ;_ &quot;$&quot;\ * \-#,##0.00_ ;_ &quot;$&quot;\ * &quot;-&quot;??_ ;_ @_ "/>
    <numFmt numFmtId="175" formatCode="_-* #,##0.00\ &quot;Pts&quot;_-;\-* #,##0.00\ &quot;Pts&quot;_-;_-* &quot;-&quot;??\ &quot;Pts&quot;_-;_-@_-"/>
    <numFmt numFmtId="176" formatCode="[$-240A]d&quot; de &quot;mmmm&quot; de &quot;yyyy;@"/>
    <numFmt numFmtId="177" formatCode="h:mm:ss;@"/>
  </numFmts>
  <fonts count="89">
    <font>
      <sz val="11"/>
      <color theme="1"/>
      <name val="Calibri"/>
      <family val="2"/>
      <scheme val="minor"/>
    </font>
    <font>
      <sz val="12"/>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u/>
      <sz val="11"/>
      <color theme="10"/>
      <name val="Calibri"/>
      <family val="2"/>
    </font>
    <font>
      <u/>
      <sz val="12.65"/>
      <color theme="10"/>
      <name val="Calibri"/>
      <family val="2"/>
    </font>
    <font>
      <u/>
      <sz val="12.65"/>
      <color indexed="12"/>
      <name val="Calibri"/>
      <family val="2"/>
    </font>
    <font>
      <sz val="11"/>
      <color indexed="20"/>
      <name val="Calibri"/>
      <family val="2"/>
    </font>
    <font>
      <sz val="10"/>
      <name val="Zurich BT"/>
    </font>
    <font>
      <sz val="11"/>
      <color indexed="60"/>
      <name val="Calibri"/>
      <family val="2"/>
    </font>
    <font>
      <sz val="12"/>
      <color theme="1"/>
      <name val="Calibri"/>
      <family val="2"/>
      <scheme val="minor"/>
    </font>
    <font>
      <sz val="10"/>
      <color indexed="8"/>
      <name val="Arial"/>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b/>
      <sz val="11"/>
      <color indexed="8"/>
      <name val="Calibri"/>
      <family val="2"/>
    </font>
    <font>
      <u/>
      <sz val="11"/>
      <color theme="10"/>
      <name val="Calibri"/>
      <family val="2"/>
      <scheme val="minor"/>
    </font>
    <font>
      <u/>
      <sz val="11"/>
      <color theme="11"/>
      <name val="Calibri"/>
      <family val="2"/>
      <scheme val="minor"/>
    </font>
    <font>
      <b/>
      <sz val="10"/>
      <color theme="1"/>
      <name val="Calibri"/>
      <family val="2"/>
      <scheme val="minor"/>
    </font>
    <font>
      <sz val="11"/>
      <color indexed="8"/>
      <name val="Calibri"/>
      <family val="2"/>
      <scheme val="minor"/>
    </font>
    <font>
      <sz val="11"/>
      <name val="Calibri"/>
      <family val="2"/>
      <scheme val="minor"/>
    </font>
    <font>
      <b/>
      <sz val="11"/>
      <name val="Calibri"/>
      <family val="2"/>
      <scheme val="minor"/>
    </font>
    <font>
      <sz val="10"/>
      <color rgb="FF000000"/>
      <name val="Times New Roman"/>
      <family val="1"/>
    </font>
    <font>
      <sz val="11"/>
      <color rgb="FF000000"/>
      <name val="Calibri"/>
      <family val="2"/>
    </font>
    <font>
      <b/>
      <sz val="11"/>
      <name val="Calibri"/>
      <family val="2"/>
    </font>
    <font>
      <sz val="9"/>
      <color indexed="8"/>
      <name val="Calibri"/>
      <family val="2"/>
      <scheme val="minor"/>
    </font>
    <font>
      <sz val="11"/>
      <color rgb="FF000000"/>
      <name val="Calibri"/>
      <family val="2"/>
      <scheme val="minor"/>
    </font>
    <font>
      <b/>
      <sz val="18"/>
      <color theme="1"/>
      <name val="Calibri"/>
      <family val="2"/>
      <scheme val="minor"/>
    </font>
    <font>
      <sz val="10"/>
      <color rgb="FF000000"/>
      <name val="Times New Roman"/>
      <family val="1"/>
    </font>
    <font>
      <b/>
      <sz val="9"/>
      <name val="Arial"/>
      <family val="2"/>
    </font>
    <font>
      <sz val="9"/>
      <name val="Arial"/>
      <family val="2"/>
    </font>
    <font>
      <b/>
      <sz val="12"/>
      <color rgb="FF000000"/>
      <name val="Calibri"/>
      <family val="2"/>
      <scheme val="minor"/>
    </font>
    <font>
      <sz val="10"/>
      <color theme="1"/>
      <name val="Calibri"/>
      <family val="2"/>
      <scheme val="minor"/>
    </font>
    <font>
      <b/>
      <sz val="10"/>
      <color rgb="FF000000"/>
      <name val="Calibri"/>
      <family val="2"/>
      <scheme val="minor"/>
    </font>
    <font>
      <sz val="10"/>
      <name val="MS Sans Serif"/>
      <family val="2"/>
    </font>
    <font>
      <b/>
      <sz val="9"/>
      <name val="Calibri"/>
      <family val="2"/>
      <scheme val="minor"/>
    </font>
    <font>
      <sz val="9"/>
      <name val="Calibri"/>
      <family val="2"/>
      <scheme val="minor"/>
    </font>
    <font>
      <sz val="9"/>
      <name val="Calibri"/>
      <family val="2"/>
    </font>
    <font>
      <b/>
      <sz val="9"/>
      <name val="Calibri"/>
      <family val="2"/>
    </font>
    <font>
      <sz val="11"/>
      <name val="Calibri"/>
      <family val="2"/>
    </font>
    <font>
      <sz val="12"/>
      <name val="&quot;Times New Roman&quot;"/>
    </font>
    <font>
      <u/>
      <sz val="11"/>
      <name val="Calibri"/>
      <family val="2"/>
      <scheme val="minor"/>
    </font>
    <font>
      <sz val="12"/>
      <name val="Arial"/>
      <family val="2"/>
    </font>
    <font>
      <sz val="11"/>
      <name val="Arial"/>
      <family val="2"/>
    </font>
    <font>
      <sz val="8"/>
      <name val="Calibri"/>
      <family val="2"/>
      <scheme val="minor"/>
    </font>
    <font>
      <b/>
      <sz val="11"/>
      <name val="Calibri"/>
      <family val="2"/>
    </font>
    <font>
      <sz val="11"/>
      <color rgb="FF000000"/>
      <name val="Calibri"/>
      <family val="2"/>
    </font>
    <font>
      <sz val="7"/>
      <color theme="1"/>
      <name val="Calibri"/>
      <family val="2"/>
      <scheme val="minor"/>
    </font>
    <font>
      <b/>
      <sz val="7"/>
      <color rgb="FF000000"/>
      <name val="Calibri"/>
      <family val="2"/>
      <scheme val="minor"/>
    </font>
    <font>
      <b/>
      <sz val="7"/>
      <color theme="1"/>
      <name val="Calibri"/>
      <family val="2"/>
      <scheme val="minor"/>
    </font>
    <font>
      <sz val="7.5"/>
      <color theme="1"/>
      <name val="Calibri"/>
      <family val="2"/>
      <scheme val="minor"/>
    </font>
    <font>
      <sz val="7"/>
      <color theme="1"/>
      <name val="Times New Roman"/>
      <family val="1"/>
    </font>
    <font>
      <sz val="6"/>
      <color theme="1"/>
      <name val="Calibri"/>
      <family val="2"/>
      <scheme val="minor"/>
    </font>
    <font>
      <sz val="6.5"/>
      <color theme="1"/>
      <name val="Calibri"/>
      <family val="2"/>
      <scheme val="minor"/>
    </font>
    <font>
      <sz val="5"/>
      <color theme="1"/>
      <name val="Calibri"/>
      <family val="2"/>
      <scheme val="minor"/>
    </font>
    <font>
      <sz val="5.5"/>
      <color theme="1"/>
      <name val="Calibri"/>
      <family val="2"/>
      <scheme val="minor"/>
    </font>
    <font>
      <sz val="6"/>
      <color theme="1"/>
      <name val="Times New Roman"/>
      <family val="1"/>
    </font>
    <font>
      <sz val="8"/>
      <color theme="1"/>
      <name val="Calibri"/>
      <family val="2"/>
      <scheme val="minor"/>
    </font>
    <font>
      <sz val="9.5"/>
      <color theme="1"/>
      <name val="Calibri"/>
      <family val="2"/>
      <scheme val="minor"/>
    </font>
    <font>
      <b/>
      <sz val="7.5"/>
      <color theme="1"/>
      <name val="Calibri"/>
      <family val="2"/>
      <scheme val="minor"/>
    </font>
    <font>
      <b/>
      <sz val="7.5"/>
      <color rgb="FF000000"/>
      <name val="Calibri"/>
      <family val="2"/>
      <scheme val="minor"/>
    </font>
  </fonts>
  <fills count="8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bgColor theme="4" tint="0.79998168889431442"/>
      </patternFill>
    </fill>
    <fill>
      <patternFill patternType="solid">
        <fgColor rgb="FFDBE5F1"/>
        <bgColor rgb="FFDBE5F1"/>
      </patternFill>
    </fill>
    <fill>
      <patternFill patternType="solid">
        <fgColor rgb="FFDCE6F1"/>
        <bgColor indexed="64"/>
      </patternFill>
    </fill>
    <fill>
      <patternFill patternType="solid">
        <fgColor rgb="FFD8D8D8"/>
        <bgColor indexed="64"/>
      </patternFill>
    </fill>
    <fill>
      <patternFill patternType="solid">
        <fgColor rgb="FFD9D9D9"/>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F2F2F2"/>
        <bgColor indexed="64"/>
      </patternFill>
    </fill>
    <fill>
      <patternFill patternType="solid">
        <fgColor theme="0" tint="-0.249977111117893"/>
        <bgColor indexed="64"/>
      </patternFill>
    </fill>
    <fill>
      <patternFill patternType="solid">
        <fgColor rgb="FFA5A5A5"/>
        <bgColor indexed="64"/>
      </patternFill>
    </fill>
    <fill>
      <patternFill patternType="solid">
        <fgColor rgb="FFCCCCCC"/>
        <bgColor indexed="64"/>
      </patternFill>
    </fill>
    <fill>
      <patternFill patternType="solid">
        <fgColor rgb="FFD8D8D8"/>
        <bgColor rgb="FFD8D8D8"/>
      </patternFill>
    </fill>
    <fill>
      <patternFill patternType="solid">
        <fgColor rgb="FFA5A5A5"/>
        <bgColor rgb="FFA5A5A5"/>
      </patternFill>
    </fill>
    <fill>
      <patternFill patternType="solid">
        <fgColor theme="0" tint="-0.14999847407452621"/>
        <bgColor rgb="FFD8D8D8"/>
      </patternFill>
    </fill>
    <fill>
      <patternFill patternType="solid">
        <fgColor theme="0"/>
        <bgColor rgb="FFFFFF00"/>
      </patternFill>
    </fill>
    <fill>
      <patternFill patternType="solid">
        <fgColor theme="0" tint="-0.14999847407452621"/>
        <bgColor rgb="FFBFBFBF"/>
      </patternFill>
    </fill>
    <fill>
      <patternFill patternType="solid">
        <fgColor rgb="FFBFBFBF"/>
        <bgColor rgb="FFBFBFBF"/>
      </patternFill>
    </fill>
    <fill>
      <patternFill patternType="solid">
        <fgColor theme="0" tint="-0.14999847407452621"/>
        <bgColor rgb="FFA5A5A5"/>
      </patternFill>
    </fill>
    <fill>
      <patternFill patternType="solid">
        <fgColor rgb="FFFFFFFF"/>
        <bgColor rgb="FFFFFFFF"/>
      </patternFill>
    </fill>
    <fill>
      <patternFill patternType="solid">
        <fgColor theme="0" tint="-0.34998626667073579"/>
        <bgColor indexed="64"/>
      </patternFill>
    </fill>
    <fill>
      <patternFill patternType="solid">
        <fgColor theme="0"/>
        <bgColor rgb="FFD8D8D8"/>
      </patternFill>
    </fill>
    <fill>
      <patternFill patternType="solid">
        <fgColor rgb="FFFFFFFF"/>
        <bgColor indexed="64"/>
      </patternFill>
    </fill>
    <fill>
      <patternFill patternType="solid">
        <fgColor rgb="FFBDBDBD"/>
        <bgColor indexed="64"/>
      </patternFill>
    </fill>
    <fill>
      <patternFill patternType="solid">
        <fgColor rgb="FFFF0000"/>
        <bgColor indexed="64"/>
      </patternFill>
    </fill>
  </fills>
  <borders count="1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auto="1"/>
      </left>
      <right style="medium">
        <color auto="1"/>
      </right>
      <top style="medium">
        <color auto="1"/>
      </top>
      <bottom style="medium">
        <color auto="1"/>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theme="4" tint="0.39997558519241921"/>
      </top>
      <bottom style="thin">
        <color theme="4" tint="0.3999755851924192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auto="1"/>
      </right>
      <top/>
      <bottom style="thin">
        <color auto="1"/>
      </bottom>
      <diagonal/>
    </border>
    <border>
      <left style="thin">
        <color rgb="FF000000"/>
      </left>
      <right/>
      <top style="thin">
        <color rgb="FF000000"/>
      </top>
      <bottom style="thin">
        <color rgb="FF000000"/>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000000"/>
      </left>
      <right style="thin">
        <color rgb="FF000000"/>
      </right>
      <top style="thin">
        <color rgb="FF000000"/>
      </top>
      <bottom style="thin">
        <color rgb="FF000000"/>
      </bottom>
      <diagonal/>
    </border>
    <border>
      <left style="thin">
        <color indexed="64"/>
      </left>
      <right/>
      <top/>
      <bottom style="thin">
        <color auto="1"/>
      </bottom>
      <diagonal/>
    </border>
    <border>
      <left/>
      <right/>
      <top/>
      <bottom style="thin">
        <color auto="1"/>
      </bottom>
      <diagonal/>
    </border>
    <border>
      <left/>
      <right style="thin">
        <color indexed="64"/>
      </right>
      <top/>
      <bottom/>
      <diagonal/>
    </border>
    <border>
      <left style="thin">
        <color indexed="64"/>
      </left>
      <right style="thin">
        <color indexed="64"/>
      </right>
      <top style="thin">
        <color auto="1"/>
      </top>
      <bottom style="thin">
        <color indexed="64"/>
      </bottom>
      <diagonal/>
    </border>
    <border>
      <left style="thin">
        <color rgb="FF000000"/>
      </left>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style="thin">
        <color auto="1"/>
      </top>
      <bottom/>
      <diagonal/>
    </border>
    <border>
      <left/>
      <right/>
      <top/>
      <bottom style="medium">
        <color indexed="64"/>
      </bottom>
      <diagonal/>
    </border>
    <border>
      <left style="thin">
        <color indexed="64"/>
      </left>
      <right/>
      <top style="medium">
        <color indexed="64"/>
      </top>
      <bottom style="thin">
        <color indexed="64"/>
      </bottom>
      <diagonal/>
    </border>
    <border>
      <left/>
      <right/>
      <top style="thin">
        <color auto="1"/>
      </top>
      <bottom/>
      <diagonal/>
    </border>
    <border>
      <left style="thin">
        <color indexed="64"/>
      </left>
      <right/>
      <top style="thin">
        <color auto="1"/>
      </top>
      <bottom/>
      <diagonal/>
    </border>
    <border>
      <left/>
      <right style="thin">
        <color indexed="64"/>
      </right>
      <top style="thin">
        <color auto="1"/>
      </top>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indexed="64"/>
      </left>
      <right style="thin">
        <color rgb="FF000000"/>
      </right>
      <top style="medium">
        <color rgb="FF000000"/>
      </top>
      <bottom style="thin">
        <color rgb="FF000000"/>
      </bottom>
      <diagonal/>
    </border>
    <border>
      <left style="thin">
        <color rgb="FF000000"/>
      </left>
      <right style="medium">
        <color indexed="64"/>
      </right>
      <top style="medium">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indexed="64"/>
      </left>
      <right style="thin">
        <color rgb="FF000000"/>
      </right>
      <top style="thin">
        <color rgb="FF000000"/>
      </top>
      <bottom style="medium">
        <color rgb="FF000000"/>
      </bottom>
      <diagonal/>
    </border>
    <border>
      <left style="thin">
        <color rgb="FF000000"/>
      </left>
      <right style="medium">
        <color indexed="64"/>
      </right>
      <top style="thin">
        <color rgb="FF000000"/>
      </top>
      <bottom style="medium">
        <color rgb="FF000000"/>
      </bottom>
      <diagonal/>
    </border>
    <border>
      <left style="thin">
        <color rgb="FF000000"/>
      </left>
      <right style="medium">
        <color indexed="64"/>
      </right>
      <top/>
      <bottom style="thin">
        <color rgb="FF000000"/>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thin">
        <color auto="1"/>
      </right>
      <top style="thin">
        <color auto="1"/>
      </top>
      <bottom style="thin">
        <color auto="1"/>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top style="medium">
        <color rgb="FF000000"/>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style="thin">
        <color indexed="64"/>
      </bottom>
      <diagonal/>
    </border>
  </borders>
  <cellStyleXfs count="407">
    <xf numFmtId="0" fontId="0" fillId="0" borderId="0"/>
    <xf numFmtId="0" fontId="20" fillId="0" borderId="0"/>
    <xf numFmtId="0" fontId="21" fillId="33" borderId="0" applyNumberFormat="0" applyBorder="0" applyAlignment="0" applyProtection="0"/>
    <xf numFmtId="0" fontId="2" fillId="10" borderId="0" applyNumberFormat="0" applyBorder="0" applyAlignment="0" applyProtection="0"/>
    <xf numFmtId="0" fontId="21" fillId="34" borderId="0" applyNumberFormat="0" applyBorder="0" applyAlignment="0" applyProtection="0"/>
    <xf numFmtId="0" fontId="2" fillId="14" borderId="0" applyNumberFormat="0" applyBorder="0" applyAlignment="0" applyProtection="0"/>
    <xf numFmtId="0" fontId="21" fillId="35" borderId="0" applyNumberFormat="0" applyBorder="0" applyAlignment="0" applyProtection="0"/>
    <xf numFmtId="0" fontId="2" fillId="18" borderId="0" applyNumberFormat="0" applyBorder="0" applyAlignment="0" applyProtection="0"/>
    <xf numFmtId="0" fontId="21" fillId="36" borderId="0" applyNumberFormat="0" applyBorder="0" applyAlignment="0" applyProtection="0"/>
    <xf numFmtId="0" fontId="2" fillId="22" borderId="0" applyNumberFormat="0" applyBorder="0" applyAlignment="0" applyProtection="0"/>
    <xf numFmtId="0" fontId="21" fillId="37" borderId="0" applyNumberFormat="0" applyBorder="0" applyAlignment="0" applyProtection="0"/>
    <xf numFmtId="0" fontId="2" fillId="26" borderId="0" applyNumberFormat="0" applyBorder="0" applyAlignment="0" applyProtection="0"/>
    <xf numFmtId="0" fontId="21" fillId="38" borderId="0" applyNumberFormat="0" applyBorder="0" applyAlignment="0" applyProtection="0"/>
    <xf numFmtId="0" fontId="2" fillId="30" borderId="0" applyNumberFormat="0" applyBorder="0" applyAlignment="0" applyProtection="0"/>
    <xf numFmtId="0" fontId="21" fillId="39" borderId="0" applyNumberFormat="0" applyBorder="0" applyAlignment="0" applyProtection="0"/>
    <xf numFmtId="0" fontId="2" fillId="11" borderId="0" applyNumberFormat="0" applyBorder="0" applyAlignment="0" applyProtection="0"/>
    <xf numFmtId="0" fontId="21" fillId="40" borderId="0" applyNumberFormat="0" applyBorder="0" applyAlignment="0" applyProtection="0"/>
    <xf numFmtId="0" fontId="2" fillId="15" borderId="0" applyNumberFormat="0" applyBorder="0" applyAlignment="0" applyProtection="0"/>
    <xf numFmtId="0" fontId="21" fillId="41" borderId="0" applyNumberFormat="0" applyBorder="0" applyAlignment="0" applyProtection="0"/>
    <xf numFmtId="0" fontId="2" fillId="19" borderId="0" applyNumberFormat="0" applyBorder="0" applyAlignment="0" applyProtection="0"/>
    <xf numFmtId="0" fontId="21" fillId="36" borderId="0" applyNumberFormat="0" applyBorder="0" applyAlignment="0" applyProtection="0"/>
    <xf numFmtId="0" fontId="2" fillId="23" borderId="0" applyNumberFormat="0" applyBorder="0" applyAlignment="0" applyProtection="0"/>
    <xf numFmtId="0" fontId="21" fillId="39" borderId="0" applyNumberFormat="0" applyBorder="0" applyAlignment="0" applyProtection="0"/>
    <xf numFmtId="0" fontId="2" fillId="27" borderId="0" applyNumberFormat="0" applyBorder="0" applyAlignment="0" applyProtection="0"/>
    <xf numFmtId="0" fontId="21" fillId="42" borderId="0" applyNumberFormat="0" applyBorder="0" applyAlignment="0" applyProtection="0"/>
    <xf numFmtId="0" fontId="2" fillId="31" borderId="0" applyNumberFormat="0" applyBorder="0" applyAlignment="0" applyProtection="0"/>
    <xf numFmtId="0" fontId="22" fillId="43" borderId="0" applyNumberFormat="0" applyBorder="0" applyAlignment="0" applyProtection="0"/>
    <xf numFmtId="0" fontId="18" fillId="12" borderId="0" applyNumberFormat="0" applyBorder="0" applyAlignment="0" applyProtection="0"/>
    <xf numFmtId="0" fontId="22" fillId="40" borderId="0" applyNumberFormat="0" applyBorder="0" applyAlignment="0" applyProtection="0"/>
    <xf numFmtId="0" fontId="18" fillId="16" borderId="0" applyNumberFormat="0" applyBorder="0" applyAlignment="0" applyProtection="0"/>
    <xf numFmtId="0" fontId="22" fillId="41" borderId="0" applyNumberFormat="0" applyBorder="0" applyAlignment="0" applyProtection="0"/>
    <xf numFmtId="0" fontId="18" fillId="20" borderId="0" applyNumberFormat="0" applyBorder="0" applyAlignment="0" applyProtection="0"/>
    <xf numFmtId="0" fontId="22" fillId="44" borderId="0" applyNumberFormat="0" applyBorder="0" applyAlignment="0" applyProtection="0"/>
    <xf numFmtId="0" fontId="18" fillId="24" borderId="0" applyNumberFormat="0" applyBorder="0" applyAlignment="0" applyProtection="0"/>
    <xf numFmtId="0" fontId="22" fillId="45" borderId="0" applyNumberFormat="0" applyBorder="0" applyAlignment="0" applyProtection="0"/>
    <xf numFmtId="0" fontId="18" fillId="28" borderId="0" applyNumberFormat="0" applyBorder="0" applyAlignment="0" applyProtection="0"/>
    <xf numFmtId="0" fontId="22" fillId="46" borderId="0" applyNumberFormat="0" applyBorder="0" applyAlignment="0" applyProtection="0"/>
    <xf numFmtId="0" fontId="18" fillId="32" borderId="0" applyNumberFormat="0" applyBorder="0" applyAlignment="0" applyProtection="0"/>
    <xf numFmtId="0" fontId="23" fillId="35" borderId="0" applyNumberFormat="0" applyBorder="0" applyAlignment="0" applyProtection="0"/>
    <xf numFmtId="0" fontId="7" fillId="2" borderId="0" applyNumberFormat="0" applyBorder="0" applyAlignment="0" applyProtection="0"/>
    <xf numFmtId="0" fontId="24" fillId="47" borderId="10" applyNumberFormat="0" applyAlignment="0" applyProtection="0"/>
    <xf numFmtId="0" fontId="12" fillId="6" borderId="4" applyNumberFormat="0" applyAlignment="0" applyProtection="0"/>
    <xf numFmtId="0" fontId="25" fillId="48" borderId="11" applyNumberFormat="0" applyAlignment="0" applyProtection="0"/>
    <xf numFmtId="0" fontId="14" fillId="7" borderId="7" applyNumberFormat="0" applyAlignment="0" applyProtection="0"/>
    <xf numFmtId="0" fontId="26" fillId="0" borderId="12" applyNumberFormat="0" applyFill="0" applyAlignment="0" applyProtection="0"/>
    <xf numFmtId="0" fontId="13" fillId="0" borderId="6" applyNumberFormat="0" applyFill="0" applyAlignment="0" applyProtection="0"/>
    <xf numFmtId="0" fontId="27" fillId="0" borderId="0" applyNumberFormat="0" applyFill="0" applyBorder="0" applyAlignment="0" applyProtection="0"/>
    <xf numFmtId="0" fontId="6" fillId="0" borderId="0" applyNumberFormat="0" applyFill="0" applyBorder="0" applyAlignment="0" applyProtection="0"/>
    <xf numFmtId="0" fontId="22" fillId="4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22" fillId="4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22" fillId="50" borderId="0" applyNumberFormat="0" applyBorder="0" applyAlignment="0" applyProtection="0"/>
    <xf numFmtId="0" fontId="18" fillId="13" borderId="0" applyNumberFormat="0" applyBorder="0" applyAlignment="0" applyProtection="0"/>
    <xf numFmtId="0" fontId="22" fillId="51" borderId="0" applyNumberFormat="0" applyBorder="0" applyAlignment="0" applyProtection="0"/>
    <xf numFmtId="0" fontId="18" fillId="17" borderId="0" applyNumberFormat="0" applyBorder="0" applyAlignment="0" applyProtection="0"/>
    <xf numFmtId="0" fontId="22" fillId="44" borderId="0" applyNumberFormat="0" applyBorder="0" applyAlignment="0" applyProtection="0"/>
    <xf numFmtId="0" fontId="18" fillId="21" borderId="0" applyNumberFormat="0" applyBorder="0" applyAlignment="0" applyProtection="0"/>
    <xf numFmtId="0" fontId="22" fillId="45" borderId="0" applyNumberFormat="0" applyBorder="0" applyAlignment="0" applyProtection="0"/>
    <xf numFmtId="0" fontId="18" fillId="25" borderId="0" applyNumberFormat="0" applyBorder="0" applyAlignment="0" applyProtection="0"/>
    <xf numFmtId="0" fontId="22" fillId="52" borderId="0" applyNumberFormat="0" applyBorder="0" applyAlignment="0" applyProtection="0"/>
    <xf numFmtId="0" fontId="18" fillId="29" borderId="0" applyNumberFormat="0" applyBorder="0" applyAlignment="0" applyProtection="0"/>
    <xf numFmtId="0" fontId="28" fillId="38" borderId="10" applyNumberFormat="0" applyAlignment="0" applyProtection="0"/>
    <xf numFmtId="0" fontId="10" fillId="5" borderId="4" applyNumberFormat="0" applyAlignment="0" applyProtection="0"/>
    <xf numFmtId="168"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70"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0" fontId="29"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0" borderId="0" applyNumberFormat="0" applyFill="0" applyBorder="0" applyAlignment="0" applyProtection="0"/>
    <xf numFmtId="0" fontId="32" fillId="34" borderId="0" applyNumberFormat="0" applyBorder="0" applyAlignment="0" applyProtection="0"/>
    <xf numFmtId="0" fontId="8" fillId="3" borderId="0" applyNumberFormat="0" applyBorder="0" applyAlignment="0" applyProtection="0"/>
    <xf numFmtId="171"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5" fontId="33"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0"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167" fontId="21"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67" fontId="2" fillId="0" borderId="0" applyFont="0" applyFill="0" applyBorder="0" applyAlignment="0" applyProtection="0"/>
    <xf numFmtId="165" fontId="20" fillId="0" borderId="0" applyFont="0" applyFill="0" applyBorder="0" applyAlignment="0" applyProtection="0"/>
    <xf numFmtId="167" fontId="20" fillId="0" borderId="0" applyFont="0" applyFill="0" applyBorder="0" applyAlignment="0" applyProtection="0"/>
    <xf numFmtId="43" fontId="20" fillId="0" borderId="0" applyFont="0" applyFill="0" applyBorder="0" applyAlignment="0" applyProtection="0"/>
    <xf numFmtId="172"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2" fontId="20" fillId="0" borderId="0" applyFont="0" applyFill="0" applyBorder="0" applyAlignment="0" applyProtection="0"/>
    <xf numFmtId="43"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72"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43" fontId="20" fillId="0" borderId="0" applyFont="0" applyFill="0" applyBorder="0" applyAlignment="0" applyProtection="0"/>
    <xf numFmtId="165"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2"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73" fontId="20" fillId="0" borderId="0" applyFont="0" applyFill="0" applyBorder="0" applyAlignment="0" applyProtection="0"/>
    <xf numFmtId="165" fontId="20" fillId="0" borderId="0" applyFont="0" applyFill="0" applyBorder="0" applyAlignment="0" applyProtection="0"/>
    <xf numFmtId="165" fontId="20" fillId="0" borderId="0" applyFont="0" applyFill="0" applyBorder="0" applyAlignment="0" applyProtection="0"/>
    <xf numFmtId="172" fontId="20" fillId="0" borderId="0" applyFont="0" applyFill="0" applyBorder="0" applyAlignment="0" applyProtection="0"/>
    <xf numFmtId="166" fontId="20" fillId="0" borderId="0" applyFont="0" applyFill="0" applyBorder="0" applyAlignment="0" applyProtection="0"/>
    <xf numFmtId="174" fontId="33" fillId="0" borderId="0" applyFont="0" applyFill="0" applyBorder="0" applyAlignment="0" applyProtection="0"/>
    <xf numFmtId="175" fontId="20" fillId="0" borderId="0" applyFont="0" applyFill="0" applyBorder="0" applyAlignment="0" applyProtection="0"/>
    <xf numFmtId="174" fontId="20" fillId="0" borderId="0" applyFont="0" applyFill="0" applyBorder="0" applyAlignment="0" applyProtection="0"/>
    <xf numFmtId="174" fontId="33" fillId="0" borderId="0" applyFont="0" applyFill="0" applyBorder="0" applyAlignment="0" applyProtection="0"/>
    <xf numFmtId="174" fontId="20"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5" fontId="20" fillId="0" borderId="0" applyFont="0" applyFill="0" applyBorder="0" applyAlignment="0" applyProtection="0"/>
    <xf numFmtId="174" fontId="20" fillId="0" borderId="0" applyFont="0" applyFill="0" applyBorder="0" applyAlignment="0" applyProtection="0"/>
    <xf numFmtId="0" fontId="34" fillId="53" borderId="0" applyNumberFormat="0" applyBorder="0" applyAlignment="0" applyProtection="0"/>
    <xf numFmtId="0" fontId="9" fillId="4"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5" fillId="0" borderId="0"/>
    <xf numFmtId="0" fontId="20" fillId="0" borderId="0"/>
    <xf numFmtId="0" fontId="2" fillId="0" borderId="0"/>
    <xf numFmtId="0" fontId="20" fillId="0" borderId="0"/>
    <xf numFmtId="0" fontId="36" fillId="0" borderId="0"/>
    <xf numFmtId="0" fontId="20" fillId="0" borderId="0"/>
    <xf numFmtId="176" fontId="20" fillId="0" borderId="0"/>
    <xf numFmtId="176" fontId="20" fillId="0" borderId="0"/>
    <xf numFmtId="0" fontId="2" fillId="0" borderId="0"/>
    <xf numFmtId="0" fontId="2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5" fillId="0" borderId="0"/>
    <xf numFmtId="0" fontId="20" fillId="0" borderId="0"/>
    <xf numFmtId="0" fontId="33" fillId="0" borderId="0"/>
    <xf numFmtId="0" fontId="20" fillId="0" borderId="0"/>
    <xf numFmtId="0" fontId="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 fillId="0" borderId="0"/>
    <xf numFmtId="0" fontId="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 fillId="0" borderId="0"/>
    <xf numFmtId="0" fontId="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 fillId="0" borderId="0"/>
    <xf numFmtId="0" fontId="21" fillId="0" borderId="0"/>
    <xf numFmtId="0" fontId="36" fillId="0" borderId="0"/>
    <xf numFmtId="0" fontId="20" fillId="0" borderId="0" applyNumberFormat="0" applyFont="0" applyFill="0" applyBorder="0" applyAlignment="0" applyProtection="0"/>
    <xf numFmtId="0" fontId="2" fillId="0" borderId="0"/>
    <xf numFmtId="0" fontId="20" fillId="0" borderId="0" applyNumberFormat="0" applyFont="0" applyFill="0" applyBorder="0" applyAlignment="0" applyProtection="0"/>
    <xf numFmtId="0" fontId="20" fillId="0" borderId="0"/>
    <xf numFmtId="0" fontId="20" fillId="0" borderId="0" applyNumberFormat="0" applyFont="0" applyFill="0" applyBorder="0" applyAlignment="0" applyProtection="0"/>
    <xf numFmtId="0" fontId="20" fillId="0" borderId="0"/>
    <xf numFmtId="0" fontId="20" fillId="0" borderId="0"/>
    <xf numFmtId="0" fontId="2" fillId="0" borderId="0"/>
    <xf numFmtId="0" fontId="20" fillId="0" borderId="0"/>
    <xf numFmtId="0" fontId="2" fillId="8" borderId="8" applyNumberFormat="0" applyFont="0" applyAlignment="0" applyProtection="0"/>
    <xf numFmtId="0" fontId="20" fillId="54" borderId="13" applyNumberFormat="0" applyFont="0" applyAlignment="0" applyProtection="0"/>
    <xf numFmtId="0" fontId="20" fillId="54" borderId="13" applyNumberFormat="0" applyFont="0" applyAlignment="0" applyProtection="0"/>
    <xf numFmtId="0" fontId="20" fillId="0" borderId="14">
      <alignment horizontal="centerContinuous"/>
    </xf>
    <xf numFmtId="9" fontId="20"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NumberFormat="0" applyFont="0" applyFill="0" applyBorder="0" applyAlignment="0" applyProtection="0"/>
    <xf numFmtId="9" fontId="20" fillId="0" borderId="0" applyNumberFormat="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37" fillId="47" borderId="15" applyNumberFormat="0" applyAlignment="0" applyProtection="0"/>
    <xf numFmtId="0" fontId="11" fillId="6" borderId="5" applyNumberFormat="0" applyAlignment="0" applyProtection="0"/>
    <xf numFmtId="0" fontId="38" fillId="0" borderId="0" applyNumberFormat="0" applyFill="0" applyBorder="0" applyAlignment="0" applyProtection="0"/>
    <xf numFmtId="0" fontId="15" fillId="0" borderId="0" applyNumberFormat="0" applyFill="0" applyBorder="0" applyAlignment="0" applyProtection="0"/>
    <xf numFmtId="0" fontId="39" fillId="0" borderId="0" applyNumberFormat="0" applyFill="0" applyBorder="0" applyAlignment="0" applyProtection="0"/>
    <xf numFmtId="0" fontId="16" fillId="0" borderId="0" applyNumberFormat="0" applyFill="0" applyBorder="0" applyAlignment="0" applyProtection="0"/>
    <xf numFmtId="0" fontId="40" fillId="0" borderId="16" applyNumberFormat="0" applyFill="0" applyAlignment="0" applyProtection="0"/>
    <xf numFmtId="0" fontId="4" fillId="0" borderId="1" applyNumberFormat="0" applyFill="0" applyAlignment="0" applyProtection="0"/>
    <xf numFmtId="0" fontId="41" fillId="0" borderId="17" applyNumberFormat="0" applyFill="0" applyAlignment="0" applyProtection="0"/>
    <xf numFmtId="0" fontId="5" fillId="0" borderId="2" applyNumberFormat="0" applyFill="0" applyAlignment="0" applyProtection="0"/>
    <xf numFmtId="0" fontId="27" fillId="0" borderId="18" applyNumberFormat="0" applyFill="0" applyAlignment="0" applyProtection="0"/>
    <xf numFmtId="0" fontId="6" fillId="0" borderId="3" applyNumberFormat="0" applyFill="0" applyAlignment="0" applyProtection="0"/>
    <xf numFmtId="0" fontId="4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2" fillId="0" borderId="0" applyNumberFormat="0" applyFill="0" applyBorder="0" applyAlignment="0" applyProtection="0"/>
    <xf numFmtId="0" fontId="43" fillId="0" borderId="19" applyNumberFormat="0" applyFill="0" applyAlignment="0" applyProtection="0"/>
    <xf numFmtId="0" fontId="17" fillId="0" borderId="9" applyNumberFormat="0" applyFill="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0" borderId="0"/>
    <xf numFmtId="0" fontId="50" fillId="0" borderId="0"/>
    <xf numFmtId="0" fontId="24" fillId="47" borderId="23" applyNumberFormat="0" applyAlignment="0" applyProtection="0"/>
    <xf numFmtId="0" fontId="28" fillId="38" borderId="23" applyNumberFormat="0" applyAlignment="0" applyProtection="0"/>
    <xf numFmtId="0" fontId="20" fillId="54" borderId="24" applyNumberFormat="0" applyFont="0" applyAlignment="0" applyProtection="0"/>
    <xf numFmtId="0" fontId="20" fillId="54" borderId="24" applyNumberFormat="0" applyFont="0" applyAlignment="0" applyProtection="0"/>
    <xf numFmtId="0" fontId="37" fillId="47" borderId="25" applyNumberFormat="0" applyAlignment="0" applyProtection="0"/>
    <xf numFmtId="0" fontId="43" fillId="0" borderId="26" applyNumberFormat="0" applyFill="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20" fillId="0" borderId="0"/>
    <xf numFmtId="0" fontId="51" fillId="0" borderId="0"/>
    <xf numFmtId="0" fontId="24" fillId="47" borderId="29" applyNumberFormat="0" applyAlignment="0" applyProtection="0"/>
    <xf numFmtId="0" fontId="28" fillId="38" borderId="29" applyNumberFormat="0" applyAlignment="0" applyProtection="0"/>
    <xf numFmtId="0" fontId="20" fillId="54" borderId="30" applyNumberFormat="0" applyFont="0" applyAlignment="0" applyProtection="0"/>
    <xf numFmtId="0" fontId="20" fillId="54" borderId="30" applyNumberFormat="0" applyFont="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47" borderId="31" applyNumberFormat="0" applyAlignment="0" applyProtection="0"/>
    <xf numFmtId="0" fontId="43" fillId="0" borderId="32" applyNumberFormat="0" applyFill="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56" fillId="0" borderId="0"/>
    <xf numFmtId="9" fontId="2" fillId="0" borderId="0" applyFont="0" applyFill="0" applyBorder="0" applyAlignment="0" applyProtection="0"/>
    <xf numFmtId="0" fontId="62" fillId="0" borderId="0"/>
  </cellStyleXfs>
  <cellXfs count="552">
    <xf numFmtId="0" fontId="0" fillId="0" borderId="0" xfId="0"/>
    <xf numFmtId="0" fontId="17" fillId="57" borderId="0" xfId="0" applyFont="1" applyFill="1"/>
    <xf numFmtId="0" fontId="0" fillId="0" borderId="0" xfId="0" applyAlignment="1">
      <alignment horizontal="left"/>
    </xf>
    <xf numFmtId="0" fontId="0" fillId="55" borderId="0" xfId="0" applyFill="1" applyProtection="1">
      <protection locked="0"/>
    </xf>
    <xf numFmtId="0" fontId="0" fillId="55" borderId="0" xfId="0" applyFill="1" applyProtection="1">
      <protection hidden="1"/>
    </xf>
    <xf numFmtId="0" fontId="0" fillId="55" borderId="0" xfId="0" applyFill="1" applyAlignment="1" applyProtection="1">
      <alignment horizontal="center" vertical="center"/>
      <protection locked="0"/>
    </xf>
    <xf numFmtId="0" fontId="48" fillId="57" borderId="0" xfId="0" applyFont="1" applyFill="1"/>
    <xf numFmtId="0" fontId="49" fillId="57" borderId="0" xfId="0" applyFont="1" applyFill="1"/>
    <xf numFmtId="0" fontId="48" fillId="0" borderId="0" xfId="0" applyFont="1"/>
    <xf numFmtId="0" fontId="48" fillId="55" borderId="0" xfId="0" applyFont="1" applyFill="1" applyProtection="1">
      <protection hidden="1"/>
    </xf>
    <xf numFmtId="0" fontId="47" fillId="60" borderId="22" xfId="367" applyFill="1" applyBorder="1"/>
    <xf numFmtId="49" fontId="0" fillId="55" borderId="0" xfId="0" applyNumberFormat="1" applyFill="1" applyProtection="1">
      <protection locked="0"/>
    </xf>
    <xf numFmtId="0" fontId="49" fillId="56" borderId="21" xfId="0" applyFont="1" applyFill="1" applyBorder="1" applyAlignment="1" applyProtection="1">
      <alignment horizontal="center" vertical="center"/>
      <protection hidden="1"/>
    </xf>
    <xf numFmtId="0" fontId="46" fillId="56" borderId="21" xfId="0" applyFont="1" applyFill="1" applyBorder="1" applyAlignment="1" applyProtection="1">
      <alignment horizontal="center" vertical="center" wrapText="1"/>
      <protection hidden="1"/>
    </xf>
    <xf numFmtId="0" fontId="0" fillId="57" borderId="0" xfId="0" applyFill="1"/>
    <xf numFmtId="0" fontId="0" fillId="0" borderId="0" xfId="0" applyAlignment="1">
      <alignment horizontal="center"/>
    </xf>
    <xf numFmtId="0" fontId="17" fillId="57" borderId="0" xfId="0" applyFont="1" applyFill="1" applyAlignment="1">
      <alignment horizontal="center"/>
    </xf>
    <xf numFmtId="1" fontId="0" fillId="0" borderId="0" xfId="0" applyNumberFormat="1" applyAlignment="1">
      <alignment horizontal="center"/>
    </xf>
    <xf numFmtId="0" fontId="53" fillId="0" borderId="0" xfId="0" applyFont="1" applyFill="1" applyAlignment="1">
      <alignment horizontal="center"/>
    </xf>
    <xf numFmtId="0" fontId="0" fillId="0" borderId="0" xfId="0" applyAlignment="1">
      <alignment horizontal="center" wrapText="1"/>
    </xf>
    <xf numFmtId="0" fontId="55" fillId="55" borderId="0" xfId="0" applyFont="1" applyFill="1" applyBorder="1" applyAlignment="1" applyProtection="1">
      <alignment vertical="center"/>
      <protection hidden="1"/>
    </xf>
    <xf numFmtId="0" fontId="46" fillId="56" borderId="20" xfId="0" applyFont="1" applyFill="1" applyBorder="1" applyAlignment="1" applyProtection="1">
      <alignment horizontal="center" vertical="center" wrapText="1"/>
      <protection hidden="1"/>
    </xf>
    <xf numFmtId="0" fontId="0" fillId="55" borderId="0" xfId="0" applyFill="1" applyAlignment="1" applyProtection="1">
      <alignment wrapText="1"/>
      <protection hidden="1"/>
    </xf>
    <xf numFmtId="0" fontId="49" fillId="56" borderId="21" xfId="0" applyFont="1" applyFill="1" applyBorder="1" applyAlignment="1" applyProtection="1">
      <alignment horizontal="center" vertical="center" wrapText="1"/>
      <protection hidden="1"/>
    </xf>
    <xf numFmtId="0" fontId="0" fillId="55" borderId="0" xfId="0" applyFill="1" applyAlignment="1" applyProtection="1">
      <alignment wrapText="1"/>
      <protection locked="0"/>
    </xf>
    <xf numFmtId="0" fontId="49" fillId="56" borderId="34" xfId="0" applyFont="1" applyFill="1" applyBorder="1" applyAlignment="1" applyProtection="1">
      <alignment horizontal="center" vertical="center"/>
      <protection hidden="1"/>
    </xf>
    <xf numFmtId="0" fontId="46" fillId="56" borderId="55" xfId="0" applyFont="1" applyFill="1" applyBorder="1" applyAlignment="1" applyProtection="1">
      <alignment horizontal="center" vertical="center" wrapText="1"/>
      <protection hidden="1"/>
    </xf>
    <xf numFmtId="0" fontId="46" fillId="56" borderId="56" xfId="0" applyFont="1" applyFill="1" applyBorder="1" applyAlignment="1" applyProtection="1">
      <alignment horizontal="center" vertical="center" wrapText="1"/>
      <protection hidden="1"/>
    </xf>
    <xf numFmtId="0" fontId="49" fillId="56" borderId="57" xfId="0" applyFont="1" applyFill="1" applyBorder="1" applyAlignment="1" applyProtection="1">
      <alignment horizontal="center" vertical="center"/>
      <protection hidden="1"/>
    </xf>
    <xf numFmtId="0" fontId="49" fillId="56" borderId="58" xfId="0" applyFont="1" applyFill="1" applyBorder="1" applyAlignment="1" applyProtection="1">
      <alignment horizontal="center" vertical="center"/>
      <protection hidden="1"/>
    </xf>
    <xf numFmtId="0" fontId="1" fillId="55" borderId="0" xfId="0" applyFont="1" applyFill="1" applyAlignment="1" applyProtection="1">
      <alignment vertical="center"/>
      <protection hidden="1"/>
    </xf>
    <xf numFmtId="0" fontId="46" fillId="59" borderId="20" xfId="0" applyFont="1" applyFill="1" applyBorder="1" applyAlignment="1" applyProtection="1">
      <alignment horizontal="center" vertical="center" wrapText="1"/>
      <protection hidden="1"/>
    </xf>
    <xf numFmtId="0" fontId="0" fillId="55" borderId="0" xfId="0" applyFill="1" applyBorder="1" applyAlignment="1" applyProtection="1">
      <alignment horizontal="center"/>
      <protection hidden="1"/>
    </xf>
    <xf numFmtId="0" fontId="46" fillId="59" borderId="53" xfId="0" applyFont="1" applyFill="1" applyBorder="1" applyAlignment="1" applyProtection="1">
      <alignment horizontal="center" vertical="center" wrapText="1"/>
      <protection hidden="1"/>
    </xf>
    <xf numFmtId="1" fontId="46" fillId="66" borderId="20" xfId="0" applyNumberFormat="1" applyFont="1" applyFill="1" applyBorder="1" applyAlignment="1" applyProtection="1">
      <alignment horizontal="center" vertical="center" wrapText="1"/>
      <protection hidden="1"/>
    </xf>
    <xf numFmtId="0" fontId="46" fillId="66" borderId="20" xfId="0" applyFont="1" applyFill="1" applyBorder="1" applyAlignment="1" applyProtection="1">
      <alignment horizontal="center" vertical="center" wrapText="1"/>
      <protection hidden="1"/>
    </xf>
    <xf numFmtId="0" fontId="49" fillId="56" borderId="20" xfId="0" applyFont="1" applyFill="1" applyBorder="1" applyAlignment="1">
      <alignment horizontal="center" vertical="center"/>
    </xf>
    <xf numFmtId="0" fontId="61" fillId="64" borderId="21" xfId="0" applyFont="1" applyFill="1" applyBorder="1" applyAlignment="1">
      <alignment horizontal="center" vertical="center" wrapText="1"/>
    </xf>
    <xf numFmtId="0" fontId="60" fillId="55" borderId="0" xfId="0" applyFont="1" applyFill="1" applyProtection="1">
      <protection hidden="1"/>
    </xf>
    <xf numFmtId="0" fontId="1" fillId="55" borderId="0" xfId="0" applyFont="1" applyFill="1" applyProtection="1">
      <protection hidden="1"/>
    </xf>
    <xf numFmtId="0" fontId="17" fillId="56" borderId="20" xfId="0" applyFont="1" applyFill="1" applyBorder="1" applyAlignment="1">
      <alignment horizontal="center" vertical="center"/>
    </xf>
    <xf numFmtId="1" fontId="17" fillId="56" borderId="20" xfId="0" applyNumberFormat="1" applyFont="1" applyFill="1" applyBorder="1" applyAlignment="1">
      <alignment horizontal="center" vertical="center"/>
    </xf>
    <xf numFmtId="0" fontId="63" fillId="57" borderId="20" xfId="406" applyFont="1" applyFill="1" applyBorder="1" applyAlignment="1" applyProtection="1">
      <alignment horizontal="center" vertical="center" wrapText="1"/>
    </xf>
    <xf numFmtId="0" fontId="63" fillId="58" borderId="20" xfId="406" applyFont="1" applyFill="1" applyBorder="1" applyAlignment="1" applyProtection="1">
      <alignment horizontal="center" vertical="center" wrapText="1"/>
    </xf>
    <xf numFmtId="0" fontId="63" fillId="67" borderId="20" xfId="406" applyFont="1" applyFill="1" applyBorder="1" applyAlignment="1" applyProtection="1">
      <alignment horizontal="center" vertical="center" wrapText="1"/>
    </xf>
    <xf numFmtId="0" fontId="63" fillId="68" borderId="53" xfId="0" applyFont="1" applyFill="1" applyBorder="1" applyAlignment="1">
      <alignment horizontal="center" vertical="center" wrapText="1"/>
    </xf>
    <xf numFmtId="0" fontId="63" fillId="68" borderId="53" xfId="0" applyFont="1" applyFill="1" applyBorder="1" applyAlignment="1">
      <alignment horizontal="center" vertical="center" textRotation="90" wrapText="1"/>
    </xf>
    <xf numFmtId="0" fontId="63" fillId="67" borderId="20" xfId="406" applyNumberFormat="1" applyFont="1" applyFill="1" applyBorder="1" applyAlignment="1" applyProtection="1">
      <alignment horizontal="center" vertical="center" wrapText="1"/>
    </xf>
    <xf numFmtId="3" fontId="63" fillId="67" borderId="20" xfId="0" applyNumberFormat="1" applyFont="1" applyFill="1" applyBorder="1" applyAlignment="1" applyProtection="1">
      <alignment horizontal="center" vertical="center" textRotation="90" wrapText="1"/>
    </xf>
    <xf numFmtId="3" fontId="63" fillId="69" borderId="20" xfId="0" applyNumberFormat="1" applyFont="1" applyFill="1" applyBorder="1" applyAlignment="1" applyProtection="1">
      <alignment horizontal="center" vertical="center" wrapText="1"/>
    </xf>
    <xf numFmtId="3" fontId="63" fillId="67" borderId="21" xfId="406" applyNumberFormat="1" applyFont="1" applyFill="1" applyBorder="1" applyAlignment="1" applyProtection="1">
      <alignment horizontal="center" vertical="center" textRotation="90" wrapText="1"/>
    </xf>
    <xf numFmtId="3" fontId="63" fillId="67" borderId="21" xfId="0" applyNumberFormat="1" applyFont="1" applyFill="1" applyBorder="1" applyAlignment="1" applyProtection="1">
      <alignment horizontal="center" vertical="center" textRotation="90" wrapText="1"/>
    </xf>
    <xf numFmtId="0" fontId="2" fillId="0" borderId="0" xfId="0" applyFont="1" applyFill="1"/>
    <xf numFmtId="0" fontId="2" fillId="0" borderId="20" xfId="0" applyFont="1" applyFill="1" applyBorder="1" applyAlignment="1">
      <alignment horizontal="center" vertical="center"/>
    </xf>
    <xf numFmtId="0" fontId="0" fillId="0" borderId="20" xfId="0" applyFont="1" applyFill="1" applyBorder="1" applyAlignment="1">
      <alignment horizontal="center" vertical="center" wrapText="1"/>
    </xf>
    <xf numFmtId="0" fontId="58" fillId="55" borderId="47" xfId="0" applyFont="1" applyFill="1" applyBorder="1" applyAlignment="1">
      <alignment horizontal="center" vertical="center" wrapText="1"/>
    </xf>
    <xf numFmtId="0" fontId="58" fillId="55" borderId="20" xfId="0" applyFont="1" applyFill="1" applyBorder="1" applyAlignment="1">
      <alignment horizontal="center" vertical="center" wrapText="1"/>
    </xf>
    <xf numFmtId="0" fontId="58" fillId="0" borderId="20" xfId="0" applyFont="1" applyBorder="1" applyAlignment="1">
      <alignment vertical="center" wrapText="1"/>
    </xf>
    <xf numFmtId="1" fontId="58" fillId="0" borderId="20" xfId="0" applyNumberFormat="1" applyFont="1" applyBorder="1" applyAlignment="1">
      <alignment horizontal="center" vertical="center" wrapText="1"/>
    </xf>
    <xf numFmtId="0" fontId="58" fillId="0" borderId="20" xfId="0" applyFont="1" applyBorder="1" applyAlignment="1">
      <alignment horizontal="center" vertical="center" wrapText="1"/>
    </xf>
    <xf numFmtId="0" fontId="58" fillId="0" borderId="20" xfId="0" applyFont="1" applyBorder="1" applyAlignment="1">
      <alignment horizontal="left" vertical="center" wrapText="1"/>
    </xf>
    <xf numFmtId="0" fontId="58" fillId="0" borderId="45" xfId="0" applyFont="1" applyBorder="1" applyAlignment="1">
      <alignment vertical="center" wrapText="1"/>
    </xf>
    <xf numFmtId="3" fontId="64" fillId="0" borderId="55" xfId="0" applyNumberFormat="1" applyFont="1" applyBorder="1" applyAlignment="1">
      <alignment horizontal="center" vertical="center" wrapText="1"/>
    </xf>
    <xf numFmtId="3" fontId="64" fillId="0" borderId="20" xfId="0" applyNumberFormat="1" applyFont="1" applyBorder="1" applyAlignment="1">
      <alignment horizontal="center" vertical="center" wrapText="1"/>
    </xf>
    <xf numFmtId="3" fontId="64" fillId="0" borderId="45" xfId="0" applyNumberFormat="1" applyFont="1" applyBorder="1" applyAlignment="1">
      <alignment horizontal="center" vertical="center" wrapText="1"/>
    </xf>
    <xf numFmtId="3" fontId="63" fillId="63" borderId="56" xfId="0" applyNumberFormat="1" applyFont="1" applyFill="1" applyBorder="1" applyAlignment="1">
      <alignment horizontal="center" vertical="center" wrapText="1"/>
    </xf>
    <xf numFmtId="3" fontId="63" fillId="70" borderId="47" xfId="0" applyNumberFormat="1" applyFont="1" applyFill="1" applyBorder="1" applyAlignment="1">
      <alignment horizontal="center" vertical="center" wrapText="1"/>
    </xf>
    <xf numFmtId="0" fontId="48" fillId="0" borderId="20" xfId="0" applyFont="1" applyBorder="1" applyAlignment="1">
      <alignment horizontal="center" vertical="center" wrapText="1"/>
    </xf>
    <xf numFmtId="0" fontId="48" fillId="0" borderId="20" xfId="0" applyFont="1" applyBorder="1" applyAlignment="1">
      <alignment vertical="center" wrapText="1"/>
    </xf>
    <xf numFmtId="0" fontId="58" fillId="56" borderId="47" xfId="0" applyFont="1" applyFill="1" applyBorder="1" applyAlignment="1">
      <alignment horizontal="center" vertical="center" wrapText="1"/>
    </xf>
    <xf numFmtId="0" fontId="58" fillId="56" borderId="20" xfId="0" applyFont="1" applyFill="1" applyBorder="1" applyAlignment="1">
      <alignment horizontal="center" vertical="center" wrapText="1"/>
    </xf>
    <xf numFmtId="0" fontId="58" fillId="71" borderId="20" xfId="0" applyFont="1" applyFill="1" applyBorder="1" applyAlignment="1">
      <alignment vertical="center" wrapText="1"/>
    </xf>
    <xf numFmtId="0" fontId="58" fillId="56" borderId="20" xfId="0" applyFont="1" applyFill="1" applyBorder="1" applyAlignment="1">
      <alignment vertical="center" wrapText="1"/>
    </xf>
    <xf numFmtId="1" fontId="58" fillId="56" borderId="20" xfId="0" applyNumberFormat="1" applyFont="1" applyFill="1" applyBorder="1" applyAlignment="1">
      <alignment horizontal="center" vertical="center" wrapText="1"/>
    </xf>
    <xf numFmtId="0" fontId="58" fillId="71" borderId="20" xfId="0" applyFont="1" applyFill="1" applyBorder="1" applyAlignment="1">
      <alignment horizontal="center" vertical="center" wrapText="1"/>
    </xf>
    <xf numFmtId="0" fontId="58" fillId="56" borderId="20" xfId="0" applyFont="1" applyFill="1" applyBorder="1" applyAlignment="1">
      <alignment horizontal="left" vertical="center" wrapText="1"/>
    </xf>
    <xf numFmtId="0" fontId="58" fillId="56" borderId="45" xfId="0" applyFont="1" applyFill="1" applyBorder="1" applyAlignment="1">
      <alignment vertical="center" wrapText="1"/>
    </xf>
    <xf numFmtId="3" fontId="64" fillId="56" borderId="55" xfId="0" applyNumberFormat="1" applyFont="1" applyFill="1" applyBorder="1" applyAlignment="1">
      <alignment horizontal="center" vertical="center" wrapText="1"/>
    </xf>
    <xf numFmtId="3" fontId="64" fillId="56" borderId="20" xfId="0" applyNumberFormat="1" applyFont="1" applyFill="1" applyBorder="1" applyAlignment="1">
      <alignment horizontal="center" vertical="center" wrapText="1"/>
    </xf>
    <xf numFmtId="3" fontId="63" fillId="56" borderId="56" xfId="0" applyNumberFormat="1" applyFont="1" applyFill="1" applyBorder="1" applyAlignment="1">
      <alignment horizontal="center" vertical="center" wrapText="1"/>
    </xf>
    <xf numFmtId="3" fontId="63" fillId="56" borderId="47" xfId="0" applyNumberFormat="1" applyFont="1" applyFill="1" applyBorder="1" applyAlignment="1">
      <alignment horizontal="center" vertical="center" wrapText="1"/>
    </xf>
    <xf numFmtId="0" fontId="48" fillId="56" borderId="20" xfId="0" applyFont="1" applyFill="1" applyBorder="1" applyAlignment="1">
      <alignment horizontal="center" vertical="center" wrapText="1"/>
    </xf>
    <xf numFmtId="0" fontId="48" fillId="56" borderId="20" xfId="0" applyFont="1" applyFill="1" applyBorder="1" applyAlignment="1">
      <alignment vertical="center" wrapText="1"/>
    </xf>
    <xf numFmtId="0" fontId="20" fillId="0" borderId="45" xfId="0" applyFont="1" applyBorder="1" applyAlignment="1">
      <alignment vertical="center" wrapText="1"/>
    </xf>
    <xf numFmtId="3" fontId="65" fillId="0" borderId="55" xfId="0" applyNumberFormat="1" applyFont="1" applyFill="1" applyBorder="1" applyAlignment="1">
      <alignment horizontal="center" vertical="center"/>
    </xf>
    <xf numFmtId="3" fontId="65" fillId="0" borderId="20" xfId="0" applyNumberFormat="1" applyFont="1" applyFill="1" applyBorder="1" applyAlignment="1">
      <alignment horizontal="center" vertical="center"/>
    </xf>
    <xf numFmtId="3" fontId="65" fillId="0" borderId="55" xfId="0" applyNumberFormat="1" applyFont="1" applyBorder="1" applyAlignment="1">
      <alignment horizontal="center" vertical="center"/>
    </xf>
    <xf numFmtId="3" fontId="65" fillId="0" borderId="20" xfId="0" applyNumberFormat="1" applyFont="1" applyBorder="1" applyAlignment="1">
      <alignment horizontal="center" vertical="center"/>
    </xf>
    <xf numFmtId="0" fontId="58" fillId="63" borderId="20" xfId="0" applyFont="1" applyFill="1" applyBorder="1" applyAlignment="1">
      <alignment vertical="center" wrapText="1"/>
    </xf>
    <xf numFmtId="1" fontId="58" fillId="63" borderId="20" xfId="0" applyNumberFormat="1" applyFont="1" applyFill="1" applyBorder="1" applyAlignment="1">
      <alignment horizontal="center" vertical="center" wrapText="1"/>
    </xf>
    <xf numFmtId="0" fontId="58" fillId="63" borderId="20" xfId="0" applyFont="1" applyFill="1" applyBorder="1" applyAlignment="1">
      <alignment horizontal="center" vertical="center" wrapText="1"/>
    </xf>
    <xf numFmtId="0" fontId="48" fillId="63" borderId="20" xfId="0" applyFont="1" applyFill="1" applyBorder="1" applyAlignment="1">
      <alignment vertical="center" wrapText="1"/>
    </xf>
    <xf numFmtId="0" fontId="58" fillId="63" borderId="20" xfId="0" applyFont="1" applyFill="1" applyBorder="1" applyAlignment="1">
      <alignment horizontal="left" vertical="center" wrapText="1"/>
    </xf>
    <xf numFmtId="0" fontId="58" fillId="63" borderId="45" xfId="0" applyFont="1" applyFill="1" applyBorder="1" applyAlignment="1">
      <alignment vertical="center" wrapText="1"/>
    </xf>
    <xf numFmtId="3" fontId="64" fillId="63" borderId="55" xfId="0" applyNumberFormat="1" applyFont="1" applyFill="1" applyBorder="1" applyAlignment="1">
      <alignment horizontal="center" vertical="center" wrapText="1"/>
    </xf>
    <xf numFmtId="3" fontId="64" fillId="63" borderId="20" xfId="0" applyNumberFormat="1" applyFont="1" applyFill="1" applyBorder="1" applyAlignment="1">
      <alignment horizontal="center" vertical="center" wrapText="1"/>
    </xf>
    <xf numFmtId="0" fontId="48" fillId="63" borderId="20" xfId="0" applyFont="1" applyFill="1" applyBorder="1" applyAlignment="1">
      <alignment horizontal="center" vertical="center" wrapText="1"/>
    </xf>
    <xf numFmtId="0" fontId="48" fillId="63" borderId="44" xfId="0" applyFont="1" applyFill="1" applyBorder="1" applyAlignment="1">
      <alignment horizontal="center" vertical="center" wrapText="1"/>
    </xf>
    <xf numFmtId="0" fontId="48" fillId="63" borderId="21" xfId="0" applyFont="1" applyFill="1" applyBorder="1" applyAlignment="1">
      <alignment horizontal="center" vertical="center" wrapText="1"/>
    </xf>
    <xf numFmtId="0" fontId="48" fillId="56" borderId="47" xfId="0" applyFont="1" applyFill="1" applyBorder="1" applyAlignment="1">
      <alignment horizontal="center" vertical="center" wrapText="1"/>
    </xf>
    <xf numFmtId="0" fontId="48" fillId="0" borderId="45" xfId="0" applyFont="1" applyBorder="1" applyAlignment="1">
      <alignment vertical="center" wrapText="1"/>
    </xf>
    <xf numFmtId="0" fontId="57" fillId="0" borderId="20" xfId="0" applyFont="1" applyBorder="1" applyAlignment="1">
      <alignment horizontal="center" vertical="center" wrapText="1"/>
    </xf>
    <xf numFmtId="0" fontId="58" fillId="0" borderId="20" xfId="0" applyFont="1" applyFill="1" applyBorder="1" applyAlignment="1">
      <alignment vertical="center" wrapText="1"/>
    </xf>
    <xf numFmtId="3" fontId="65" fillId="0" borderId="55" xfId="1" applyNumberFormat="1" applyFont="1" applyFill="1" applyBorder="1" applyAlignment="1">
      <alignment horizontal="center" vertical="center"/>
    </xf>
    <xf numFmtId="3" fontId="65" fillId="0" borderId="20" xfId="1" applyNumberFormat="1" applyFont="1" applyFill="1" applyBorder="1" applyAlignment="1">
      <alignment horizontal="center" vertical="center"/>
    </xf>
    <xf numFmtId="3" fontId="65" fillId="55" borderId="55" xfId="0" applyNumberFormat="1" applyFont="1" applyFill="1" applyBorder="1" applyAlignment="1">
      <alignment horizontal="center" vertical="center" wrapText="1"/>
    </xf>
    <xf numFmtId="3" fontId="65" fillId="55" borderId="20" xfId="0" applyNumberFormat="1" applyFont="1" applyFill="1" applyBorder="1" applyAlignment="1">
      <alignment horizontal="center" vertical="center" wrapText="1"/>
    </xf>
    <xf numFmtId="1" fontId="64" fillId="55" borderId="20" xfId="0" applyNumberFormat="1" applyFont="1" applyFill="1" applyBorder="1" applyAlignment="1">
      <alignment horizontal="center" vertical="center" wrapText="1"/>
    </xf>
    <xf numFmtId="0" fontId="48" fillId="55" borderId="47" xfId="0" applyFont="1" applyFill="1" applyBorder="1" applyAlignment="1">
      <alignment horizontal="center" vertical="center" wrapText="1"/>
    </xf>
    <xf numFmtId="3" fontId="66" fillId="56" borderId="56" xfId="0" applyNumberFormat="1" applyFont="1" applyFill="1" applyBorder="1" applyAlignment="1">
      <alignment horizontal="center" vertical="center"/>
    </xf>
    <xf numFmtId="0" fontId="58" fillId="55" borderId="48" xfId="0" applyFont="1" applyFill="1" applyBorder="1" applyAlignment="1">
      <alignment horizontal="center" vertical="center"/>
    </xf>
    <xf numFmtId="0" fontId="58" fillId="0" borderId="20" xfId="0" applyFont="1" applyBorder="1" applyAlignment="1">
      <alignment vertical="center"/>
    </xf>
    <xf numFmtId="1" fontId="58" fillId="0" borderId="33" xfId="0" applyNumberFormat="1" applyFont="1" applyBorder="1" applyAlignment="1">
      <alignment vertical="center"/>
    </xf>
    <xf numFmtId="1" fontId="58" fillId="0" borderId="33" xfId="0" applyNumberFormat="1" applyFont="1" applyBorder="1" applyAlignment="1">
      <alignment horizontal="center" vertical="center"/>
    </xf>
    <xf numFmtId="0" fontId="58" fillId="0" borderId="33" xfId="0" applyFont="1" applyBorder="1" applyAlignment="1">
      <alignment horizontal="center" vertical="center"/>
    </xf>
    <xf numFmtId="0" fontId="58" fillId="0" borderId="20" xfId="0" applyFont="1" applyBorder="1" applyAlignment="1">
      <alignment horizontal="center" vertical="center"/>
    </xf>
    <xf numFmtId="0" fontId="58" fillId="0" borderId="33" xfId="0" applyFont="1" applyBorder="1" applyAlignment="1">
      <alignment horizontal="left" vertical="center"/>
    </xf>
    <xf numFmtId="0" fontId="58" fillId="0" borderId="33" xfId="0" applyFont="1" applyBorder="1" applyAlignment="1">
      <alignment vertical="center"/>
    </xf>
    <xf numFmtId="0" fontId="58" fillId="0" borderId="28" xfId="0" applyFont="1" applyBorder="1" applyAlignment="1">
      <alignment vertical="center"/>
    </xf>
    <xf numFmtId="3" fontId="65" fillId="0" borderId="69" xfId="0" applyNumberFormat="1" applyFont="1" applyBorder="1" applyAlignment="1">
      <alignment horizontal="center" vertical="center"/>
    </xf>
    <xf numFmtId="3" fontId="65" fillId="0" borderId="33" xfId="0" applyNumberFormat="1" applyFont="1" applyBorder="1" applyAlignment="1">
      <alignment horizontal="center" vertical="center"/>
    </xf>
    <xf numFmtId="3" fontId="66" fillId="72" borderId="70" xfId="0" applyNumberFormat="1" applyFont="1" applyFill="1" applyBorder="1" applyAlignment="1">
      <alignment horizontal="center" vertical="center"/>
    </xf>
    <xf numFmtId="3" fontId="66" fillId="73" borderId="48" xfId="0" applyNumberFormat="1" applyFont="1" applyFill="1" applyBorder="1" applyAlignment="1">
      <alignment horizontal="center" vertical="center"/>
    </xf>
    <xf numFmtId="1" fontId="58" fillId="0" borderId="28" xfId="0" applyNumberFormat="1" applyFont="1" applyBorder="1" applyAlignment="1">
      <alignment horizontal="center" vertical="center"/>
    </xf>
    <xf numFmtId="0" fontId="48" fillId="0" borderId="20" xfId="0" applyFont="1" applyBorder="1" applyAlignment="1"/>
    <xf numFmtId="0" fontId="58" fillId="74" borderId="48" xfId="0" applyFont="1" applyFill="1" applyBorder="1" applyAlignment="1">
      <alignment horizontal="center" vertical="center"/>
    </xf>
    <xf numFmtId="0" fontId="58" fillId="72" borderId="20" xfId="0" applyFont="1" applyFill="1" applyBorder="1" applyAlignment="1">
      <alignment vertical="center"/>
    </xf>
    <xf numFmtId="1" fontId="58" fillId="72" borderId="33" xfId="0" applyNumberFormat="1" applyFont="1" applyFill="1" applyBorder="1" applyAlignment="1">
      <alignment vertical="center"/>
    </xf>
    <xf numFmtId="1" fontId="58" fillId="72" borderId="33" xfId="0" applyNumberFormat="1" applyFont="1" applyFill="1" applyBorder="1" applyAlignment="1">
      <alignment horizontal="center" vertical="center"/>
    </xf>
    <xf numFmtId="0" fontId="58" fillId="72" borderId="33" xfId="0" applyFont="1" applyFill="1" applyBorder="1" applyAlignment="1">
      <alignment horizontal="center" vertical="center"/>
    </xf>
    <xf numFmtId="0" fontId="58" fillId="72" borderId="20" xfId="0" applyFont="1" applyFill="1" applyBorder="1" applyAlignment="1">
      <alignment horizontal="center" vertical="center"/>
    </xf>
    <xf numFmtId="0" fontId="58" fillId="72" borderId="33" xfId="0" applyFont="1" applyFill="1" applyBorder="1" applyAlignment="1">
      <alignment horizontal="left" vertical="center"/>
    </xf>
    <xf numFmtId="0" fontId="58" fillId="72" borderId="33" xfId="0" applyFont="1" applyFill="1" applyBorder="1" applyAlignment="1">
      <alignment vertical="center"/>
    </xf>
    <xf numFmtId="0" fontId="58" fillId="72" borderId="28" xfId="0" applyFont="1" applyFill="1" applyBorder="1" applyAlignment="1">
      <alignment vertical="center"/>
    </xf>
    <xf numFmtId="3" fontId="65" fillId="72" borderId="69" xfId="0" applyNumberFormat="1" applyFont="1" applyFill="1" applyBorder="1" applyAlignment="1">
      <alignment horizontal="center" vertical="center"/>
    </xf>
    <xf numFmtId="3" fontId="65" fillId="72" borderId="33" xfId="0" applyNumberFormat="1" applyFont="1" applyFill="1" applyBorder="1" applyAlignment="1">
      <alignment horizontal="center" vertical="center"/>
    </xf>
    <xf numFmtId="1" fontId="58" fillId="72" borderId="28" xfId="0" applyNumberFormat="1" applyFont="1" applyFill="1" applyBorder="1" applyAlignment="1">
      <alignment horizontal="center" vertical="center"/>
    </xf>
    <xf numFmtId="3" fontId="65" fillId="55" borderId="69" xfId="0" applyNumberFormat="1" applyFont="1" applyFill="1" applyBorder="1" applyAlignment="1">
      <alignment horizontal="center" vertical="center"/>
    </xf>
    <xf numFmtId="3" fontId="65" fillId="55" borderId="33" xfId="0" applyNumberFormat="1" applyFont="1" applyFill="1" applyBorder="1" applyAlignment="1">
      <alignment horizontal="center" vertical="center"/>
    </xf>
    <xf numFmtId="3" fontId="65" fillId="75" borderId="69" xfId="0" applyNumberFormat="1" applyFont="1" applyFill="1" applyBorder="1" applyAlignment="1">
      <alignment horizontal="center" vertical="center"/>
    </xf>
    <xf numFmtId="3" fontId="65" fillId="75" borderId="33" xfId="0" applyNumberFormat="1" applyFont="1" applyFill="1" applyBorder="1" applyAlignment="1">
      <alignment horizontal="center" vertical="center"/>
    </xf>
    <xf numFmtId="0" fontId="67" fillId="0" borderId="28" xfId="0" applyFont="1" applyBorder="1" applyAlignment="1">
      <alignment horizontal="center" vertical="center"/>
    </xf>
    <xf numFmtId="3" fontId="66" fillId="74" borderId="70" xfId="0" applyNumberFormat="1" applyFont="1" applyFill="1" applyBorder="1" applyAlignment="1">
      <alignment horizontal="center" vertical="center"/>
    </xf>
    <xf numFmtId="0" fontId="58" fillId="76" borderId="48" xfId="0" applyFont="1" applyFill="1" applyBorder="1" applyAlignment="1">
      <alignment horizontal="center" vertical="center"/>
    </xf>
    <xf numFmtId="0" fontId="58" fillId="77" borderId="20" xfId="0" applyFont="1" applyFill="1" applyBorder="1" applyAlignment="1">
      <alignment vertical="center"/>
    </xf>
    <xf numFmtId="1" fontId="58" fillId="76" borderId="33" xfId="0" applyNumberFormat="1" applyFont="1" applyFill="1" applyBorder="1" applyAlignment="1">
      <alignment vertical="center"/>
    </xf>
    <xf numFmtId="1" fontId="58" fillId="76" borderId="33" xfId="0" applyNumberFormat="1" applyFont="1" applyFill="1" applyBorder="1" applyAlignment="1">
      <alignment horizontal="center" vertical="center"/>
    </xf>
    <xf numFmtId="0" fontId="58" fillId="76" borderId="33" xfId="0" applyFont="1" applyFill="1" applyBorder="1" applyAlignment="1">
      <alignment horizontal="center" vertical="center"/>
    </xf>
    <xf numFmtId="0" fontId="58" fillId="77" borderId="20" xfId="0" applyFont="1" applyFill="1" applyBorder="1" applyAlignment="1">
      <alignment horizontal="center" vertical="center"/>
    </xf>
    <xf numFmtId="0" fontId="58" fillId="76" borderId="33" xfId="0" applyFont="1" applyFill="1" applyBorder="1" applyAlignment="1">
      <alignment horizontal="left" vertical="center"/>
    </xf>
    <xf numFmtId="0" fontId="58" fillId="76" borderId="33" xfId="0" applyFont="1" applyFill="1" applyBorder="1" applyAlignment="1">
      <alignment vertical="center"/>
    </xf>
    <xf numFmtId="0" fontId="58" fillId="74" borderId="33" xfId="0" applyFont="1" applyFill="1" applyBorder="1" applyAlignment="1">
      <alignment vertical="center"/>
    </xf>
    <xf numFmtId="0" fontId="58" fillId="74" borderId="28" xfId="0" applyFont="1" applyFill="1" applyBorder="1" applyAlignment="1">
      <alignment vertical="center"/>
    </xf>
    <xf numFmtId="3" fontId="65" fillId="74" borderId="69" xfId="0" applyNumberFormat="1" applyFont="1" applyFill="1" applyBorder="1" applyAlignment="1">
      <alignment horizontal="center" vertical="center"/>
    </xf>
    <xf numFmtId="3" fontId="65" fillId="74" borderId="33" xfId="0" applyNumberFormat="1" applyFont="1" applyFill="1" applyBorder="1" applyAlignment="1">
      <alignment horizontal="center" vertical="center"/>
    </xf>
    <xf numFmtId="3" fontId="66" fillId="78" borderId="48" xfId="0" applyNumberFormat="1" applyFont="1" applyFill="1" applyBorder="1" applyAlignment="1">
      <alignment horizontal="center" vertical="center"/>
    </xf>
    <xf numFmtId="0" fontId="58" fillId="0" borderId="28" xfId="0" applyFont="1" applyBorder="1" applyAlignment="1">
      <alignment horizontal="center" vertical="center"/>
    </xf>
    <xf numFmtId="3" fontId="68" fillId="75" borderId="71" xfId="0" applyNumberFormat="1" applyFont="1" applyFill="1" applyBorder="1" applyAlignment="1">
      <alignment horizontal="center" vertical="top"/>
    </xf>
    <xf numFmtId="3" fontId="68" fillId="75" borderId="40" xfId="0" applyNumberFormat="1" applyFont="1" applyFill="1" applyBorder="1" applyAlignment="1">
      <alignment horizontal="center" vertical="top"/>
    </xf>
    <xf numFmtId="3" fontId="65" fillId="79" borderId="69" xfId="0" applyNumberFormat="1" applyFont="1" applyFill="1" applyBorder="1" applyAlignment="1">
      <alignment horizontal="center" vertical="center"/>
    </xf>
    <xf numFmtId="3" fontId="65" fillId="79" borderId="33" xfId="0" applyNumberFormat="1" applyFont="1" applyFill="1" applyBorder="1" applyAlignment="1">
      <alignment horizontal="center" vertical="center"/>
    </xf>
    <xf numFmtId="0" fontId="67" fillId="0" borderId="20" xfId="0" applyFont="1" applyBorder="1" applyAlignment="1">
      <alignment vertical="center"/>
    </xf>
    <xf numFmtId="1" fontId="67" fillId="0" borderId="20" xfId="0" applyNumberFormat="1" applyFont="1" applyBorder="1" applyAlignment="1">
      <alignment vertical="center"/>
    </xf>
    <xf numFmtId="1" fontId="65" fillId="0" borderId="33" xfId="0" applyNumberFormat="1" applyFont="1" applyBorder="1" applyAlignment="1">
      <alignment horizontal="center" vertical="center"/>
    </xf>
    <xf numFmtId="0" fontId="58" fillId="0" borderId="60" xfId="0" applyFont="1" applyBorder="1" applyAlignment="1">
      <alignment vertical="center"/>
    </xf>
    <xf numFmtId="0" fontId="58" fillId="0" borderId="60" xfId="0" applyFont="1" applyBorder="1" applyAlignment="1">
      <alignment horizontal="center" vertical="center"/>
    </xf>
    <xf numFmtId="0" fontId="67" fillId="0" borderId="33" xfId="0" applyFont="1" applyBorder="1" applyAlignment="1">
      <alignment vertical="center"/>
    </xf>
    <xf numFmtId="0" fontId="67" fillId="0" borderId="33" xfId="0" applyFont="1" applyBorder="1" applyAlignment="1">
      <alignment vertical="center" wrapText="1"/>
    </xf>
    <xf numFmtId="0" fontId="58" fillId="75" borderId="48" xfId="0" applyFont="1" applyFill="1" applyBorder="1" applyAlignment="1">
      <alignment horizontal="center" vertical="center"/>
    </xf>
    <xf numFmtId="0" fontId="58" fillId="75" borderId="33" xfId="0" applyFont="1" applyFill="1" applyBorder="1" applyAlignment="1">
      <alignment vertical="center"/>
    </xf>
    <xf numFmtId="0" fontId="58" fillId="55" borderId="33" xfId="0" applyFont="1" applyFill="1" applyBorder="1" applyAlignment="1">
      <alignment horizontal="left" vertical="center"/>
    </xf>
    <xf numFmtId="1" fontId="58" fillId="55" borderId="33" xfId="0" applyNumberFormat="1" applyFont="1" applyFill="1" applyBorder="1" applyAlignment="1">
      <alignment horizontal="center" vertical="center"/>
    </xf>
    <xf numFmtId="0" fontId="58" fillId="55" borderId="33" xfId="0" applyFont="1" applyFill="1" applyBorder="1" applyAlignment="1">
      <alignment horizontal="center" vertical="center"/>
    </xf>
    <xf numFmtId="0" fontId="58" fillId="55" borderId="33" xfId="0" applyFont="1" applyFill="1" applyBorder="1" applyAlignment="1">
      <alignment vertical="center"/>
    </xf>
    <xf numFmtId="0" fontId="58" fillId="55" borderId="28" xfId="0" applyFont="1" applyFill="1" applyBorder="1" applyAlignment="1">
      <alignment vertical="center"/>
    </xf>
    <xf numFmtId="3" fontId="66" fillId="56" borderId="70" xfId="0" applyNumberFormat="1" applyFont="1" applyFill="1" applyBorder="1" applyAlignment="1">
      <alignment horizontal="center" vertical="center"/>
    </xf>
    <xf numFmtId="3" fontId="66" fillId="80" borderId="48" xfId="0" applyNumberFormat="1" applyFont="1" applyFill="1" applyBorder="1" applyAlignment="1">
      <alignment horizontal="center" vertical="center"/>
    </xf>
    <xf numFmtId="0" fontId="67" fillId="55" borderId="33" xfId="0" applyFont="1" applyFill="1" applyBorder="1" applyAlignment="1">
      <alignment vertical="center" wrapText="1"/>
    </xf>
    <xf numFmtId="0" fontId="58" fillId="55" borderId="43" xfId="0" applyFont="1" applyFill="1" applyBorder="1" applyAlignment="1">
      <alignment horizontal="center" vertical="center"/>
    </xf>
    <xf numFmtId="0" fontId="58" fillId="0" borderId="41" xfId="0" applyFont="1" applyBorder="1" applyAlignment="1">
      <alignment horizontal="left" vertical="center"/>
    </xf>
    <xf numFmtId="1" fontId="58" fillId="0" borderId="41" xfId="0" applyNumberFormat="1" applyFont="1" applyBorder="1" applyAlignment="1">
      <alignment horizontal="center" vertical="center"/>
    </xf>
    <xf numFmtId="0" fontId="58" fillId="0" borderId="41" xfId="0" applyFont="1" applyBorder="1" applyAlignment="1">
      <alignment horizontal="center" vertical="center"/>
    </xf>
    <xf numFmtId="0" fontId="58" fillId="0" borderId="41" xfId="0" applyFont="1" applyBorder="1" applyAlignment="1">
      <alignment vertical="center"/>
    </xf>
    <xf numFmtId="0" fontId="58" fillId="0" borderId="38" xfId="0" applyFont="1" applyBorder="1" applyAlignment="1">
      <alignment vertical="center"/>
    </xf>
    <xf numFmtId="3" fontId="65" fillId="0" borderId="73" xfId="0" applyNumberFormat="1" applyFont="1" applyBorder="1" applyAlignment="1">
      <alignment horizontal="center" vertical="center"/>
    </xf>
    <xf numFmtId="3" fontId="65" fillId="0" borderId="41" xfId="0" applyNumberFormat="1" applyFont="1" applyBorder="1" applyAlignment="1">
      <alignment horizontal="center" vertical="center"/>
    </xf>
    <xf numFmtId="3" fontId="66" fillId="72" borderId="74" xfId="0" applyNumberFormat="1" applyFont="1" applyFill="1" applyBorder="1" applyAlignment="1">
      <alignment horizontal="center" vertical="center"/>
    </xf>
    <xf numFmtId="3" fontId="66" fillId="73" borderId="43" xfId="0" applyNumberFormat="1" applyFont="1" applyFill="1" applyBorder="1" applyAlignment="1">
      <alignment horizontal="center" vertical="center"/>
    </xf>
    <xf numFmtId="0" fontId="58" fillId="76" borderId="75" xfId="0" applyFont="1" applyFill="1" applyBorder="1" applyAlignment="1">
      <alignment horizontal="center" vertical="center"/>
    </xf>
    <xf numFmtId="0" fontId="58" fillId="76" borderId="76" xfId="0" applyFont="1" applyFill="1" applyBorder="1" applyAlignment="1">
      <alignment horizontal="left" vertical="center"/>
    </xf>
    <xf numFmtId="1" fontId="58" fillId="76" borderId="76" xfId="0" applyNumberFormat="1" applyFont="1" applyFill="1" applyBorder="1" applyAlignment="1">
      <alignment horizontal="center" vertical="center"/>
    </xf>
    <xf numFmtId="0" fontId="58" fillId="76" borderId="76" xfId="0" applyFont="1" applyFill="1" applyBorder="1" applyAlignment="1">
      <alignment horizontal="center" vertical="center"/>
    </xf>
    <xf numFmtId="0" fontId="58" fillId="77" borderId="33" xfId="0" applyFont="1" applyFill="1" applyBorder="1" applyAlignment="1">
      <alignment horizontal="center" vertical="center"/>
    </xf>
    <xf numFmtId="0" fontId="58" fillId="76" borderId="76" xfId="0" applyFont="1" applyFill="1" applyBorder="1" applyAlignment="1">
      <alignment vertical="center"/>
    </xf>
    <xf numFmtId="0" fontId="58" fillId="74" borderId="76" xfId="0" applyFont="1" applyFill="1" applyBorder="1" applyAlignment="1">
      <alignment vertical="center"/>
    </xf>
    <xf numFmtId="0" fontId="58" fillId="74" borderId="77" xfId="0" applyFont="1" applyFill="1" applyBorder="1" applyAlignment="1">
      <alignment vertical="center"/>
    </xf>
    <xf numFmtId="3" fontId="65" fillId="74" borderId="78" xfId="0" applyNumberFormat="1" applyFont="1" applyFill="1" applyBorder="1" applyAlignment="1">
      <alignment horizontal="center" vertical="center"/>
    </xf>
    <xf numFmtId="3" fontId="65" fillId="74" borderId="76" xfId="0" applyNumberFormat="1" applyFont="1" applyFill="1" applyBorder="1" applyAlignment="1">
      <alignment horizontal="center" vertical="center"/>
    </xf>
    <xf numFmtId="3" fontId="66" fillId="74" borderId="79" xfId="0" applyNumberFormat="1" applyFont="1" applyFill="1" applyBorder="1" applyAlignment="1">
      <alignment horizontal="center" vertical="center"/>
    </xf>
    <xf numFmtId="3" fontId="66" fillId="78" borderId="75" xfId="0" applyNumberFormat="1" applyFont="1" applyFill="1" applyBorder="1" applyAlignment="1">
      <alignment horizontal="center" vertical="center"/>
    </xf>
    <xf numFmtId="1" fontId="65" fillId="74" borderId="76" xfId="0" applyNumberFormat="1" applyFont="1" applyFill="1" applyBorder="1" applyAlignment="1">
      <alignment horizontal="center" vertical="center"/>
    </xf>
    <xf numFmtId="1" fontId="65" fillId="74" borderId="76" xfId="0" applyNumberFormat="1" applyFont="1" applyFill="1" applyBorder="1" applyAlignment="1">
      <alignment horizontal="center" vertical="center" wrapText="1"/>
    </xf>
    <xf numFmtId="0" fontId="58" fillId="76" borderId="80" xfId="0" applyFont="1" applyFill="1" applyBorder="1" applyAlignment="1">
      <alignment horizontal="center" vertical="center"/>
    </xf>
    <xf numFmtId="0" fontId="58" fillId="76" borderId="81" xfId="0" applyFont="1" applyFill="1" applyBorder="1" applyAlignment="1">
      <alignment horizontal="left" vertical="center"/>
    </xf>
    <xf numFmtId="1" fontId="58" fillId="76" borderId="81" xfId="0" applyNumberFormat="1" applyFont="1" applyFill="1" applyBorder="1" applyAlignment="1">
      <alignment horizontal="center" vertical="center"/>
    </xf>
    <xf numFmtId="0" fontId="58" fillId="76" borderId="81" xfId="0" applyFont="1" applyFill="1" applyBorder="1" applyAlignment="1">
      <alignment horizontal="center" vertical="center"/>
    </xf>
    <xf numFmtId="0" fontId="58" fillId="76" borderId="81" xfId="0" applyFont="1" applyFill="1" applyBorder="1" applyAlignment="1">
      <alignment vertical="center"/>
    </xf>
    <xf numFmtId="0" fontId="58" fillId="74" borderId="81" xfId="0" applyFont="1" applyFill="1" applyBorder="1" applyAlignment="1">
      <alignment vertical="center"/>
    </xf>
    <xf numFmtId="0" fontId="58" fillId="74" borderId="82" xfId="0" applyFont="1" applyFill="1" applyBorder="1" applyAlignment="1">
      <alignment vertical="center"/>
    </xf>
    <xf numFmtId="3" fontId="65" fillId="74" borderId="83" xfId="0" applyNumberFormat="1" applyFont="1" applyFill="1" applyBorder="1" applyAlignment="1">
      <alignment horizontal="center" vertical="center"/>
    </xf>
    <xf numFmtId="3" fontId="65" fillId="74" borderId="81" xfId="0" applyNumberFormat="1" applyFont="1" applyFill="1" applyBorder="1" applyAlignment="1">
      <alignment horizontal="center" vertical="center"/>
    </xf>
    <xf numFmtId="3" fontId="66" fillId="74" borderId="84" xfId="0" applyNumberFormat="1" applyFont="1" applyFill="1" applyBorder="1" applyAlignment="1">
      <alignment horizontal="center" vertical="center"/>
    </xf>
    <xf numFmtId="3" fontId="66" fillId="78" borderId="80" xfId="0" applyNumberFormat="1" applyFont="1" applyFill="1" applyBorder="1" applyAlignment="1">
      <alignment horizontal="center" vertical="center"/>
    </xf>
    <xf numFmtId="1" fontId="58" fillId="74" borderId="81" xfId="0" applyNumberFormat="1" applyFont="1" applyFill="1" applyBorder="1" applyAlignment="1">
      <alignment horizontal="center" vertical="center"/>
    </xf>
    <xf numFmtId="0" fontId="67" fillId="74" borderId="82" xfId="0" applyFont="1" applyFill="1" applyBorder="1" applyAlignment="1">
      <alignment vertical="center" wrapText="1"/>
    </xf>
    <xf numFmtId="0" fontId="58" fillId="55" borderId="40" xfId="0" applyFont="1" applyFill="1" applyBorder="1" applyAlignment="1">
      <alignment horizontal="center" vertical="center"/>
    </xf>
    <xf numFmtId="0" fontId="58" fillId="0" borderId="72" xfId="0" applyFont="1" applyBorder="1" applyAlignment="1">
      <alignment horizontal="left" vertical="center"/>
    </xf>
    <xf numFmtId="1" fontId="58" fillId="0" borderId="72" xfId="0" applyNumberFormat="1" applyFont="1" applyBorder="1" applyAlignment="1">
      <alignment horizontal="center" vertical="center"/>
    </xf>
    <xf numFmtId="0" fontId="58" fillId="0" borderId="72" xfId="0" applyFont="1" applyBorder="1" applyAlignment="1">
      <alignment horizontal="center" vertical="center"/>
    </xf>
    <xf numFmtId="0" fontId="58" fillId="0" borderId="72" xfId="0" applyFont="1" applyBorder="1" applyAlignment="1">
      <alignment vertical="center"/>
    </xf>
    <xf numFmtId="0" fontId="58" fillId="0" borderId="39" xfId="0" applyFont="1" applyBorder="1" applyAlignment="1">
      <alignment vertical="center"/>
    </xf>
    <xf numFmtId="3" fontId="65" fillId="0" borderId="71" xfId="0" applyNumberFormat="1" applyFont="1" applyBorder="1" applyAlignment="1">
      <alignment horizontal="center" vertical="center"/>
    </xf>
    <xf numFmtId="3" fontId="65" fillId="0" borderId="72" xfId="0" applyNumberFormat="1" applyFont="1" applyBorder="1" applyAlignment="1">
      <alignment horizontal="center" vertical="center"/>
    </xf>
    <xf numFmtId="3" fontId="66" fillId="72" borderId="85" xfId="0" applyNumberFormat="1" applyFont="1" applyFill="1" applyBorder="1" applyAlignment="1">
      <alignment horizontal="center" vertical="center"/>
    </xf>
    <xf numFmtId="3" fontId="66" fillId="73" borderId="40" xfId="0" applyNumberFormat="1" applyFont="1" applyFill="1" applyBorder="1" applyAlignment="1">
      <alignment horizontal="center" vertical="center"/>
    </xf>
    <xf numFmtId="1" fontId="58" fillId="0" borderId="33" xfId="0" applyNumberFormat="1" applyFont="1" applyFill="1" applyBorder="1" applyAlignment="1">
      <alignment vertical="center"/>
    </xf>
    <xf numFmtId="0" fontId="58" fillId="0" borderId="33" xfId="0" applyFont="1" applyBorder="1" applyAlignment="1">
      <alignment vertical="center" wrapText="1"/>
    </xf>
    <xf numFmtId="0" fontId="48" fillId="0" borderId="33" xfId="0" applyFont="1" applyBorder="1" applyAlignment="1">
      <alignment vertical="center" wrapText="1"/>
    </xf>
    <xf numFmtId="0" fontId="58" fillId="0" borderId="20" xfId="0" applyFont="1" applyBorder="1" applyAlignment="1">
      <alignment wrapText="1"/>
    </xf>
    <xf numFmtId="0" fontId="69" fillId="0" borderId="45" xfId="0" applyFont="1" applyBorder="1" applyAlignment="1">
      <alignment wrapText="1"/>
    </xf>
    <xf numFmtId="0" fontId="48" fillId="55" borderId="20" xfId="0" applyFont="1" applyFill="1" applyBorder="1" applyAlignment="1">
      <alignment vertical="center" wrapText="1"/>
    </xf>
    <xf numFmtId="0" fontId="58" fillId="0" borderId="45" xfId="0" applyFont="1" applyBorder="1" applyAlignment="1">
      <alignment wrapText="1"/>
    </xf>
    <xf numFmtId="0" fontId="48" fillId="55" borderId="20" xfId="0" applyFont="1" applyFill="1" applyBorder="1" applyAlignment="1">
      <alignment horizontal="center" vertical="center" wrapText="1"/>
    </xf>
    <xf numFmtId="0" fontId="58" fillId="0" borderId="33" xfId="0" applyFont="1" applyBorder="1" applyAlignment="1">
      <alignment horizontal="center" vertical="center" wrapText="1"/>
    </xf>
    <xf numFmtId="0" fontId="48" fillId="0" borderId="20" xfId="0" applyFont="1" applyFill="1" applyBorder="1" applyAlignment="1">
      <alignment vertical="center" wrapText="1"/>
    </xf>
    <xf numFmtId="0" fontId="58" fillId="0" borderId="20" xfId="0" applyFont="1" applyFill="1" applyBorder="1" applyAlignment="1">
      <alignment horizontal="center" vertical="center" wrapText="1"/>
    </xf>
    <xf numFmtId="1" fontId="58" fillId="71" borderId="20" xfId="0" applyNumberFormat="1" applyFont="1" applyFill="1" applyBorder="1" applyAlignment="1">
      <alignment horizontal="center" vertical="center" wrapText="1"/>
    </xf>
    <xf numFmtId="0" fontId="58" fillId="71" borderId="20" xfId="0" applyFont="1" applyFill="1" applyBorder="1" applyAlignment="1">
      <alignment horizontal="left" vertical="center" wrapText="1"/>
    </xf>
    <xf numFmtId="0" fontId="58" fillId="71" borderId="45" xfId="0" applyFont="1" applyFill="1" applyBorder="1" applyAlignment="1">
      <alignment vertical="center" wrapText="1"/>
    </xf>
    <xf numFmtId="1" fontId="64" fillId="71" borderId="55" xfId="0" applyNumberFormat="1" applyFont="1" applyFill="1" applyBorder="1" applyAlignment="1">
      <alignment horizontal="center" vertical="center" wrapText="1"/>
    </xf>
    <xf numFmtId="1" fontId="64" fillId="71" borderId="20" xfId="0" applyNumberFormat="1" applyFont="1" applyFill="1" applyBorder="1" applyAlignment="1">
      <alignment horizontal="center" vertical="center" wrapText="1"/>
    </xf>
    <xf numFmtId="1" fontId="64" fillId="0" borderId="45" xfId="0" applyNumberFormat="1" applyFont="1" applyBorder="1" applyAlignment="1">
      <alignment horizontal="center" vertical="center" wrapText="1"/>
    </xf>
    <xf numFmtId="1" fontId="63" fillId="63" borderId="56" xfId="0" applyNumberFormat="1" applyFont="1" applyFill="1" applyBorder="1" applyAlignment="1">
      <alignment horizontal="center" vertical="center" wrapText="1"/>
    </xf>
    <xf numFmtId="1" fontId="63" fillId="70" borderId="47" xfId="0" applyNumberFormat="1" applyFont="1" applyFill="1" applyBorder="1" applyAlignment="1">
      <alignment horizontal="center" vertical="center" wrapText="1"/>
    </xf>
    <xf numFmtId="0" fontId="48" fillId="71" borderId="20" xfId="0" applyFont="1" applyFill="1" applyBorder="1" applyAlignment="1">
      <alignment horizontal="center" vertical="center" wrapText="1"/>
    </xf>
    <xf numFmtId="0" fontId="48" fillId="71" borderId="44" xfId="0" applyFont="1" applyFill="1" applyBorder="1" applyAlignment="1">
      <alignment vertical="center" wrapText="1"/>
    </xf>
    <xf numFmtId="1" fontId="64" fillId="0" borderId="55" xfId="0" applyNumberFormat="1" applyFont="1" applyBorder="1" applyAlignment="1">
      <alignment horizontal="center" vertical="center" wrapText="1"/>
    </xf>
    <xf numFmtId="1" fontId="64" fillId="0" borderId="20" xfId="0" applyNumberFormat="1" applyFont="1" applyBorder="1" applyAlignment="1">
      <alignment horizontal="center" vertical="center" wrapText="1"/>
    </xf>
    <xf numFmtId="1" fontId="65" fillId="0" borderId="55" xfId="0" applyNumberFormat="1" applyFont="1" applyFill="1" applyBorder="1" applyAlignment="1">
      <alignment horizontal="center" vertical="center"/>
    </xf>
    <xf numFmtId="1" fontId="65" fillId="0" borderId="20" xfId="0" applyNumberFormat="1" applyFont="1" applyFill="1" applyBorder="1" applyAlignment="1">
      <alignment horizontal="center" vertical="center"/>
    </xf>
    <xf numFmtId="0" fontId="48" fillId="0" borderId="20" xfId="0" applyFont="1" applyBorder="1" applyAlignment="1">
      <alignment wrapText="1"/>
    </xf>
    <xf numFmtId="0" fontId="49" fillId="0" borderId="20" xfId="0" applyFont="1" applyBorder="1" applyAlignment="1">
      <alignment vertical="center" wrapText="1"/>
    </xf>
    <xf numFmtId="0" fontId="58" fillId="69" borderId="20" xfId="0" applyFont="1" applyFill="1" applyBorder="1" applyAlignment="1">
      <alignment vertical="center" wrapText="1"/>
    </xf>
    <xf numFmtId="0" fontId="58" fillId="69" borderId="20" xfId="0" applyFont="1" applyFill="1" applyBorder="1" applyAlignment="1">
      <alignment horizontal="center" vertical="center" wrapText="1"/>
    </xf>
    <xf numFmtId="1" fontId="64" fillId="56" borderId="55" xfId="0" applyNumberFormat="1" applyFont="1" applyFill="1" applyBorder="1" applyAlignment="1">
      <alignment horizontal="center" vertical="center" wrapText="1"/>
    </xf>
    <xf numFmtId="1" fontId="64" fillId="56" borderId="20" xfId="0" applyNumberFormat="1" applyFont="1" applyFill="1" applyBorder="1" applyAlignment="1">
      <alignment horizontal="center" vertical="center" wrapText="1"/>
    </xf>
    <xf numFmtId="3" fontId="65" fillId="56" borderId="20" xfId="0" applyNumberFormat="1" applyFont="1" applyFill="1" applyBorder="1" applyAlignment="1">
      <alignment horizontal="center" vertical="center" wrapText="1"/>
    </xf>
    <xf numFmtId="1" fontId="63" fillId="56" borderId="56" xfId="0" applyNumberFormat="1" applyFont="1" applyFill="1" applyBorder="1" applyAlignment="1">
      <alignment horizontal="center" vertical="center" wrapText="1"/>
    </xf>
    <xf numFmtId="1" fontId="63" fillId="56" borderId="55" xfId="0" applyNumberFormat="1" applyFont="1" applyFill="1" applyBorder="1" applyAlignment="1">
      <alignment horizontal="center" vertical="center" wrapText="1"/>
    </xf>
    <xf numFmtId="0" fontId="67" fillId="56" borderId="20" xfId="0" applyFont="1" applyFill="1" applyBorder="1" applyAlignment="1">
      <alignment vertical="center" wrapText="1"/>
    </xf>
    <xf numFmtId="1" fontId="65" fillId="0" borderId="69" xfId="0" applyNumberFormat="1" applyFont="1" applyBorder="1" applyAlignment="1">
      <alignment horizontal="center" vertical="center"/>
    </xf>
    <xf numFmtId="1" fontId="66" fillId="72" borderId="70" xfId="0" applyNumberFormat="1" applyFont="1" applyFill="1" applyBorder="1" applyAlignment="1">
      <alignment horizontal="center" vertical="center"/>
    </xf>
    <xf numFmtId="1" fontId="66" fillId="73" borderId="48" xfId="0" applyNumberFormat="1" applyFont="1" applyFill="1" applyBorder="1" applyAlignment="1">
      <alignment horizontal="center" vertical="center"/>
    </xf>
    <xf numFmtId="1" fontId="65" fillId="55" borderId="69" xfId="0" applyNumberFormat="1" applyFont="1" applyFill="1" applyBorder="1" applyAlignment="1">
      <alignment horizontal="center" vertical="center"/>
    </xf>
    <xf numFmtId="1" fontId="65" fillId="55" borderId="33" xfId="0" applyNumberFormat="1" applyFont="1" applyFill="1" applyBorder="1" applyAlignment="1">
      <alignment horizontal="center" vertical="center"/>
    </xf>
    <xf numFmtId="1" fontId="58" fillId="55" borderId="28" xfId="0" applyNumberFormat="1" applyFont="1" applyFill="1" applyBorder="1" applyAlignment="1">
      <alignment horizontal="center" vertical="center"/>
    </xf>
    <xf numFmtId="1" fontId="65" fillId="75" borderId="69" xfId="0" applyNumberFormat="1" applyFont="1" applyFill="1" applyBorder="1" applyAlignment="1">
      <alignment horizontal="center" vertical="center"/>
    </xf>
    <xf numFmtId="1" fontId="65" fillId="75" borderId="33" xfId="0" applyNumberFormat="1" applyFont="1" applyFill="1" applyBorder="1" applyAlignment="1">
      <alignment horizontal="center" vertical="center"/>
    </xf>
    <xf numFmtId="0" fontId="58" fillId="81" borderId="48" xfId="0" applyFont="1" applyFill="1" applyBorder="1" applyAlignment="1">
      <alignment horizontal="center" vertical="center"/>
    </xf>
    <xf numFmtId="0" fontId="58" fillId="81" borderId="20" xfId="0" applyFont="1" applyFill="1" applyBorder="1" applyAlignment="1">
      <alignment vertical="center"/>
    </xf>
    <xf numFmtId="1" fontId="58" fillId="81" borderId="33" xfId="0" applyNumberFormat="1" applyFont="1" applyFill="1" applyBorder="1" applyAlignment="1">
      <alignment vertical="center"/>
    </xf>
    <xf numFmtId="1" fontId="58" fillId="81" borderId="33" xfId="0" applyNumberFormat="1" applyFont="1" applyFill="1" applyBorder="1" applyAlignment="1">
      <alignment horizontal="center" vertical="center"/>
    </xf>
    <xf numFmtId="0" fontId="58" fillId="81" borderId="33" xfId="0" applyFont="1" applyFill="1" applyBorder="1" applyAlignment="1">
      <alignment horizontal="center" vertical="center"/>
    </xf>
    <xf numFmtId="0" fontId="58" fillId="81" borderId="20" xfId="0" applyFont="1" applyFill="1" applyBorder="1" applyAlignment="1">
      <alignment horizontal="center" vertical="center"/>
    </xf>
    <xf numFmtId="0" fontId="58" fillId="81" borderId="33" xfId="0" applyFont="1" applyFill="1" applyBorder="1" applyAlignment="1">
      <alignment horizontal="left" vertical="center"/>
    </xf>
    <xf numFmtId="0" fontId="58" fillId="81" borderId="33" xfId="0" applyFont="1" applyFill="1" applyBorder="1" applyAlignment="1">
      <alignment vertical="center"/>
    </xf>
    <xf numFmtId="0" fontId="58" fillId="81" borderId="28" xfId="0" applyFont="1" applyFill="1" applyBorder="1" applyAlignment="1">
      <alignment vertical="center"/>
    </xf>
    <xf numFmtId="1" fontId="65" fillId="81" borderId="69" xfId="0" applyNumberFormat="1" applyFont="1" applyFill="1" applyBorder="1" applyAlignment="1">
      <alignment horizontal="center" vertical="center"/>
    </xf>
    <xf numFmtId="1" fontId="65" fillId="81" borderId="33" xfId="0" applyNumberFormat="1" applyFont="1" applyFill="1" applyBorder="1" applyAlignment="1">
      <alignment horizontal="center" vertical="center"/>
    </xf>
    <xf numFmtId="1" fontId="58" fillId="81" borderId="28" xfId="0" applyNumberFormat="1" applyFont="1" applyFill="1" applyBorder="1" applyAlignment="1">
      <alignment horizontal="center" vertical="center"/>
    </xf>
    <xf numFmtId="0" fontId="67" fillId="0" borderId="20" xfId="0" applyFont="1" applyBorder="1" applyAlignment="1">
      <alignment horizontal="center" vertical="center" wrapText="1"/>
    </xf>
    <xf numFmtId="0" fontId="70" fillId="0" borderId="20" xfId="0" applyFont="1" applyBorder="1" applyAlignment="1">
      <alignment horizontal="center" vertical="center"/>
    </xf>
    <xf numFmtId="0" fontId="58" fillId="56" borderId="48" xfId="0" applyFont="1" applyFill="1" applyBorder="1" applyAlignment="1">
      <alignment horizontal="center" vertical="center"/>
    </xf>
    <xf numFmtId="1" fontId="58" fillId="56" borderId="33" xfId="0" applyNumberFormat="1" applyFont="1" applyFill="1" applyBorder="1" applyAlignment="1">
      <alignment vertical="center"/>
    </xf>
    <xf numFmtId="1" fontId="58" fillId="56" borderId="33" xfId="0" applyNumberFormat="1" applyFont="1" applyFill="1" applyBorder="1" applyAlignment="1">
      <alignment horizontal="center" vertical="center"/>
    </xf>
    <xf numFmtId="0" fontId="58" fillId="56" borderId="33" xfId="0" applyFont="1" applyFill="1" applyBorder="1" applyAlignment="1">
      <alignment horizontal="center" vertical="center"/>
    </xf>
    <xf numFmtId="0" fontId="58" fillId="56" borderId="33" xfId="0" applyFont="1" applyFill="1" applyBorder="1" applyAlignment="1">
      <alignment horizontal="left" vertical="center"/>
    </xf>
    <xf numFmtId="0" fontId="58" fillId="56" borderId="33" xfId="0" applyFont="1" applyFill="1" applyBorder="1" applyAlignment="1">
      <alignment vertical="center"/>
    </xf>
    <xf numFmtId="0" fontId="58" fillId="56" borderId="28" xfId="0" applyFont="1" applyFill="1" applyBorder="1" applyAlignment="1">
      <alignment vertical="center"/>
    </xf>
    <xf numFmtId="1" fontId="65" fillId="56" borderId="69" xfId="0" applyNumberFormat="1" applyFont="1" applyFill="1" applyBorder="1" applyAlignment="1">
      <alignment horizontal="center" vertical="center"/>
    </xf>
    <xf numFmtId="1" fontId="65" fillId="56" borderId="33" xfId="0" applyNumberFormat="1" applyFont="1" applyFill="1" applyBorder="1" applyAlignment="1">
      <alignment horizontal="center" vertical="center"/>
    </xf>
    <xf numFmtId="1" fontId="66" fillId="74" borderId="70" xfId="0" applyNumberFormat="1" applyFont="1" applyFill="1" applyBorder="1" applyAlignment="1">
      <alignment horizontal="center" vertical="center"/>
    </xf>
    <xf numFmtId="1" fontId="66" fillId="78" borderId="48" xfId="0" applyNumberFormat="1" applyFont="1" applyFill="1" applyBorder="1" applyAlignment="1">
      <alignment horizontal="center" vertical="center"/>
    </xf>
    <xf numFmtId="1" fontId="58" fillId="0" borderId="41" xfId="0" applyNumberFormat="1" applyFont="1" applyBorder="1" applyAlignment="1">
      <alignment vertical="center"/>
    </xf>
    <xf numFmtId="1" fontId="65" fillId="0" borderId="73" xfId="0" applyNumberFormat="1" applyFont="1" applyBorder="1" applyAlignment="1">
      <alignment horizontal="center" vertical="center"/>
    </xf>
    <xf numFmtId="1" fontId="65" fillId="0" borderId="41" xfId="0" applyNumberFormat="1" applyFont="1" applyBorder="1" applyAlignment="1">
      <alignment horizontal="center" vertical="center"/>
    </xf>
    <xf numFmtId="1" fontId="66" fillId="72" borderId="74" xfId="0" applyNumberFormat="1" applyFont="1" applyFill="1" applyBorder="1" applyAlignment="1">
      <alignment horizontal="center" vertical="center"/>
    </xf>
    <xf numFmtId="1" fontId="66" fillId="73" borderId="43" xfId="0" applyNumberFormat="1" applyFont="1" applyFill="1" applyBorder="1" applyAlignment="1">
      <alignment horizontal="center" vertical="center"/>
    </xf>
    <xf numFmtId="0" fontId="48" fillId="55" borderId="20" xfId="0" applyFont="1" applyFill="1" applyBorder="1" applyAlignment="1">
      <alignment wrapText="1"/>
    </xf>
    <xf numFmtId="0" fontId="58" fillId="0" borderId="72" xfId="0" applyFont="1" applyBorder="1" applyAlignment="1">
      <alignment vertical="center" wrapText="1"/>
    </xf>
    <xf numFmtId="0" fontId="48" fillId="0" borderId="72" xfId="0" applyFont="1" applyBorder="1" applyAlignment="1">
      <alignment vertical="center" wrapText="1"/>
    </xf>
    <xf numFmtId="0" fontId="2" fillId="0" borderId="20" xfId="0" applyFont="1" applyBorder="1" applyAlignment="1">
      <alignment horizontal="center" vertical="center"/>
    </xf>
    <xf numFmtId="0" fontId="58" fillId="0" borderId="47" xfId="0" applyFont="1" applyBorder="1" applyAlignment="1">
      <alignment horizontal="center" vertical="center" wrapText="1"/>
    </xf>
    <xf numFmtId="3" fontId="65" fillId="0" borderId="45" xfId="0" applyNumberFormat="1" applyFont="1" applyFill="1" applyBorder="1" applyAlignment="1">
      <alignment horizontal="center" vertical="center"/>
    </xf>
    <xf numFmtId="0" fontId="58" fillId="71" borderId="47" xfId="0" applyFont="1" applyFill="1" applyBorder="1" applyAlignment="1">
      <alignment horizontal="center" vertical="center" wrapText="1"/>
    </xf>
    <xf numFmtId="3" fontId="64" fillId="71" borderId="55" xfId="0" applyNumberFormat="1" applyFont="1" applyFill="1" applyBorder="1" applyAlignment="1">
      <alignment horizontal="center" vertical="center" wrapText="1"/>
    </xf>
    <xf numFmtId="3" fontId="64" fillId="71" borderId="20" xfId="0" applyNumberFormat="1" applyFont="1" applyFill="1" applyBorder="1" applyAlignment="1">
      <alignment horizontal="center" vertical="center" wrapText="1"/>
    </xf>
    <xf numFmtId="0" fontId="48" fillId="71" borderId="21" xfId="0" applyFont="1" applyFill="1" applyBorder="1" applyAlignment="1">
      <alignment horizontal="center" vertical="center" wrapText="1"/>
    </xf>
    <xf numFmtId="0" fontId="48" fillId="71" borderId="20" xfId="0" applyFont="1" applyFill="1" applyBorder="1" applyAlignment="1">
      <alignment vertical="center" wrapText="1"/>
    </xf>
    <xf numFmtId="0" fontId="58" fillId="63" borderId="47" xfId="0" applyFont="1" applyFill="1" applyBorder="1" applyAlignment="1">
      <alignment horizontal="center" vertical="center" wrapText="1"/>
    </xf>
    <xf numFmtId="0" fontId="48" fillId="63" borderId="47" xfId="0" applyFont="1" applyFill="1" applyBorder="1" applyAlignment="1">
      <alignment horizontal="center" vertical="center" wrapText="1"/>
    </xf>
    <xf numFmtId="0" fontId="71" fillId="82" borderId="20" xfId="0" applyFont="1" applyFill="1" applyBorder="1" applyAlignment="1">
      <alignment wrapText="1"/>
    </xf>
    <xf numFmtId="3" fontId="64" fillId="0" borderId="55" xfId="0" applyNumberFormat="1" applyFont="1" applyFill="1" applyBorder="1" applyAlignment="1">
      <alignment horizontal="center" vertical="center" wrapText="1"/>
    </xf>
    <xf numFmtId="3" fontId="64" fillId="0" borderId="20" xfId="0" applyNumberFormat="1" applyFont="1" applyFill="1" applyBorder="1" applyAlignment="1">
      <alignment horizontal="center" vertical="center" wrapText="1"/>
    </xf>
    <xf numFmtId="1" fontId="65" fillId="55" borderId="20" xfId="0" applyNumberFormat="1" applyFont="1" applyFill="1" applyBorder="1" applyAlignment="1">
      <alignment horizontal="center" vertical="center"/>
    </xf>
    <xf numFmtId="3" fontId="65" fillId="55" borderId="20" xfId="0" applyNumberFormat="1" applyFont="1" applyFill="1" applyBorder="1" applyAlignment="1">
      <alignment horizontal="center" vertical="center"/>
    </xf>
    <xf numFmtId="0" fontId="58" fillId="55" borderId="20" xfId="0" applyFont="1" applyFill="1" applyBorder="1" applyAlignment="1">
      <alignment vertical="center" wrapText="1"/>
    </xf>
    <xf numFmtId="1" fontId="64" fillId="0" borderId="55" xfId="0" applyNumberFormat="1" applyFont="1" applyFill="1" applyBorder="1" applyAlignment="1">
      <alignment horizontal="center" vertical="center" wrapText="1"/>
    </xf>
    <xf numFmtId="1" fontId="64" fillId="0" borderId="20" xfId="0" applyNumberFormat="1" applyFont="1" applyFill="1" applyBorder="1" applyAlignment="1">
      <alignment horizontal="center" vertical="center" wrapText="1"/>
    </xf>
    <xf numFmtId="1" fontId="63" fillId="55" borderId="47" xfId="0" applyNumberFormat="1" applyFont="1" applyFill="1" applyBorder="1" applyAlignment="1">
      <alignment horizontal="center" vertical="center" wrapText="1"/>
    </xf>
    <xf numFmtId="3" fontId="63" fillId="70" borderId="46" xfId="0" applyNumberFormat="1" applyFont="1" applyFill="1" applyBorder="1" applyAlignment="1">
      <alignment horizontal="center" vertical="center" wrapText="1"/>
    </xf>
    <xf numFmtId="0" fontId="58" fillId="0" borderId="86" xfId="0" applyFont="1" applyBorder="1" applyAlignment="1">
      <alignment horizontal="center" vertical="center" wrapText="1"/>
    </xf>
    <xf numFmtId="0" fontId="58" fillId="0" borderId="60" xfId="0" applyFont="1" applyBorder="1" applyAlignment="1">
      <alignment vertical="center" wrapText="1"/>
    </xf>
    <xf numFmtId="1" fontId="58" fillId="0" borderId="60" xfId="0" applyNumberFormat="1" applyFont="1" applyBorder="1" applyAlignment="1">
      <alignment horizontal="center" vertical="center" wrapText="1"/>
    </xf>
    <xf numFmtId="0" fontId="58" fillId="0" borderId="60" xfId="0" applyFont="1" applyBorder="1" applyAlignment="1">
      <alignment horizontal="center" vertical="center" wrapText="1"/>
    </xf>
    <xf numFmtId="0" fontId="58" fillId="0" borderId="60" xfId="0" applyFont="1" applyBorder="1" applyAlignment="1">
      <alignment horizontal="left" vertical="center" wrapText="1"/>
    </xf>
    <xf numFmtId="0" fontId="58" fillId="0" borderId="87" xfId="0" applyFont="1" applyBorder="1" applyAlignment="1">
      <alignment vertical="center" wrapText="1"/>
    </xf>
    <xf numFmtId="3" fontId="64" fillId="0" borderId="59" xfId="0" applyNumberFormat="1" applyFont="1" applyBorder="1" applyAlignment="1">
      <alignment horizontal="center" vertical="center" wrapText="1"/>
    </xf>
    <xf numFmtId="3" fontId="64" fillId="0" borderId="60" xfId="0" applyNumberFormat="1" applyFont="1" applyBorder="1" applyAlignment="1">
      <alignment horizontal="center" vertical="center" wrapText="1"/>
    </xf>
    <xf numFmtId="3" fontId="63" fillId="63" borderId="88" xfId="0" applyNumberFormat="1" applyFont="1" applyFill="1" applyBorder="1" applyAlignment="1">
      <alignment horizontal="center" vertical="center" wrapText="1"/>
    </xf>
    <xf numFmtId="3" fontId="63" fillId="63" borderId="61" xfId="0" applyNumberFormat="1" applyFont="1" applyFill="1" applyBorder="1" applyAlignment="1">
      <alignment horizontal="center" vertical="center" wrapText="1"/>
    </xf>
    <xf numFmtId="3" fontId="63" fillId="70" borderId="66" xfId="0" applyNumberFormat="1" applyFont="1" applyFill="1" applyBorder="1" applyAlignment="1">
      <alignment horizontal="center" vertical="center" wrapText="1"/>
    </xf>
    <xf numFmtId="0" fontId="67" fillId="0" borderId="0" xfId="0" applyFont="1" applyAlignment="1">
      <alignment horizontal="center" vertical="center"/>
    </xf>
    <xf numFmtId="3" fontId="66" fillId="73" borderId="42" xfId="0" applyNumberFormat="1" applyFont="1" applyFill="1" applyBorder="1" applyAlignment="1">
      <alignment horizontal="center" vertical="center"/>
    </xf>
    <xf numFmtId="0" fontId="58" fillId="0" borderId="48" xfId="0" applyFont="1" applyBorder="1" applyAlignment="1">
      <alignment horizontal="center" vertical="center"/>
    </xf>
    <xf numFmtId="0" fontId="58" fillId="72" borderId="48" xfId="0" applyFont="1" applyFill="1" applyBorder="1" applyAlignment="1">
      <alignment horizontal="center" vertical="center"/>
    </xf>
    <xf numFmtId="1" fontId="67" fillId="0" borderId="72" xfId="0" applyNumberFormat="1" applyFont="1" applyBorder="1" applyAlignment="1">
      <alignment vertical="center"/>
    </xf>
    <xf numFmtId="1" fontId="67" fillId="0" borderId="33" xfId="0" applyNumberFormat="1" applyFont="1" applyBorder="1" applyAlignment="1">
      <alignment vertical="center"/>
    </xf>
    <xf numFmtId="3" fontId="65" fillId="0" borderId="69" xfId="0" applyNumberFormat="1" applyFont="1" applyFill="1" applyBorder="1" applyAlignment="1">
      <alignment horizontal="center" vertical="center"/>
    </xf>
    <xf numFmtId="3" fontId="65" fillId="0" borderId="33" xfId="0" applyNumberFormat="1" applyFont="1" applyFill="1" applyBorder="1" applyAlignment="1">
      <alignment horizontal="center" vertical="center"/>
    </xf>
    <xf numFmtId="3" fontId="63" fillId="0" borderId="56" xfId="0" applyNumberFormat="1" applyFont="1" applyFill="1" applyBorder="1" applyAlignment="1">
      <alignment horizontal="center" vertical="center" wrapText="1"/>
    </xf>
    <xf numFmtId="0" fontId="17" fillId="57" borderId="0" xfId="0" applyFont="1" applyFill="1" applyAlignment="1">
      <alignment horizontal="left"/>
    </xf>
    <xf numFmtId="177" fontId="46" fillId="56" borderId="20" xfId="0" applyNumberFormat="1" applyFont="1" applyFill="1" applyBorder="1" applyAlignment="1" applyProtection="1">
      <alignment horizontal="center" vertical="center" wrapText="1"/>
      <protection hidden="1"/>
    </xf>
    <xf numFmtId="0" fontId="49" fillId="56" borderId="20" xfId="0" applyFont="1" applyFill="1" applyBorder="1" applyAlignment="1" applyProtection="1">
      <alignment horizontal="center" vertical="center"/>
      <protection hidden="1"/>
    </xf>
    <xf numFmtId="0" fontId="49" fillId="56" borderId="55" xfId="0" applyFont="1" applyFill="1" applyBorder="1" applyAlignment="1" applyProtection="1">
      <alignment horizontal="center" vertical="center"/>
      <protection hidden="1"/>
    </xf>
    <xf numFmtId="0" fontId="49" fillId="56" borderId="56" xfId="0" applyFont="1" applyFill="1" applyBorder="1" applyAlignment="1" applyProtection="1">
      <alignment horizontal="center" vertical="center"/>
      <protection hidden="1"/>
    </xf>
    <xf numFmtId="0" fontId="54" fillId="62" borderId="20" xfId="0" applyFont="1" applyFill="1" applyBorder="1" applyAlignment="1">
      <alignment horizontal="center" vertical="center"/>
    </xf>
    <xf numFmtId="0" fontId="74" fillId="62" borderId="20" xfId="381" applyFont="1" applyFill="1" applyBorder="1" applyAlignment="1">
      <alignment horizontal="center" vertical="center"/>
    </xf>
    <xf numFmtId="0" fontId="52" fillId="61" borderId="27" xfId="381" applyFont="1" applyFill="1" applyBorder="1" applyAlignment="1">
      <alignment horizontal="center" vertical="center" wrapText="1"/>
    </xf>
    <xf numFmtId="0" fontId="52" fillId="61" borderId="21" xfId="381" applyFont="1" applyFill="1" applyBorder="1" applyAlignment="1">
      <alignment horizontal="center" vertical="center" wrapText="1"/>
    </xf>
    <xf numFmtId="0" fontId="52" fillId="61" borderId="21" xfId="208" applyFont="1" applyFill="1" applyBorder="1" applyAlignment="1">
      <alignment horizontal="center" vertical="center" wrapText="1"/>
    </xf>
    <xf numFmtId="0" fontId="73" fillId="61" borderId="34" xfId="208" applyFont="1" applyFill="1" applyBorder="1" applyAlignment="1">
      <alignment horizontal="center" vertical="center" wrapText="1"/>
    </xf>
    <xf numFmtId="0" fontId="51" fillId="0" borderId="47" xfId="381" applyFont="1" applyBorder="1" applyAlignment="1">
      <alignment horizontal="center" vertical="center"/>
    </xf>
    <xf numFmtId="0" fontId="0" fillId="0" borderId="20" xfId="0" applyBorder="1" applyAlignment="1">
      <alignment horizontal="center" vertical="center"/>
    </xf>
    <xf numFmtId="0" fontId="0" fillId="0" borderId="45" xfId="0" applyBorder="1" applyAlignment="1">
      <alignment horizontal="center" vertical="center"/>
    </xf>
    <xf numFmtId="0" fontId="51" fillId="0" borderId="47" xfId="381" applyFont="1" applyFill="1" applyBorder="1" applyAlignment="1">
      <alignment horizontal="center" vertical="center"/>
    </xf>
    <xf numFmtId="0" fontId="74" fillId="0" borderId="47" xfId="381" applyFont="1" applyFill="1" applyBorder="1" applyAlignment="1">
      <alignment horizontal="center" vertical="center"/>
    </xf>
    <xf numFmtId="0" fontId="0" fillId="0" borderId="44" xfId="0" applyBorder="1" applyAlignment="1">
      <alignment horizontal="center" vertical="center"/>
    </xf>
    <xf numFmtId="0" fontId="0" fillId="0" borderId="67" xfId="0" applyBorder="1" applyAlignment="1">
      <alignment horizontal="center" vertical="center"/>
    </xf>
    <xf numFmtId="0" fontId="51" fillId="0" borderId="68" xfId="381" applyFont="1" applyBorder="1" applyAlignment="1">
      <alignment horizontal="center" vertical="center"/>
    </xf>
    <xf numFmtId="0" fontId="54" fillId="62" borderId="44" xfId="0" applyFont="1" applyFill="1" applyBorder="1" applyAlignment="1">
      <alignment horizontal="center" vertical="center"/>
    </xf>
    <xf numFmtId="0" fontId="46" fillId="59" borderId="45" xfId="0" applyFont="1" applyFill="1" applyBorder="1" applyAlignment="1" applyProtection="1">
      <alignment horizontal="center" vertical="center" wrapText="1"/>
      <protection hidden="1"/>
    </xf>
    <xf numFmtId="0" fontId="49" fillId="56" borderId="20" xfId="0" applyFont="1" applyFill="1" applyBorder="1" applyAlignment="1" applyProtection="1">
      <alignment horizontal="center" vertical="center" wrapText="1"/>
      <protection hidden="1"/>
    </xf>
    <xf numFmtId="0" fontId="46" fillId="59" borderId="56" xfId="0" applyFont="1" applyFill="1" applyBorder="1" applyAlignment="1" applyProtection="1">
      <alignment horizontal="center" vertical="center" wrapText="1"/>
      <protection hidden="1"/>
    </xf>
    <xf numFmtId="0" fontId="49" fillId="56" borderId="55" xfId="0" applyFont="1" applyFill="1" applyBorder="1" applyAlignment="1" applyProtection="1">
      <alignment horizontal="center" vertical="center" wrapText="1"/>
      <protection hidden="1"/>
    </xf>
    <xf numFmtId="0" fontId="49" fillId="56" borderId="45" xfId="0" applyFont="1" applyFill="1" applyBorder="1" applyAlignment="1" applyProtection="1">
      <alignment horizontal="center" vertical="center"/>
      <protection hidden="1"/>
    </xf>
    <xf numFmtId="0" fontId="49" fillId="56" borderId="27" xfId="0" applyFont="1" applyFill="1" applyBorder="1" applyAlignment="1" applyProtection="1">
      <alignment horizontal="center" vertical="center"/>
      <protection hidden="1"/>
    </xf>
    <xf numFmtId="0" fontId="46" fillId="59" borderId="65" xfId="0" applyFont="1" applyFill="1" applyBorder="1" applyAlignment="1" applyProtection="1">
      <alignment horizontal="center" vertical="center" wrapText="1"/>
      <protection hidden="1"/>
    </xf>
    <xf numFmtId="0" fontId="0" fillId="0" borderId="0" xfId="0" applyAlignment="1">
      <alignment wrapText="1"/>
    </xf>
    <xf numFmtId="1" fontId="46" fillId="66" borderId="47" xfId="0" applyNumberFormat="1" applyFont="1" applyFill="1" applyBorder="1" applyAlignment="1" applyProtection="1">
      <alignment horizontal="center" vertical="center" wrapText="1"/>
      <protection hidden="1"/>
    </xf>
    <xf numFmtId="0" fontId="17" fillId="56" borderId="20" xfId="0" applyFont="1" applyFill="1" applyBorder="1" applyAlignment="1">
      <alignment horizontal="center" vertical="center" wrapText="1"/>
    </xf>
    <xf numFmtId="1" fontId="65" fillId="0" borderId="20" xfId="0" applyNumberFormat="1" applyFont="1" applyBorder="1" applyAlignment="1">
      <alignment horizontal="center" vertical="center" wrapText="1"/>
    </xf>
    <xf numFmtId="0" fontId="67" fillId="0" borderId="20" xfId="0" applyFont="1" applyBorder="1" applyAlignment="1">
      <alignment vertical="center" wrapText="1"/>
    </xf>
    <xf numFmtId="1" fontId="67" fillId="0" borderId="20" xfId="0" applyNumberFormat="1" applyFont="1" applyBorder="1" applyAlignment="1">
      <alignment vertical="center" wrapText="1"/>
    </xf>
    <xf numFmtId="1" fontId="65" fillId="0" borderId="72" xfId="0" applyNumberFormat="1" applyFont="1" applyBorder="1" applyAlignment="1">
      <alignment horizontal="center" vertical="center" wrapText="1"/>
    </xf>
    <xf numFmtId="1" fontId="65" fillId="0" borderId="33" xfId="0" applyNumberFormat="1" applyFont="1" applyBorder="1" applyAlignment="1">
      <alignment horizontal="center" vertical="center" wrapText="1"/>
    </xf>
    <xf numFmtId="0" fontId="67" fillId="0" borderId="41" xfId="0" applyFont="1" applyBorder="1" applyAlignment="1">
      <alignment vertical="center" wrapText="1"/>
    </xf>
    <xf numFmtId="0" fontId="67" fillId="0" borderId="72" xfId="0" applyFont="1" applyBorder="1" applyAlignment="1">
      <alignment vertical="center" wrapText="1"/>
    </xf>
    <xf numFmtId="0" fontId="67" fillId="0" borderId="20" xfId="0" applyFont="1" applyBorder="1" applyAlignment="1">
      <alignment wrapText="1"/>
    </xf>
    <xf numFmtId="1" fontId="65" fillId="0" borderId="33" xfId="0" applyNumberFormat="1" applyFont="1" applyBorder="1" applyAlignment="1">
      <alignment horizontal="left" vertical="center" wrapText="1"/>
    </xf>
    <xf numFmtId="0" fontId="67" fillId="0" borderId="33" xfId="0" applyFont="1" applyBorder="1" applyAlignment="1">
      <alignment wrapText="1"/>
    </xf>
    <xf numFmtId="0" fontId="67" fillId="56" borderId="33" xfId="0" applyFont="1" applyFill="1" applyBorder="1" applyAlignment="1">
      <alignment vertical="center" wrapText="1"/>
    </xf>
    <xf numFmtId="0" fontId="58" fillId="56" borderId="33" xfId="0" applyFont="1" applyFill="1" applyBorder="1" applyAlignment="1">
      <alignment horizontal="center" vertical="center" wrapText="1"/>
    </xf>
    <xf numFmtId="0" fontId="2" fillId="0" borderId="0" xfId="0" applyFont="1" applyAlignment="1">
      <alignment wrapText="1"/>
    </xf>
    <xf numFmtId="0" fontId="58" fillId="77" borderId="33" xfId="0" applyFont="1" applyFill="1" applyBorder="1" applyAlignment="1">
      <alignment vertical="center" wrapText="1"/>
    </xf>
    <xf numFmtId="0" fontId="58" fillId="76" borderId="76" xfId="0" applyFont="1" applyFill="1" applyBorder="1" applyAlignment="1">
      <alignment horizontal="left" vertical="center" wrapText="1"/>
    </xf>
    <xf numFmtId="0" fontId="58" fillId="76" borderId="81" xfId="0" applyFont="1" applyFill="1" applyBorder="1" applyAlignment="1">
      <alignment horizontal="left" vertical="center" wrapText="1"/>
    </xf>
    <xf numFmtId="177" fontId="46" fillId="56" borderId="21" xfId="0" applyNumberFormat="1" applyFont="1" applyFill="1" applyBorder="1" applyAlignment="1" applyProtection="1">
      <alignment horizontal="center" vertical="center" wrapText="1"/>
      <protection hidden="1"/>
    </xf>
    <xf numFmtId="0" fontId="49" fillId="56" borderId="37" xfId="0" applyFont="1" applyFill="1" applyBorder="1" applyAlignment="1" applyProtection="1">
      <alignment horizontal="center" vertical="center"/>
      <protection hidden="1"/>
    </xf>
    <xf numFmtId="0" fontId="17" fillId="56" borderId="64" xfId="0" applyFont="1" applyFill="1" applyBorder="1" applyAlignment="1" applyProtection="1">
      <alignment vertical="center"/>
      <protection hidden="1"/>
    </xf>
    <xf numFmtId="0" fontId="60" fillId="55" borderId="20" xfId="0" applyFont="1" applyFill="1" applyBorder="1" applyAlignment="1" applyProtection="1">
      <alignment horizontal="center" vertical="center" wrapText="1"/>
      <protection hidden="1"/>
    </xf>
    <xf numFmtId="0" fontId="60" fillId="55" borderId="20" xfId="0" applyFont="1" applyFill="1" applyBorder="1" applyAlignment="1" applyProtection="1">
      <alignment horizontal="center" vertical="center" wrapText="1"/>
      <protection locked="0"/>
    </xf>
    <xf numFmtId="14" fontId="60" fillId="55" borderId="20" xfId="0" applyNumberFormat="1" applyFont="1" applyFill="1" applyBorder="1" applyAlignment="1" applyProtection="1">
      <alignment horizontal="center" vertical="center" wrapText="1"/>
      <protection locked="0"/>
    </xf>
    <xf numFmtId="0" fontId="60" fillId="55" borderId="20" xfId="0" applyFont="1" applyFill="1" applyBorder="1" applyAlignment="1" applyProtection="1">
      <alignment horizontal="center" vertical="center" wrapText="1"/>
      <protection locked="0" hidden="1"/>
    </xf>
    <xf numFmtId="0" fontId="60" fillId="55" borderId="20" xfId="0" applyNumberFormat="1" applyFont="1" applyFill="1" applyBorder="1" applyAlignment="1" applyProtection="1">
      <alignment horizontal="center" vertical="center" wrapText="1"/>
      <protection locked="0"/>
    </xf>
    <xf numFmtId="0" fontId="60" fillId="55" borderId="45" xfId="0" applyNumberFormat="1" applyFont="1" applyFill="1" applyBorder="1" applyAlignment="1" applyProtection="1">
      <alignment horizontal="center" vertical="center" wrapText="1"/>
      <protection hidden="1"/>
    </xf>
    <xf numFmtId="0" fontId="60" fillId="55" borderId="45" xfId="0" applyNumberFormat="1" applyFont="1" applyFill="1" applyBorder="1" applyAlignment="1" applyProtection="1">
      <alignment horizontal="center" vertical="center" wrapText="1"/>
      <protection locked="0"/>
    </xf>
    <xf numFmtId="0" fontId="60" fillId="55" borderId="56" xfId="0" applyNumberFormat="1" applyFont="1" applyFill="1" applyBorder="1" applyAlignment="1" applyProtection="1">
      <alignment horizontal="center" vertical="center" wrapText="1"/>
      <protection locked="0"/>
    </xf>
    <xf numFmtId="1" fontId="60" fillId="55" borderId="20" xfId="0" applyNumberFormat="1" applyFont="1" applyFill="1" applyBorder="1" applyAlignment="1" applyProtection="1">
      <alignment horizontal="center" vertical="center" wrapText="1"/>
      <protection hidden="1"/>
    </xf>
    <xf numFmtId="2" fontId="60" fillId="55" borderId="20" xfId="405" applyNumberFormat="1" applyFont="1" applyFill="1" applyBorder="1" applyAlignment="1" applyProtection="1">
      <alignment horizontal="center" vertical="center" wrapText="1"/>
      <protection hidden="1"/>
    </xf>
    <xf numFmtId="9" fontId="60" fillId="55" borderId="45" xfId="0" applyNumberFormat="1" applyFont="1" applyFill="1" applyBorder="1" applyAlignment="1" applyProtection="1">
      <alignment horizontal="center" vertical="center" wrapText="1"/>
      <protection hidden="1"/>
    </xf>
    <xf numFmtId="9" fontId="60" fillId="55" borderId="56" xfId="0" applyNumberFormat="1" applyFont="1" applyFill="1" applyBorder="1" applyAlignment="1" applyProtection="1">
      <alignment horizontal="center" vertical="center" wrapText="1"/>
      <protection hidden="1"/>
    </xf>
    <xf numFmtId="1" fontId="60" fillId="55" borderId="55" xfId="0" applyNumberFormat="1" applyFont="1" applyFill="1" applyBorder="1" applyAlignment="1" applyProtection="1">
      <alignment horizontal="center" vertical="center" wrapText="1"/>
      <protection hidden="1"/>
    </xf>
    <xf numFmtId="1" fontId="46" fillId="55" borderId="47" xfId="0" applyNumberFormat="1" applyFont="1" applyFill="1" applyBorder="1" applyAlignment="1" applyProtection="1">
      <alignment horizontal="center" vertical="center" wrapText="1"/>
      <protection hidden="1"/>
    </xf>
    <xf numFmtId="1" fontId="46" fillId="55" borderId="20" xfId="0" applyNumberFormat="1" applyFont="1" applyFill="1" applyBorder="1" applyAlignment="1" applyProtection="1">
      <alignment horizontal="center" vertical="center" wrapText="1"/>
      <protection hidden="1"/>
    </xf>
    <xf numFmtId="2" fontId="46" fillId="55" borderId="20" xfId="405" applyNumberFormat="1" applyFont="1" applyFill="1" applyBorder="1" applyAlignment="1" applyProtection="1">
      <alignment horizontal="center" vertical="center" wrapText="1"/>
      <protection hidden="1"/>
    </xf>
    <xf numFmtId="9" fontId="60" fillId="55" borderId="20" xfId="0" applyNumberFormat="1" applyFont="1" applyFill="1" applyBorder="1" applyAlignment="1" applyProtection="1">
      <alignment horizontal="center" vertical="center" wrapText="1"/>
      <protection hidden="1"/>
    </xf>
    <xf numFmtId="0" fontId="60" fillId="55" borderId="0" xfId="0" applyFont="1" applyFill="1" applyAlignment="1" applyProtection="1">
      <alignment horizontal="center" vertical="center" wrapText="1"/>
      <protection locked="0"/>
    </xf>
    <xf numFmtId="0" fontId="60" fillId="55" borderId="37" xfId="0" applyFont="1" applyFill="1" applyBorder="1" applyAlignment="1" applyProtection="1">
      <alignment horizontal="center" vertical="center" wrapText="1"/>
      <protection locked="0" hidden="1"/>
    </xf>
    <xf numFmtId="0" fontId="60" fillId="55" borderId="37" xfId="0" applyNumberFormat="1" applyFont="1" applyFill="1" applyBorder="1" applyAlignment="1" applyProtection="1">
      <alignment horizontal="center" vertical="center" wrapText="1"/>
      <protection locked="0"/>
    </xf>
    <xf numFmtId="0" fontId="60" fillId="55" borderId="92" xfId="0" applyNumberFormat="1" applyFont="1" applyFill="1" applyBorder="1" applyAlignment="1" applyProtection="1">
      <alignment horizontal="center" vertical="center" wrapText="1"/>
      <protection locked="0"/>
    </xf>
    <xf numFmtId="1" fontId="60" fillId="55" borderId="37" xfId="0" applyNumberFormat="1" applyFont="1" applyFill="1" applyBorder="1" applyAlignment="1" applyProtection="1">
      <alignment horizontal="center" vertical="center" wrapText="1"/>
      <protection hidden="1"/>
    </xf>
    <xf numFmtId="0" fontId="49" fillId="56" borderId="92" xfId="0" applyFont="1" applyFill="1" applyBorder="1" applyAlignment="1" applyProtection="1">
      <alignment horizontal="center" vertical="center"/>
      <protection hidden="1"/>
    </xf>
    <xf numFmtId="2" fontId="60" fillId="55" borderId="37" xfId="405" applyNumberFormat="1" applyFont="1" applyFill="1" applyBorder="1" applyAlignment="1" applyProtection="1">
      <alignment horizontal="center" vertical="center" wrapText="1"/>
      <protection hidden="1"/>
    </xf>
    <xf numFmtId="9" fontId="60" fillId="55" borderId="92" xfId="0" applyNumberFormat="1" applyFont="1" applyFill="1" applyBorder="1" applyAlignment="1" applyProtection="1">
      <alignment horizontal="center" vertical="center" wrapText="1"/>
      <protection hidden="1"/>
    </xf>
    <xf numFmtId="9" fontId="60" fillId="55" borderId="37" xfId="0" applyNumberFormat="1" applyFont="1" applyFill="1" applyBorder="1" applyAlignment="1" applyProtection="1">
      <alignment horizontal="center" vertical="center" wrapText="1"/>
      <protection hidden="1"/>
    </xf>
    <xf numFmtId="0" fontId="46" fillId="57" borderId="21" xfId="0" applyFont="1" applyFill="1" applyBorder="1" applyAlignment="1" applyProtection="1">
      <alignment horizontal="center" vertical="center" wrapText="1"/>
      <protection hidden="1"/>
    </xf>
    <xf numFmtId="0" fontId="49" fillId="56" borderId="37" xfId="0" applyFont="1" applyFill="1" applyBorder="1" applyAlignment="1" applyProtection="1">
      <alignment horizontal="center" vertical="center" wrapText="1"/>
      <protection hidden="1"/>
    </xf>
    <xf numFmtId="0" fontId="78" fillId="64" borderId="95" xfId="0" applyFont="1" applyFill="1" applyBorder="1" applyAlignment="1">
      <alignment vertical="center" wrapText="1"/>
    </xf>
    <xf numFmtId="0" fontId="76" fillId="64" borderId="97" xfId="0" applyFont="1" applyFill="1" applyBorder="1" applyAlignment="1">
      <alignment horizontal="left" vertical="center" wrapText="1" indent="1"/>
    </xf>
    <xf numFmtId="0" fontId="75" fillId="0" borderId="102" xfId="0" applyFont="1" applyBorder="1" applyAlignment="1">
      <alignment vertical="center" wrapText="1"/>
    </xf>
    <xf numFmtId="0" fontId="75" fillId="0" borderId="97" xfId="0" applyFont="1" applyBorder="1" applyAlignment="1">
      <alignment vertical="center" wrapText="1"/>
    </xf>
    <xf numFmtId="0" fontId="79" fillId="0" borderId="97" xfId="0" applyFont="1" applyBorder="1" applyAlignment="1">
      <alignment vertical="center" wrapText="1"/>
    </xf>
    <xf numFmtId="0" fontId="84" fillId="0" borderId="97" xfId="0" applyFont="1" applyBorder="1" applyAlignment="1">
      <alignment vertical="center" wrapText="1"/>
    </xf>
    <xf numFmtId="0" fontId="82" fillId="83" borderId="102" xfId="0" applyFont="1" applyFill="1" applyBorder="1" applyAlignment="1">
      <alignment vertical="center" wrapText="1"/>
    </xf>
    <xf numFmtId="0" fontId="88" fillId="83" borderId="97" xfId="0" applyFont="1" applyFill="1" applyBorder="1" applyAlignment="1">
      <alignment horizontal="left" vertical="center" wrapText="1" indent="1"/>
    </xf>
    <xf numFmtId="0" fontId="79" fillId="0" borderId="98" xfId="0" applyFont="1" applyBorder="1" applyAlignment="1">
      <alignment vertical="center" wrapText="1"/>
    </xf>
    <xf numFmtId="0" fontId="75" fillId="0" borderId="105" xfId="0" applyFont="1" applyBorder="1" applyAlignment="1">
      <alignment vertical="center" wrapText="1"/>
    </xf>
    <xf numFmtId="0" fontId="79" fillId="0" borderId="95" xfId="0" applyFont="1" applyBorder="1" applyAlignment="1">
      <alignment vertical="center" wrapText="1"/>
    </xf>
    <xf numFmtId="0" fontId="75" fillId="0" borderId="99" xfId="0" applyFont="1" applyBorder="1" applyAlignment="1">
      <alignment vertical="center" wrapText="1"/>
    </xf>
    <xf numFmtId="0" fontId="79" fillId="0" borderId="105" xfId="0" applyFont="1" applyBorder="1" applyAlignment="1">
      <alignment vertical="center" wrapText="1"/>
    </xf>
    <xf numFmtId="0" fontId="79" fillId="0" borderId="99" xfId="0" applyFont="1" applyBorder="1" applyAlignment="1">
      <alignment vertical="center" wrapText="1"/>
    </xf>
    <xf numFmtId="0" fontId="46" fillId="56" borderId="92" xfId="0" applyFont="1" applyFill="1" applyBorder="1" applyAlignment="1" applyProtection="1">
      <alignment horizontal="center" vertical="center" wrapText="1"/>
      <protection hidden="1"/>
    </xf>
    <xf numFmtId="0" fontId="49" fillId="56" borderId="93" xfId="0" applyFont="1" applyFill="1" applyBorder="1" applyAlignment="1" applyProtection="1">
      <alignment horizontal="center" vertical="center" wrapText="1"/>
      <protection hidden="1"/>
    </xf>
    <xf numFmtId="0" fontId="46" fillId="59" borderId="37" xfId="0" applyFont="1" applyFill="1" applyBorder="1" applyAlignment="1" applyProtection="1">
      <alignment horizontal="center" vertical="center" wrapText="1"/>
      <protection hidden="1"/>
    </xf>
    <xf numFmtId="0" fontId="46" fillId="59" borderId="92" xfId="0" applyFont="1" applyFill="1" applyBorder="1" applyAlignment="1" applyProtection="1">
      <alignment horizontal="center" vertical="center" wrapText="1"/>
      <protection hidden="1"/>
    </xf>
    <xf numFmtId="0" fontId="46" fillId="59" borderId="93" xfId="0" applyFont="1" applyFill="1" applyBorder="1" applyAlignment="1" applyProtection="1">
      <alignment horizontal="center" vertical="center" wrapText="1"/>
      <protection hidden="1"/>
    </xf>
    <xf numFmtId="0" fontId="49" fillId="56" borderId="27" xfId="0" applyFont="1" applyFill="1" applyBorder="1" applyAlignment="1" applyProtection="1">
      <alignment horizontal="center" vertical="center" wrapText="1"/>
      <protection hidden="1"/>
    </xf>
    <xf numFmtId="0" fontId="75" fillId="0" borderId="37" xfId="0" applyFont="1" applyBorder="1" applyAlignment="1">
      <alignment vertical="center" wrapText="1"/>
    </xf>
    <xf numFmtId="0" fontId="75" fillId="0" borderId="20" xfId="0" applyFont="1" applyBorder="1" applyAlignment="1">
      <alignment vertical="center" wrapText="1"/>
    </xf>
    <xf numFmtId="0" fontId="49" fillId="56" borderId="35" xfId="0" applyFont="1" applyFill="1" applyBorder="1" applyAlignment="1" applyProtection="1">
      <alignment horizontal="center" vertical="center"/>
      <protection hidden="1"/>
    </xf>
    <xf numFmtId="0" fontId="46" fillId="59" borderId="111" xfId="0" applyFont="1" applyFill="1" applyBorder="1" applyAlignment="1" applyProtection="1">
      <alignment horizontal="center" vertical="center" wrapText="1"/>
      <protection hidden="1"/>
    </xf>
    <xf numFmtId="0" fontId="79" fillId="0" borderId="102" xfId="0" applyFont="1" applyBorder="1" applyAlignment="1">
      <alignment vertical="center" wrapText="1"/>
    </xf>
    <xf numFmtId="0" fontId="49" fillId="56" borderId="93" xfId="0" applyFont="1" applyFill="1" applyBorder="1" applyAlignment="1" applyProtection="1">
      <alignment horizontal="center" vertical="center"/>
      <protection hidden="1"/>
    </xf>
    <xf numFmtId="0" fontId="79" fillId="0" borderId="0" xfId="0" applyFont="1" applyAlignment="1">
      <alignment horizontal="left"/>
    </xf>
    <xf numFmtId="0" fontId="78" fillId="0" borderId="0" xfId="0" applyFont="1" applyAlignment="1">
      <alignment horizontal="left" vertical="center"/>
    </xf>
    <xf numFmtId="0" fontId="75" fillId="0" borderId="101" xfId="0" applyFont="1" applyBorder="1" applyAlignment="1">
      <alignment horizontal="left" vertical="center"/>
    </xf>
    <xf numFmtId="0" fontId="80" fillId="0" borderId="101" xfId="0" applyFont="1" applyBorder="1" applyAlignment="1">
      <alignment horizontal="left" vertical="center"/>
    </xf>
    <xf numFmtId="0" fontId="77" fillId="0" borderId="99" xfId="0" applyFont="1" applyBorder="1" applyAlignment="1">
      <alignment horizontal="left" vertical="center"/>
    </xf>
    <xf numFmtId="0" fontId="78" fillId="0" borderId="101" xfId="0" applyFont="1" applyBorder="1" applyAlignment="1">
      <alignment horizontal="left" vertical="center"/>
    </xf>
    <xf numFmtId="0" fontId="80" fillId="0" borderId="106" xfId="0" applyFont="1" applyBorder="1" applyAlignment="1">
      <alignment horizontal="left" vertical="center"/>
    </xf>
    <xf numFmtId="0" fontId="77" fillId="0" borderId="96" xfId="0" applyFont="1" applyBorder="1" applyAlignment="1">
      <alignment horizontal="left" vertical="center"/>
    </xf>
    <xf numFmtId="0" fontId="81" fillId="0" borderId="106" xfId="0" applyFont="1" applyBorder="1" applyAlignment="1">
      <alignment horizontal="left" vertical="center"/>
    </xf>
    <xf numFmtId="0" fontId="83" fillId="0" borderId="101" xfId="0" applyFont="1" applyBorder="1" applyAlignment="1">
      <alignment horizontal="left" vertical="center"/>
    </xf>
    <xf numFmtId="0" fontId="81" fillId="0" borderId="101" xfId="0" applyFont="1" applyBorder="1" applyAlignment="1">
      <alignment horizontal="left" vertical="center"/>
    </xf>
    <xf numFmtId="0" fontId="85" fillId="0" borderId="101" xfId="0" applyFont="1" applyBorder="1" applyAlignment="1">
      <alignment horizontal="left" vertical="center"/>
    </xf>
    <xf numFmtId="0" fontId="77" fillId="0" borderId="105" xfId="0" applyFont="1" applyBorder="1" applyAlignment="1">
      <alignment horizontal="left" vertical="center"/>
    </xf>
    <xf numFmtId="0" fontId="78" fillId="0" borderId="106" xfId="0" applyFont="1" applyBorder="1" applyAlignment="1">
      <alignment horizontal="left" vertical="center"/>
    </xf>
    <xf numFmtId="0" fontId="86" fillId="0" borderId="101" xfId="0" applyFont="1" applyBorder="1" applyAlignment="1">
      <alignment horizontal="left" vertical="center"/>
    </xf>
    <xf numFmtId="0" fontId="77" fillId="0" borderId="101" xfId="0" applyFont="1" applyBorder="1" applyAlignment="1">
      <alignment horizontal="left" vertical="center"/>
    </xf>
    <xf numFmtId="0" fontId="82" fillId="0" borderId="101" xfId="0" applyFont="1" applyBorder="1" applyAlignment="1">
      <alignment horizontal="left" vertical="center"/>
    </xf>
    <xf numFmtId="0" fontId="77" fillId="0" borderId="94" xfId="0" applyFont="1" applyBorder="1" applyAlignment="1">
      <alignment horizontal="left" vertical="center"/>
    </xf>
    <xf numFmtId="0" fontId="77" fillId="0" borderId="106" xfId="0" applyFont="1" applyBorder="1" applyAlignment="1">
      <alignment horizontal="left" vertical="center"/>
    </xf>
    <xf numFmtId="0" fontId="60" fillId="0" borderId="0" xfId="0" applyFont="1" applyAlignment="1">
      <alignment horizontal="left" vertical="center"/>
    </xf>
    <xf numFmtId="0" fontId="87" fillId="0" borderId="96" xfId="0" applyFont="1" applyBorder="1" applyAlignment="1">
      <alignment horizontal="left" vertical="center"/>
    </xf>
    <xf numFmtId="0" fontId="88" fillId="83" borderId="102" xfId="0" applyFont="1" applyFill="1" applyBorder="1" applyAlignment="1">
      <alignment horizontal="center" vertical="center" wrapText="1"/>
    </xf>
    <xf numFmtId="0" fontId="78" fillId="0" borderId="20" xfId="0" applyFont="1" applyBorder="1" applyAlignment="1">
      <alignment vertical="center" wrapText="1"/>
    </xf>
    <xf numFmtId="0" fontId="87" fillId="0" borderId="103" xfId="0" applyFont="1" applyBorder="1" applyAlignment="1">
      <alignment horizontal="left" vertical="center"/>
    </xf>
    <xf numFmtId="0" fontId="87" fillId="0" borderId="20" xfId="0" applyFont="1" applyBorder="1" applyAlignment="1">
      <alignment vertical="center" wrapText="1"/>
    </xf>
    <xf numFmtId="0" fontId="87" fillId="0" borderId="106" xfId="0" applyFont="1" applyBorder="1" applyAlignment="1">
      <alignment horizontal="left" vertical="center"/>
    </xf>
    <xf numFmtId="0" fontId="78" fillId="84" borderId="20" xfId="0" applyFont="1" applyFill="1" applyBorder="1" applyAlignment="1">
      <alignment vertical="center" wrapText="1"/>
    </xf>
    <xf numFmtId="0" fontId="60" fillId="56" borderId="37" xfId="0" applyFont="1" applyFill="1" applyBorder="1" applyAlignment="1">
      <alignment horizontal="center" vertical="center" wrapText="1"/>
    </xf>
    <xf numFmtId="0" fontId="60" fillId="56" borderId="20" xfId="0" applyFont="1" applyFill="1" applyBorder="1" applyAlignment="1">
      <alignment horizontal="center" vertical="center" wrapText="1"/>
    </xf>
    <xf numFmtId="177" fontId="60" fillId="55" borderId="20" xfId="0" applyNumberFormat="1" applyFont="1" applyFill="1" applyBorder="1" applyAlignment="1" applyProtection="1">
      <alignment horizontal="center" vertical="center" wrapText="1"/>
      <protection locked="0"/>
    </xf>
    <xf numFmtId="0" fontId="17" fillId="0" borderId="0" xfId="0" applyFont="1" applyBorder="1" applyAlignment="1" applyProtection="1">
      <alignment horizontal="center" vertical="center"/>
      <protection hidden="1"/>
    </xf>
    <xf numFmtId="49" fontId="46" fillId="58" borderId="21" xfId="0" applyNumberFormat="1" applyFont="1" applyFill="1" applyBorder="1" applyAlignment="1" applyProtection="1">
      <alignment horizontal="center" vertical="center" wrapText="1"/>
      <protection hidden="1"/>
    </xf>
    <xf numFmtId="0" fontId="46" fillId="58" borderId="21" xfId="0" applyFont="1" applyFill="1" applyBorder="1" applyAlignment="1" applyProtection="1">
      <alignment horizontal="center" vertical="center" wrapText="1"/>
      <protection hidden="1"/>
    </xf>
    <xf numFmtId="0" fontId="17" fillId="0" borderId="63" xfId="0" applyFont="1" applyBorder="1" applyAlignment="1" applyProtection="1">
      <alignment horizontal="center" vertical="center"/>
      <protection hidden="1"/>
    </xf>
    <xf numFmtId="0" fontId="17" fillId="0" borderId="66" xfId="0" applyFont="1" applyBorder="1" applyAlignment="1" applyProtection="1">
      <alignment horizontal="center" vertical="center"/>
      <protection hidden="1"/>
    </xf>
    <xf numFmtId="0" fontId="17" fillId="0" borderId="68" xfId="0" applyFont="1" applyBorder="1" applyAlignment="1" applyProtection="1">
      <alignment horizontal="center" vertical="center"/>
      <protection hidden="1"/>
    </xf>
    <xf numFmtId="0" fontId="17" fillId="0" borderId="35" xfId="0" applyFont="1" applyBorder="1" applyAlignment="1" applyProtection="1">
      <alignment horizontal="center" vertical="center"/>
      <protection hidden="1"/>
    </xf>
    <xf numFmtId="0" fontId="17" fillId="0" borderId="27" xfId="0" applyFont="1" applyBorder="1" applyAlignment="1" applyProtection="1">
      <alignment horizontal="center" vertical="center"/>
      <protection hidden="1"/>
    </xf>
    <xf numFmtId="0" fontId="17" fillId="55" borderId="52" xfId="0" applyFont="1" applyFill="1" applyBorder="1" applyAlignment="1" applyProtection="1">
      <alignment horizontal="center" vertical="center"/>
      <protection hidden="1"/>
    </xf>
    <xf numFmtId="0" fontId="17" fillId="55" borderId="53" xfId="0" applyFont="1" applyFill="1" applyBorder="1" applyAlignment="1" applyProtection="1">
      <alignment horizontal="center" vertical="center"/>
      <protection hidden="1"/>
    </xf>
    <xf numFmtId="0" fontId="17" fillId="55" borderId="54" xfId="0" applyFont="1" applyFill="1" applyBorder="1" applyAlignment="1" applyProtection="1">
      <alignment horizontal="center" vertical="center"/>
      <protection hidden="1"/>
    </xf>
    <xf numFmtId="0" fontId="17" fillId="55" borderId="55" xfId="0" applyFont="1" applyFill="1" applyBorder="1" applyAlignment="1" applyProtection="1">
      <alignment horizontal="center" vertical="center"/>
      <protection hidden="1"/>
    </xf>
    <xf numFmtId="0" fontId="17" fillId="55" borderId="20" xfId="0" applyFont="1" applyFill="1" applyBorder="1" applyAlignment="1" applyProtection="1">
      <alignment horizontal="center" vertical="center"/>
      <protection hidden="1"/>
    </xf>
    <xf numFmtId="0" fontId="17" fillId="55" borderId="56" xfId="0" applyFont="1" applyFill="1" applyBorder="1" applyAlignment="1" applyProtection="1">
      <alignment horizontal="center" vertical="center"/>
      <protection hidden="1"/>
    </xf>
    <xf numFmtId="0" fontId="59" fillId="0" borderId="52" xfId="0" applyFont="1" applyBorder="1" applyAlignment="1" applyProtection="1">
      <alignment horizontal="center" vertical="center" wrapText="1"/>
      <protection hidden="1"/>
    </xf>
    <xf numFmtId="0" fontId="59" fillId="0" borderId="53" xfId="0" applyFont="1" applyBorder="1" applyAlignment="1" applyProtection="1">
      <alignment horizontal="center" vertical="center" wrapText="1"/>
      <protection hidden="1"/>
    </xf>
    <xf numFmtId="0" fontId="59" fillId="0" borderId="54" xfId="0" applyFont="1" applyBorder="1" applyAlignment="1" applyProtection="1">
      <alignment horizontal="center" vertical="center" wrapText="1"/>
      <protection hidden="1"/>
    </xf>
    <xf numFmtId="0" fontId="19" fillId="65" borderId="90" xfId="0" applyFont="1" applyFill="1" applyBorder="1" applyAlignment="1" applyProtection="1">
      <alignment horizontal="center"/>
      <protection hidden="1"/>
    </xf>
    <xf numFmtId="0" fontId="19" fillId="65" borderId="89" xfId="0" applyFont="1" applyFill="1" applyBorder="1" applyAlignment="1" applyProtection="1">
      <alignment horizontal="center"/>
      <protection hidden="1"/>
    </xf>
    <xf numFmtId="0" fontId="19" fillId="65" borderId="91" xfId="0" applyFont="1" applyFill="1" applyBorder="1" applyAlignment="1" applyProtection="1">
      <alignment horizontal="center"/>
      <protection hidden="1"/>
    </xf>
    <xf numFmtId="0" fontId="59" fillId="0" borderId="52" xfId="0" applyFont="1" applyBorder="1" applyAlignment="1" applyProtection="1">
      <alignment horizontal="center" vertical="center"/>
      <protection hidden="1"/>
    </xf>
    <xf numFmtId="0" fontId="59" fillId="0" borderId="53" xfId="0" applyFont="1" applyBorder="1" applyAlignment="1" applyProtection="1">
      <alignment horizontal="center" vertical="center"/>
      <protection hidden="1"/>
    </xf>
    <xf numFmtId="0" fontId="59" fillId="0" borderId="65" xfId="0" applyFont="1" applyBorder="1" applyAlignment="1" applyProtection="1">
      <alignment horizontal="center" vertical="center"/>
      <protection hidden="1"/>
    </xf>
    <xf numFmtId="0" fontId="19" fillId="65" borderId="49" xfId="0" applyFont="1" applyFill="1" applyBorder="1" applyAlignment="1" applyProtection="1">
      <alignment horizontal="center" vertical="center" wrapText="1"/>
      <protection hidden="1"/>
    </xf>
    <xf numFmtId="0" fontId="19" fillId="65" borderId="50" xfId="0" applyFont="1" applyFill="1" applyBorder="1" applyAlignment="1" applyProtection="1">
      <alignment horizontal="center" vertical="center" wrapText="1"/>
      <protection hidden="1"/>
    </xf>
    <xf numFmtId="0" fontId="19" fillId="65" borderId="89" xfId="0" applyFont="1" applyFill="1" applyBorder="1" applyAlignment="1" applyProtection="1">
      <alignment horizontal="center" vertical="center" wrapText="1"/>
      <protection hidden="1"/>
    </xf>
    <xf numFmtId="0" fontId="59" fillId="0" borderId="54" xfId="0" applyFont="1" applyBorder="1" applyAlignment="1" applyProtection="1">
      <alignment horizontal="center" vertical="center"/>
      <protection hidden="1"/>
    </xf>
    <xf numFmtId="0" fontId="59" fillId="0" borderId="90" xfId="0" applyFont="1" applyBorder="1" applyAlignment="1" applyProtection="1">
      <alignment horizontal="center" vertical="center" wrapText="1"/>
      <protection hidden="1"/>
    </xf>
    <xf numFmtId="0" fontId="59" fillId="0" borderId="89" xfId="0" applyFont="1" applyBorder="1" applyAlignment="1" applyProtection="1">
      <alignment horizontal="center" vertical="center" wrapText="1"/>
      <protection hidden="1"/>
    </xf>
    <xf numFmtId="0" fontId="59" fillId="0" borderId="50" xfId="0" applyFont="1" applyBorder="1" applyAlignment="1" applyProtection="1">
      <alignment horizontal="center" vertical="center" wrapText="1"/>
      <protection hidden="1"/>
    </xf>
    <xf numFmtId="0" fontId="59" fillId="0" borderId="111" xfId="0" applyFont="1" applyBorder="1" applyAlignment="1" applyProtection="1">
      <alignment horizontal="center" vertical="center"/>
      <protection hidden="1"/>
    </xf>
    <xf numFmtId="0" fontId="19" fillId="55" borderId="52" xfId="0" applyFont="1" applyFill="1" applyBorder="1" applyAlignment="1" applyProtection="1">
      <alignment horizontal="center" vertical="center" wrapText="1"/>
      <protection hidden="1"/>
    </xf>
    <xf numFmtId="0" fontId="19" fillId="55" borderId="53" xfId="0" applyFont="1" applyFill="1" applyBorder="1" applyAlignment="1" applyProtection="1">
      <alignment horizontal="center" vertical="center" wrapText="1"/>
      <protection hidden="1"/>
    </xf>
    <xf numFmtId="0" fontId="19" fillId="55" borderId="65" xfId="0" applyFont="1" applyFill="1" applyBorder="1" applyAlignment="1" applyProtection="1">
      <alignment horizontal="center" vertical="center" wrapText="1"/>
      <protection hidden="1"/>
    </xf>
    <xf numFmtId="0" fontId="19" fillId="55" borderId="108" xfId="0" applyFont="1" applyFill="1" applyBorder="1" applyAlignment="1" applyProtection="1">
      <alignment horizontal="center" vertical="center" wrapText="1"/>
      <protection hidden="1"/>
    </xf>
    <xf numFmtId="0" fontId="19" fillId="55" borderId="109" xfId="0" applyFont="1" applyFill="1" applyBorder="1" applyAlignment="1" applyProtection="1">
      <alignment horizontal="center" vertical="center" wrapText="1"/>
      <protection hidden="1"/>
    </xf>
    <xf numFmtId="0" fontId="19" fillId="55" borderId="110" xfId="0" applyFont="1" applyFill="1" applyBorder="1" applyAlignment="1" applyProtection="1">
      <alignment horizontal="center" vertical="center" wrapText="1"/>
      <protection hidden="1"/>
    </xf>
    <xf numFmtId="0" fontId="19" fillId="55" borderId="111" xfId="0" applyFont="1" applyFill="1" applyBorder="1" applyAlignment="1" applyProtection="1">
      <alignment horizontal="center" vertical="center" wrapText="1"/>
      <protection hidden="1"/>
    </xf>
    <xf numFmtId="0" fontId="17" fillId="59" borderId="50" xfId="0" applyFont="1" applyFill="1" applyBorder="1" applyAlignment="1" applyProtection="1">
      <alignment horizontal="center" vertical="center"/>
      <protection hidden="1"/>
    </xf>
    <xf numFmtId="0" fontId="17" fillId="56" borderId="51" xfId="0" applyFont="1" applyFill="1" applyBorder="1" applyAlignment="1" applyProtection="1">
      <alignment horizontal="center" vertical="center" wrapText="1"/>
      <protection hidden="1"/>
    </xf>
    <xf numFmtId="0" fontId="17" fillId="56" borderId="0" xfId="0" applyFont="1" applyFill="1" applyBorder="1" applyAlignment="1" applyProtection="1">
      <alignment horizontal="center" vertical="center" wrapText="1"/>
      <protection hidden="1"/>
    </xf>
    <xf numFmtId="0" fontId="19" fillId="55" borderId="89" xfId="0" applyFont="1" applyFill="1" applyBorder="1" applyAlignment="1" applyProtection="1">
      <alignment horizontal="center" vertical="center" wrapText="1"/>
      <protection hidden="1"/>
    </xf>
    <xf numFmtId="0" fontId="19" fillId="55" borderId="91" xfId="0" applyFont="1" applyFill="1" applyBorder="1" applyAlignment="1" applyProtection="1">
      <alignment horizontal="center" vertical="center" wrapText="1"/>
      <protection hidden="1"/>
    </xf>
    <xf numFmtId="0" fontId="59" fillId="0" borderId="108" xfId="0" applyFont="1" applyBorder="1" applyAlignment="1" applyProtection="1">
      <alignment horizontal="center" vertical="center"/>
      <protection hidden="1"/>
    </xf>
    <xf numFmtId="0" fontId="59" fillId="0" borderId="109" xfId="0" applyFont="1" applyBorder="1" applyAlignment="1" applyProtection="1">
      <alignment horizontal="center" vertical="center"/>
      <protection hidden="1"/>
    </xf>
    <xf numFmtId="0" fontId="76" fillId="64" borderId="96" xfId="0" applyFont="1" applyFill="1" applyBorder="1" applyAlignment="1">
      <alignment horizontal="center" vertical="center" wrapText="1"/>
    </xf>
    <xf numFmtId="0" fontId="76" fillId="64" borderId="0" xfId="0" applyFont="1" applyFill="1" applyBorder="1" applyAlignment="1">
      <alignment horizontal="center" vertical="center" wrapText="1"/>
    </xf>
    <xf numFmtId="0" fontId="76" fillId="64" borderId="97" xfId="0" applyFont="1" applyFill="1" applyBorder="1" applyAlignment="1">
      <alignment horizontal="center" vertical="center" wrapText="1"/>
    </xf>
    <xf numFmtId="0" fontId="76" fillId="64" borderId="103" xfId="0" applyFont="1" applyFill="1" applyBorder="1" applyAlignment="1">
      <alignment horizontal="center" vertical="center" wrapText="1"/>
    </xf>
    <xf numFmtId="0" fontId="76" fillId="64" borderId="104" xfId="0" applyFont="1" applyFill="1" applyBorder="1" applyAlignment="1">
      <alignment horizontal="center" vertical="center" wrapText="1"/>
    </xf>
    <xf numFmtId="0" fontId="76" fillId="64" borderId="98" xfId="0" applyFont="1" applyFill="1" applyBorder="1" applyAlignment="1">
      <alignment horizontal="center" vertical="center" wrapText="1"/>
    </xf>
    <xf numFmtId="0" fontId="78" fillId="64" borderId="106" xfId="0" applyFont="1" applyFill="1" applyBorder="1" applyAlignment="1">
      <alignment vertical="center" wrapText="1"/>
    </xf>
    <xf numFmtId="0" fontId="78" fillId="64" borderId="0" xfId="0" applyFont="1" applyFill="1" applyBorder="1" applyAlignment="1">
      <alignment vertical="center" wrapText="1"/>
    </xf>
    <xf numFmtId="0" fontId="78" fillId="64" borderId="102" xfId="0" applyFont="1" applyFill="1" applyBorder="1" applyAlignment="1">
      <alignment vertical="center" wrapText="1"/>
    </xf>
    <xf numFmtId="0" fontId="75" fillId="83" borderId="94" xfId="0" applyFont="1" applyFill="1" applyBorder="1" applyAlignment="1">
      <alignment vertical="center" wrapText="1"/>
    </xf>
    <xf numFmtId="0" fontId="75" fillId="83" borderId="95" xfId="0" applyFont="1" applyFill="1" applyBorder="1" applyAlignment="1">
      <alignment vertical="center" wrapText="1"/>
    </xf>
    <xf numFmtId="0" fontId="76" fillId="83" borderId="96" xfId="0" applyFont="1" applyFill="1" applyBorder="1" applyAlignment="1">
      <alignment horizontal="center" vertical="center" wrapText="1"/>
    </xf>
    <xf numFmtId="0" fontId="76" fillId="83" borderId="97" xfId="0" applyFont="1" applyFill="1" applyBorder="1" applyAlignment="1">
      <alignment horizontal="center" vertical="center" wrapText="1"/>
    </xf>
    <xf numFmtId="0" fontId="76" fillId="64" borderId="107" xfId="0" applyFont="1" applyFill="1" applyBorder="1" applyAlignment="1">
      <alignment horizontal="center" vertical="center" wrapText="1"/>
    </xf>
    <xf numFmtId="0" fontId="76" fillId="64" borderId="100" xfId="0" applyFont="1" applyFill="1" applyBorder="1" applyAlignment="1">
      <alignment horizontal="center" vertical="center" wrapText="1"/>
    </xf>
    <xf numFmtId="0" fontId="75" fillId="0" borderId="105" xfId="0" applyFont="1" applyBorder="1" applyAlignment="1">
      <alignment vertical="center" wrapText="1"/>
    </xf>
    <xf numFmtId="0" fontId="75" fillId="0" borderId="99" xfId="0" applyFont="1" applyBorder="1" applyAlignment="1">
      <alignment vertical="center" wrapText="1"/>
    </xf>
    <xf numFmtId="0" fontId="79" fillId="0" borderId="105" xfId="0" applyFont="1" applyBorder="1" applyAlignment="1">
      <alignment vertical="center" wrapText="1"/>
    </xf>
    <xf numFmtId="0" fontId="79" fillId="0" borderId="99" xfId="0" applyFont="1" applyBorder="1" applyAlignment="1">
      <alignment vertical="center" wrapText="1"/>
    </xf>
    <xf numFmtId="0" fontId="79" fillId="0" borderId="101" xfId="0" applyFont="1" applyBorder="1" applyAlignment="1">
      <alignment vertical="center" wrapText="1"/>
    </xf>
    <xf numFmtId="0" fontId="77" fillId="0" borderId="105" xfId="0" applyFont="1" applyBorder="1" applyAlignment="1">
      <alignment horizontal="left" vertical="center"/>
    </xf>
    <xf numFmtId="0" fontId="77" fillId="0" borderId="99" xfId="0" applyFont="1" applyBorder="1" applyAlignment="1">
      <alignment horizontal="left" vertical="center"/>
    </xf>
    <xf numFmtId="0" fontId="88" fillId="83" borderId="105" xfId="0" applyFont="1" applyFill="1" applyBorder="1" applyAlignment="1">
      <alignment horizontal="left" vertical="center"/>
    </xf>
    <xf numFmtId="0" fontId="88" fillId="83" borderId="99" xfId="0" applyFont="1" applyFill="1" applyBorder="1" applyAlignment="1">
      <alignment horizontal="left" vertical="center"/>
    </xf>
    <xf numFmtId="0" fontId="87" fillId="0" borderId="94" xfId="0" applyFont="1" applyBorder="1" applyAlignment="1">
      <alignment vertical="center" wrapText="1"/>
    </xf>
    <xf numFmtId="0" fontId="87" fillId="0" borderId="107" xfId="0" applyFont="1" applyBorder="1" applyAlignment="1">
      <alignment vertical="center" wrapText="1"/>
    </xf>
    <xf numFmtId="0" fontId="78" fillId="0" borderId="96" xfId="0" applyFont="1" applyBorder="1" applyAlignment="1">
      <alignment vertical="center" wrapText="1"/>
    </xf>
    <xf numFmtId="0" fontId="78" fillId="0" borderId="100" xfId="0" applyFont="1" applyBorder="1" applyAlignment="1">
      <alignment vertical="center" wrapText="1"/>
    </xf>
    <xf numFmtId="0" fontId="19" fillId="55" borderId="51" xfId="0" applyFont="1" applyFill="1" applyBorder="1" applyAlignment="1" applyProtection="1">
      <alignment horizontal="left" vertical="center" wrapText="1"/>
      <protection hidden="1"/>
    </xf>
    <xf numFmtId="0" fontId="19" fillId="55" borderId="62" xfId="0" applyFont="1" applyFill="1" applyBorder="1" applyAlignment="1" applyProtection="1">
      <alignment horizontal="left" vertical="center" wrapText="1"/>
      <protection hidden="1"/>
    </xf>
    <xf numFmtId="0" fontId="46" fillId="56" borderId="51" xfId="0" applyFont="1" applyFill="1" applyBorder="1" applyAlignment="1" applyProtection="1">
      <alignment horizontal="left" vertical="center" wrapText="1"/>
      <protection hidden="1"/>
    </xf>
    <xf numFmtId="0" fontId="46" fillId="56" borderId="0" xfId="0" applyFont="1" applyFill="1" applyBorder="1" applyAlignment="1" applyProtection="1">
      <alignment horizontal="left" vertical="center" wrapText="1"/>
      <protection hidden="1"/>
    </xf>
    <xf numFmtId="0" fontId="46" fillId="56" borderId="36" xfId="0" applyFont="1" applyFill="1" applyBorder="1" applyAlignment="1" applyProtection="1">
      <alignment horizontal="left" vertical="center" wrapText="1"/>
      <protection hidden="1"/>
    </xf>
  </cellXfs>
  <cellStyles count="407">
    <cellStyle name="20% - Énfasis1 2" xfId="2" xr:uid="{00000000-0005-0000-0000-000000000000}"/>
    <cellStyle name="20% - Énfasis1 3" xfId="3" xr:uid="{00000000-0005-0000-0000-000001000000}"/>
    <cellStyle name="20% - Énfasis2 2" xfId="4" xr:uid="{00000000-0005-0000-0000-000002000000}"/>
    <cellStyle name="20% - Énfasis2 3" xfId="5" xr:uid="{00000000-0005-0000-0000-000003000000}"/>
    <cellStyle name="20% - Énfasis3 2" xfId="6" xr:uid="{00000000-0005-0000-0000-000004000000}"/>
    <cellStyle name="20% - Énfasis3 3" xfId="7" xr:uid="{00000000-0005-0000-0000-000005000000}"/>
    <cellStyle name="20% - Énfasis4 2" xfId="8" xr:uid="{00000000-0005-0000-0000-000006000000}"/>
    <cellStyle name="20% - Énfasis4 3" xfId="9" xr:uid="{00000000-0005-0000-0000-000007000000}"/>
    <cellStyle name="20% - Énfasis5 2" xfId="10" xr:uid="{00000000-0005-0000-0000-000008000000}"/>
    <cellStyle name="20% - Énfasis5 3" xfId="11" xr:uid="{00000000-0005-0000-0000-000009000000}"/>
    <cellStyle name="20% - Énfasis6 2" xfId="12" xr:uid="{00000000-0005-0000-0000-00000A000000}"/>
    <cellStyle name="20% - Énfasis6 3" xfId="13" xr:uid="{00000000-0005-0000-0000-00000B000000}"/>
    <cellStyle name="40% - Énfasis1 2" xfId="14" xr:uid="{00000000-0005-0000-0000-00000C000000}"/>
    <cellStyle name="40% - Énfasis1 3" xfId="15" xr:uid="{00000000-0005-0000-0000-00000D000000}"/>
    <cellStyle name="40% - Énfasis2 2" xfId="16" xr:uid="{00000000-0005-0000-0000-00000E000000}"/>
    <cellStyle name="40% - Énfasis2 3" xfId="17" xr:uid="{00000000-0005-0000-0000-00000F000000}"/>
    <cellStyle name="40% - Énfasis3 2" xfId="18" xr:uid="{00000000-0005-0000-0000-000010000000}"/>
    <cellStyle name="40% - Énfasis3 3" xfId="19" xr:uid="{00000000-0005-0000-0000-000011000000}"/>
    <cellStyle name="40% - Énfasis4 2" xfId="20" xr:uid="{00000000-0005-0000-0000-000012000000}"/>
    <cellStyle name="40% - Énfasis4 3" xfId="21" xr:uid="{00000000-0005-0000-0000-000013000000}"/>
    <cellStyle name="40% - Énfasis5 2" xfId="22" xr:uid="{00000000-0005-0000-0000-000014000000}"/>
    <cellStyle name="40% - Énfasis5 3" xfId="23" xr:uid="{00000000-0005-0000-0000-000015000000}"/>
    <cellStyle name="40% - Énfasis6 2" xfId="24" xr:uid="{00000000-0005-0000-0000-000016000000}"/>
    <cellStyle name="40% - Énfasis6 3" xfId="25" xr:uid="{00000000-0005-0000-0000-000017000000}"/>
    <cellStyle name="60% - Énfasis1 2" xfId="26" xr:uid="{00000000-0005-0000-0000-000018000000}"/>
    <cellStyle name="60% - Énfasis1 3" xfId="27" xr:uid="{00000000-0005-0000-0000-000019000000}"/>
    <cellStyle name="60% - Énfasis2 2" xfId="28" xr:uid="{00000000-0005-0000-0000-00001A000000}"/>
    <cellStyle name="60% - Énfasis2 3" xfId="29" xr:uid="{00000000-0005-0000-0000-00001B000000}"/>
    <cellStyle name="60% - Énfasis3 2" xfId="30" xr:uid="{00000000-0005-0000-0000-00001C000000}"/>
    <cellStyle name="60% - Énfasis3 3" xfId="31" xr:uid="{00000000-0005-0000-0000-00001D000000}"/>
    <cellStyle name="60% - Énfasis4 2" xfId="32" xr:uid="{00000000-0005-0000-0000-00001E000000}"/>
    <cellStyle name="60% - Énfasis4 3" xfId="33" xr:uid="{00000000-0005-0000-0000-00001F000000}"/>
    <cellStyle name="60% - Énfasis5 2" xfId="34" xr:uid="{00000000-0005-0000-0000-000020000000}"/>
    <cellStyle name="60% - Énfasis5 3" xfId="35" xr:uid="{00000000-0005-0000-0000-000021000000}"/>
    <cellStyle name="60% - Énfasis6 2" xfId="36" xr:uid="{00000000-0005-0000-0000-000022000000}"/>
    <cellStyle name="60% - Énfasis6 3" xfId="37" xr:uid="{00000000-0005-0000-0000-000023000000}"/>
    <cellStyle name="Buena 2" xfId="38" xr:uid="{00000000-0005-0000-0000-000024000000}"/>
    <cellStyle name="Buena 3" xfId="39" xr:uid="{00000000-0005-0000-0000-000025000000}"/>
    <cellStyle name="Cálculo 2" xfId="40" xr:uid="{00000000-0005-0000-0000-000026000000}"/>
    <cellStyle name="Cálculo 2 2" xfId="369" xr:uid="{00000000-0005-0000-0000-000027000000}"/>
    <cellStyle name="Cálculo 2 3" xfId="383" xr:uid="{00000000-0005-0000-0000-000028000000}"/>
    <cellStyle name="Cálculo 3" xfId="41" xr:uid="{00000000-0005-0000-0000-000029000000}"/>
    <cellStyle name="Celda de comprobación 2" xfId="42" xr:uid="{00000000-0005-0000-0000-00002A000000}"/>
    <cellStyle name="Celda de comprobación 3" xfId="43" xr:uid="{00000000-0005-0000-0000-00002B000000}"/>
    <cellStyle name="Celda vinculada 2" xfId="44" xr:uid="{00000000-0005-0000-0000-00002C000000}"/>
    <cellStyle name="Celda vinculada 3" xfId="45" xr:uid="{00000000-0005-0000-0000-00002D000000}"/>
    <cellStyle name="Encabezado 4 2" xfId="46" xr:uid="{00000000-0005-0000-0000-00002E000000}"/>
    <cellStyle name="Encabezado 4 3" xfId="47" xr:uid="{00000000-0005-0000-0000-00002F000000}"/>
    <cellStyle name="Énfasis1 2" xfId="48" xr:uid="{00000000-0005-0000-0000-000030000000}"/>
    <cellStyle name="Énfasis1 2 2" xfId="49" xr:uid="{00000000-0005-0000-0000-000031000000}"/>
    <cellStyle name="Énfasis1 3" xfId="50" xr:uid="{00000000-0005-0000-0000-000032000000}"/>
    <cellStyle name="Énfasis1 3 2" xfId="51" xr:uid="{00000000-0005-0000-0000-000033000000}"/>
    <cellStyle name="Énfasis1 3 2 2" xfId="52" xr:uid="{00000000-0005-0000-0000-000034000000}"/>
    <cellStyle name="Énfasis1 3 3" xfId="53" xr:uid="{00000000-0005-0000-0000-000035000000}"/>
    <cellStyle name="Énfasis2 2" xfId="54" xr:uid="{00000000-0005-0000-0000-000036000000}"/>
    <cellStyle name="Énfasis2 3" xfId="55" xr:uid="{00000000-0005-0000-0000-000037000000}"/>
    <cellStyle name="Énfasis3 2" xfId="56" xr:uid="{00000000-0005-0000-0000-000038000000}"/>
    <cellStyle name="Énfasis3 3" xfId="57" xr:uid="{00000000-0005-0000-0000-000039000000}"/>
    <cellStyle name="Énfasis4 2" xfId="58" xr:uid="{00000000-0005-0000-0000-00003A000000}"/>
    <cellStyle name="Énfasis4 3" xfId="59" xr:uid="{00000000-0005-0000-0000-00003B000000}"/>
    <cellStyle name="Énfasis5 2" xfId="60" xr:uid="{00000000-0005-0000-0000-00003C000000}"/>
    <cellStyle name="Énfasis5 3" xfId="61" xr:uid="{00000000-0005-0000-0000-00003D000000}"/>
    <cellStyle name="Énfasis6 2" xfId="62" xr:uid="{00000000-0005-0000-0000-00003E000000}"/>
    <cellStyle name="Énfasis6 3" xfId="63" xr:uid="{00000000-0005-0000-0000-00003F000000}"/>
    <cellStyle name="Entrada 2" xfId="64" xr:uid="{00000000-0005-0000-0000-000040000000}"/>
    <cellStyle name="Entrada 2 2" xfId="370" xr:uid="{00000000-0005-0000-0000-000041000000}"/>
    <cellStyle name="Entrada 2 3" xfId="384" xr:uid="{00000000-0005-0000-0000-000042000000}"/>
    <cellStyle name="Entrada 3" xfId="65" xr:uid="{00000000-0005-0000-0000-000043000000}"/>
    <cellStyle name="Euro" xfId="66" xr:uid="{00000000-0005-0000-0000-000044000000}"/>
    <cellStyle name="Euro 10" xfId="67" xr:uid="{00000000-0005-0000-0000-000045000000}"/>
    <cellStyle name="Euro 10 2" xfId="68" xr:uid="{00000000-0005-0000-0000-000046000000}"/>
    <cellStyle name="Euro 11" xfId="69" xr:uid="{00000000-0005-0000-0000-000047000000}"/>
    <cellStyle name="Euro 11 2" xfId="70" xr:uid="{00000000-0005-0000-0000-000048000000}"/>
    <cellStyle name="Euro 12" xfId="71" xr:uid="{00000000-0005-0000-0000-000049000000}"/>
    <cellStyle name="Euro 12 2" xfId="72" xr:uid="{00000000-0005-0000-0000-00004A000000}"/>
    <cellStyle name="Euro 13" xfId="73" xr:uid="{00000000-0005-0000-0000-00004B000000}"/>
    <cellStyle name="Euro 13 2" xfId="74" xr:uid="{00000000-0005-0000-0000-00004C000000}"/>
    <cellStyle name="Euro 14" xfId="75" xr:uid="{00000000-0005-0000-0000-00004D000000}"/>
    <cellStyle name="Euro 14 2" xfId="76" xr:uid="{00000000-0005-0000-0000-00004E000000}"/>
    <cellStyle name="Euro 15" xfId="77" xr:uid="{00000000-0005-0000-0000-00004F000000}"/>
    <cellStyle name="Euro 15 2" xfId="78" xr:uid="{00000000-0005-0000-0000-000050000000}"/>
    <cellStyle name="Euro 16" xfId="79" xr:uid="{00000000-0005-0000-0000-000051000000}"/>
    <cellStyle name="Euro 17" xfId="80" xr:uid="{00000000-0005-0000-0000-000052000000}"/>
    <cellStyle name="Euro 2" xfId="81" xr:uid="{00000000-0005-0000-0000-000053000000}"/>
    <cellStyle name="Euro 2 2" xfId="82" xr:uid="{00000000-0005-0000-0000-000054000000}"/>
    <cellStyle name="Euro 3" xfId="83" xr:uid="{00000000-0005-0000-0000-000055000000}"/>
    <cellStyle name="Euro 3 2" xfId="84" xr:uid="{00000000-0005-0000-0000-000056000000}"/>
    <cellStyle name="Euro 4" xfId="85" xr:uid="{00000000-0005-0000-0000-000057000000}"/>
    <cellStyle name="Euro 4 2" xfId="86" xr:uid="{00000000-0005-0000-0000-000058000000}"/>
    <cellStyle name="Euro 5" xfId="87" xr:uid="{00000000-0005-0000-0000-000059000000}"/>
    <cellStyle name="Euro 5 2" xfId="88" xr:uid="{00000000-0005-0000-0000-00005A000000}"/>
    <cellStyle name="Euro 6" xfId="89" xr:uid="{00000000-0005-0000-0000-00005B000000}"/>
    <cellStyle name="Euro 6 2" xfId="90" xr:uid="{00000000-0005-0000-0000-00005C000000}"/>
    <cellStyle name="Euro 7" xfId="91" xr:uid="{00000000-0005-0000-0000-00005D000000}"/>
    <cellStyle name="Euro 7 2" xfId="92" xr:uid="{00000000-0005-0000-0000-00005E000000}"/>
    <cellStyle name="Euro 8" xfId="93" xr:uid="{00000000-0005-0000-0000-00005F000000}"/>
    <cellStyle name="Euro 8 2" xfId="94" xr:uid="{00000000-0005-0000-0000-000060000000}"/>
    <cellStyle name="Euro 9" xfId="95" xr:uid="{00000000-0005-0000-0000-000061000000}"/>
    <cellStyle name="Euro 9 2" xfId="96" xr:uid="{00000000-0005-0000-0000-000062000000}"/>
    <cellStyle name="Euro_010910HS" xfId="97" xr:uid="{00000000-0005-0000-0000-000063000000}"/>
    <cellStyle name="Hipervínculo" xfId="377" builtinId="8" hidden="1"/>
    <cellStyle name="Hipervínculo" xfId="379" builtinId="8" hidden="1"/>
    <cellStyle name="Hipervínculo" xfId="365" builtinId="8" hidden="1"/>
    <cellStyle name="Hipervínculo" xfId="375" builtinId="8" hidden="1"/>
    <cellStyle name="Hipervínculo" xfId="363" builtinId="8" hidden="1"/>
    <cellStyle name="Hipervínculo" xfId="361" builtinId="8" hidden="1"/>
    <cellStyle name="Hipervínculo 2" xfId="98" xr:uid="{00000000-0005-0000-0000-00006A000000}"/>
    <cellStyle name="Hipervínculo 2 2" xfId="99" xr:uid="{00000000-0005-0000-0000-00006B000000}"/>
    <cellStyle name="Hipervínculo 3" xfId="100" xr:uid="{00000000-0005-0000-0000-00006C000000}"/>
    <cellStyle name="Hipervínculo 4" xfId="391" xr:uid="{00000000-0005-0000-0000-00006D000000}"/>
    <cellStyle name="Hipervínculo 5" xfId="393" xr:uid="{00000000-0005-0000-0000-00006E000000}"/>
    <cellStyle name="Hipervínculo 6" xfId="395" xr:uid="{00000000-0005-0000-0000-00006F000000}"/>
    <cellStyle name="Hipervínculo visitado" xfId="399" builtinId="9" hidden="1"/>
    <cellStyle name="Hipervínculo visitado" xfId="400" builtinId="9" hidden="1"/>
    <cellStyle name="Hipervínculo visitado" xfId="401" builtinId="9" hidden="1"/>
    <cellStyle name="Hipervínculo visitado" xfId="387" builtinId="9" hidden="1"/>
    <cellStyle name="Hipervínculo visitado" xfId="388" builtinId="9" hidden="1"/>
    <cellStyle name="Hipervínculo visitado" xfId="397" builtinId="9" hidden="1"/>
    <cellStyle name="Hipervínculo visitado" xfId="398" builtinId="9" hidden="1"/>
    <cellStyle name="Hipervínculo visitado" xfId="403" builtinId="9" hidden="1"/>
    <cellStyle name="Hipervínculo visitado" xfId="402" builtinId="9" hidden="1"/>
    <cellStyle name="Hipervínculo visitado" xfId="378" builtinId="9" hidden="1"/>
    <cellStyle name="Hipervínculo visitado" xfId="380" builtinId="9" hidden="1"/>
    <cellStyle name="Hipervínculo visitado" xfId="392" builtinId="9" hidden="1"/>
    <cellStyle name="Hipervínculo visitado" xfId="394" builtinId="9" hidden="1"/>
    <cellStyle name="Hipervínculo visitado" xfId="396" builtinId="9" hidden="1"/>
    <cellStyle name="Hipervínculo visitado" xfId="366" builtinId="9" hidden="1"/>
    <cellStyle name="Hipervínculo visitado" xfId="376" builtinId="9" hidden="1"/>
    <cellStyle name="Hipervínculo visitado" xfId="364" builtinId="9" hidden="1"/>
    <cellStyle name="Hipervínculo visitado" xfId="362" builtinId="9" hidden="1"/>
    <cellStyle name="Incorrecto 2" xfId="101" xr:uid="{00000000-0005-0000-0000-000082000000}"/>
    <cellStyle name="Incorrecto 3" xfId="102" xr:uid="{00000000-0005-0000-0000-000083000000}"/>
    <cellStyle name="Millares [0] 2" xfId="103" xr:uid="{00000000-0005-0000-0000-000084000000}"/>
    <cellStyle name="Millares 10" xfId="104" xr:uid="{00000000-0005-0000-0000-000085000000}"/>
    <cellStyle name="Millares 11" xfId="105" xr:uid="{00000000-0005-0000-0000-000086000000}"/>
    <cellStyle name="Millares 12" xfId="106" xr:uid="{00000000-0005-0000-0000-000087000000}"/>
    <cellStyle name="Millares 13" xfId="107" xr:uid="{00000000-0005-0000-0000-000088000000}"/>
    <cellStyle name="Millares 14" xfId="108" xr:uid="{00000000-0005-0000-0000-000089000000}"/>
    <cellStyle name="Millares 15" xfId="109" xr:uid="{00000000-0005-0000-0000-00008A000000}"/>
    <cellStyle name="Millares 16" xfId="110" xr:uid="{00000000-0005-0000-0000-00008B000000}"/>
    <cellStyle name="Millares 17" xfId="111" xr:uid="{00000000-0005-0000-0000-00008C000000}"/>
    <cellStyle name="Millares 18" xfId="112" xr:uid="{00000000-0005-0000-0000-00008D000000}"/>
    <cellStyle name="Millares 19" xfId="113" xr:uid="{00000000-0005-0000-0000-00008E000000}"/>
    <cellStyle name="Millares 2" xfId="114" xr:uid="{00000000-0005-0000-0000-00008F000000}"/>
    <cellStyle name="Millares 2 2" xfId="115" xr:uid="{00000000-0005-0000-0000-000090000000}"/>
    <cellStyle name="Millares 2 2 2" xfId="116" xr:uid="{00000000-0005-0000-0000-000091000000}"/>
    <cellStyle name="Millares 2 3" xfId="117" xr:uid="{00000000-0005-0000-0000-000092000000}"/>
    <cellStyle name="Millares 2 3 2" xfId="118" xr:uid="{00000000-0005-0000-0000-000093000000}"/>
    <cellStyle name="Millares 2 4" xfId="119" xr:uid="{00000000-0005-0000-0000-000094000000}"/>
    <cellStyle name="Millares 2 4 2" xfId="120" xr:uid="{00000000-0005-0000-0000-000095000000}"/>
    <cellStyle name="Millares 2 5" xfId="121" xr:uid="{00000000-0005-0000-0000-000096000000}"/>
    <cellStyle name="Millares 2 5 2" xfId="122" xr:uid="{00000000-0005-0000-0000-000097000000}"/>
    <cellStyle name="Millares 2 6" xfId="123" xr:uid="{00000000-0005-0000-0000-000098000000}"/>
    <cellStyle name="Millares 2 7" xfId="124" xr:uid="{00000000-0005-0000-0000-000099000000}"/>
    <cellStyle name="Millares 2 8" xfId="125" xr:uid="{00000000-0005-0000-0000-00009A000000}"/>
    <cellStyle name="Millares 2 9" xfId="126" xr:uid="{00000000-0005-0000-0000-00009B000000}"/>
    <cellStyle name="Millares 20" xfId="127" xr:uid="{00000000-0005-0000-0000-00009C000000}"/>
    <cellStyle name="Millares 21" xfId="128" xr:uid="{00000000-0005-0000-0000-00009D000000}"/>
    <cellStyle name="Millares 22" xfId="129" xr:uid="{00000000-0005-0000-0000-00009E000000}"/>
    <cellStyle name="Millares 23" xfId="130" xr:uid="{00000000-0005-0000-0000-00009F000000}"/>
    <cellStyle name="Millares 24" xfId="131" xr:uid="{00000000-0005-0000-0000-0000A0000000}"/>
    <cellStyle name="Millares 25" xfId="132" xr:uid="{00000000-0005-0000-0000-0000A1000000}"/>
    <cellStyle name="Millares 26" xfId="133" xr:uid="{00000000-0005-0000-0000-0000A2000000}"/>
    <cellStyle name="Millares 27" xfId="134" xr:uid="{00000000-0005-0000-0000-0000A3000000}"/>
    <cellStyle name="Millares 28" xfId="135" xr:uid="{00000000-0005-0000-0000-0000A4000000}"/>
    <cellStyle name="Millares 29" xfId="136" xr:uid="{00000000-0005-0000-0000-0000A5000000}"/>
    <cellStyle name="Millares 3" xfId="137" xr:uid="{00000000-0005-0000-0000-0000A6000000}"/>
    <cellStyle name="Millares 3 2" xfId="138" xr:uid="{00000000-0005-0000-0000-0000A7000000}"/>
    <cellStyle name="Millares 3 3" xfId="139" xr:uid="{00000000-0005-0000-0000-0000A8000000}"/>
    <cellStyle name="Millares 3 4" xfId="140" xr:uid="{00000000-0005-0000-0000-0000A9000000}"/>
    <cellStyle name="Millares 30" xfId="141" xr:uid="{00000000-0005-0000-0000-0000AA000000}"/>
    <cellStyle name="Millares 31" xfId="142" xr:uid="{00000000-0005-0000-0000-0000AB000000}"/>
    <cellStyle name="Millares 32" xfId="143" xr:uid="{00000000-0005-0000-0000-0000AC000000}"/>
    <cellStyle name="Millares 33" xfId="144" xr:uid="{00000000-0005-0000-0000-0000AD000000}"/>
    <cellStyle name="Millares 34" xfId="145" xr:uid="{00000000-0005-0000-0000-0000AE000000}"/>
    <cellStyle name="Millares 35" xfId="146" xr:uid="{00000000-0005-0000-0000-0000AF000000}"/>
    <cellStyle name="Millares 36" xfId="147" xr:uid="{00000000-0005-0000-0000-0000B0000000}"/>
    <cellStyle name="Millares 37" xfId="148" xr:uid="{00000000-0005-0000-0000-0000B1000000}"/>
    <cellStyle name="Millares 38" xfId="149" xr:uid="{00000000-0005-0000-0000-0000B2000000}"/>
    <cellStyle name="Millares 39" xfId="150" xr:uid="{00000000-0005-0000-0000-0000B3000000}"/>
    <cellStyle name="Millares 4" xfId="151" xr:uid="{00000000-0005-0000-0000-0000B4000000}"/>
    <cellStyle name="Millares 40" xfId="152" xr:uid="{00000000-0005-0000-0000-0000B5000000}"/>
    <cellStyle name="Millares 41" xfId="153" xr:uid="{00000000-0005-0000-0000-0000B6000000}"/>
    <cellStyle name="Millares 42" xfId="154" xr:uid="{00000000-0005-0000-0000-0000B7000000}"/>
    <cellStyle name="Millares 43" xfId="155" xr:uid="{00000000-0005-0000-0000-0000B8000000}"/>
    <cellStyle name="Millares 44" xfId="156" xr:uid="{00000000-0005-0000-0000-0000B9000000}"/>
    <cellStyle name="Millares 45" xfId="157" xr:uid="{00000000-0005-0000-0000-0000BA000000}"/>
    <cellStyle name="Millares 46" xfId="158" xr:uid="{00000000-0005-0000-0000-0000BB000000}"/>
    <cellStyle name="Millares 47" xfId="159" xr:uid="{00000000-0005-0000-0000-0000BC000000}"/>
    <cellStyle name="Millares 48" xfId="160" xr:uid="{00000000-0005-0000-0000-0000BD000000}"/>
    <cellStyle name="Millares 49" xfId="161" xr:uid="{00000000-0005-0000-0000-0000BE000000}"/>
    <cellStyle name="Millares 5" xfId="162" xr:uid="{00000000-0005-0000-0000-0000BF000000}"/>
    <cellStyle name="Millares 50" xfId="163" xr:uid="{00000000-0005-0000-0000-0000C0000000}"/>
    <cellStyle name="Millares 51" xfId="164" xr:uid="{00000000-0005-0000-0000-0000C1000000}"/>
    <cellStyle name="Millares 52" xfId="165" xr:uid="{00000000-0005-0000-0000-0000C2000000}"/>
    <cellStyle name="Millares 53" xfId="166" xr:uid="{00000000-0005-0000-0000-0000C3000000}"/>
    <cellStyle name="Millares 54" xfId="167" xr:uid="{00000000-0005-0000-0000-0000C4000000}"/>
    <cellStyle name="Millares 55" xfId="168" xr:uid="{00000000-0005-0000-0000-0000C5000000}"/>
    <cellStyle name="Millares 56" xfId="169" xr:uid="{00000000-0005-0000-0000-0000C6000000}"/>
    <cellStyle name="Millares 56 2" xfId="170" xr:uid="{00000000-0005-0000-0000-0000C7000000}"/>
    <cellStyle name="Millares 57" xfId="171" xr:uid="{00000000-0005-0000-0000-0000C8000000}"/>
    <cellStyle name="Millares 57 2" xfId="172" xr:uid="{00000000-0005-0000-0000-0000C9000000}"/>
    <cellStyle name="Millares 58" xfId="173" xr:uid="{00000000-0005-0000-0000-0000CA000000}"/>
    <cellStyle name="Millares 59" xfId="174" xr:uid="{00000000-0005-0000-0000-0000CB000000}"/>
    <cellStyle name="Millares 6" xfId="175" xr:uid="{00000000-0005-0000-0000-0000CC000000}"/>
    <cellStyle name="Millares 60" xfId="176" xr:uid="{00000000-0005-0000-0000-0000CD000000}"/>
    <cellStyle name="Millares 61" xfId="177" xr:uid="{00000000-0005-0000-0000-0000CE000000}"/>
    <cellStyle name="Millares 62" xfId="178" xr:uid="{00000000-0005-0000-0000-0000CF000000}"/>
    <cellStyle name="Millares 63" xfId="179" xr:uid="{00000000-0005-0000-0000-0000D0000000}"/>
    <cellStyle name="Millares 64" xfId="180" xr:uid="{00000000-0005-0000-0000-0000D1000000}"/>
    <cellStyle name="Millares 7" xfId="181" xr:uid="{00000000-0005-0000-0000-0000D2000000}"/>
    <cellStyle name="Millares 8" xfId="182" xr:uid="{00000000-0005-0000-0000-0000D3000000}"/>
    <cellStyle name="Millares 9" xfId="183" xr:uid="{00000000-0005-0000-0000-0000D4000000}"/>
    <cellStyle name="Moneda 10" xfId="184" xr:uid="{00000000-0005-0000-0000-0000D5000000}"/>
    <cellStyle name="Moneda 2" xfId="185" xr:uid="{00000000-0005-0000-0000-0000D6000000}"/>
    <cellStyle name="Moneda 2 2" xfId="186" xr:uid="{00000000-0005-0000-0000-0000D7000000}"/>
    <cellStyle name="Moneda 2 3" xfId="187" xr:uid="{00000000-0005-0000-0000-0000D8000000}"/>
    <cellStyle name="Moneda 3" xfId="188" xr:uid="{00000000-0005-0000-0000-0000D9000000}"/>
    <cellStyle name="Moneda 3 2" xfId="189" xr:uid="{00000000-0005-0000-0000-0000DA000000}"/>
    <cellStyle name="Moneda 4" xfId="190" xr:uid="{00000000-0005-0000-0000-0000DB000000}"/>
    <cellStyle name="Moneda 4 2" xfId="191" xr:uid="{00000000-0005-0000-0000-0000DC000000}"/>
    <cellStyle name="Moneda 4 3" xfId="192" xr:uid="{00000000-0005-0000-0000-0000DD000000}"/>
    <cellStyle name="Moneda 5" xfId="193" xr:uid="{00000000-0005-0000-0000-0000DE000000}"/>
    <cellStyle name="Moneda 6" xfId="194" xr:uid="{00000000-0005-0000-0000-0000DF000000}"/>
    <cellStyle name="Moneda 7" xfId="195" xr:uid="{00000000-0005-0000-0000-0000E0000000}"/>
    <cellStyle name="Moneda 8" xfId="196" xr:uid="{00000000-0005-0000-0000-0000E1000000}"/>
    <cellStyle name="Moneda 9" xfId="197" xr:uid="{00000000-0005-0000-0000-0000E2000000}"/>
    <cellStyle name="Moneda 9 2" xfId="198" xr:uid="{00000000-0005-0000-0000-0000E3000000}"/>
    <cellStyle name="Neutral 2" xfId="199" xr:uid="{00000000-0005-0000-0000-0000E4000000}"/>
    <cellStyle name="Neutral 3" xfId="200" xr:uid="{00000000-0005-0000-0000-0000E5000000}"/>
    <cellStyle name="Normal" xfId="0" builtinId="0"/>
    <cellStyle name="Normal 10" xfId="201" xr:uid="{00000000-0005-0000-0000-0000E7000000}"/>
    <cellStyle name="Normal 11" xfId="202" xr:uid="{00000000-0005-0000-0000-0000E8000000}"/>
    <cellStyle name="Normal 12" xfId="203" xr:uid="{00000000-0005-0000-0000-0000E9000000}"/>
    <cellStyle name="Normal 13" xfId="204" xr:uid="{00000000-0005-0000-0000-0000EA000000}"/>
    <cellStyle name="Normal 14" xfId="205" xr:uid="{00000000-0005-0000-0000-0000EB000000}"/>
    <cellStyle name="Normal 15" xfId="206" xr:uid="{00000000-0005-0000-0000-0000EC000000}"/>
    <cellStyle name="Normal 16" xfId="207" xr:uid="{00000000-0005-0000-0000-0000ED000000}"/>
    <cellStyle name="Normal 17" xfId="208" xr:uid="{00000000-0005-0000-0000-0000EE000000}"/>
    <cellStyle name="Normal 18" xfId="209" xr:uid="{00000000-0005-0000-0000-0000EF000000}"/>
    <cellStyle name="Normal 19" xfId="210" xr:uid="{00000000-0005-0000-0000-0000F0000000}"/>
    <cellStyle name="Normal 2" xfId="1" xr:uid="{00000000-0005-0000-0000-0000F1000000}"/>
    <cellStyle name="Normal 2 10" xfId="381" xr:uid="{00000000-0005-0000-0000-0000F2000000}"/>
    <cellStyle name="Normal 2 11" xfId="382" xr:uid="{00000000-0005-0000-0000-0000F3000000}"/>
    <cellStyle name="Normal 2 2" xfId="211" xr:uid="{00000000-0005-0000-0000-0000F4000000}"/>
    <cellStyle name="Normal 2 2 2" xfId="212" xr:uid="{00000000-0005-0000-0000-0000F5000000}"/>
    <cellStyle name="Normal 2 3" xfId="213" xr:uid="{00000000-0005-0000-0000-0000F6000000}"/>
    <cellStyle name="Normal 2 3 2" xfId="214" xr:uid="{00000000-0005-0000-0000-0000F7000000}"/>
    <cellStyle name="Normal 2 4" xfId="215" xr:uid="{00000000-0005-0000-0000-0000F8000000}"/>
    <cellStyle name="Normal 2 4 2" xfId="216" xr:uid="{00000000-0005-0000-0000-0000F9000000}"/>
    <cellStyle name="Normal 2 5" xfId="217" xr:uid="{00000000-0005-0000-0000-0000FA000000}"/>
    <cellStyle name="Normal 2 5 2" xfId="218" xr:uid="{00000000-0005-0000-0000-0000FB000000}"/>
    <cellStyle name="Normal 2 6" xfId="219" xr:uid="{00000000-0005-0000-0000-0000FC000000}"/>
    <cellStyle name="Normal 2 7" xfId="220" xr:uid="{00000000-0005-0000-0000-0000FD000000}"/>
    <cellStyle name="Normal 2 8" xfId="221" xr:uid="{00000000-0005-0000-0000-0000FE000000}"/>
    <cellStyle name="Normal 2 9" xfId="222" xr:uid="{00000000-0005-0000-0000-0000FF000000}"/>
    <cellStyle name="Normal 20" xfId="223" xr:uid="{00000000-0005-0000-0000-000000010000}"/>
    <cellStyle name="Normal 21" xfId="224" xr:uid="{00000000-0005-0000-0000-000001010000}"/>
    <cellStyle name="Normal 22" xfId="225" xr:uid="{00000000-0005-0000-0000-000002010000}"/>
    <cellStyle name="Normal 23" xfId="226" xr:uid="{00000000-0005-0000-0000-000003010000}"/>
    <cellStyle name="Normal 24" xfId="227" xr:uid="{00000000-0005-0000-0000-000004010000}"/>
    <cellStyle name="Normal 25" xfId="228" xr:uid="{00000000-0005-0000-0000-000005010000}"/>
    <cellStyle name="Normal 26" xfId="229" xr:uid="{00000000-0005-0000-0000-000006010000}"/>
    <cellStyle name="Normal 27" xfId="230" xr:uid="{00000000-0005-0000-0000-000007010000}"/>
    <cellStyle name="Normal 28" xfId="231" xr:uid="{00000000-0005-0000-0000-000008010000}"/>
    <cellStyle name="Normal 29" xfId="232" xr:uid="{00000000-0005-0000-0000-000009010000}"/>
    <cellStyle name="Normal 3" xfId="233" xr:uid="{00000000-0005-0000-0000-00000A010000}"/>
    <cellStyle name="Normal 3 2" xfId="234" xr:uid="{00000000-0005-0000-0000-00000B010000}"/>
    <cellStyle name="Normal 3 3" xfId="235" xr:uid="{00000000-0005-0000-0000-00000C010000}"/>
    <cellStyle name="Normal 3 3 2" xfId="236" xr:uid="{00000000-0005-0000-0000-00000D010000}"/>
    <cellStyle name="Normal 3 4" xfId="237" xr:uid="{00000000-0005-0000-0000-00000E010000}"/>
    <cellStyle name="Normal 30" xfId="238" xr:uid="{00000000-0005-0000-0000-00000F010000}"/>
    <cellStyle name="Normal 31" xfId="239" xr:uid="{00000000-0005-0000-0000-000010010000}"/>
    <cellStyle name="Normal 32" xfId="240" xr:uid="{00000000-0005-0000-0000-000011010000}"/>
    <cellStyle name="Normal 33" xfId="241" xr:uid="{00000000-0005-0000-0000-000012010000}"/>
    <cellStyle name="Normal 34" xfId="242" xr:uid="{00000000-0005-0000-0000-000013010000}"/>
    <cellStyle name="Normal 35" xfId="243" xr:uid="{00000000-0005-0000-0000-000014010000}"/>
    <cellStyle name="Normal 36" xfId="244" xr:uid="{00000000-0005-0000-0000-000015010000}"/>
    <cellStyle name="Normal 37" xfId="245" xr:uid="{00000000-0005-0000-0000-000016010000}"/>
    <cellStyle name="Normal 38" xfId="246" xr:uid="{00000000-0005-0000-0000-000017010000}"/>
    <cellStyle name="Normal 39" xfId="247" xr:uid="{00000000-0005-0000-0000-000018010000}"/>
    <cellStyle name="Normal 4" xfId="248" xr:uid="{00000000-0005-0000-0000-000019010000}"/>
    <cellStyle name="Normal 4 2" xfId="249" xr:uid="{00000000-0005-0000-0000-00001A010000}"/>
    <cellStyle name="Normal 4 2 2" xfId="250" xr:uid="{00000000-0005-0000-0000-00001B010000}"/>
    <cellStyle name="Normal 4 3" xfId="251" xr:uid="{00000000-0005-0000-0000-00001C010000}"/>
    <cellStyle name="Normal 4 4" xfId="252" xr:uid="{00000000-0005-0000-0000-00001D010000}"/>
    <cellStyle name="Normal 40" xfId="253" xr:uid="{00000000-0005-0000-0000-00001E010000}"/>
    <cellStyle name="Normal 41" xfId="254" xr:uid="{00000000-0005-0000-0000-00001F010000}"/>
    <cellStyle name="Normal 42" xfId="255" xr:uid="{00000000-0005-0000-0000-000020010000}"/>
    <cellStyle name="Normal 43" xfId="256" xr:uid="{00000000-0005-0000-0000-000021010000}"/>
    <cellStyle name="Normal 44" xfId="257" xr:uid="{00000000-0005-0000-0000-000022010000}"/>
    <cellStyle name="Normal 45" xfId="258" xr:uid="{00000000-0005-0000-0000-000023010000}"/>
    <cellStyle name="Normal 46" xfId="259" xr:uid="{00000000-0005-0000-0000-000024010000}"/>
    <cellStyle name="Normal 47" xfId="260" xr:uid="{00000000-0005-0000-0000-000025010000}"/>
    <cellStyle name="Normal 48" xfId="261" xr:uid="{00000000-0005-0000-0000-000026010000}"/>
    <cellStyle name="Normal 48 2" xfId="262" xr:uid="{00000000-0005-0000-0000-000027010000}"/>
    <cellStyle name="Normal 49" xfId="263" xr:uid="{00000000-0005-0000-0000-000028010000}"/>
    <cellStyle name="Normal 5" xfId="264" xr:uid="{00000000-0005-0000-0000-000029010000}"/>
    <cellStyle name="Normal 5 2" xfId="265" xr:uid="{00000000-0005-0000-0000-00002A010000}"/>
    <cellStyle name="Normal 5 3" xfId="266" xr:uid="{00000000-0005-0000-0000-00002B010000}"/>
    <cellStyle name="Normal 50" xfId="267" xr:uid="{00000000-0005-0000-0000-00002C010000}"/>
    <cellStyle name="Normal 51" xfId="268" xr:uid="{00000000-0005-0000-0000-00002D010000}"/>
    <cellStyle name="Normal 52" xfId="269" xr:uid="{00000000-0005-0000-0000-00002E010000}"/>
    <cellStyle name="Normal 52 2" xfId="270" xr:uid="{00000000-0005-0000-0000-00002F010000}"/>
    <cellStyle name="Normal 53" xfId="271" xr:uid="{00000000-0005-0000-0000-000030010000}"/>
    <cellStyle name="Normal 54" xfId="272" xr:uid="{00000000-0005-0000-0000-000031010000}"/>
    <cellStyle name="Normal 55" xfId="273" xr:uid="{00000000-0005-0000-0000-000032010000}"/>
    <cellStyle name="Normal 56" xfId="274" xr:uid="{00000000-0005-0000-0000-000033010000}"/>
    <cellStyle name="Normal 57" xfId="275" xr:uid="{00000000-0005-0000-0000-000034010000}"/>
    <cellStyle name="Normal 58" xfId="276" xr:uid="{00000000-0005-0000-0000-000035010000}"/>
    <cellStyle name="Normal 59" xfId="277" xr:uid="{00000000-0005-0000-0000-000036010000}"/>
    <cellStyle name="Normal 6" xfId="278" xr:uid="{00000000-0005-0000-0000-000037010000}"/>
    <cellStyle name="Normal 6 2" xfId="279" xr:uid="{00000000-0005-0000-0000-000038010000}"/>
    <cellStyle name="Normal 60" xfId="280" xr:uid="{00000000-0005-0000-0000-000039010000}"/>
    <cellStyle name="Normal 61" xfId="281" xr:uid="{00000000-0005-0000-0000-00003A010000}"/>
    <cellStyle name="Normal 62" xfId="282" xr:uid="{00000000-0005-0000-0000-00003B010000}"/>
    <cellStyle name="Normal 63" xfId="283" xr:uid="{00000000-0005-0000-0000-00003C010000}"/>
    <cellStyle name="Normal 64" xfId="284" xr:uid="{00000000-0005-0000-0000-00003D010000}"/>
    <cellStyle name="Normal 65" xfId="285" xr:uid="{00000000-0005-0000-0000-00003E010000}"/>
    <cellStyle name="Normal 66" xfId="286" xr:uid="{00000000-0005-0000-0000-00003F010000}"/>
    <cellStyle name="Normal 67" xfId="287" xr:uid="{00000000-0005-0000-0000-000040010000}"/>
    <cellStyle name="Normal 68" xfId="288" xr:uid="{00000000-0005-0000-0000-000041010000}"/>
    <cellStyle name="Normal 69" xfId="289" xr:uid="{00000000-0005-0000-0000-000042010000}"/>
    <cellStyle name="Normal 7" xfId="290" xr:uid="{00000000-0005-0000-0000-000043010000}"/>
    <cellStyle name="Normal 70" xfId="291" xr:uid="{00000000-0005-0000-0000-000044010000}"/>
    <cellStyle name="Normal 71" xfId="292" xr:uid="{00000000-0005-0000-0000-000045010000}"/>
    <cellStyle name="Normal 72" xfId="293" xr:uid="{00000000-0005-0000-0000-000046010000}"/>
    <cellStyle name="Normal 73" xfId="294" xr:uid="{00000000-0005-0000-0000-000047010000}"/>
    <cellStyle name="Normal 74" xfId="295" xr:uid="{00000000-0005-0000-0000-000048010000}"/>
    <cellStyle name="Normal 75" xfId="296" xr:uid="{00000000-0005-0000-0000-000049010000}"/>
    <cellStyle name="Normal 76" xfId="297" xr:uid="{00000000-0005-0000-0000-00004A010000}"/>
    <cellStyle name="Normal 77" xfId="298" xr:uid="{00000000-0005-0000-0000-00004B010000}"/>
    <cellStyle name="Normal 78" xfId="299" xr:uid="{00000000-0005-0000-0000-00004C010000}"/>
    <cellStyle name="Normal 79" xfId="300" xr:uid="{00000000-0005-0000-0000-00004D010000}"/>
    <cellStyle name="Normal 8" xfId="301" xr:uid="{00000000-0005-0000-0000-00004E010000}"/>
    <cellStyle name="Normal 80" xfId="302" xr:uid="{00000000-0005-0000-0000-00004F010000}"/>
    <cellStyle name="Normal 81" xfId="303" xr:uid="{00000000-0005-0000-0000-000050010000}"/>
    <cellStyle name="Normal 82" xfId="304" xr:uid="{00000000-0005-0000-0000-000051010000}"/>
    <cellStyle name="Normal 83" xfId="305" xr:uid="{00000000-0005-0000-0000-000052010000}"/>
    <cellStyle name="Normal 84" xfId="367" xr:uid="{00000000-0005-0000-0000-000053010000}"/>
    <cellStyle name="Normal 85" xfId="368" xr:uid="{00000000-0005-0000-0000-000054010000}"/>
    <cellStyle name="Normal 86" xfId="404" xr:uid="{00000000-0005-0000-0000-000055010000}"/>
    <cellStyle name="Normal 9" xfId="306" xr:uid="{00000000-0005-0000-0000-000056010000}"/>
    <cellStyle name="Normal_Directorio 2003 Decretos Nuevos" xfId="406" xr:uid="{00000000-0005-0000-0000-000057010000}"/>
    <cellStyle name="Notas 2" xfId="307" xr:uid="{00000000-0005-0000-0000-000058010000}"/>
    <cellStyle name="Notas 2 2" xfId="308" xr:uid="{00000000-0005-0000-0000-000059010000}"/>
    <cellStyle name="Notas 2 2 2" xfId="371" xr:uid="{00000000-0005-0000-0000-00005A010000}"/>
    <cellStyle name="Notas 2 2 3" xfId="385" xr:uid="{00000000-0005-0000-0000-00005B010000}"/>
    <cellStyle name="Notas 3" xfId="309" xr:uid="{00000000-0005-0000-0000-00005C010000}"/>
    <cellStyle name="Notas 3 2" xfId="372" xr:uid="{00000000-0005-0000-0000-00005D010000}"/>
    <cellStyle name="Notas 3 3" xfId="386" xr:uid="{00000000-0005-0000-0000-00005E010000}"/>
    <cellStyle name="OKBENE2.XLS" xfId="310" xr:uid="{00000000-0005-0000-0000-00005F010000}"/>
    <cellStyle name="Porcentaje" xfId="405" builtinId="5"/>
    <cellStyle name="Porcentaje 10" xfId="311" xr:uid="{00000000-0005-0000-0000-000061010000}"/>
    <cellStyle name="Porcentaje 2" xfId="312" xr:uid="{00000000-0005-0000-0000-000062010000}"/>
    <cellStyle name="Porcentaje 2 2" xfId="313" xr:uid="{00000000-0005-0000-0000-000063010000}"/>
    <cellStyle name="Porcentaje 2 2 2" xfId="314" xr:uid="{00000000-0005-0000-0000-000064010000}"/>
    <cellStyle name="Porcentaje 2 3" xfId="315" xr:uid="{00000000-0005-0000-0000-000065010000}"/>
    <cellStyle name="Porcentaje 3" xfId="316" xr:uid="{00000000-0005-0000-0000-000066010000}"/>
    <cellStyle name="Porcentaje 3 2" xfId="317" xr:uid="{00000000-0005-0000-0000-000067010000}"/>
    <cellStyle name="Porcentaje 3 3" xfId="318" xr:uid="{00000000-0005-0000-0000-000068010000}"/>
    <cellStyle name="Porcentaje 4" xfId="319" xr:uid="{00000000-0005-0000-0000-000069010000}"/>
    <cellStyle name="Porcentaje 4 2" xfId="320" xr:uid="{00000000-0005-0000-0000-00006A010000}"/>
    <cellStyle name="Porcentaje 5" xfId="321" xr:uid="{00000000-0005-0000-0000-00006B010000}"/>
    <cellStyle name="Porcentaje 6" xfId="322" xr:uid="{00000000-0005-0000-0000-00006C010000}"/>
    <cellStyle name="Porcentaje 7" xfId="323" xr:uid="{00000000-0005-0000-0000-00006D010000}"/>
    <cellStyle name="Porcentaje 8" xfId="324" xr:uid="{00000000-0005-0000-0000-00006E010000}"/>
    <cellStyle name="Porcentaje 9" xfId="325" xr:uid="{00000000-0005-0000-0000-00006F010000}"/>
    <cellStyle name="Porcentual 2" xfId="326" xr:uid="{00000000-0005-0000-0000-000070010000}"/>
    <cellStyle name="Porcentual 2 2" xfId="327" xr:uid="{00000000-0005-0000-0000-000071010000}"/>
    <cellStyle name="Porcentual 2 2 2" xfId="328" xr:uid="{00000000-0005-0000-0000-000072010000}"/>
    <cellStyle name="Porcentual 2 3" xfId="329" xr:uid="{00000000-0005-0000-0000-000073010000}"/>
    <cellStyle name="Porcentual 2 3 2" xfId="330" xr:uid="{00000000-0005-0000-0000-000074010000}"/>
    <cellStyle name="Porcentual 2 4" xfId="331" xr:uid="{00000000-0005-0000-0000-000075010000}"/>
    <cellStyle name="Porcentual 2 4 2" xfId="332" xr:uid="{00000000-0005-0000-0000-000076010000}"/>
    <cellStyle name="Porcentual 2 5" xfId="333" xr:uid="{00000000-0005-0000-0000-000077010000}"/>
    <cellStyle name="Porcentual 2 5 2" xfId="334" xr:uid="{00000000-0005-0000-0000-000078010000}"/>
    <cellStyle name="Porcentual 2 6" xfId="335" xr:uid="{00000000-0005-0000-0000-000079010000}"/>
    <cellStyle name="Porcentual 2 6 2" xfId="336" xr:uid="{00000000-0005-0000-0000-00007A010000}"/>
    <cellStyle name="Porcentual 2 7" xfId="337" xr:uid="{00000000-0005-0000-0000-00007B010000}"/>
    <cellStyle name="Porcentual 2 7 2" xfId="338" xr:uid="{00000000-0005-0000-0000-00007C010000}"/>
    <cellStyle name="Porcentual 2 8" xfId="339" xr:uid="{00000000-0005-0000-0000-00007D010000}"/>
    <cellStyle name="Porcentual 3" xfId="340" xr:uid="{00000000-0005-0000-0000-00007E010000}"/>
    <cellStyle name="Porcentual 4" xfId="341" xr:uid="{00000000-0005-0000-0000-00007F010000}"/>
    <cellStyle name="Porcentual 5" xfId="342" xr:uid="{00000000-0005-0000-0000-000080010000}"/>
    <cellStyle name="Salida 2" xfId="343" xr:uid="{00000000-0005-0000-0000-000081010000}"/>
    <cellStyle name="Salida 2 2" xfId="373" xr:uid="{00000000-0005-0000-0000-000082010000}"/>
    <cellStyle name="Salida 2 3" xfId="389" xr:uid="{00000000-0005-0000-0000-000083010000}"/>
    <cellStyle name="Salida 3" xfId="344" xr:uid="{00000000-0005-0000-0000-000084010000}"/>
    <cellStyle name="Texto de advertencia 2" xfId="345" xr:uid="{00000000-0005-0000-0000-000085010000}"/>
    <cellStyle name="Texto de advertencia 3" xfId="346" xr:uid="{00000000-0005-0000-0000-000086010000}"/>
    <cellStyle name="Texto explicativo 2" xfId="347" xr:uid="{00000000-0005-0000-0000-000087010000}"/>
    <cellStyle name="Texto explicativo 3" xfId="348" xr:uid="{00000000-0005-0000-0000-000088010000}"/>
    <cellStyle name="Título 1 2" xfId="349" xr:uid="{00000000-0005-0000-0000-000089010000}"/>
    <cellStyle name="Título 1 3" xfId="350" xr:uid="{00000000-0005-0000-0000-00008A010000}"/>
    <cellStyle name="Título 2 2" xfId="351" xr:uid="{00000000-0005-0000-0000-00008B010000}"/>
    <cellStyle name="Título 2 3" xfId="352" xr:uid="{00000000-0005-0000-0000-00008C010000}"/>
    <cellStyle name="Título 3 2" xfId="353" xr:uid="{00000000-0005-0000-0000-00008D010000}"/>
    <cellStyle name="Título 3 3" xfId="354" xr:uid="{00000000-0005-0000-0000-00008E010000}"/>
    <cellStyle name="Título 4" xfId="355" xr:uid="{00000000-0005-0000-0000-00008F010000}"/>
    <cellStyle name="Título 4 2" xfId="356" xr:uid="{00000000-0005-0000-0000-000090010000}"/>
    <cellStyle name="Título 5" xfId="357" xr:uid="{00000000-0005-0000-0000-000091010000}"/>
    <cellStyle name="Título 5 2" xfId="358" xr:uid="{00000000-0005-0000-0000-000092010000}"/>
    <cellStyle name="Total 2" xfId="359" xr:uid="{00000000-0005-0000-0000-000093010000}"/>
    <cellStyle name="Total 2 2" xfId="374" xr:uid="{00000000-0005-0000-0000-000094010000}"/>
    <cellStyle name="Total 2 3" xfId="390" xr:uid="{00000000-0005-0000-0000-000095010000}"/>
    <cellStyle name="Total 3" xfId="360" xr:uid="{00000000-0005-0000-0000-000096010000}"/>
  </cellStyles>
  <dxfs count="661">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11"/>
        <color rgb="FF000000"/>
        <name val="Calibri"/>
        <scheme val="none"/>
      </font>
      <fill>
        <patternFill patternType="solid">
          <fgColor indexed="64"/>
          <bgColor rgb="FFDCE6F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font>
        <b/>
        <i val="0"/>
        <strike val="0"/>
        <condense val="0"/>
        <extend val="0"/>
        <outline val="0"/>
        <shadow val="0"/>
        <u val="none"/>
        <vertAlign val="baseline"/>
        <sz val="11"/>
        <color auto="1"/>
        <name val="Calibri"/>
        <scheme val="none"/>
      </font>
      <fill>
        <patternFill patternType="solid">
          <fgColor rgb="FFDBE5F1"/>
          <bgColor rgb="FFDBE5F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scheme val="minor"/>
      </font>
    </dxf>
    <dxf>
      <font>
        <strike val="0"/>
        <outline val="0"/>
        <shadow val="0"/>
        <u val="none"/>
        <vertAlign val="baseline"/>
        <sz val="11"/>
        <color auto="1"/>
        <name val="Calibri"/>
        <scheme val="minor"/>
      </font>
    </dxf>
    <dxf>
      <font>
        <strike val="0"/>
        <outline val="0"/>
        <shadow val="0"/>
        <u val="none"/>
        <vertAlign val="baseline"/>
        <sz val="11"/>
        <color auto="1"/>
        <name val="Calibri"/>
        <scheme val="minor"/>
      </font>
    </dxf>
    <dxf>
      <font>
        <strike val="0"/>
        <outline val="0"/>
        <shadow val="0"/>
        <u val="none"/>
        <vertAlign val="baseline"/>
        <sz val="11"/>
        <color auto="1"/>
        <name val="Calibri"/>
        <scheme val="minor"/>
      </font>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wrapText="1"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Dialog"/>
        <scheme val="none"/>
      </font>
      <fill>
        <patternFill patternType="solid">
          <fgColor indexed="64"/>
          <bgColor theme="7" tint="0.59999389629810485"/>
        </patternFill>
      </fill>
      <alignment horizontal="center" vertical="bottom" textRotation="0" wrapText="1"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vertical="bottom" textRotation="0" wrapText="1"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left" textRotation="0" wrapText="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9"/>
        <color indexed="8"/>
        <name val="Calibri"/>
        <scheme val="minor"/>
      </font>
      <numFmt numFmtId="0" formatCode="General"/>
      <fill>
        <patternFill patternType="solid">
          <fgColor indexed="64"/>
          <bgColor theme="7"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left"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left"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left"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numFmt numFmtId="0" formatCode="General"/>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font>
        <b val="0"/>
        <i val="0"/>
        <strike val="0"/>
        <condense val="0"/>
        <extend val="0"/>
        <outline val="0"/>
        <shadow val="0"/>
        <u val="none"/>
        <vertAlign val="baseline"/>
        <sz val="9"/>
        <color indexed="8"/>
        <name val="Calibri"/>
        <scheme val="minor"/>
      </font>
      <numFmt numFmtId="1" formatCode="0"/>
      <fill>
        <patternFill patternType="solid">
          <fgColor indexed="64"/>
          <bgColor theme="7" tint="0.59999389629810485"/>
        </patternFill>
      </fill>
      <alignment horizontal="center"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left" textRotation="0" wrapText="0" indent="0" justifyLastLine="0" shrinkToFit="0" readingOrder="0"/>
    </dxf>
    <dxf>
      <font>
        <b val="0"/>
        <i val="0"/>
        <strike val="0"/>
        <condense val="0"/>
        <extend val="0"/>
        <outline val="0"/>
        <shadow val="0"/>
        <u val="none"/>
        <vertAlign val="baseline"/>
        <sz val="9"/>
        <color indexed="8"/>
        <name val="Calibri"/>
        <scheme val="minor"/>
      </font>
      <numFmt numFmtId="0" formatCode="General"/>
      <fill>
        <patternFill patternType="solid">
          <fgColor indexed="64"/>
          <bgColor theme="7" tint="0.59999389629810485"/>
        </patternFill>
      </fill>
      <alignment horizontal="left" vertical="bottom"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wrapText="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Dialog"/>
        <scheme val="none"/>
      </font>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9"/>
        <color indexed="8"/>
      </font>
      <numFmt numFmtId="0" formatCode="General"/>
      <fill>
        <patternFill patternType="solid">
          <fgColor indexed="64"/>
          <bgColor theme="7"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9"/>
        <color indexed="8"/>
        <name val="Calibri"/>
        <scheme val="minor"/>
      </font>
      <fill>
        <patternFill patternType="solid">
          <fgColor indexed="64"/>
          <bgColor theme="7" tint="0.59999389629810485"/>
        </patternFill>
      </fill>
      <alignment horizontal="center" textRotation="0" indent="0" justifyLastLine="0" shrinkToFit="0" readingOrder="0"/>
    </dxf>
    <dxf>
      <border outline="0">
        <bottom style="thin">
          <color indexed="64"/>
        </bottom>
      </border>
    </dxf>
    <dxf>
      <font>
        <b/>
        <i val="0"/>
        <strike val="0"/>
        <condense val="0"/>
        <extend val="0"/>
        <outline val="0"/>
        <shadow val="0"/>
        <u val="none"/>
        <vertAlign val="baseline"/>
        <sz val="9"/>
        <color auto="1"/>
        <name val="Calibri"/>
        <scheme val="minor"/>
      </font>
      <numFmt numFmtId="3" formatCode="#,##0"/>
      <fill>
        <patternFill patternType="solid">
          <fgColor indexed="64"/>
          <bgColor theme="0" tint="-4.9989318521683403E-2"/>
        </patternFill>
      </fill>
      <alignment horizontal="center" vertical="center" textRotation="90" wrapText="1"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0"/>
        <color theme="1"/>
        <name val="Calibri"/>
        <family val="2"/>
        <scheme val="minor"/>
      </font>
      <numFmt numFmtId="13"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0"/>
        <color theme="1"/>
        <name val="Calibri"/>
        <family val="2"/>
        <scheme val="minor"/>
      </font>
      <numFmt numFmtId="2" formatCode="0.0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0"/>
        <color theme="1"/>
        <name val="Calibri"/>
        <family val="2"/>
        <scheme val="minor"/>
      </font>
      <numFmt numFmtId="1" formatCode="0"/>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1"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1"/>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1"/>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1"/>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1"/>
    </dxf>
    <dxf>
      <font>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1"/>
    </dxf>
    <dxf>
      <font>
        <b val="0"/>
        <i val="0"/>
        <strike val="0"/>
        <condense val="0"/>
        <extend val="0"/>
        <outline val="0"/>
        <shadow val="0"/>
        <u val="none"/>
        <vertAlign val="baseline"/>
        <sz val="10"/>
        <color theme="1"/>
        <name val="Calibri"/>
        <family val="2"/>
        <scheme val="minor"/>
      </font>
      <numFmt numFmtId="177" formatCode="h:mm:ss;@"/>
      <fill>
        <patternFill patternType="solid">
          <fgColor indexed="64"/>
          <bgColor theme="0"/>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val="0"/>
        <strike val="0"/>
        <outline val="0"/>
        <shadow val="0"/>
        <u val="none"/>
        <vertAlign val="baseline"/>
        <sz val="10"/>
        <color theme="1"/>
        <name val="Calibri"/>
        <family val="2"/>
        <scheme val="minor"/>
      </font>
      <numFmt numFmtId="177" formatCode="h:mm:ss;@"/>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19" formatCode="d/mm/yy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border outline="0">
        <top style="thin">
          <color auto="1"/>
        </top>
      </border>
    </dxf>
    <dxf>
      <border outline="0">
        <left style="thin">
          <color indexed="64"/>
        </left>
        <right style="thin">
          <color indexed="64"/>
        </right>
        <top style="thin">
          <color auto="1"/>
        </top>
        <bottom style="thin">
          <color auto="1"/>
        </bottom>
      </border>
    </dxf>
    <dxf>
      <font>
        <strike val="0"/>
        <outline val="0"/>
        <shadow val="0"/>
        <u val="none"/>
        <vertAlign val="baseline"/>
        <sz val="10"/>
        <color theme="1"/>
        <name val="Calibri"/>
        <family val="2"/>
        <scheme val="minor"/>
      </font>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1"/>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8FAFD5"/>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92D050"/>
        </patternFill>
      </fill>
    </dxf>
    <dxf>
      <fill>
        <patternFill>
          <bgColor theme="5" tint="0.39994506668294322"/>
        </patternFill>
      </fill>
    </dxf>
    <dxf>
      <fill>
        <patternFill>
          <bgColor rgb="FFFFC000"/>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
      <fill>
        <patternFill>
          <bgColor rgb="FF8FAFD5"/>
        </patternFill>
      </fill>
    </dxf>
  </dxfs>
  <tableStyles count="0" defaultTableStyle="TableStyleMedium2" defaultPivotStyle="PivotStyleLight16"/>
  <colors>
    <mruColors>
      <color rgb="FFFFFF00"/>
      <color rgb="FFFFFFCC"/>
      <color rgb="FF8FAFD5"/>
      <color rgb="FF6893C6"/>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14</xdr:col>
      <xdr:colOff>119057</xdr:colOff>
      <xdr:row>0</xdr:row>
      <xdr:rowOff>12704</xdr:rowOff>
    </xdr:from>
    <xdr:ext cx="1235610" cy="796693"/>
    <xdr:sp macro="" textlink="">
      <xdr:nvSpPr>
        <xdr:cNvPr id="6" name="5 CuadroTexto">
          <a:extLst>
            <a:ext uri="{FF2B5EF4-FFF2-40B4-BE49-F238E27FC236}">
              <a16:creationId xmlns:a16="http://schemas.microsoft.com/office/drawing/2014/main" id="{00000000-0008-0000-0000-000006000000}"/>
            </a:ext>
          </a:extLst>
        </xdr:cNvPr>
        <xdr:cNvSpPr txBox="1"/>
      </xdr:nvSpPr>
      <xdr:spPr>
        <a:xfrm>
          <a:off x="14156790" y="12704"/>
          <a:ext cx="1235610" cy="796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900" b="1"/>
            <a:t>1 = Cumple</a:t>
          </a:r>
        </a:p>
        <a:p>
          <a:r>
            <a:rPr lang="es-CO" sz="900" b="1"/>
            <a:t>0 = No</a:t>
          </a:r>
          <a:r>
            <a:rPr lang="es-CO" sz="900" b="1" baseline="0"/>
            <a:t> Cumple</a:t>
          </a:r>
        </a:p>
        <a:p>
          <a:r>
            <a:rPr lang="es-CO" sz="900" b="1" baseline="0"/>
            <a:t>NA = No Aplica</a:t>
          </a:r>
        </a:p>
        <a:p>
          <a:r>
            <a:rPr lang="es-CO" sz="900" b="1" baseline="0"/>
            <a:t>NO = No Observado</a:t>
          </a:r>
        </a:p>
        <a:p>
          <a:endParaRPr lang="es-CO" sz="900" b="1"/>
        </a:p>
      </xdr:txBody>
    </xdr:sp>
    <xdr:clientData/>
  </xdr:oneCellAnchor>
  <xdr:twoCellAnchor>
    <xdr:from>
      <xdr:col>0</xdr:col>
      <xdr:colOff>571197</xdr:colOff>
      <xdr:row>0</xdr:row>
      <xdr:rowOff>117023</xdr:rowOff>
    </xdr:from>
    <xdr:to>
      <xdr:col>1</xdr:col>
      <xdr:colOff>127000</xdr:colOff>
      <xdr:row>1</xdr:row>
      <xdr:rowOff>206435</xdr:rowOff>
    </xdr:to>
    <xdr:pic>
      <xdr:nvPicPr>
        <xdr:cNvPr id="3" name="3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197" y="117023"/>
          <a:ext cx="648003" cy="521212"/>
        </a:xfrm>
        <a:prstGeom prst="rect">
          <a:avLst/>
        </a:prstGeom>
      </xdr:spPr>
    </xdr:pic>
    <xdr:clientData/>
  </xdr:twoCellAnchor>
  <xdr:twoCellAnchor>
    <xdr:from>
      <xdr:col>11</xdr:col>
      <xdr:colOff>1321555</xdr:colOff>
      <xdr:row>0</xdr:row>
      <xdr:rowOff>109613</xdr:rowOff>
    </xdr:from>
    <xdr:to>
      <xdr:col>12</xdr:col>
      <xdr:colOff>634999</xdr:colOff>
      <xdr:row>1</xdr:row>
      <xdr:rowOff>201836</xdr:rowOff>
    </xdr:to>
    <xdr:pic>
      <xdr:nvPicPr>
        <xdr:cNvPr id="4" name="3 Imagen">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90022" y="109613"/>
          <a:ext cx="659644" cy="52402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QUIPO/Google%20Drive/FORMATOS/FORMATOS%20ANGELICA/14%20MAYO/E.E.%20RPS%20-%20AM-P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PS"/>
      <sheetName val="Hoja1"/>
      <sheetName val="Hoja6"/>
      <sheetName val="HALLAZGOS"/>
      <sheetName val="ACTA VISITA"/>
      <sheetName val="OBSERVACIONES"/>
      <sheetName val="SEDES"/>
      <sheetName val="DATOS"/>
      <sheetName val="LISTADO ITEMS"/>
      <sheetName val="LISTADO ITEMS (2)"/>
      <sheetName val="E.E. RPS - AM-PM"/>
    </sheetNames>
    <sheetDataSet>
      <sheetData sheetId="0">
        <row r="6">
          <cell r="A6" t="str">
            <v>REF 1</v>
          </cell>
        </row>
        <row r="7">
          <cell r="A7" t="str">
            <v>REF 2</v>
          </cell>
        </row>
        <row r="8">
          <cell r="A8" t="str">
            <v>REF 3</v>
          </cell>
        </row>
        <row r="9">
          <cell r="A9" t="str">
            <v>REF 4</v>
          </cell>
        </row>
        <row r="10">
          <cell r="A10" t="str">
            <v>REF 5</v>
          </cell>
        </row>
        <row r="11">
          <cell r="A11" t="str">
            <v>REF 6</v>
          </cell>
        </row>
        <row r="12">
          <cell r="A12" t="str">
            <v>REF 7</v>
          </cell>
        </row>
        <row r="13">
          <cell r="A13" t="str">
            <v>REF 8</v>
          </cell>
        </row>
        <row r="14">
          <cell r="A14" t="str">
            <v>REF 9</v>
          </cell>
        </row>
        <row r="15">
          <cell r="A15" t="str">
            <v>REF 10</v>
          </cell>
        </row>
        <row r="16">
          <cell r="A16" t="str">
            <v>REF 11</v>
          </cell>
        </row>
        <row r="17">
          <cell r="A17" t="str">
            <v>REF 12</v>
          </cell>
        </row>
        <row r="18">
          <cell r="A18" t="str">
            <v>REF 13</v>
          </cell>
        </row>
        <row r="19">
          <cell r="A19" t="str">
            <v>REF 14</v>
          </cell>
        </row>
        <row r="20">
          <cell r="A20" t="str">
            <v>REF 15</v>
          </cell>
        </row>
        <row r="21">
          <cell r="A21" t="str">
            <v>REF 16</v>
          </cell>
        </row>
        <row r="22">
          <cell r="A22" t="str">
            <v>REF 17</v>
          </cell>
        </row>
        <row r="23">
          <cell r="A23" t="str">
            <v>REF 18</v>
          </cell>
        </row>
        <row r="24">
          <cell r="A24" t="str">
            <v>REF 19</v>
          </cell>
        </row>
        <row r="25">
          <cell r="A25" t="str">
            <v>REF 20</v>
          </cell>
        </row>
        <row r="26">
          <cell r="A26" t="str">
            <v>REF 21</v>
          </cell>
        </row>
        <row r="27">
          <cell r="A27" t="str">
            <v>REF 22</v>
          </cell>
        </row>
        <row r="28">
          <cell r="A28" t="str">
            <v>REF 23</v>
          </cell>
        </row>
        <row r="29">
          <cell r="A29" t="str">
            <v>REF 24</v>
          </cell>
        </row>
        <row r="30">
          <cell r="A30" t="str">
            <v>REF 25</v>
          </cell>
        </row>
        <row r="31">
          <cell r="A31" t="str">
            <v>REF 26</v>
          </cell>
        </row>
        <row r="32">
          <cell r="A32" t="str">
            <v>REF 27</v>
          </cell>
        </row>
        <row r="33">
          <cell r="A33" t="str">
            <v>REF 28</v>
          </cell>
        </row>
        <row r="34">
          <cell r="A34" t="str">
            <v>REF 29</v>
          </cell>
        </row>
        <row r="35">
          <cell r="A35" t="str">
            <v>REF 30</v>
          </cell>
        </row>
        <row r="36">
          <cell r="A36" t="str">
            <v>REF 31</v>
          </cell>
        </row>
        <row r="37">
          <cell r="A37" t="str">
            <v>REF 32</v>
          </cell>
        </row>
        <row r="38">
          <cell r="A38" t="str">
            <v>REF 33</v>
          </cell>
        </row>
        <row r="39">
          <cell r="A39" t="str">
            <v>REF 34</v>
          </cell>
        </row>
        <row r="40">
          <cell r="A40" t="str">
            <v>REF 35</v>
          </cell>
        </row>
        <row r="41">
          <cell r="A41" t="str">
            <v>REF 36</v>
          </cell>
        </row>
        <row r="42">
          <cell r="A42" t="str">
            <v>REF 37</v>
          </cell>
        </row>
        <row r="43">
          <cell r="A43" t="str">
            <v>REF 38</v>
          </cell>
        </row>
        <row r="44">
          <cell r="A44" t="str">
            <v>REF 39</v>
          </cell>
        </row>
        <row r="45">
          <cell r="A45" t="str">
            <v>REF 40</v>
          </cell>
        </row>
        <row r="46">
          <cell r="A46" t="str">
            <v>REF 41</v>
          </cell>
        </row>
        <row r="47">
          <cell r="A47" t="str">
            <v>REF 42</v>
          </cell>
        </row>
        <row r="48">
          <cell r="A48" t="str">
            <v>REF 43</v>
          </cell>
        </row>
        <row r="49">
          <cell r="A49" t="str">
            <v>REF 44</v>
          </cell>
        </row>
        <row r="50">
          <cell r="A50" t="str">
            <v>REF 45</v>
          </cell>
        </row>
        <row r="51">
          <cell r="A51" t="str">
            <v>REF 46</v>
          </cell>
        </row>
        <row r="52">
          <cell r="A52" t="str">
            <v>REF 47</v>
          </cell>
        </row>
        <row r="53">
          <cell r="A53" t="str">
            <v>REF 48</v>
          </cell>
        </row>
        <row r="54">
          <cell r="A54" t="str">
            <v>REF 49</v>
          </cell>
        </row>
        <row r="55">
          <cell r="A55" t="str">
            <v>REF 50</v>
          </cell>
        </row>
        <row r="56">
          <cell r="A56" t="str">
            <v>REF 51</v>
          </cell>
        </row>
        <row r="57">
          <cell r="A57" t="str">
            <v>REF 52</v>
          </cell>
        </row>
        <row r="58">
          <cell r="A58" t="str">
            <v>REF 53</v>
          </cell>
        </row>
        <row r="59">
          <cell r="A59" t="str">
            <v>REF 54</v>
          </cell>
        </row>
        <row r="60">
          <cell r="A60" t="str">
            <v>REF 55</v>
          </cell>
        </row>
        <row r="61">
          <cell r="A61" t="str">
            <v>REF 56</v>
          </cell>
        </row>
        <row r="62">
          <cell r="A62" t="str">
            <v>REF 57</v>
          </cell>
        </row>
        <row r="63">
          <cell r="A63" t="str">
            <v>REF 58</v>
          </cell>
        </row>
        <row r="64">
          <cell r="A64" t="str">
            <v>REF 59</v>
          </cell>
        </row>
        <row r="65">
          <cell r="A65" t="str">
            <v>REF 60</v>
          </cell>
        </row>
        <row r="66">
          <cell r="A66" t="str">
            <v>REF 61</v>
          </cell>
        </row>
        <row r="67">
          <cell r="A67" t="str">
            <v>REF 62</v>
          </cell>
        </row>
        <row r="68">
          <cell r="A68" t="str">
            <v>REF 63</v>
          </cell>
        </row>
        <row r="69">
          <cell r="A69" t="str">
            <v>REF 64</v>
          </cell>
        </row>
        <row r="70">
          <cell r="A70" t="str">
            <v>REF 65</v>
          </cell>
        </row>
        <row r="71">
          <cell r="A71" t="str">
            <v>REF 66</v>
          </cell>
        </row>
        <row r="72">
          <cell r="A72" t="str">
            <v>REF 67</v>
          </cell>
        </row>
        <row r="73">
          <cell r="A73" t="str">
            <v>REF 68</v>
          </cell>
        </row>
        <row r="74">
          <cell r="A74" t="str">
            <v>REF 69</v>
          </cell>
        </row>
        <row r="75">
          <cell r="A75" t="str">
            <v>REF 70</v>
          </cell>
        </row>
        <row r="76">
          <cell r="A76" t="str">
            <v>REF 71</v>
          </cell>
        </row>
        <row r="77">
          <cell r="A77" t="str">
            <v>REF 72</v>
          </cell>
        </row>
        <row r="78">
          <cell r="A78" t="str">
            <v>REF 73</v>
          </cell>
        </row>
        <row r="79">
          <cell r="A79" t="str">
            <v>REF 74</v>
          </cell>
        </row>
        <row r="80">
          <cell r="A80" t="str">
            <v>REF 75</v>
          </cell>
        </row>
        <row r="81">
          <cell r="A81" t="str">
            <v>REF 76</v>
          </cell>
        </row>
        <row r="82">
          <cell r="A82" t="str">
            <v>REF 77</v>
          </cell>
        </row>
        <row r="83">
          <cell r="A83" t="str">
            <v>REF 78</v>
          </cell>
        </row>
        <row r="84">
          <cell r="A84" t="str">
            <v>REF 79</v>
          </cell>
        </row>
        <row r="85">
          <cell r="A85" t="str">
            <v>REF 80</v>
          </cell>
        </row>
        <row r="86">
          <cell r="A86" t="str">
            <v>REF 81</v>
          </cell>
        </row>
        <row r="87">
          <cell r="A87" t="str">
            <v>REF 82</v>
          </cell>
        </row>
        <row r="88">
          <cell r="A88" t="str">
            <v>REF 83</v>
          </cell>
        </row>
        <row r="89">
          <cell r="A89" t="str">
            <v>REF 84</v>
          </cell>
        </row>
        <row r="90">
          <cell r="A90" t="str">
            <v>REF 85</v>
          </cell>
        </row>
        <row r="91">
          <cell r="A91" t="str">
            <v>REF 86</v>
          </cell>
        </row>
        <row r="92">
          <cell r="A92" t="str">
            <v>REF 87</v>
          </cell>
        </row>
        <row r="93">
          <cell r="A93" t="str">
            <v>REF 88</v>
          </cell>
        </row>
        <row r="94">
          <cell r="A94" t="str">
            <v>REF 89</v>
          </cell>
        </row>
        <row r="95">
          <cell r="A95" t="str">
            <v>REF 90</v>
          </cell>
        </row>
        <row r="96">
          <cell r="A96" t="str">
            <v>REF 91</v>
          </cell>
        </row>
        <row r="97">
          <cell r="A97" t="str">
            <v>REF 92</v>
          </cell>
        </row>
        <row r="98">
          <cell r="A98" t="str">
            <v>REF 93</v>
          </cell>
        </row>
        <row r="99">
          <cell r="A99" t="str">
            <v>REF 94</v>
          </cell>
        </row>
        <row r="100">
          <cell r="A100" t="str">
            <v>REF 95</v>
          </cell>
        </row>
        <row r="101">
          <cell r="A101" t="str">
            <v>REF 96</v>
          </cell>
        </row>
        <row r="102">
          <cell r="A102" t="str">
            <v>REF 97</v>
          </cell>
        </row>
        <row r="103">
          <cell r="A103" t="str">
            <v>REF 98</v>
          </cell>
        </row>
        <row r="104">
          <cell r="A104" t="str">
            <v>REF 99</v>
          </cell>
        </row>
        <row r="105">
          <cell r="A105" t="str">
            <v>REF 100</v>
          </cell>
        </row>
        <row r="106">
          <cell r="A106" t="str">
            <v>REF 101</v>
          </cell>
        </row>
        <row r="107">
          <cell r="A107" t="str">
            <v>REF 102</v>
          </cell>
        </row>
        <row r="108">
          <cell r="A108" t="str">
            <v>REF 103</v>
          </cell>
        </row>
        <row r="109">
          <cell r="A109" t="str">
            <v>REF 104</v>
          </cell>
        </row>
        <row r="110">
          <cell r="A110" t="str">
            <v>REF 105</v>
          </cell>
        </row>
        <row r="111">
          <cell r="A111" t="str">
            <v>REF 106</v>
          </cell>
        </row>
        <row r="112">
          <cell r="A112" t="str">
            <v>REF 107</v>
          </cell>
        </row>
        <row r="113">
          <cell r="A113" t="str">
            <v>REF 108</v>
          </cell>
        </row>
        <row r="114">
          <cell r="A114" t="str">
            <v>REF 109</v>
          </cell>
        </row>
        <row r="115">
          <cell r="A115" t="str">
            <v>REF 110</v>
          </cell>
        </row>
        <row r="116">
          <cell r="A116" t="str">
            <v>REF 111</v>
          </cell>
        </row>
        <row r="117">
          <cell r="A117" t="str">
            <v>REF 112</v>
          </cell>
        </row>
        <row r="118">
          <cell r="A118" t="str">
            <v>REF 113</v>
          </cell>
        </row>
        <row r="119">
          <cell r="A119" t="str">
            <v>REF 114</v>
          </cell>
        </row>
        <row r="120">
          <cell r="A120" t="str">
            <v>REF 115</v>
          </cell>
        </row>
        <row r="121">
          <cell r="A121" t="str">
            <v>REF 116</v>
          </cell>
        </row>
        <row r="122">
          <cell r="A122" t="str">
            <v>REF 117</v>
          </cell>
        </row>
        <row r="123">
          <cell r="A123" t="str">
            <v>REF 118</v>
          </cell>
        </row>
        <row r="124">
          <cell r="A124" t="str">
            <v>REF 119</v>
          </cell>
        </row>
        <row r="125">
          <cell r="A125" t="str">
            <v>REF 120</v>
          </cell>
        </row>
        <row r="126">
          <cell r="A126" t="str">
            <v>REF 121</v>
          </cell>
        </row>
        <row r="127">
          <cell r="A127" t="str">
            <v>REF 122</v>
          </cell>
        </row>
        <row r="128">
          <cell r="A128" t="str">
            <v>REF 123</v>
          </cell>
        </row>
        <row r="129">
          <cell r="A129" t="str">
            <v>REF 124</v>
          </cell>
        </row>
        <row r="130">
          <cell r="A130" t="str">
            <v>REF 125</v>
          </cell>
        </row>
        <row r="131">
          <cell r="A131" t="str">
            <v>REF 126</v>
          </cell>
        </row>
        <row r="132">
          <cell r="A132" t="str">
            <v>REF 127</v>
          </cell>
        </row>
        <row r="133">
          <cell r="A133" t="str">
            <v>REF 128</v>
          </cell>
        </row>
        <row r="134">
          <cell r="A134" t="str">
            <v>REF 129</v>
          </cell>
        </row>
        <row r="135">
          <cell r="A135" t="str">
            <v>REF 130</v>
          </cell>
        </row>
        <row r="136">
          <cell r="A136" t="str">
            <v>REF 131</v>
          </cell>
        </row>
        <row r="137">
          <cell r="A137" t="str">
            <v>REF 132</v>
          </cell>
        </row>
        <row r="138">
          <cell r="A138" t="str">
            <v>REF 133</v>
          </cell>
        </row>
        <row r="139">
          <cell r="A139" t="str">
            <v>REF 134</v>
          </cell>
        </row>
        <row r="140">
          <cell r="A140" t="str">
            <v>REF 135</v>
          </cell>
        </row>
        <row r="141">
          <cell r="A141" t="str">
            <v>REF 136</v>
          </cell>
        </row>
        <row r="142">
          <cell r="A142" t="str">
            <v>REF 137</v>
          </cell>
        </row>
        <row r="143">
          <cell r="A143" t="str">
            <v>REF 138</v>
          </cell>
        </row>
        <row r="144">
          <cell r="A144" t="str">
            <v>REF 139</v>
          </cell>
        </row>
        <row r="145">
          <cell r="A145" t="str">
            <v>REF 140</v>
          </cell>
        </row>
        <row r="146">
          <cell r="A146" t="str">
            <v>REF 141</v>
          </cell>
        </row>
        <row r="147">
          <cell r="A147" t="str">
            <v>REF 142</v>
          </cell>
        </row>
        <row r="148">
          <cell r="A148" t="str">
            <v>REF 143</v>
          </cell>
        </row>
        <row r="149">
          <cell r="A149" t="str">
            <v>REF 144</v>
          </cell>
        </row>
        <row r="150">
          <cell r="A150" t="str">
            <v>REF 145</v>
          </cell>
        </row>
        <row r="151">
          <cell r="A151" t="str">
            <v>REF 146</v>
          </cell>
        </row>
        <row r="152">
          <cell r="A152" t="str">
            <v>REF 147</v>
          </cell>
        </row>
        <row r="153">
          <cell r="A153" t="str">
            <v>REF 148</v>
          </cell>
        </row>
        <row r="154">
          <cell r="A154" t="str">
            <v>REF 149</v>
          </cell>
        </row>
        <row r="155">
          <cell r="A155" t="str">
            <v>REF 150</v>
          </cell>
        </row>
        <row r="156">
          <cell r="A156" t="str">
            <v>REF 151</v>
          </cell>
        </row>
        <row r="157">
          <cell r="A157" t="str">
            <v>REF 152</v>
          </cell>
        </row>
        <row r="158">
          <cell r="A158" t="str">
            <v>REF 153</v>
          </cell>
        </row>
        <row r="159">
          <cell r="A159" t="str">
            <v>REF 154</v>
          </cell>
        </row>
        <row r="160">
          <cell r="A160" t="str">
            <v>REF 155</v>
          </cell>
        </row>
        <row r="161">
          <cell r="A161" t="str">
            <v>REF 156</v>
          </cell>
        </row>
        <row r="162">
          <cell r="A162" t="str">
            <v>REF 157</v>
          </cell>
        </row>
        <row r="163">
          <cell r="A163" t="str">
            <v>REF 158</v>
          </cell>
        </row>
        <row r="164">
          <cell r="A164" t="str">
            <v>REF 159</v>
          </cell>
        </row>
        <row r="165">
          <cell r="A165" t="str">
            <v>REF 160</v>
          </cell>
        </row>
        <row r="166">
          <cell r="A166" t="str">
            <v>REF 161</v>
          </cell>
        </row>
        <row r="167">
          <cell r="A167" t="str">
            <v>REF 162</v>
          </cell>
        </row>
        <row r="168">
          <cell r="A168" t="str">
            <v>REF 163</v>
          </cell>
        </row>
        <row r="169">
          <cell r="A169" t="str">
            <v>REF 164</v>
          </cell>
        </row>
        <row r="170">
          <cell r="A170" t="str">
            <v>REF 165</v>
          </cell>
        </row>
        <row r="171">
          <cell r="A171" t="str">
            <v>REF 166</v>
          </cell>
        </row>
        <row r="172">
          <cell r="A172" t="str">
            <v>REF 167</v>
          </cell>
        </row>
        <row r="173">
          <cell r="A173" t="str">
            <v>REF 168</v>
          </cell>
        </row>
        <row r="174">
          <cell r="A174" t="str">
            <v>REF 169</v>
          </cell>
        </row>
        <row r="175">
          <cell r="A175" t="str">
            <v>REF 170</v>
          </cell>
        </row>
        <row r="176">
          <cell r="A176" t="str">
            <v>REF 171</v>
          </cell>
        </row>
        <row r="177">
          <cell r="A177" t="str">
            <v>REF 172</v>
          </cell>
        </row>
        <row r="178">
          <cell r="A178" t="str">
            <v>REF 173</v>
          </cell>
        </row>
        <row r="179">
          <cell r="A179" t="str">
            <v>REF 174</v>
          </cell>
        </row>
        <row r="180">
          <cell r="A180" t="str">
            <v>REF 175</v>
          </cell>
        </row>
        <row r="181">
          <cell r="A181" t="str">
            <v>REF 176</v>
          </cell>
        </row>
        <row r="182">
          <cell r="A182" t="str">
            <v>REF 177</v>
          </cell>
        </row>
        <row r="183">
          <cell r="A183" t="str">
            <v>REF 178</v>
          </cell>
        </row>
        <row r="184">
          <cell r="A184" t="str">
            <v>REF 179</v>
          </cell>
        </row>
        <row r="185">
          <cell r="A185" t="str">
            <v>REF 180</v>
          </cell>
        </row>
        <row r="186">
          <cell r="A186" t="str">
            <v>REF 181</v>
          </cell>
        </row>
        <row r="187">
          <cell r="A187" t="str">
            <v>REF 182</v>
          </cell>
        </row>
        <row r="188">
          <cell r="A188" t="str">
            <v>REF 183</v>
          </cell>
        </row>
        <row r="189">
          <cell r="A189" t="str">
            <v>REF 184</v>
          </cell>
        </row>
        <row r="190">
          <cell r="A190" t="str">
            <v>REF 185</v>
          </cell>
        </row>
        <row r="191">
          <cell r="A191" t="str">
            <v>REF 186</v>
          </cell>
        </row>
        <row r="192">
          <cell r="A192" t="str">
            <v>REF 187</v>
          </cell>
        </row>
        <row r="193">
          <cell r="A193" t="str">
            <v>REF 188</v>
          </cell>
        </row>
        <row r="194">
          <cell r="A194" t="str">
            <v>REF 189</v>
          </cell>
        </row>
        <row r="195">
          <cell r="A195" t="str">
            <v>REF 190</v>
          </cell>
        </row>
        <row r="196">
          <cell r="A196" t="str">
            <v>REF 191</v>
          </cell>
        </row>
        <row r="197">
          <cell r="A197" t="str">
            <v>REF 192</v>
          </cell>
        </row>
        <row r="198">
          <cell r="A198" t="str">
            <v>REF 193</v>
          </cell>
        </row>
        <row r="199">
          <cell r="A199" t="str">
            <v>REF 194</v>
          </cell>
        </row>
        <row r="200">
          <cell r="A200" t="str">
            <v>REF 195</v>
          </cell>
        </row>
        <row r="201">
          <cell r="A201" t="str">
            <v>REF 196</v>
          </cell>
        </row>
        <row r="202">
          <cell r="A202" t="str">
            <v>REF 197</v>
          </cell>
        </row>
        <row r="203">
          <cell r="A203" t="str">
            <v>REF 198</v>
          </cell>
        </row>
        <row r="204">
          <cell r="A204" t="str">
            <v>REF 199</v>
          </cell>
        </row>
        <row r="205">
          <cell r="A205" t="str">
            <v>REF 200</v>
          </cell>
        </row>
        <row r="206">
          <cell r="A206" t="str">
            <v>REF 201</v>
          </cell>
        </row>
        <row r="207">
          <cell r="A207" t="str">
            <v>REF 202</v>
          </cell>
        </row>
        <row r="208">
          <cell r="A208" t="str">
            <v>REF 203</v>
          </cell>
        </row>
        <row r="209">
          <cell r="A209" t="str">
            <v>REF 204</v>
          </cell>
        </row>
        <row r="210">
          <cell r="A210" t="str">
            <v>REF 205</v>
          </cell>
        </row>
        <row r="211">
          <cell r="A211" t="str">
            <v>REF 206</v>
          </cell>
        </row>
        <row r="212">
          <cell r="A212" t="str">
            <v>REF 207</v>
          </cell>
        </row>
        <row r="213">
          <cell r="A213" t="str">
            <v>REF 208</v>
          </cell>
        </row>
        <row r="214">
          <cell r="A214" t="str">
            <v>REF 209</v>
          </cell>
        </row>
        <row r="215">
          <cell r="A215" t="str">
            <v>REF 210</v>
          </cell>
        </row>
        <row r="216">
          <cell r="A216" t="str">
            <v>REF 211</v>
          </cell>
        </row>
        <row r="217">
          <cell r="A217" t="str">
            <v>REF 212</v>
          </cell>
        </row>
        <row r="218">
          <cell r="A218" t="str">
            <v>REF 213</v>
          </cell>
        </row>
        <row r="219">
          <cell r="A219" t="str">
            <v>REF 214</v>
          </cell>
        </row>
        <row r="220">
          <cell r="A220" t="str">
            <v>REF 215</v>
          </cell>
        </row>
        <row r="221">
          <cell r="A221" t="str">
            <v>REF 216</v>
          </cell>
        </row>
        <row r="222">
          <cell r="A222" t="str">
            <v>REF 217</v>
          </cell>
        </row>
        <row r="223">
          <cell r="A223" t="str">
            <v>REF 218</v>
          </cell>
        </row>
        <row r="224">
          <cell r="A224" t="str">
            <v>REF 219</v>
          </cell>
        </row>
        <row r="225">
          <cell r="A225" t="str">
            <v>REF 220</v>
          </cell>
        </row>
        <row r="226">
          <cell r="A226" t="str">
            <v>REF 221</v>
          </cell>
        </row>
        <row r="227">
          <cell r="A227" t="str">
            <v>REF 222</v>
          </cell>
        </row>
        <row r="228">
          <cell r="A228" t="str">
            <v>REF 223</v>
          </cell>
        </row>
        <row r="229">
          <cell r="A229" t="str">
            <v>REF 224</v>
          </cell>
        </row>
        <row r="230">
          <cell r="A230" t="str">
            <v>REF 225</v>
          </cell>
        </row>
        <row r="231">
          <cell r="A231" t="str">
            <v>REF 226</v>
          </cell>
        </row>
        <row r="232">
          <cell r="A232" t="str">
            <v>REF 227</v>
          </cell>
        </row>
        <row r="233">
          <cell r="A233" t="str">
            <v>REF 228</v>
          </cell>
        </row>
        <row r="234">
          <cell r="A234" t="str">
            <v>REF 229</v>
          </cell>
        </row>
        <row r="235">
          <cell r="A235" t="str">
            <v>REF 230</v>
          </cell>
        </row>
        <row r="236">
          <cell r="A236" t="str">
            <v>REF 231</v>
          </cell>
        </row>
        <row r="237">
          <cell r="A237" t="str">
            <v>REF 232</v>
          </cell>
        </row>
        <row r="238">
          <cell r="A238" t="str">
            <v>REF 233</v>
          </cell>
        </row>
        <row r="239">
          <cell r="A239" t="str">
            <v>REF 234</v>
          </cell>
        </row>
        <row r="240">
          <cell r="A240" t="str">
            <v>REF 235</v>
          </cell>
        </row>
        <row r="241">
          <cell r="A241" t="str">
            <v>REF 236</v>
          </cell>
        </row>
        <row r="242">
          <cell r="A242" t="str">
            <v>REF 237</v>
          </cell>
        </row>
        <row r="243">
          <cell r="A243" t="str">
            <v>REF 238</v>
          </cell>
        </row>
        <row r="244">
          <cell r="A244" t="str">
            <v>REF 239</v>
          </cell>
        </row>
        <row r="245">
          <cell r="A245" t="str">
            <v>REF 240</v>
          </cell>
        </row>
        <row r="246">
          <cell r="A246" t="str">
            <v>REF 241</v>
          </cell>
        </row>
        <row r="247">
          <cell r="A247" t="str">
            <v>REF 242</v>
          </cell>
        </row>
        <row r="248">
          <cell r="A248" t="str">
            <v>REF 243</v>
          </cell>
        </row>
        <row r="249">
          <cell r="A249" t="str">
            <v>REF 244</v>
          </cell>
        </row>
        <row r="250">
          <cell r="A250" t="str">
            <v>REF 245</v>
          </cell>
        </row>
        <row r="251">
          <cell r="A251" t="str">
            <v>REF 246</v>
          </cell>
        </row>
        <row r="252">
          <cell r="A252" t="str">
            <v>REF 247</v>
          </cell>
        </row>
        <row r="253">
          <cell r="A253" t="str">
            <v>REF 248</v>
          </cell>
        </row>
        <row r="254">
          <cell r="A254" t="str">
            <v>REF 249</v>
          </cell>
        </row>
        <row r="255">
          <cell r="A255" t="str">
            <v>REF 250</v>
          </cell>
        </row>
        <row r="256">
          <cell r="A256" t="str">
            <v>REF 251</v>
          </cell>
        </row>
        <row r="257">
          <cell r="A257" t="str">
            <v>REF 252</v>
          </cell>
        </row>
        <row r="258">
          <cell r="A258" t="str">
            <v>REF 253</v>
          </cell>
        </row>
        <row r="259">
          <cell r="A259" t="str">
            <v>REF 254</v>
          </cell>
        </row>
        <row r="260">
          <cell r="A260" t="str">
            <v>REF 255</v>
          </cell>
        </row>
        <row r="261">
          <cell r="A261" t="str">
            <v>REF 256</v>
          </cell>
        </row>
        <row r="262">
          <cell r="A262" t="str">
            <v>REF 257</v>
          </cell>
        </row>
        <row r="263">
          <cell r="A263" t="str">
            <v>REF 258</v>
          </cell>
        </row>
        <row r="264">
          <cell r="A264" t="str">
            <v>REF 259</v>
          </cell>
        </row>
        <row r="265">
          <cell r="A265" t="str">
            <v>REF 260</v>
          </cell>
        </row>
        <row r="266">
          <cell r="A266" t="str">
            <v>REF 261</v>
          </cell>
        </row>
        <row r="267">
          <cell r="A267" t="str">
            <v>REF 262</v>
          </cell>
        </row>
        <row r="268">
          <cell r="A268" t="str">
            <v>REF 263</v>
          </cell>
        </row>
        <row r="269">
          <cell r="A269" t="str">
            <v>REF 264</v>
          </cell>
        </row>
        <row r="270">
          <cell r="A270" t="str">
            <v>REF 265</v>
          </cell>
        </row>
        <row r="271">
          <cell r="A271" t="str">
            <v>REF 266</v>
          </cell>
        </row>
        <row r="272">
          <cell r="A272" t="str">
            <v>REF 267</v>
          </cell>
        </row>
        <row r="273">
          <cell r="A273" t="str">
            <v>REF 268</v>
          </cell>
        </row>
        <row r="274">
          <cell r="A274" t="str">
            <v>REF 269</v>
          </cell>
        </row>
        <row r="275">
          <cell r="A275" t="str">
            <v>REF 270</v>
          </cell>
        </row>
        <row r="276">
          <cell r="A276" t="str">
            <v>REF 271</v>
          </cell>
        </row>
        <row r="277">
          <cell r="A277" t="str">
            <v>REF 272</v>
          </cell>
        </row>
        <row r="278">
          <cell r="A278" t="str">
            <v>REF 273</v>
          </cell>
        </row>
        <row r="279">
          <cell r="A279" t="str">
            <v>REF 274</v>
          </cell>
        </row>
        <row r="280">
          <cell r="A280" t="str">
            <v>REF 275</v>
          </cell>
        </row>
        <row r="281">
          <cell r="A281" t="str">
            <v>REF 276</v>
          </cell>
        </row>
        <row r="282">
          <cell r="A282" t="str">
            <v>REF 277</v>
          </cell>
        </row>
        <row r="283">
          <cell r="A283" t="str">
            <v>REF 278</v>
          </cell>
        </row>
        <row r="284">
          <cell r="A284" t="str">
            <v>REF 279</v>
          </cell>
        </row>
        <row r="285">
          <cell r="A285" t="str">
            <v>REF 280</v>
          </cell>
        </row>
        <row r="286">
          <cell r="A286" t="str">
            <v>REF 281</v>
          </cell>
        </row>
        <row r="287">
          <cell r="A287" t="str">
            <v>REF 282</v>
          </cell>
        </row>
        <row r="288">
          <cell r="A288" t="str">
            <v>REF 283</v>
          </cell>
        </row>
        <row r="289">
          <cell r="A289" t="str">
            <v>REF 284</v>
          </cell>
        </row>
        <row r="290">
          <cell r="A290" t="str">
            <v>REF 285</v>
          </cell>
        </row>
        <row r="291">
          <cell r="A291" t="str">
            <v>REF 286</v>
          </cell>
        </row>
        <row r="292">
          <cell r="A292" t="str">
            <v>REF 287</v>
          </cell>
        </row>
        <row r="293">
          <cell r="A293" t="str">
            <v>REF 288</v>
          </cell>
        </row>
        <row r="294">
          <cell r="A294" t="str">
            <v>REF 289</v>
          </cell>
        </row>
        <row r="295">
          <cell r="A295" t="str">
            <v>REF 290</v>
          </cell>
        </row>
        <row r="296">
          <cell r="A296" t="str">
            <v>REF 291</v>
          </cell>
        </row>
        <row r="297">
          <cell r="A297" t="str">
            <v>REF 292</v>
          </cell>
        </row>
        <row r="298">
          <cell r="A298" t="str">
            <v>REF 293</v>
          </cell>
        </row>
        <row r="299">
          <cell r="A299" t="str">
            <v>REF 294</v>
          </cell>
        </row>
        <row r="300">
          <cell r="A300" t="str">
            <v>REF 295</v>
          </cell>
        </row>
        <row r="301">
          <cell r="A301" t="str">
            <v>REF 296</v>
          </cell>
        </row>
        <row r="302">
          <cell r="A302" t="str">
            <v>REF 297</v>
          </cell>
        </row>
        <row r="303">
          <cell r="A303" t="str">
            <v>REF 298</v>
          </cell>
        </row>
        <row r="304">
          <cell r="A304" t="str">
            <v>REF 299</v>
          </cell>
        </row>
        <row r="305">
          <cell r="A305" t="str">
            <v>REF 300</v>
          </cell>
        </row>
        <row r="306">
          <cell r="A306" t="str">
            <v>REF 301</v>
          </cell>
        </row>
        <row r="307">
          <cell r="A307" t="str">
            <v>REF 302</v>
          </cell>
        </row>
        <row r="308">
          <cell r="A308" t="str">
            <v>REF 303</v>
          </cell>
        </row>
        <row r="309">
          <cell r="A309" t="str">
            <v>REF 304</v>
          </cell>
        </row>
        <row r="310">
          <cell r="A310" t="str">
            <v>REF 305</v>
          </cell>
        </row>
        <row r="311">
          <cell r="A311" t="str">
            <v>REF 306</v>
          </cell>
        </row>
        <row r="312">
          <cell r="A312" t="str">
            <v>REF 307</v>
          </cell>
        </row>
        <row r="313">
          <cell r="A313" t="str">
            <v>REF 308</v>
          </cell>
        </row>
        <row r="314">
          <cell r="A314" t="str">
            <v>REF 309</v>
          </cell>
        </row>
        <row r="315">
          <cell r="A315" t="str">
            <v>REF 310</v>
          </cell>
        </row>
        <row r="316">
          <cell r="A316" t="str">
            <v>REF 311</v>
          </cell>
        </row>
        <row r="317">
          <cell r="A317" t="str">
            <v>REF 312</v>
          </cell>
        </row>
        <row r="318">
          <cell r="A318" t="str">
            <v>REF 313</v>
          </cell>
        </row>
        <row r="319">
          <cell r="A319" t="str">
            <v>REF 314</v>
          </cell>
        </row>
        <row r="320">
          <cell r="A320" t="str">
            <v>REF 315</v>
          </cell>
        </row>
        <row r="321">
          <cell r="A321" t="str">
            <v>REF 316</v>
          </cell>
        </row>
        <row r="322">
          <cell r="A322" t="str">
            <v>REF 317</v>
          </cell>
        </row>
        <row r="323">
          <cell r="A323" t="str">
            <v>REF 318</v>
          </cell>
        </row>
        <row r="324">
          <cell r="A324" t="str">
            <v>REF 319</v>
          </cell>
        </row>
        <row r="325">
          <cell r="A325" t="str">
            <v>REF 320</v>
          </cell>
        </row>
        <row r="326">
          <cell r="A326" t="str">
            <v>REF 321</v>
          </cell>
        </row>
        <row r="327">
          <cell r="A327" t="str">
            <v>REF 322</v>
          </cell>
        </row>
        <row r="328">
          <cell r="A328" t="str">
            <v>REF 323</v>
          </cell>
        </row>
        <row r="329">
          <cell r="A329" t="str">
            <v>REF 324</v>
          </cell>
        </row>
        <row r="330">
          <cell r="A330" t="str">
            <v>REF 325</v>
          </cell>
        </row>
        <row r="331">
          <cell r="A331" t="str">
            <v>REF 326</v>
          </cell>
        </row>
        <row r="332">
          <cell r="A332" t="str">
            <v>REF 327</v>
          </cell>
        </row>
        <row r="333">
          <cell r="A333" t="str">
            <v>REF 328</v>
          </cell>
        </row>
        <row r="334">
          <cell r="A334" t="str">
            <v>REF 329</v>
          </cell>
        </row>
        <row r="335">
          <cell r="A335" t="str">
            <v>REF 330</v>
          </cell>
        </row>
        <row r="336">
          <cell r="A336" t="str">
            <v>REF 331</v>
          </cell>
        </row>
        <row r="337">
          <cell r="A337" t="str">
            <v>REF 332</v>
          </cell>
        </row>
        <row r="338">
          <cell r="A338" t="str">
            <v>REF 333</v>
          </cell>
        </row>
        <row r="339">
          <cell r="A339" t="str">
            <v>REF 334</v>
          </cell>
        </row>
        <row r="340">
          <cell r="A340" t="str">
            <v>REF 335</v>
          </cell>
        </row>
        <row r="341">
          <cell r="A341" t="str">
            <v>REF 336</v>
          </cell>
        </row>
        <row r="342">
          <cell r="A342" t="str">
            <v>REF 337</v>
          </cell>
        </row>
        <row r="343">
          <cell r="A343" t="str">
            <v>REF 338</v>
          </cell>
        </row>
        <row r="344">
          <cell r="A344" t="str">
            <v>REF 339</v>
          </cell>
        </row>
        <row r="345">
          <cell r="A345" t="str">
            <v>REF 340</v>
          </cell>
        </row>
        <row r="346">
          <cell r="A346" t="str">
            <v>REF 341</v>
          </cell>
        </row>
        <row r="347">
          <cell r="A347" t="str">
            <v>REF 342</v>
          </cell>
        </row>
        <row r="348">
          <cell r="A348" t="str">
            <v>REF 343</v>
          </cell>
        </row>
        <row r="349">
          <cell r="A349" t="str">
            <v>REF 344</v>
          </cell>
        </row>
        <row r="350">
          <cell r="A350" t="str">
            <v>REF 345</v>
          </cell>
        </row>
        <row r="351">
          <cell r="A351" t="str">
            <v>REF 346</v>
          </cell>
        </row>
        <row r="352">
          <cell r="A352" t="str">
            <v>REF 347</v>
          </cell>
        </row>
        <row r="353">
          <cell r="A353" t="str">
            <v>REF 348</v>
          </cell>
        </row>
        <row r="354">
          <cell r="A354" t="str">
            <v>REF 349</v>
          </cell>
        </row>
        <row r="355">
          <cell r="A355" t="str">
            <v>REF 350</v>
          </cell>
        </row>
        <row r="356">
          <cell r="A356" t="str">
            <v>REF 351</v>
          </cell>
        </row>
        <row r="357">
          <cell r="A357" t="str">
            <v>REF 352</v>
          </cell>
        </row>
        <row r="358">
          <cell r="A358" t="str">
            <v>REF 353</v>
          </cell>
        </row>
        <row r="359">
          <cell r="A359" t="str">
            <v>REF 354</v>
          </cell>
        </row>
        <row r="360">
          <cell r="A360" t="str">
            <v>REF 355</v>
          </cell>
        </row>
        <row r="361">
          <cell r="A361" t="str">
            <v>REF 356</v>
          </cell>
        </row>
        <row r="362">
          <cell r="A362" t="str">
            <v>REF 357</v>
          </cell>
        </row>
        <row r="363">
          <cell r="A363" t="str">
            <v>REF 358</v>
          </cell>
        </row>
        <row r="364">
          <cell r="A364" t="str">
            <v>REF 359</v>
          </cell>
        </row>
        <row r="365">
          <cell r="A365" t="str">
            <v>REF 360</v>
          </cell>
        </row>
        <row r="366">
          <cell r="A366" t="str">
            <v>REF 361</v>
          </cell>
        </row>
        <row r="367">
          <cell r="A367" t="str">
            <v>REF 362</v>
          </cell>
        </row>
        <row r="368">
          <cell r="A368" t="str">
            <v>REF 363</v>
          </cell>
        </row>
        <row r="369">
          <cell r="A369" t="str">
            <v>REF 364</v>
          </cell>
        </row>
        <row r="370">
          <cell r="A370" t="str">
            <v>REF 365</v>
          </cell>
        </row>
        <row r="371">
          <cell r="A371" t="str">
            <v>REF 366</v>
          </cell>
        </row>
        <row r="372">
          <cell r="A372" t="str">
            <v>REF 367</v>
          </cell>
        </row>
        <row r="373">
          <cell r="A373" t="str">
            <v>REF 368</v>
          </cell>
        </row>
        <row r="374">
          <cell r="A374" t="str">
            <v>REF 369</v>
          </cell>
        </row>
        <row r="375">
          <cell r="A375" t="str">
            <v>REF 370</v>
          </cell>
        </row>
        <row r="376">
          <cell r="A376" t="str">
            <v>REF 371</v>
          </cell>
        </row>
        <row r="377">
          <cell r="A377" t="str">
            <v>REF 372</v>
          </cell>
        </row>
        <row r="378">
          <cell r="A378" t="str">
            <v>REF 373</v>
          </cell>
        </row>
        <row r="379">
          <cell r="A379" t="str">
            <v>REF 374</v>
          </cell>
        </row>
        <row r="380">
          <cell r="A380" t="str">
            <v>REF 375</v>
          </cell>
        </row>
        <row r="381">
          <cell r="A381" t="str">
            <v>REF 376</v>
          </cell>
        </row>
        <row r="382">
          <cell r="A382" t="str">
            <v>REF 377</v>
          </cell>
        </row>
        <row r="383">
          <cell r="A383" t="str">
            <v>REF 378</v>
          </cell>
        </row>
        <row r="384">
          <cell r="A384" t="str">
            <v>REF 379</v>
          </cell>
        </row>
        <row r="385">
          <cell r="A385" t="str">
            <v>REF 380</v>
          </cell>
        </row>
        <row r="386">
          <cell r="A386" t="str">
            <v>REF 381</v>
          </cell>
        </row>
        <row r="387">
          <cell r="A387" t="str">
            <v>REF 382</v>
          </cell>
        </row>
        <row r="388">
          <cell r="A388" t="str">
            <v>REF 383</v>
          </cell>
        </row>
        <row r="389">
          <cell r="A389" t="str">
            <v>REF 384</v>
          </cell>
        </row>
        <row r="390">
          <cell r="A390" t="str">
            <v>REF 385</v>
          </cell>
        </row>
        <row r="391">
          <cell r="A391" t="str">
            <v>REF 386</v>
          </cell>
        </row>
        <row r="392">
          <cell r="A392" t="str">
            <v>REF 387</v>
          </cell>
        </row>
        <row r="393">
          <cell r="A393" t="str">
            <v>REF 388</v>
          </cell>
        </row>
        <row r="394">
          <cell r="A394" t="str">
            <v>REF 389</v>
          </cell>
        </row>
        <row r="395">
          <cell r="A395" t="str">
            <v>REF 390</v>
          </cell>
        </row>
        <row r="396">
          <cell r="A396" t="str">
            <v>REF 391</v>
          </cell>
        </row>
        <row r="397">
          <cell r="A397" t="str">
            <v>REF 392</v>
          </cell>
        </row>
        <row r="398">
          <cell r="A398" t="str">
            <v>REF 393</v>
          </cell>
        </row>
        <row r="399">
          <cell r="A399" t="str">
            <v>REF 394</v>
          </cell>
        </row>
        <row r="400">
          <cell r="A400" t="str">
            <v>REF 395</v>
          </cell>
        </row>
        <row r="401">
          <cell r="A401" t="str">
            <v>REF 396</v>
          </cell>
        </row>
        <row r="402">
          <cell r="A402" t="str">
            <v>REF 397</v>
          </cell>
        </row>
        <row r="403">
          <cell r="A403" t="str">
            <v>REF 398</v>
          </cell>
        </row>
        <row r="404">
          <cell r="A404" t="str">
            <v>REF 399</v>
          </cell>
        </row>
        <row r="405">
          <cell r="A405" t="str">
            <v>REF 400</v>
          </cell>
        </row>
      </sheetData>
      <sheetData sheetId="1"/>
      <sheetData sheetId="2"/>
      <sheetData sheetId="3"/>
      <sheetData sheetId="4"/>
      <sheetData sheetId="5"/>
      <sheetData sheetId="6"/>
      <sheetData sheetId="7">
        <row r="2">
          <cell r="Q2" t="str">
            <v>SI</v>
          </cell>
        </row>
        <row r="3">
          <cell r="Q3" t="str">
            <v>NO</v>
          </cell>
        </row>
        <row r="138">
          <cell r="A138" t="str">
            <v>X</v>
          </cell>
        </row>
        <row r="139">
          <cell r="A139" t="str">
            <v>NA</v>
          </cell>
        </row>
        <row r="144">
          <cell r="A144">
            <v>1</v>
          </cell>
        </row>
        <row r="145">
          <cell r="A145">
            <v>0</v>
          </cell>
        </row>
        <row r="146">
          <cell r="A146" t="str">
            <v>NA</v>
          </cell>
        </row>
        <row r="147">
          <cell r="A147" t="str">
            <v>NO</v>
          </cell>
        </row>
        <row r="152">
          <cell r="A152" t="str">
            <v>ACEITE</v>
          </cell>
          <cell r="C152" t="str">
            <v>ABURRÁ</v>
          </cell>
        </row>
        <row r="153">
          <cell r="A153" t="str">
            <v>ACEITE VEGETAL PURO O MEZCLA DE GIRASOL,CANOLA, SOYA O MAÍZ</v>
          </cell>
          <cell r="C153" t="str">
            <v>ABURRÁ / BARY</v>
          </cell>
        </row>
        <row r="154">
          <cell r="A154" t="str">
            <v>AJO</v>
          </cell>
          <cell r="C154" t="str">
            <v>ADEREZOS</v>
          </cell>
        </row>
        <row r="155">
          <cell r="A155" t="str">
            <v>ALBÓNDIGAS DE CARNE DE RES</v>
          </cell>
          <cell r="C155" t="str">
            <v>AGROFRUT</v>
          </cell>
        </row>
        <row r="156">
          <cell r="A156" t="str">
            <v xml:space="preserve">ALBONDIGAS DE CARNE DE RES PRECOCIDA </v>
          </cell>
          <cell r="C156" t="str">
            <v>AGROFRUT ( CANOA)</v>
          </cell>
        </row>
        <row r="157">
          <cell r="A157" t="str">
            <v>ALBÓNDIGAS EN SALSA</v>
          </cell>
          <cell r="C157" t="str">
            <v>AHUMADOS TOTO</v>
          </cell>
        </row>
        <row r="158">
          <cell r="A158" t="str">
            <v>ALBÓNDIGAS EN SALSA BBQ</v>
          </cell>
          <cell r="C158" t="str">
            <v>ALIMENTOS NOA</v>
          </cell>
        </row>
        <row r="159">
          <cell r="A159" t="str">
            <v>ALMOJABANA</v>
          </cell>
          <cell r="C159" t="str">
            <v>ALIMENTOS TOLUIS S.A.S.</v>
          </cell>
        </row>
        <row r="160">
          <cell r="A160" t="str">
            <v>AREPA BLANCA DELGADA</v>
          </cell>
          <cell r="C160" t="str">
            <v xml:space="preserve">ALMA DELEITE </v>
          </cell>
        </row>
        <row r="161">
          <cell r="A161" t="str">
            <v>AREPA BLANCA REDONDA</v>
          </cell>
          <cell r="C161" t="str">
            <v>ALMOJABANAS MUNDIALES</v>
          </cell>
        </row>
        <row r="162">
          <cell r="A162" t="str">
            <v>AREPA DE CHÓCOLO</v>
          </cell>
          <cell r="C162" t="str">
            <v>ALPINA</v>
          </cell>
        </row>
        <row r="163">
          <cell r="A163" t="str">
            <v>AREPA DE CHÓCOLO CON QUESO Y MARGARINA</v>
          </cell>
          <cell r="C163" t="str">
            <v>APANCOL</v>
          </cell>
        </row>
        <row r="164">
          <cell r="A164" t="str">
            <v>AREPA DE QUESO</v>
          </cell>
          <cell r="C164" t="str">
            <v>AREPAS SARY</v>
          </cell>
        </row>
        <row r="165">
          <cell r="A165" t="str">
            <v>AREPA DE QUESO TIPO  TELA</v>
          </cell>
          <cell r="C165" t="str">
            <v>AREPUES</v>
          </cell>
        </row>
        <row r="166">
          <cell r="A166" t="str">
            <v>AREPA DELGADA</v>
          </cell>
          <cell r="C166" t="str">
            <v>AROMA</v>
          </cell>
        </row>
        <row r="167">
          <cell r="A167" t="str">
            <v>AREPA DELGADA DE CHÓCOLO</v>
          </cell>
          <cell r="C167" t="str">
            <v>ARROZ CARIBE S.A</v>
          </cell>
        </row>
        <row r="168">
          <cell r="A168" t="str">
            <v xml:space="preserve">AREPA FRITA </v>
          </cell>
          <cell r="C168" t="str">
            <v>ASTEK</v>
          </cell>
        </row>
        <row r="169">
          <cell r="A169" t="str">
            <v>AREPA REDONDA</v>
          </cell>
          <cell r="C169" t="str">
            <v>AVIFRESCO</v>
          </cell>
        </row>
        <row r="170">
          <cell r="A170" t="str">
            <v>ARROZ</v>
          </cell>
          <cell r="C170" t="str">
            <v>AZTECA</v>
          </cell>
        </row>
        <row r="171">
          <cell r="A171" t="str">
            <v>ARROZ  CON CABELLO DE ÁNGEL</v>
          </cell>
          <cell r="C171" t="str">
            <v>BADIA</v>
          </cell>
        </row>
        <row r="172">
          <cell r="A172" t="str">
            <v>ARROZ BLANCO</v>
          </cell>
          <cell r="C172" t="str">
            <v>BARY</v>
          </cell>
        </row>
        <row r="173">
          <cell r="A173" t="str">
            <v xml:space="preserve">ARROZ BLANCO FORTIFICADO     </v>
          </cell>
          <cell r="C173" t="str">
            <v>BARY / ABURRÁ</v>
          </cell>
        </row>
        <row r="174">
          <cell r="A174" t="str">
            <v>ARROZ CON ESPINACA</v>
          </cell>
          <cell r="C174" t="str">
            <v>BARY / HARDYS</v>
          </cell>
        </row>
        <row r="175">
          <cell r="A175" t="str">
            <v>ARROZ CON LECHE</v>
          </cell>
          <cell r="C175" t="str">
            <v>BARY/HARDYS/ABURRÁ</v>
          </cell>
        </row>
        <row r="176">
          <cell r="A176" t="str">
            <v>ARROZ CON MADURO</v>
          </cell>
          <cell r="C176" t="str">
            <v>BELPAGRIM</v>
          </cell>
        </row>
        <row r="177">
          <cell r="A177" t="str">
            <v>ARROZ CON PIMENTÓN</v>
          </cell>
          <cell r="C177" t="str">
            <v>BETANIA</v>
          </cell>
        </row>
        <row r="178">
          <cell r="A178" t="str">
            <v>ARROZ CON ZANAHORIA</v>
          </cell>
          <cell r="C178" t="str">
            <v>BIMBO</v>
          </cell>
        </row>
        <row r="179">
          <cell r="A179" t="str">
            <v>ARROZ FORTIFICADO</v>
          </cell>
          <cell r="C179" t="str">
            <v>BIMBO DE COLOMBIA</v>
          </cell>
        </row>
        <row r="180">
          <cell r="A180" t="str">
            <v>ARROZ MIXTO</v>
          </cell>
          <cell r="C180" t="str">
            <v>BIOPEC SAS- DEL NECTAR</v>
          </cell>
        </row>
        <row r="181">
          <cell r="A181" t="str">
            <v>ARROZ ROJO</v>
          </cell>
          <cell r="C181" t="str">
            <v>BIZCOCHUELO</v>
          </cell>
        </row>
        <row r="182">
          <cell r="A182" t="str">
            <v xml:space="preserve">ATÚN </v>
          </cell>
          <cell r="C182" t="str">
            <v>BON LIFE - WALTER GIRALDO</v>
          </cell>
        </row>
        <row r="183">
          <cell r="A183" t="str">
            <v>ATUN LOMITO EN AGUA</v>
          </cell>
          <cell r="C183" t="str">
            <v>BRIDGE</v>
          </cell>
        </row>
        <row r="184">
          <cell r="A184" t="str">
            <v>ATÚN LOMITO EN AGUA (PESO DRENADO)</v>
          </cell>
          <cell r="C184" t="str">
            <v>BUEN DIA</v>
          </cell>
        </row>
        <row r="185">
          <cell r="A185" t="str">
            <v>ATÚN SOFRITO</v>
          </cell>
          <cell r="C185" t="str">
            <v>C,I INVERSIONES PENIEL S.A</v>
          </cell>
        </row>
        <row r="186">
          <cell r="A186" t="str">
            <v>AUYAMA</v>
          </cell>
          <cell r="C186" t="str">
            <v>CALYPSO</v>
          </cell>
        </row>
        <row r="187">
          <cell r="A187" t="str">
            <v xml:space="preserve">AVENA </v>
          </cell>
          <cell r="C187" t="str">
            <v>CAMPI</v>
          </cell>
        </row>
        <row r="188">
          <cell r="A188" t="str">
            <v xml:space="preserve">AVENA EN HOJUELAS </v>
          </cell>
          <cell r="C188" t="str">
            <v>CAPUCCINO AL PASO</v>
          </cell>
        </row>
        <row r="189">
          <cell r="A189" t="str">
            <v>AZÚCAR</v>
          </cell>
          <cell r="C189" t="str">
            <v>CARNICOS EXTRA</v>
          </cell>
        </row>
        <row r="190">
          <cell r="A190" t="str">
            <v>AZÚCAR REFINADA</v>
          </cell>
          <cell r="C190" t="str">
            <v>CASABLANCA</v>
          </cell>
        </row>
        <row r="191">
          <cell r="A191" t="str">
            <v>BANANO</v>
          </cell>
          <cell r="C191" t="str">
            <v>CASERITAS</v>
          </cell>
        </row>
        <row r="192">
          <cell r="A192" t="str">
            <v>BANANO MADURO</v>
          </cell>
          <cell r="C192" t="str">
            <v>CASTILLA</v>
          </cell>
        </row>
        <row r="193">
          <cell r="A193" t="str">
            <v>BANANO PELADO</v>
          </cell>
          <cell r="C193" t="str">
            <v>CATALINA</v>
          </cell>
        </row>
        <row r="194">
          <cell r="A194" t="str">
            <v>BANANO PELADO (PESO NETO)</v>
          </cell>
          <cell r="C194" t="str">
            <v>CATALINA / EL TRECE</v>
          </cell>
        </row>
        <row r="195">
          <cell r="A195" t="str">
            <v>BARQUILLO CON CREMA SABOR A CHOCOLATE</v>
          </cell>
          <cell r="C195" t="str">
            <v>CELEMA</v>
          </cell>
        </row>
        <row r="196">
          <cell r="A196" t="str">
            <v>BARRA DE CEREAL CON FRUTAS</v>
          </cell>
          <cell r="C196" t="str">
            <v>CEREALES LA DESPENSA S.A.S</v>
          </cell>
        </row>
        <row r="197">
          <cell r="A197" t="str">
            <v xml:space="preserve">BATIDO DE FRUTA </v>
          </cell>
          <cell r="C197" t="str">
            <v>CEREALES NUTRISER</v>
          </cell>
        </row>
        <row r="198">
          <cell r="A198" t="str">
            <v xml:space="preserve">BEBIDA CHOCOLATADA </v>
          </cell>
          <cell r="C198" t="str">
            <v>CHOCODELI</v>
          </cell>
        </row>
        <row r="199">
          <cell r="A199" t="str">
            <v>BEBIDA CHOCOLATADA FRÍA O CALIENTE</v>
          </cell>
          <cell r="C199" t="str">
            <v>CHOCODELI / CHOCOBOYS</v>
          </cell>
        </row>
        <row r="200">
          <cell r="A200" t="str">
            <v>BISTEC DE CARNE DE RES</v>
          </cell>
          <cell r="C200" t="str">
            <v>CLUB SOCIAL / NABISCO</v>
          </cell>
        </row>
        <row r="201">
          <cell r="A201" t="str">
            <v>BLANQUILLO</v>
          </cell>
          <cell r="C201" t="str">
            <v>COLANTA</v>
          </cell>
        </row>
        <row r="202">
          <cell r="A202" t="str">
            <v>BROWNIE</v>
          </cell>
          <cell r="C202" t="str">
            <v>COLANTA- MONTEFRIO</v>
          </cell>
        </row>
        <row r="203">
          <cell r="A203" t="str">
            <v>BROWNIE DE CHOCOLATE</v>
          </cell>
          <cell r="C203" t="str">
            <v>COLANTA-MONTEFRIO</v>
          </cell>
        </row>
        <row r="204">
          <cell r="A204" t="str">
            <v>BROWNIE DE CHOCOLATE EN FORMA CUADRADA</v>
          </cell>
          <cell r="C204" t="str">
            <v>COLOMBINA</v>
          </cell>
        </row>
        <row r="205">
          <cell r="A205" t="str">
            <v xml:space="preserve">CABELLO DE ANGEL </v>
          </cell>
          <cell r="C205" t="str">
            <v>COLOMBINA / CRAKEÑA</v>
          </cell>
        </row>
        <row r="206">
          <cell r="A206" t="str">
            <v>CAFÉ CON LECHE</v>
          </cell>
          <cell r="C206" t="str">
            <v>COLOMBINA / NUCITA</v>
          </cell>
        </row>
        <row r="207">
          <cell r="A207" t="str">
            <v>CAFÉ INSTANTANEO GRANULADO</v>
          </cell>
          <cell r="C207" t="str">
            <v>COLOMBINA S.A</v>
          </cell>
        </row>
        <row r="208">
          <cell r="A208" t="str">
            <v>CANELA EN POLVO</v>
          </cell>
          <cell r="C208" t="str">
            <v>COLPAGRO</v>
          </cell>
        </row>
        <row r="209">
          <cell r="A209" t="str">
            <v>CARNE DE CERDO DESMECHADA</v>
          </cell>
          <cell r="C209" t="str">
            <v>COMAPAN</v>
          </cell>
        </row>
        <row r="210">
          <cell r="A210" t="str">
            <v>CARNE DE CERDO PIERNA O BRAZO</v>
          </cell>
          <cell r="C210" t="str">
            <v>COMARRICO</v>
          </cell>
        </row>
        <row r="211">
          <cell r="A211" t="str">
            <v>CARNE DE CERDO SOFRITA</v>
          </cell>
          <cell r="C211" t="str">
            <v>COMERCIALIZADORA AGROSIGO S.A.S -CATALAN</v>
          </cell>
        </row>
        <row r="212">
          <cell r="A212" t="str">
            <v>CARNE DE RES</v>
          </cell>
          <cell r="C212" t="str">
            <v>COMESTIBLES DAN</v>
          </cell>
        </row>
        <row r="213">
          <cell r="A213" t="str">
            <v>CARNE DE RES DESMECHADA</v>
          </cell>
          <cell r="C213" t="str">
            <v>COMESTIBLES PATICOS</v>
          </cell>
        </row>
        <row r="214">
          <cell r="A214" t="str">
            <v xml:space="preserve">CARNE DE RES HUEVO DE ALDANA, SOLOMO EXTRANJERO,  </v>
          </cell>
          <cell r="C214" t="str">
            <v>COMPAÑÍA DE GALLETAS NOEL S.A.S</v>
          </cell>
        </row>
        <row r="215">
          <cell r="A215" t="str">
            <v>CARNE DE RES PARA DESMECHAR, PUNTA DE ESPALDILLA O FALDA , POSTA,TABLA.</v>
          </cell>
          <cell r="C215" t="str">
            <v>COMPAÑIA NACIONAL DE CHOCOLATES S.A.S.</v>
          </cell>
        </row>
        <row r="216">
          <cell r="A216" t="str">
            <v>CARNE DE RES SOFRITA</v>
          </cell>
          <cell r="C216" t="str">
            <v>CONDIMAR</v>
          </cell>
        </row>
        <row r="217">
          <cell r="A217" t="str">
            <v xml:space="preserve">CARNE PICADA </v>
          </cell>
          <cell r="C217" t="str">
            <v>CONDITODO</v>
          </cell>
        </row>
        <row r="218">
          <cell r="A218" t="str">
            <v>CAZUELA DE FRÍJOLES</v>
          </cell>
          <cell r="C218" t="str">
            <v>CONDITODO / EL TRECE</v>
          </cell>
        </row>
        <row r="219">
          <cell r="A219" t="str">
            <v>CEBOLLA DE HUEVO BLANCA</v>
          </cell>
          <cell r="C219" t="str">
            <v>COOLECHES S.A.S./ DELIMILK</v>
          </cell>
        </row>
        <row r="220">
          <cell r="A220" t="str">
            <v xml:space="preserve">CEBOLLA JUNCA </v>
          </cell>
          <cell r="C220" t="str">
            <v>COOLECHES SAS (DELIMILK)</v>
          </cell>
        </row>
        <row r="221">
          <cell r="A221" t="str">
            <v>CEBOLLA JUNCA, CEBOLLIN Y CEBOLLA BLANCA</v>
          </cell>
          <cell r="C221" t="str">
            <v>COOPERATIVA COLANTA</v>
          </cell>
        </row>
        <row r="222">
          <cell r="A222" t="str">
            <v>CEBOLLÍN</v>
          </cell>
          <cell r="C222" t="str">
            <v>COOPERATIVA COLANTA LTDA</v>
          </cell>
        </row>
        <row r="223">
          <cell r="A223" t="str">
            <v>CEREAL DE ARROZ TOSTADO CON SABOR A CHOCOLATE ENRIQUECIDO CON VITAMINAS Y MINERALES</v>
          </cell>
          <cell r="C223" t="str">
            <v>CORONA</v>
          </cell>
        </row>
        <row r="224">
          <cell r="A224" t="str">
            <v>CEREAL DE MAIZ EN HOJUELAS AZUCARADO, ENRIQUECIDO CON VITAMINAS Y MINERALES</v>
          </cell>
          <cell r="C224" t="str">
            <v>COSTA RICA</v>
          </cell>
        </row>
        <row r="225">
          <cell r="A225" t="str">
            <v xml:space="preserve">CEREAL DE MAIZ EN HOJUELAS AZUCARADO, SABOR A CHOCOLATE, ENRIQUECIDO CON VITAMINAS Y MINERALES  </v>
          </cell>
          <cell r="C225" t="str">
            <v>CRAKEÑAS</v>
          </cell>
        </row>
        <row r="226">
          <cell r="A226" t="str">
            <v>CEREAL DULCE EN HOJUELAS</v>
          </cell>
          <cell r="C226" t="str">
            <v>DELEITE SALUDABLE</v>
          </cell>
        </row>
        <row r="227">
          <cell r="A227" t="str">
            <v>CEREAL TOSTADO DULCE CON SABOR A CHOCOLATE</v>
          </cell>
          <cell r="C227" t="str">
            <v>DERIVADOS DE LA CAÑA EL HACENDADO</v>
          </cell>
        </row>
        <row r="228">
          <cell r="A228" t="str">
            <v>CEREALES AZUCARADOS DE MAÍZ Y ARROZ</v>
          </cell>
          <cell r="C228" t="str">
            <v>DIANA</v>
          </cell>
        </row>
        <row r="229">
          <cell r="A229" t="str">
            <v>CILANTRO</v>
          </cell>
          <cell r="C229" t="str">
            <v>DIPSA FOOD</v>
          </cell>
        </row>
        <row r="230">
          <cell r="A230" t="str">
            <v>COLOR</v>
          </cell>
          <cell r="C230" t="str">
            <v>DIPSA FOOD S.A.S</v>
          </cell>
        </row>
        <row r="231">
          <cell r="A231" t="str">
            <v>CREMA DE LECHE</v>
          </cell>
          <cell r="C231" t="str">
            <v>DISTRIBUCIONES KASANA S.A.S.</v>
          </cell>
        </row>
        <row r="232">
          <cell r="A232" t="str">
            <v>CREMA DE PAPA</v>
          </cell>
          <cell r="C232" t="str">
            <v>DON SANCHO</v>
          </cell>
        </row>
        <row r="233">
          <cell r="A233" t="str">
            <v>CROISSANT HOJALDRADO</v>
          </cell>
          <cell r="C233" t="str">
            <v>DONAS SWEET</v>
          </cell>
        </row>
        <row r="234">
          <cell r="A234" t="str">
            <v>CROISSANT HOJALDRADO CON MARGARINA Y QUESO</v>
          </cell>
          <cell r="C234" t="str">
            <v>DOÑA BLANCA</v>
          </cell>
        </row>
        <row r="235">
          <cell r="A235" t="str">
            <v>CROISSANT HOJALDRADO CON RELLENO DE CHOCOLATE</v>
          </cell>
          <cell r="C235" t="str">
            <v>DOÑA LUCHA</v>
          </cell>
        </row>
        <row r="236">
          <cell r="A236" t="str">
            <v>CROISSANT HOJALDRADO DE QUESO</v>
          </cell>
          <cell r="C236" t="str">
            <v>DUA RODAS</v>
          </cell>
        </row>
        <row r="237">
          <cell r="A237" t="str">
            <v>CROISSANT INTEGRAL HOJALDRADO DE QUESO</v>
          </cell>
          <cell r="C237" t="str">
            <v xml:space="preserve">DULCES DONAS </v>
          </cell>
        </row>
        <row r="238">
          <cell r="A238" t="str">
            <v>CROQUETA DE ZANAHORIA</v>
          </cell>
          <cell r="C238" t="str">
            <v>DUQUESA/CREMESA CON GIRASOL</v>
          </cell>
        </row>
        <row r="239">
          <cell r="A239" t="str">
            <v>DONA HORNEADA RELLENA DE AREQUIPE</v>
          </cell>
          <cell r="C239" t="str">
            <v>EL BIZCOCHUELO S.A.S</v>
          </cell>
        </row>
        <row r="240">
          <cell r="A240" t="str">
            <v>DONA RELLENA DE AREQUIPE</v>
          </cell>
          <cell r="C240" t="str">
            <v>EL FORTIN</v>
          </cell>
        </row>
        <row r="241">
          <cell r="A241" t="str">
            <v>ENSALADA DE FRUTAS</v>
          </cell>
          <cell r="C241" t="str">
            <v>EL HACENDADO</v>
          </cell>
        </row>
        <row r="242">
          <cell r="A242" t="str">
            <v>ENSALADA DE PAPA</v>
          </cell>
          <cell r="C242" t="str">
            <v>EL RANCHERO</v>
          </cell>
        </row>
        <row r="243">
          <cell r="A243" t="str">
            <v>ENSALADA DULCE</v>
          </cell>
          <cell r="C243" t="str">
            <v>EL TRECE</v>
          </cell>
        </row>
        <row r="244">
          <cell r="A244" t="str">
            <v>ENSALADA FRESCA</v>
          </cell>
          <cell r="C244" t="str">
            <v>EL ZARZAL</v>
          </cell>
        </row>
        <row r="245">
          <cell r="A245" t="str">
            <v>ENSALADA PARA LA HAMBURGUESA</v>
          </cell>
          <cell r="C245" t="str">
            <v>FEDERAL</v>
          </cell>
        </row>
        <row r="246">
          <cell r="A246" t="str">
            <v>ESENCIA DE VAINILLA</v>
          </cell>
          <cell r="C246" t="str">
            <v>FRIGOCARNES</v>
          </cell>
        </row>
        <row r="247">
          <cell r="A247" t="str">
            <v>ESPAGUETIS</v>
          </cell>
          <cell r="C247" t="str">
            <v>FRUDELCA</v>
          </cell>
        </row>
        <row r="248">
          <cell r="A248" t="str">
            <v>ESPAGUETIS CON ATÚN</v>
          </cell>
          <cell r="C248" t="str">
            <v>FRUTYSABOR</v>
          </cell>
        </row>
        <row r="249">
          <cell r="A249" t="str">
            <v>ESPINACA</v>
          </cell>
          <cell r="C249" t="str">
            <v>GALLETA TOSH  CON SALVADO Y MIEL</v>
          </cell>
        </row>
        <row r="250">
          <cell r="A250" t="str">
            <v>FILETE DE PECHUGA DE POLLO SIN PIEL</v>
          </cell>
          <cell r="C250" t="str">
            <v>GBM</v>
          </cell>
        </row>
        <row r="251">
          <cell r="A251" t="str">
            <v>FRESAS</v>
          </cell>
          <cell r="C251" t="str">
            <v>GOLONDRINAS</v>
          </cell>
        </row>
        <row r="252">
          <cell r="A252" t="str">
            <v>FRIJOL BLANQUILLO</v>
          </cell>
          <cell r="C252" t="str">
            <v>GRECO</v>
          </cell>
        </row>
        <row r="253">
          <cell r="A253" t="str">
            <v>FRIJOL LIMA</v>
          </cell>
          <cell r="C253" t="str">
            <v>HAZ DE OROS</v>
          </cell>
        </row>
        <row r="254">
          <cell r="A254" t="str">
            <v>FRÍJOLES</v>
          </cell>
          <cell r="C254" t="str">
            <v>HORNEADITOS</v>
          </cell>
        </row>
        <row r="255">
          <cell r="A255" t="str">
            <v>FRÍJOLES CON HOGAO</v>
          </cell>
          <cell r="C255" t="str">
            <v>HUEVOS KIKES</v>
          </cell>
        </row>
        <row r="256">
          <cell r="A256" t="str">
            <v>FRUTA ENTERA</v>
          </cell>
          <cell r="C256" t="str">
            <v>HUEVOS ORO</v>
          </cell>
        </row>
        <row r="257">
          <cell r="A257" t="str">
            <v>FRUTA PICADA</v>
          </cell>
          <cell r="C257" t="str">
            <v>HUMBERT</v>
          </cell>
        </row>
        <row r="258">
          <cell r="A258" t="str">
            <v xml:space="preserve">GALLETA DE SAL </v>
          </cell>
          <cell r="C258" t="str">
            <v>INCAUCA</v>
          </cell>
        </row>
        <row r="259">
          <cell r="A259" t="str">
            <v>GALLETA DE SAL CON SABOR A QUESO</v>
          </cell>
          <cell r="C259" t="str">
            <v>INVERSIONES CARNES TORRENTE</v>
          </cell>
        </row>
        <row r="260">
          <cell r="A260" t="str">
            <v>GALLETA DE SAL SABOR NATURAL O QUESO</v>
          </cell>
          <cell r="C260" t="str">
            <v>INVERSIONES PENIEL</v>
          </cell>
        </row>
        <row r="261">
          <cell r="A261" t="str">
            <v>GALLETA MULTICEREAL CON MACADAMIA</v>
          </cell>
          <cell r="C261" t="str">
            <v>JAIME AREPAS</v>
          </cell>
        </row>
        <row r="262">
          <cell r="A262" t="str">
            <v>GALLETA TIPO CRACKER MIEL</v>
          </cell>
          <cell r="C262" t="str">
            <v>JDH (Parmalat)</v>
          </cell>
        </row>
        <row r="263">
          <cell r="A263" t="str">
            <v>GALLETA TIPO CRACKER MULTICEREAL FRUTOS ROJOS</v>
          </cell>
          <cell r="C263" t="str">
            <v>KLIK</v>
          </cell>
        </row>
        <row r="264">
          <cell r="A264" t="str">
            <v>GALLETA TIPO CRAKER MIEL</v>
          </cell>
          <cell r="C264" t="str">
            <v>LA COLINA</v>
          </cell>
        </row>
        <row r="265">
          <cell r="A265" t="str">
            <v>GALLETA TIPO CRAKER MULTICEREAL CON FRUTOS ROJOS</v>
          </cell>
          <cell r="C265" t="str">
            <v>LA CONSTANCIA</v>
          </cell>
        </row>
        <row r="266">
          <cell r="A266" t="str">
            <v>GALLETA WAFFER CUBIERTA CON CHOCOLATE</v>
          </cell>
          <cell r="C266" t="str">
            <v>LA CONSTANCIA / COLOMBINA</v>
          </cell>
        </row>
        <row r="267">
          <cell r="A267" t="str">
            <v>GALLETA WAFFER CUBIERTA DE CHOCOLATE</v>
          </cell>
          <cell r="C267" t="str">
            <v>LA DESPENSA</v>
          </cell>
        </row>
        <row r="268">
          <cell r="A268" t="str">
            <v>GARBANZOS</v>
          </cell>
          <cell r="C268" t="str">
            <v>LA DUQUESA S.A</v>
          </cell>
        </row>
        <row r="269">
          <cell r="A269" t="str">
            <v xml:space="preserve">GARBANZOS GUISADOS </v>
          </cell>
          <cell r="C269" t="str">
            <v>LA FINCA</v>
          </cell>
        </row>
        <row r="270">
          <cell r="A270" t="str">
            <v>GOULASH DE RES</v>
          </cell>
          <cell r="C270" t="str">
            <v>LA FONTANA</v>
          </cell>
        </row>
        <row r="271">
          <cell r="A271" t="str">
            <v>GRANADILLA</v>
          </cell>
          <cell r="C271" t="str">
            <v>LA NEVADA</v>
          </cell>
        </row>
        <row r="272">
          <cell r="A272" t="str">
            <v>GRANOLA</v>
          </cell>
          <cell r="C272" t="str">
            <v>LA NIEVE</v>
          </cell>
        </row>
        <row r="273">
          <cell r="A273" t="str">
            <v>GUAYABA</v>
          </cell>
          <cell r="C273" t="str">
            <v>LA SOBERANA</v>
          </cell>
        </row>
        <row r="274">
          <cell r="A274" t="str">
            <v>GUAYABA PINTONA (FRUTA)</v>
          </cell>
          <cell r="C274" t="str">
            <v>LACTEOS BETANIA</v>
          </cell>
        </row>
        <row r="275">
          <cell r="A275" t="str">
            <v>HABICHUELA</v>
          </cell>
          <cell r="C275" t="str">
            <v>LACTEOS EL RANCHERO</v>
          </cell>
        </row>
        <row r="276">
          <cell r="A276" t="str">
            <v>HAMBURGUESA DE CARNE DE RES</v>
          </cell>
          <cell r="C276" t="str">
            <v>LACTEOS IDEAL</v>
          </cell>
        </row>
        <row r="277">
          <cell r="A277" t="str">
            <v>HARINA DE TRIGO</v>
          </cell>
          <cell r="C277" t="str">
            <v>LACTEOS NUTRISER</v>
          </cell>
        </row>
        <row r="278">
          <cell r="A278" t="str">
            <v>HARINA DE TRIGO FORTIFICADA</v>
          </cell>
          <cell r="C278" t="str">
            <v>LACTEOS RIONEGRO</v>
          </cell>
        </row>
        <row r="279">
          <cell r="A279" t="str">
            <v>HOGAO</v>
          </cell>
          <cell r="C279" t="str">
            <v>LACTEOS Y CONGELADOS IDEAL</v>
          </cell>
        </row>
        <row r="280">
          <cell r="A280" t="str">
            <v>HUEVO  DE GALLINA</v>
          </cell>
          <cell r="C280" t="str">
            <v>LACTEOS Y CONGELADOS IDEAL / DACOTA</v>
          </cell>
        </row>
        <row r="281">
          <cell r="A281" t="str">
            <v>HUEVO COCIDO</v>
          </cell>
          <cell r="C281" t="str">
            <v xml:space="preserve">LACTOLECHE / MIRAMONTE/INDUNILO   </v>
          </cell>
        </row>
        <row r="282">
          <cell r="A282" t="str">
            <v>HUEVO COCIDO CON SAL</v>
          </cell>
          <cell r="C282" t="str">
            <v>LAMB WESTON</v>
          </cell>
        </row>
        <row r="283">
          <cell r="A283" t="str">
            <v>HUEVO DE GALLINA</v>
          </cell>
          <cell r="C283" t="str">
            <v>LAS CASERITAS</v>
          </cell>
        </row>
        <row r="284">
          <cell r="A284" t="str">
            <v>HUEVO REVUELTO</v>
          </cell>
          <cell r="C284" t="str">
            <v>LAS LOLAS</v>
          </cell>
        </row>
        <row r="285">
          <cell r="A285" t="str">
            <v>HUEVO REVUELTO CON ALIÑOS</v>
          </cell>
          <cell r="C285" t="str">
            <v>LISTO EL POLLO</v>
          </cell>
        </row>
        <row r="286">
          <cell r="A286" t="str">
            <v>HUEVOS TIPO A</v>
          </cell>
          <cell r="C286" t="str">
            <v xml:space="preserve">LUKAFE DE LUKER </v>
          </cell>
        </row>
        <row r="287">
          <cell r="A287" t="str">
            <v>JUGO DE FRESA</v>
          </cell>
          <cell r="C287" t="str">
            <v>MANI MOTO</v>
          </cell>
        </row>
        <row r="288">
          <cell r="A288" t="str">
            <v xml:space="preserve">JUGO DE FRUTA </v>
          </cell>
          <cell r="C288" t="str">
            <v>MANITOBA LTDA</v>
          </cell>
        </row>
        <row r="289">
          <cell r="A289" t="str">
            <v>JUGO DE GUANABANA</v>
          </cell>
          <cell r="C289" t="str">
            <v>MANTEL DE CUADROS</v>
          </cell>
        </row>
        <row r="290">
          <cell r="A290" t="str">
            <v>JUGO DE GUAYABA</v>
          </cell>
          <cell r="C290" t="str">
            <v>MANUELITA</v>
          </cell>
        </row>
        <row r="291">
          <cell r="A291" t="str">
            <v>JUGO DE LIMÓN</v>
          </cell>
          <cell r="C291" t="str">
            <v xml:space="preserve">MARINELA </v>
          </cell>
        </row>
        <row r="292">
          <cell r="A292" t="str">
            <v>JUGO DE LULO</v>
          </cell>
          <cell r="C292" t="str">
            <v>MAXI MANIX</v>
          </cell>
        </row>
        <row r="293">
          <cell r="A293" t="str">
            <v>JUGO DE MANDARINA</v>
          </cell>
          <cell r="C293" t="str">
            <v>MEGAMARKET S.A.S</v>
          </cell>
        </row>
        <row r="294">
          <cell r="A294" t="str">
            <v>JUGO DE MANDARINA O NARANJA, 100% FRUTA SIN AZUCAR</v>
          </cell>
          <cell r="C294" t="str">
            <v xml:space="preserve">METOO </v>
          </cell>
        </row>
        <row r="295">
          <cell r="A295" t="str">
            <v>JUGO DE MANGO</v>
          </cell>
          <cell r="C295" t="str">
            <v>MOLINOS DEL ATLANTICO</v>
          </cell>
        </row>
        <row r="296">
          <cell r="A296" t="str">
            <v>JUGO DE MARACUYA</v>
          </cell>
          <cell r="C296" t="str">
            <v>MONTEFRIO</v>
          </cell>
        </row>
        <row r="297">
          <cell r="A297" t="str">
            <v>JUGO DE MORA</v>
          </cell>
          <cell r="C297" t="str">
            <v>MONTEFRIO / COOPERATIVA COLANTA</v>
          </cell>
        </row>
        <row r="298">
          <cell r="A298" t="str">
            <v>JUGO DE PIÑA</v>
          </cell>
          <cell r="C298" t="str">
            <v>MOUNTAIN FOOD</v>
          </cell>
        </row>
        <row r="299">
          <cell r="A299" t="str">
            <v>JUGO DE TOMATE DE ARBOL</v>
          </cell>
          <cell r="C299" t="str">
            <v>NACIONAL DE CHOCOLATES</v>
          </cell>
        </row>
        <row r="300">
          <cell r="A300" t="str">
            <v>JUGO DE UVA</v>
          </cell>
          <cell r="C300" t="str">
            <v>NATIO</v>
          </cell>
        </row>
        <row r="301">
          <cell r="A301" t="str">
            <v>JUGO MIX DE PIÑA Y FRESA</v>
          </cell>
          <cell r="C301" t="str">
            <v>NATURANJA</v>
          </cell>
        </row>
        <row r="302">
          <cell r="A302" t="str">
            <v>JUGO NATURAL DE MANDARINA 100% FRUTA SIN AZÚCAR</v>
          </cell>
          <cell r="C302" t="str">
            <v>NEBRASKA</v>
          </cell>
        </row>
        <row r="303">
          <cell r="A303" t="str">
            <v>JUGO NATURAL DE MANDARINA O NARANJA</v>
          </cell>
          <cell r="C303" t="str">
            <v>NESTLE® Y/O FITNESS®</v>
          </cell>
        </row>
        <row r="304">
          <cell r="A304" t="str">
            <v>JUGO NATURAL DE NARANJA 100% FRUTA SIN AZÚCAR</v>
          </cell>
          <cell r="C304" t="str">
            <v>NOVAPAN</v>
          </cell>
        </row>
        <row r="305">
          <cell r="A305" t="str">
            <v xml:space="preserve">LECHE  DE VACA ENTERA EN POLVO      </v>
          </cell>
          <cell r="C305" t="str">
            <v>NUCITA</v>
          </cell>
        </row>
        <row r="306">
          <cell r="A306" t="str">
            <v>LECHE CHOCOLATADA</v>
          </cell>
          <cell r="C306" t="str">
            <v>NUTRISER</v>
          </cell>
        </row>
        <row r="307">
          <cell r="A307" t="str">
            <v>LECHE CONDENSADA</v>
          </cell>
          <cell r="C307" t="str">
            <v>NUTRISER (NATULPAN)</v>
          </cell>
        </row>
        <row r="308">
          <cell r="A308" t="str">
            <v>LECHE EN POLVO ENTERA</v>
          </cell>
          <cell r="C308" t="str">
            <v>OLEO EXPRESS</v>
          </cell>
        </row>
        <row r="309">
          <cell r="A309" t="str">
            <v xml:space="preserve">LECHE LÍQUIDA </v>
          </cell>
          <cell r="C309" t="str">
            <v>PEPSICO ALIMENTOS COLOMBIA  LTDA</v>
          </cell>
        </row>
        <row r="310">
          <cell r="A310" t="str">
            <v xml:space="preserve">LECHE LIQUIDA ENTERA </v>
          </cell>
          <cell r="C310" t="str">
            <v>PERMAN</v>
          </cell>
        </row>
        <row r="311">
          <cell r="A311" t="str">
            <v>LECHE LIQUIDA ENTERA DE VACA</v>
          </cell>
          <cell r="C311" t="str">
            <v>PHILIPPE PASTELERIA SAS</v>
          </cell>
        </row>
        <row r="312">
          <cell r="A312" t="str">
            <v>LECHE LIQUIDA ENTERA DE VACA  UHT UND X 1000 CC</v>
          </cell>
          <cell r="C312" t="str">
            <v xml:space="preserve">PIAZZA </v>
          </cell>
        </row>
        <row r="313">
          <cell r="A313" t="str">
            <v>LECHE LIQUIDA ENTERA DE VACA SABORIZADA CON CHOCOLATE</v>
          </cell>
          <cell r="C313" t="str">
            <v>PRACTIPULPA</v>
          </cell>
        </row>
        <row r="314">
          <cell r="A314" t="str">
            <v xml:space="preserve">LECHE LIQUIDA ENTERA DE VACA SABORIZADA CON FRESA </v>
          </cell>
          <cell r="C314" t="str">
            <v>PRACTIS</v>
          </cell>
        </row>
        <row r="315">
          <cell r="A315" t="str">
            <v>LECHE LIQUIDA ENTERA DE VACA SABORIZADA CON FRESA - UHT</v>
          </cell>
          <cell r="C315" t="str">
            <v>PROALIMENTOS LIBER SAS</v>
          </cell>
        </row>
        <row r="316">
          <cell r="A316" t="str">
            <v>LECHE LIQUIDA ENTERA DE VACA SABORIZADA CON VAINILLA</v>
          </cell>
          <cell r="C316" t="str">
            <v>PROD. LACTEOS AURA S.A</v>
          </cell>
        </row>
        <row r="317">
          <cell r="A317" t="str">
            <v>LECHE LIQUIDA ENTERA DE VACA SABORIZADA CON VAINILLA - UHT</v>
          </cell>
          <cell r="C317" t="str">
            <v>PRODUCTOS EL CARIBE</v>
          </cell>
        </row>
        <row r="318">
          <cell r="A318" t="str">
            <v>LECHE LIQUIDA ENTERA DE VACA SABORIZADA UHT UND X 200</v>
          </cell>
          <cell r="C318" t="str">
            <v>PRODUCTOS HUMBERPAN</v>
          </cell>
        </row>
        <row r="319">
          <cell r="A319" t="str">
            <v>LECHE LIQUIDA ENTERA DE VACA- UHT</v>
          </cell>
          <cell r="C319" t="str">
            <v>PRODUCTOS RAMO</v>
          </cell>
        </row>
        <row r="320">
          <cell r="A320" t="str">
            <v>LECHE LIQUIDA ENTERA DE VACA UND X 200 CC</v>
          </cell>
          <cell r="C320" t="str">
            <v>PROLINCO</v>
          </cell>
        </row>
        <row r="321">
          <cell r="A321" t="str">
            <v>LECHE LIQUIDA ENTERA DE VACA, BOLSA X 200 CC</v>
          </cell>
          <cell r="C321" t="str">
            <v>PRONALCE S.A</v>
          </cell>
        </row>
        <row r="322">
          <cell r="A322" t="str">
            <v>LECHE LIQUIDA ENTERA DE VACA, SABORIZADA UND X 200 CC</v>
          </cell>
          <cell r="C322" t="str">
            <v>PRONALCE S.A- CHOCOTOM</v>
          </cell>
        </row>
        <row r="323">
          <cell r="A323" t="str">
            <v>LECHE LIQUIDA ENTERA NATURAL Y SABORIZADA</v>
          </cell>
          <cell r="C323" t="str">
            <v>PRONALSE DEL SUR</v>
          </cell>
        </row>
        <row r="324">
          <cell r="A324" t="str">
            <v>LECHE LÍQUIDA ENTERA SABORIZADA</v>
          </cell>
          <cell r="C324" t="str">
            <v>PRONATURAL FOODS</v>
          </cell>
        </row>
        <row r="325">
          <cell r="A325" t="str">
            <v>LECHE LIQUIDA ENTERA UHT</v>
          </cell>
          <cell r="C325" t="str">
            <v>PRONUT</v>
          </cell>
        </row>
        <row r="326">
          <cell r="A326" t="str">
            <v>LECHE LIQUIDA SABORIZADA</v>
          </cell>
          <cell r="C326" t="str">
            <v>RAMA</v>
          </cell>
        </row>
        <row r="327">
          <cell r="A327" t="str">
            <v>LECHE LIQUIDA UHT</v>
          </cell>
          <cell r="C327" t="str">
            <v>REFISAL</v>
          </cell>
        </row>
        <row r="328">
          <cell r="A328" t="str">
            <v>LENTEJA</v>
          </cell>
          <cell r="C328" t="str">
            <v xml:space="preserve">REFISAL / DOÑA BLANCA </v>
          </cell>
        </row>
        <row r="329">
          <cell r="A329" t="str">
            <v>LENTEJAS GUISADAS</v>
          </cell>
          <cell r="C329" t="str">
            <v>RICOLAC</v>
          </cell>
        </row>
        <row r="330">
          <cell r="A330" t="str">
            <v>LULO</v>
          </cell>
          <cell r="C330" t="str">
            <v>RICOLIN</v>
          </cell>
        </row>
        <row r="331">
          <cell r="A331" t="str">
            <v>MAÍZ TIERNO</v>
          </cell>
          <cell r="C331" t="str">
            <v>RIOPAILA</v>
          </cell>
        </row>
        <row r="332">
          <cell r="A332" t="str">
            <v>MANDARINA</v>
          </cell>
          <cell r="C332" t="str">
            <v>ROA</v>
          </cell>
        </row>
        <row r="333">
          <cell r="A333" t="str">
            <v>MANGO  TOMMY MADURO</v>
          </cell>
          <cell r="C333" t="str">
            <v>SAN AMBROSIO</v>
          </cell>
        </row>
        <row r="334">
          <cell r="A334" t="str">
            <v>MANGO MADURO</v>
          </cell>
          <cell r="C334" t="str">
            <v>SAN VALENTIN / QUÍMICA AROMÁTICA ANDINA</v>
          </cell>
        </row>
        <row r="335">
          <cell r="A335" t="str">
            <v>MANGO PINTON</v>
          </cell>
          <cell r="C335" t="str">
            <v>SANTA ANITA NAPOLES</v>
          </cell>
        </row>
        <row r="336">
          <cell r="A336" t="str">
            <v>MANGO TOMMY PINTÓN</v>
          </cell>
          <cell r="C336" t="str">
            <v>SANTA FRUTA</v>
          </cell>
        </row>
        <row r="337">
          <cell r="A337" t="str">
            <v xml:space="preserve">MANI  CUBIERTO DE CHOCOLATE </v>
          </cell>
          <cell r="C337" t="str">
            <v>SANTA RITA</v>
          </cell>
        </row>
        <row r="338">
          <cell r="A338" t="str">
            <v>MANI CON COBERTURA CRUJIENTE SALADO</v>
          </cell>
          <cell r="C338" t="str">
            <v>SELECTA COMPAÑÍA DE CEREALES</v>
          </cell>
        </row>
        <row r="339">
          <cell r="A339" t="str">
            <v>MANÍ CON COBERTURA CRUJIENTE SALADO</v>
          </cell>
          <cell r="C339" t="str">
            <v>SERVIHUEVO</v>
          </cell>
        </row>
        <row r="340">
          <cell r="A340" t="str">
            <v>MANI CONFITADO</v>
          </cell>
          <cell r="C340" t="str">
            <v>SOBERANA</v>
          </cell>
        </row>
        <row r="341">
          <cell r="A341" t="str">
            <v>MANÍ CONFITADO</v>
          </cell>
          <cell r="C341" t="str">
            <v>SU DESPENSA</v>
          </cell>
        </row>
        <row r="342">
          <cell r="A342" t="str">
            <v>MANÍ CONFITADO Y CUBIERTO CON CHOCOLATE</v>
          </cell>
          <cell r="C342" t="str">
            <v>SUBMARINOS</v>
          </cell>
        </row>
        <row r="343">
          <cell r="A343" t="str">
            <v>MANÍ CRUJIENTE SALADO</v>
          </cell>
          <cell r="C343" t="str">
            <v xml:space="preserve">SUPREMO FORTIFICADO </v>
          </cell>
        </row>
        <row r="344">
          <cell r="A344" t="str">
            <v>MANI CUBIERTO CON CHOCOLATE</v>
          </cell>
          <cell r="C344" t="str">
            <v>SUPREMO FORTIFICADO -UNION DE ARROCEROS</v>
          </cell>
        </row>
        <row r="345">
          <cell r="A345" t="str">
            <v>MANÍ CUBIERTO CON CHOCOLATE</v>
          </cell>
          <cell r="C345" t="str">
            <v>SUSANITA</v>
          </cell>
        </row>
        <row r="346">
          <cell r="A346" t="str">
            <v>MANI CUBIERTO DE CHOCOLATE</v>
          </cell>
          <cell r="C346" t="str">
            <v xml:space="preserve">TIA MIMA </v>
          </cell>
        </row>
        <row r="347">
          <cell r="A347" t="str">
            <v>MANÍ SALADO</v>
          </cell>
          <cell r="C347" t="str">
            <v xml:space="preserve">TOMMY </v>
          </cell>
        </row>
        <row r="348">
          <cell r="A348" t="str">
            <v>MANZANA</v>
          </cell>
          <cell r="C348" t="str">
            <v>TOSH-NOEL</v>
          </cell>
        </row>
        <row r="349">
          <cell r="A349" t="str">
            <v>MARACUYA</v>
          </cell>
          <cell r="C349" t="str">
            <v>TRADER FOODS</v>
          </cell>
        </row>
        <row r="350">
          <cell r="A350" t="str">
            <v>MARGARINA</v>
          </cell>
          <cell r="C350" t="str">
            <v>TRIDER FOODS</v>
          </cell>
        </row>
        <row r="351">
          <cell r="A351" t="str">
            <v>MARGARINA SUAVE DE MESA</v>
          </cell>
          <cell r="C351" t="str">
            <v>TUNEZ</v>
          </cell>
        </row>
        <row r="352">
          <cell r="A352" t="str">
            <v>MAYONESA</v>
          </cell>
          <cell r="C352" t="str">
            <v>TURKY</v>
          </cell>
        </row>
        <row r="353">
          <cell r="A353" t="str">
            <v>MELON</v>
          </cell>
          <cell r="C353" t="str">
            <v>TURKY/MILENIUM</v>
          </cell>
        </row>
        <row r="354">
          <cell r="A354" t="str">
            <v>MEZCLA DE FRUTOS SECOS</v>
          </cell>
          <cell r="C354" t="str">
            <v>VITAMAR</v>
          </cell>
        </row>
        <row r="355">
          <cell r="A355" t="str">
            <v>MEZCLA DE FRUTOS SECOS (maní salado, maíz tostado y uva pasa)</v>
          </cell>
          <cell r="C355" t="str">
            <v>ZAFRAN</v>
          </cell>
        </row>
        <row r="356">
          <cell r="A356" t="str">
            <v>MEZCLA DE MANÍ SALADO, MAÍZ TOSTADO Y UVA PASA</v>
          </cell>
          <cell r="C356" t="str">
            <v>ZONIA</v>
          </cell>
        </row>
        <row r="357">
          <cell r="A357" t="str">
            <v>MIEL DE ABEJA</v>
          </cell>
        </row>
        <row r="358">
          <cell r="A358" t="str">
            <v>MINI CROISSANT</v>
          </cell>
        </row>
        <row r="359">
          <cell r="A359" t="str">
            <v>MINI CROISSANT HOJALDRADO</v>
          </cell>
        </row>
        <row r="360">
          <cell r="A360" t="str">
            <v>MORA</v>
          </cell>
        </row>
        <row r="361">
          <cell r="A361" t="str">
            <v>MORTADELA JAMONADA</v>
          </cell>
        </row>
        <row r="362">
          <cell r="A362" t="str">
            <v>MOSTANEZA</v>
          </cell>
        </row>
        <row r="363">
          <cell r="A363" t="str">
            <v>MOSTAZA</v>
          </cell>
        </row>
        <row r="364">
          <cell r="A364" t="str">
            <v>MUFFIN INTEGRAL CON SABOR A COCO</v>
          </cell>
        </row>
        <row r="365">
          <cell r="A365" t="str">
            <v>MURRAPO</v>
          </cell>
        </row>
        <row r="366">
          <cell r="A366" t="str">
            <v>NACHO DE MAIZ</v>
          </cell>
        </row>
        <row r="367">
          <cell r="A367" t="str">
            <v>NARANJA</v>
          </cell>
        </row>
        <row r="368">
          <cell r="A368" t="str">
            <v>PALO HOJALDRADO DE QUESO</v>
          </cell>
        </row>
        <row r="369">
          <cell r="A369" t="str">
            <v>PAN BLANCO TAJADO</v>
          </cell>
        </row>
        <row r="370">
          <cell r="A370" t="str">
            <v>PAN DANES</v>
          </cell>
        </row>
        <row r="371">
          <cell r="A371" t="str">
            <v>PAN DULCE RELLENO CON AREQUIPE</v>
          </cell>
        </row>
        <row r="372">
          <cell r="A372" t="str">
            <v>PAN HAMBURGUESA</v>
          </cell>
        </row>
        <row r="373">
          <cell r="A373" t="str">
            <v>PAN HAMBURGUESA, PAN DANÉS</v>
          </cell>
        </row>
        <row r="374">
          <cell r="A374" t="str">
            <v xml:space="preserve">PAN MANTEQUILLA </v>
          </cell>
        </row>
        <row r="375">
          <cell r="A375" t="str">
            <v>PAN MANTEQUILLA REDONDO</v>
          </cell>
        </row>
        <row r="376">
          <cell r="A376" t="str">
            <v>PAN TAJADO BLANCO</v>
          </cell>
        </row>
        <row r="377">
          <cell r="A377" t="str">
            <v>PANDEBONO</v>
          </cell>
        </row>
        <row r="378">
          <cell r="A378" t="str">
            <v>PANDEQUESO</v>
          </cell>
        </row>
        <row r="379">
          <cell r="A379" t="str">
            <v>PANELA</v>
          </cell>
        </row>
        <row r="380">
          <cell r="A380" t="str">
            <v>PAPA CAPIRA</v>
          </cell>
        </row>
        <row r="381">
          <cell r="A381" t="str">
            <v>PAPA CAPIRA CON CÁSCARA</v>
          </cell>
        </row>
        <row r="382">
          <cell r="A382" t="str">
            <v>PAPA CAPIRA PELADA</v>
          </cell>
        </row>
        <row r="383">
          <cell r="A383" t="str">
            <v>PAPA CHORRIADA</v>
          </cell>
        </row>
        <row r="384">
          <cell r="A384" t="str">
            <v xml:space="preserve">PAPA COCIDA </v>
          </cell>
        </row>
        <row r="385">
          <cell r="A385" t="str">
            <v>PAPA CRIOLLA</v>
          </cell>
        </row>
        <row r="386">
          <cell r="A386" t="str">
            <v>PAPA CRIOLLA CON CÁSCARA</v>
          </cell>
        </row>
        <row r="387">
          <cell r="A387" t="str">
            <v>PAPA CRIOLLA FRITA</v>
          </cell>
        </row>
        <row r="388">
          <cell r="A388" t="str">
            <v>PAPA SALTEADA</v>
          </cell>
        </row>
        <row r="389">
          <cell r="A389" t="str">
            <v>PAPAS  A LA FRANCESA</v>
          </cell>
        </row>
        <row r="390">
          <cell r="A390" t="str">
            <v>PAPAS CRIOLLAS FRITAS</v>
          </cell>
        </row>
        <row r="391">
          <cell r="A391" t="str">
            <v>PAPAYA</v>
          </cell>
        </row>
        <row r="392">
          <cell r="A392" t="str">
            <v>PAPAYUELA</v>
          </cell>
        </row>
        <row r="393">
          <cell r="A393" t="str">
            <v xml:space="preserve">PAPAYUELA O PAPAYA </v>
          </cell>
        </row>
        <row r="394">
          <cell r="A394" t="str">
            <v>PASTEL HOJALDRADO DE  GUAYABA</v>
          </cell>
        </row>
        <row r="395">
          <cell r="A395" t="str">
            <v>PASTEL HOJALDRADO DE  QUESO</v>
          </cell>
        </row>
        <row r="396">
          <cell r="A396" t="str">
            <v>PASTEL HOJALDRADO DE AREQUIPE Y QUESO</v>
          </cell>
        </row>
        <row r="397">
          <cell r="A397" t="str">
            <v>PASTEL HOJALDRADO DE GUAYABA</v>
          </cell>
        </row>
        <row r="398">
          <cell r="A398" t="str">
            <v>PASTEL HOJALDRADO DE QUESO</v>
          </cell>
        </row>
        <row r="399">
          <cell r="A399" t="str">
            <v xml:space="preserve">PATACÓN </v>
          </cell>
        </row>
        <row r="400">
          <cell r="A400" t="str">
            <v>PECHUGA DE POLLO SIN MARINAR, SIN PIEL Y EN TROZOS</v>
          </cell>
        </row>
        <row r="401">
          <cell r="A401" t="str">
            <v>PECHUGA DE POLLO SIN PIEL</v>
          </cell>
        </row>
        <row r="402">
          <cell r="A402" t="str">
            <v>PEPINO COHOMBRO</v>
          </cell>
        </row>
        <row r="403">
          <cell r="A403" t="str">
            <v>PERA</v>
          </cell>
        </row>
        <row r="404">
          <cell r="A404" t="str">
            <v>PICADO DE CARNE Y MADURO</v>
          </cell>
        </row>
        <row r="405">
          <cell r="A405" t="str">
            <v>PIERNA DE CERDO</v>
          </cell>
        </row>
        <row r="406">
          <cell r="A406" t="str">
            <v>PIERNA DE CERDO EN SALSA BBQ</v>
          </cell>
        </row>
        <row r="407">
          <cell r="A407" t="str">
            <v>PIERNA O BRAZO DE CERDO</v>
          </cell>
        </row>
        <row r="408">
          <cell r="A408" t="str">
            <v>PIMENTÓN</v>
          </cell>
        </row>
        <row r="409">
          <cell r="A409" t="str">
            <v>PIMENTÓN ROJO</v>
          </cell>
        </row>
        <row r="410">
          <cell r="A410" t="str">
            <v>PIÑA</v>
          </cell>
        </row>
        <row r="411">
          <cell r="A411" t="str">
            <v>PIÑA FRUTA ENTERA</v>
          </cell>
        </row>
        <row r="412">
          <cell r="A412" t="str">
            <v>PIÑA FRUTA ENTERA SIN CORAZÓN</v>
          </cell>
        </row>
        <row r="413">
          <cell r="A413" t="str">
            <v>PIÑA ORO MIEL</v>
          </cell>
        </row>
        <row r="414">
          <cell r="A414" t="str">
            <v>PLÁTANO GUINEO</v>
          </cell>
        </row>
        <row r="415">
          <cell r="A415" t="str">
            <v>PLÁTANO HARTÓN MADURO</v>
          </cell>
        </row>
        <row r="416">
          <cell r="A416" t="str">
            <v>PLATANO HARTÓN VERDE</v>
          </cell>
        </row>
        <row r="417">
          <cell r="A417" t="str">
            <v>PLÁTANO HARTÓN VERDE, PINTÓN O MADURO.</v>
          </cell>
        </row>
        <row r="418">
          <cell r="A418" t="str">
            <v>PLÁTANO HARTÓN VERDE, PINTÓN, MADURO, GUINEO.</v>
          </cell>
        </row>
        <row r="419">
          <cell r="A419" t="str">
            <v>PLÁTANO MADURO CALADO</v>
          </cell>
        </row>
        <row r="420">
          <cell r="A420" t="str">
            <v xml:space="preserve">PLÁTANO MADURO PICADO CON QUESO </v>
          </cell>
        </row>
        <row r="421">
          <cell r="A421" t="str">
            <v>POLLO DESMECHADO</v>
          </cell>
        </row>
        <row r="422">
          <cell r="A422" t="str">
            <v>POLVO DE BIZCOCHO</v>
          </cell>
        </row>
        <row r="423">
          <cell r="A423" t="str">
            <v xml:space="preserve">POLVO INSTANTANEO FORTIFICADO  CON SABOR A CHOCOLATE </v>
          </cell>
        </row>
        <row r="424">
          <cell r="A424" t="str">
            <v>PONQUÉ</v>
          </cell>
        </row>
        <row r="425">
          <cell r="A425" t="str">
            <v xml:space="preserve">PONQUE RELLENO DE CREMA SABOR  A CHOCOLATE </v>
          </cell>
        </row>
        <row r="426">
          <cell r="A426" t="str">
            <v>PULPA DE FRESA</v>
          </cell>
        </row>
        <row r="427">
          <cell r="A427" t="str">
            <v>PULPA DE FRUTA ÁCIDA GRUPO N° 2: MARACUYÁ, TOMATE DE ÁRBOL, MORA, LULO, PIÑA, MANDARINA, FRESA Y UVAS.</v>
          </cell>
        </row>
        <row r="428">
          <cell r="A428" t="str">
            <v>PULPA DE FRUTA DULCE GRUPO N° 1: MANGO, GUAYABA Y GUANÁBANA</v>
          </cell>
        </row>
        <row r="429">
          <cell r="A429" t="str">
            <v>PULPA DE FRUTA DULCE GRUPO N° 1: MANGO, GUAYABA, GUANÁBANA.</v>
          </cell>
        </row>
        <row r="430">
          <cell r="A430" t="str">
            <v xml:space="preserve">PULPA DE GUANÁBANA </v>
          </cell>
        </row>
        <row r="431">
          <cell r="A431" t="str">
            <v xml:space="preserve">PULPAS DE FRUTAS </v>
          </cell>
        </row>
        <row r="432">
          <cell r="A432" t="str">
            <v xml:space="preserve">QUESO BLANCO O CAMPESINO </v>
          </cell>
        </row>
        <row r="433">
          <cell r="A433" t="str">
            <v xml:space="preserve">QUESO BLANCO O CAMPESINO EMPACADO AL VACIO   </v>
          </cell>
        </row>
        <row r="434">
          <cell r="A434" t="str">
            <v>QUESO DULCE O PANELITA DE LECHE</v>
          </cell>
        </row>
        <row r="435">
          <cell r="A435" t="str">
            <v>QUESO MOZARELLA</v>
          </cell>
        </row>
        <row r="436">
          <cell r="A436" t="str">
            <v>QUESO MOZARELLA EN BLOQUE</v>
          </cell>
        </row>
        <row r="437">
          <cell r="A437" t="str">
            <v>QUESO MOZARELLA EN EMPAQUE INDIVIDUAL</v>
          </cell>
        </row>
        <row r="438">
          <cell r="A438" t="str">
            <v>QUESO MOZARELLA EN LONJA</v>
          </cell>
        </row>
        <row r="439">
          <cell r="A439" t="str">
            <v>QUESO MOZZARELLA (EN BLOQUE PARA RAYAR)</v>
          </cell>
        </row>
        <row r="440">
          <cell r="A440" t="str">
            <v>QUESO MOZZARELLA EN EMPAQUE INDIVIDUAL</v>
          </cell>
        </row>
        <row r="441">
          <cell r="A441" t="str">
            <v>QUESO MOZZARELLA EN LONJA</v>
          </cell>
        </row>
        <row r="442">
          <cell r="A442" t="str">
            <v xml:space="preserve">REFRESCO DE AVENA </v>
          </cell>
        </row>
        <row r="443">
          <cell r="A443" t="str">
            <v>REPOLLO BLANCO</v>
          </cell>
        </row>
        <row r="444">
          <cell r="A444" t="str">
            <v>REPOLLO BLANCO Y MORADO</v>
          </cell>
        </row>
        <row r="445">
          <cell r="A445" t="str">
            <v xml:space="preserve">REPOLLO MORADO </v>
          </cell>
        </row>
        <row r="446">
          <cell r="A446" t="str">
            <v>ROSCON DE GUAYABA</v>
          </cell>
        </row>
        <row r="447">
          <cell r="A447" t="str">
            <v>ROSQUILLAS HORNEADAS</v>
          </cell>
        </row>
        <row r="448">
          <cell r="A448" t="str">
            <v>SAL</v>
          </cell>
        </row>
        <row r="449">
          <cell r="A449" t="str">
            <v>SAL YODADA</v>
          </cell>
        </row>
        <row r="450">
          <cell r="A450" t="str">
            <v>SAL YODADA (ARROZ)</v>
          </cell>
        </row>
        <row r="451">
          <cell r="A451" t="str">
            <v>SAL YODADA (CARNE)</v>
          </cell>
        </row>
        <row r="452">
          <cell r="A452" t="str">
            <v>SALSA BARBECUE (BBQ)</v>
          </cell>
        </row>
        <row r="453">
          <cell r="A453" t="str">
            <v>SALSA BBQ</v>
          </cell>
        </row>
        <row r="454">
          <cell r="A454" t="str">
            <v>SALSA DE TOMATE</v>
          </cell>
        </row>
        <row r="455">
          <cell r="A455" t="str">
            <v>SALSA ROSADA</v>
          </cell>
        </row>
        <row r="456">
          <cell r="A456" t="str">
            <v>SANDIA</v>
          </cell>
        </row>
        <row r="457">
          <cell r="A457" t="str">
            <v>SÁNDUCHE DE POLLO</v>
          </cell>
        </row>
        <row r="458">
          <cell r="A458" t="str">
            <v xml:space="preserve">SÁNDWICH DE JAMÓN Y QUESO </v>
          </cell>
        </row>
        <row r="459">
          <cell r="A459" t="str">
            <v>SOPA DE BLANQUILLO</v>
          </cell>
        </row>
        <row r="460">
          <cell r="A460" t="str">
            <v>SOPA DE GUINEO</v>
          </cell>
        </row>
        <row r="461">
          <cell r="A461" t="str">
            <v>SOPA DE PAPA</v>
          </cell>
        </row>
        <row r="462">
          <cell r="A462" t="str">
            <v>SOPA DE VERDURAS</v>
          </cell>
        </row>
        <row r="463">
          <cell r="A463" t="str">
            <v xml:space="preserve">SORBETE DE FRUTA </v>
          </cell>
        </row>
        <row r="464">
          <cell r="A464" t="str">
            <v>SORBETE DE GUANÁBANA</v>
          </cell>
        </row>
        <row r="465">
          <cell r="A465" t="str">
            <v>SORBETE DE GUAYABA</v>
          </cell>
        </row>
        <row r="466">
          <cell r="A466" t="str">
            <v>SUDADO DE POLLO</v>
          </cell>
        </row>
        <row r="467">
          <cell r="A467" t="str">
            <v>TAJADA DE PLÁTANO MADURO</v>
          </cell>
        </row>
        <row r="468">
          <cell r="A468" t="str">
            <v>TAJADA DE PLÁTANO MADURO CON QUESO</v>
          </cell>
        </row>
        <row r="469">
          <cell r="A469" t="str">
            <v>TOMATE CHONTO</v>
          </cell>
        </row>
        <row r="470">
          <cell r="A470" t="str">
            <v>TOMATE CHONTO MADURO</v>
          </cell>
        </row>
        <row r="471">
          <cell r="A471" t="str">
            <v>TOMATE CHONTO PINTÓN</v>
          </cell>
        </row>
        <row r="472">
          <cell r="A472" t="str">
            <v>TOMATE CHONTO PINTÓN EN RODAJA</v>
          </cell>
        </row>
        <row r="473">
          <cell r="A473" t="str">
            <v>TOMATE CHONTO VERDE</v>
          </cell>
        </row>
        <row r="474">
          <cell r="A474" t="str">
            <v>TOMATE DE ALIÑO</v>
          </cell>
        </row>
        <row r="475">
          <cell r="A475" t="str">
            <v>TOMATE DE ARBOL</v>
          </cell>
        </row>
        <row r="476">
          <cell r="A476" t="str">
            <v>TOMATE EN CUBOS</v>
          </cell>
        </row>
        <row r="477">
          <cell r="A477" t="str">
            <v>TOMATE VERDE EN RODAJAS</v>
          </cell>
        </row>
        <row r="478">
          <cell r="A478" t="str">
            <v>TORTA CON SABOR A COCO</v>
          </cell>
        </row>
        <row r="479">
          <cell r="A479" t="str">
            <v>TORTA CON SABOR A LIMÓN</v>
          </cell>
        </row>
        <row r="480">
          <cell r="A480" t="str">
            <v>TORTA CON SABOR A VAINILLA</v>
          </cell>
        </row>
        <row r="481">
          <cell r="A481" t="str">
            <v>TORTA CON SABOR A VAINILLA EN FORMA CUADRADA</v>
          </cell>
        </row>
        <row r="482">
          <cell r="A482" t="str">
            <v>TORTA DE ATÚN</v>
          </cell>
        </row>
        <row r="483">
          <cell r="A483" t="str">
            <v>TORTA DE AUYAMA</v>
          </cell>
        </row>
        <row r="484">
          <cell r="A484" t="str">
            <v>TORTA DE BANANO</v>
          </cell>
        </row>
        <row r="485">
          <cell r="A485" t="str">
            <v xml:space="preserve">TORTA DE CARNE </v>
          </cell>
        </row>
        <row r="486">
          <cell r="A486" t="str">
            <v>TORTA DE CARNE DE RES</v>
          </cell>
        </row>
        <row r="487">
          <cell r="A487" t="str">
            <v>TORTA DE CARNE DE RES PRECOCIDA</v>
          </cell>
        </row>
        <row r="488">
          <cell r="A488" t="str">
            <v>TORTA DE SABOR A COCO</v>
          </cell>
        </row>
        <row r="489">
          <cell r="A489" t="str">
            <v>TORTA DE VAINILLA CON CHIPS DE CHOCOLATE</v>
          </cell>
        </row>
        <row r="490">
          <cell r="A490" t="str">
            <v>TORTA DE VAINILLA CUBIERTA CON CHOCOLATE</v>
          </cell>
        </row>
        <row r="491">
          <cell r="A491" t="str">
            <v xml:space="preserve">TORTA DE VAINILLA VETEADA  CON CHOCOLATE </v>
          </cell>
        </row>
        <row r="492">
          <cell r="A492" t="str">
            <v>TORTA HORNEADA DE BANANO</v>
          </cell>
        </row>
        <row r="493">
          <cell r="A493" t="str">
            <v>TORTA VETEADA DE CHOCOLATE</v>
          </cell>
        </row>
        <row r="494">
          <cell r="A494" t="str">
            <v>TORTAS DE ATÚN</v>
          </cell>
        </row>
        <row r="495">
          <cell r="A495" t="str">
            <v>TORTICAS DE PAPA</v>
          </cell>
        </row>
        <row r="496">
          <cell r="A496" t="str">
            <v>TORTICAS DE PAPA CON QUESO</v>
          </cell>
        </row>
        <row r="497">
          <cell r="A497" t="str">
            <v>UVAS</v>
          </cell>
        </row>
        <row r="498">
          <cell r="A498" t="str">
            <v>VINAGRE DE FRUTAS</v>
          </cell>
        </row>
        <row r="499">
          <cell r="A499" t="str">
            <v>WAFFLE</v>
          </cell>
        </row>
        <row r="500">
          <cell r="A500" t="str">
            <v xml:space="preserve">WAFFLE CALIENTE CON MARGARINA </v>
          </cell>
        </row>
        <row r="501">
          <cell r="A501" t="str">
            <v xml:space="preserve">YOGURT </v>
          </cell>
        </row>
        <row r="502">
          <cell r="A502" t="str">
            <v>YOGURT   NATURAL</v>
          </cell>
        </row>
        <row r="503">
          <cell r="A503" t="str">
            <v>YOGURT   SABOR A FRESA, CON PROBIÓTICOS Y PREBIÓTICOS</v>
          </cell>
        </row>
        <row r="504">
          <cell r="A504" t="str">
            <v>YOGURT  DE FRESA, CON PROBIÓTICOS Y PREBIÓTICOS</v>
          </cell>
        </row>
        <row r="505">
          <cell r="A505" t="str">
            <v>YOGURT  DE FRUTOS ROJOS, CON PROBIÓTICOS Y PREBIÓTICOS</v>
          </cell>
        </row>
        <row r="506">
          <cell r="A506" t="str">
            <v>YOGURT  DE GUANÁBANA, CON PROBIÓTICOS Y PREBIÓTICOS</v>
          </cell>
        </row>
        <row r="507">
          <cell r="A507" t="str">
            <v>YOGURT  DE MELOCOTÓN, CON PROBIÓTICOS Y PREBIÓTICOS</v>
          </cell>
        </row>
        <row r="508">
          <cell r="A508" t="str">
            <v>YOGURT  DE MORA, CON PROBIÓTICOS Y PREBIÓTICOS</v>
          </cell>
        </row>
        <row r="509">
          <cell r="A509" t="str">
            <v>YOGURT  NATURAL, CON PROBIÓTICOS Y PREBIÓTICOS</v>
          </cell>
        </row>
        <row r="510">
          <cell r="A510" t="str">
            <v>YOGURT CON PROBIOTICOS Y PREBIOTICOS NATURAL O SABORIZADO UND X 200</v>
          </cell>
        </row>
        <row r="511">
          <cell r="A511" t="str">
            <v xml:space="preserve">YOGURT CON PROBIOTICOS Y PREBIOTICOS NATURAL O SABORIZADO UND X 200 </v>
          </cell>
        </row>
        <row r="512">
          <cell r="A512" t="str">
            <v>YOGURT GRIEGO</v>
          </cell>
        </row>
        <row r="513">
          <cell r="A513" t="str">
            <v>YOGURT GRIEGO O TIPO GRIEGO CON  PROBIÓTICOS Y PREBIÓTICOS GRUPO # 2</v>
          </cell>
        </row>
        <row r="514">
          <cell r="A514" t="str">
            <v>YOGURT GRIEGO O TIPO GRIEGO CON PROBIÓTICOS Y PREBIÓTICOS GRUPO # 1</v>
          </cell>
        </row>
        <row r="515">
          <cell r="A515" t="str">
            <v>YOGURT GRIEGO O TIPO GRIEGO SABORIZADO</v>
          </cell>
        </row>
        <row r="516">
          <cell r="A516" t="str">
            <v>YOGURT GRIEGO O TIPO GRIEGO YOGURT CON PROBIOTICOS Y PREBIOTICOS SABORIZADO UND X 100</v>
          </cell>
        </row>
        <row r="517">
          <cell r="A517" t="str">
            <v xml:space="preserve">YOGURT GRIEGO O TIPO GRIEGO YOGURT CON PROBIOTICOS Y PREBIOTICOS SABORIZADO UND X 100 </v>
          </cell>
        </row>
        <row r="518">
          <cell r="A518" t="str">
            <v>YOGURT GRIEGO O TIPO GRIEGO, CON PROBIÓTICOS Y PREBIÓTICOS</v>
          </cell>
        </row>
        <row r="519">
          <cell r="A519" t="str">
            <v>YOGURT NATURAL</v>
          </cell>
        </row>
        <row r="520">
          <cell r="A520" t="str">
            <v>YOGURT NATURAL CON PROBIÓTICOS Y PREBIÓTICOS</v>
          </cell>
        </row>
        <row r="521">
          <cell r="A521" t="str">
            <v>YOGURT NATURAL Y SABORIZADO</v>
          </cell>
        </row>
        <row r="522">
          <cell r="A522" t="str">
            <v>YOGURT NATURAL, CON PROBIÓTICOS Y PREBIÓTICOS</v>
          </cell>
        </row>
        <row r="523">
          <cell r="A523" t="str">
            <v>YOGURT SABOR A GUANÁBANA, CON PROBIÓTICOS Y PREBIÓTICOS</v>
          </cell>
        </row>
        <row r="524">
          <cell r="A524" t="str">
            <v>ZANAHORIA</v>
          </cell>
        </row>
      </sheetData>
      <sheetData sheetId="8"/>
      <sheetData sheetId="9"/>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4" displayName="Tabla4" ref="A5:MT6" totalsRowShown="0" headerRowDxfId="415" dataDxfId="413" headerRowBorderDxfId="414" tableBorderDxfId="412" totalsRowBorderDxfId="411">
  <autoFilter ref="A5:MT6" xr:uid="{00000000-0009-0000-0100-000002000000}"/>
  <tableColumns count="358">
    <tableColumn id="2" xr3:uid="{00000000-0010-0000-0000-000002000000}" name="Columna1" dataDxfId="410"/>
    <tableColumn id="3" xr3:uid="{00000000-0010-0000-0000-000003000000}" name="Columna2" dataDxfId="409"/>
    <tableColumn id="4" xr3:uid="{00000000-0010-0000-0000-000004000000}" name="Columna3" dataDxfId="408"/>
    <tableColumn id="574" xr3:uid="{00000000-0010-0000-0000-00003E020000}" name="Columna4" dataDxfId="407"/>
    <tableColumn id="5" xr3:uid="{00000000-0010-0000-0000-000005000000}" name="Columna5" dataDxfId="406"/>
    <tableColumn id="158" xr3:uid="{00000000-0010-0000-0000-00009E000000}" name="Columna6" dataDxfId="405"/>
    <tableColumn id="6" xr3:uid="{00000000-0010-0000-0000-000006000000}" name="Columna7" dataDxfId="404"/>
    <tableColumn id="1" xr3:uid="{C90E78E6-AB51-4E75-A8C9-E54D7392A93D}" name="Columna8" dataDxfId="403"/>
    <tableColumn id="81" xr3:uid="{03725CCF-F790-4832-8E7A-1061CD2805CA}" name="Columna9" dataDxfId="402"/>
    <tableColumn id="80" xr3:uid="{2BF0AE54-AAF3-47F4-A63C-953260CD23D7}" name="Columna10" dataDxfId="401"/>
    <tableColumn id="7" xr3:uid="{00000000-0010-0000-0000-000007000000}" name="Columna11" dataDxfId="400"/>
    <tableColumn id="8" xr3:uid="{00000000-0010-0000-0000-000008000000}" name="Columna12" dataDxfId="399"/>
    <tableColumn id="576" xr3:uid="{00000000-0010-0000-0000-000040020000}" name="Columna13" dataDxfId="398"/>
    <tableColumn id="10" xr3:uid="{00000000-0010-0000-0000-00000A000000}" name="Columna14" dataDxfId="397"/>
    <tableColumn id="575" xr3:uid="{00000000-0010-0000-0000-00003F020000}" name="Columna15" dataDxfId="396"/>
    <tableColumn id="698" xr3:uid="{00000000-0010-0000-0000-0000BA020000}" name="Columna16" dataDxfId="395"/>
    <tableColumn id="699" xr3:uid="{00000000-0010-0000-0000-0000BB020000}" name="Columna17" dataDxfId="394"/>
    <tableColumn id="700" xr3:uid="{00000000-0010-0000-0000-0000BC020000}" name="Columna18" dataDxfId="393"/>
    <tableColumn id="702" xr3:uid="{00000000-0010-0000-0000-0000BE020000}" name="Columna19" dataDxfId="392"/>
    <tableColumn id="701" xr3:uid="{00000000-0010-0000-0000-0000BD020000}" name="Columna20" dataDxfId="391"/>
    <tableColumn id="594" xr3:uid="{00000000-0010-0000-0000-000052020000}" name="Columna21" dataDxfId="390"/>
    <tableColumn id="595" xr3:uid="{00000000-0010-0000-0000-000053020000}" name="Columna22" dataDxfId="389"/>
    <tableColumn id="596" xr3:uid="{00000000-0010-0000-0000-000054020000}" name="Columna23" dataDxfId="388"/>
    <tableColumn id="597" xr3:uid="{00000000-0010-0000-0000-000055020000}" name="Columna24" dataDxfId="387"/>
    <tableColumn id="598" xr3:uid="{00000000-0010-0000-0000-000056020000}" name="Columna25" dataDxfId="386"/>
    <tableColumn id="599" xr3:uid="{00000000-0010-0000-0000-000057020000}" name="Columna26" dataDxfId="385"/>
    <tableColumn id="600" xr3:uid="{00000000-0010-0000-0000-000058020000}" name="Columna27" dataDxfId="384"/>
    <tableColumn id="601" xr3:uid="{00000000-0010-0000-0000-000059020000}" name="Columna28" dataDxfId="383"/>
    <tableColumn id="602" xr3:uid="{00000000-0010-0000-0000-00005A020000}" name="Columna29" dataDxfId="382"/>
    <tableColumn id="603" xr3:uid="{00000000-0010-0000-0000-00005B020000}" name="Columna30" dataDxfId="381"/>
    <tableColumn id="604" xr3:uid="{00000000-0010-0000-0000-00005C020000}" name="Columna31" dataDxfId="380"/>
    <tableColumn id="605" xr3:uid="{00000000-0010-0000-0000-00005D020000}" name="Columna32" dataDxfId="379"/>
    <tableColumn id="606" xr3:uid="{00000000-0010-0000-0000-00005E020000}" name="Columna33" dataDxfId="378"/>
    <tableColumn id="607" xr3:uid="{00000000-0010-0000-0000-00005F020000}" name="Columna34" dataDxfId="377"/>
    <tableColumn id="608" xr3:uid="{00000000-0010-0000-0000-000060020000}" name="Columna35" dataDxfId="376"/>
    <tableColumn id="609" xr3:uid="{00000000-0010-0000-0000-000061020000}" name="Columna36" dataDxfId="375"/>
    <tableColumn id="610" xr3:uid="{00000000-0010-0000-0000-000062020000}" name="Columna37" dataDxfId="374"/>
    <tableColumn id="611" xr3:uid="{00000000-0010-0000-0000-000063020000}" name="Columna38" dataDxfId="373"/>
    <tableColumn id="612" xr3:uid="{00000000-0010-0000-0000-000064020000}" name="Columna39" dataDxfId="372"/>
    <tableColumn id="613" xr3:uid="{00000000-0010-0000-0000-000065020000}" name="Columna40" dataDxfId="371"/>
    <tableColumn id="614" xr3:uid="{00000000-0010-0000-0000-000066020000}" name="Columna41" dataDxfId="370"/>
    <tableColumn id="615" xr3:uid="{00000000-0010-0000-0000-000067020000}" name="Columna42" dataDxfId="369"/>
    <tableColumn id="616" xr3:uid="{00000000-0010-0000-0000-000068020000}" name="Columna43" dataDxfId="368"/>
    <tableColumn id="617" xr3:uid="{00000000-0010-0000-0000-000069020000}" name="Columna44" dataDxfId="367"/>
    <tableColumn id="618" xr3:uid="{00000000-0010-0000-0000-00006A020000}" name="Columna45" dataDxfId="366"/>
    <tableColumn id="619" xr3:uid="{00000000-0010-0000-0000-00006B020000}" name="Columna46" dataDxfId="365"/>
    <tableColumn id="620" xr3:uid="{00000000-0010-0000-0000-00006C020000}" name="Columna47" dataDxfId="364"/>
    <tableColumn id="621" xr3:uid="{00000000-0010-0000-0000-00006D020000}" name="Columna48" dataDxfId="363"/>
    <tableColumn id="622" xr3:uid="{00000000-0010-0000-0000-00006E020000}" name="Columna49" dataDxfId="362"/>
    <tableColumn id="623" xr3:uid="{00000000-0010-0000-0000-00006F020000}" name="Columna50" dataDxfId="361"/>
    <tableColumn id="624" xr3:uid="{00000000-0010-0000-0000-000070020000}" name="Columna51" dataDxfId="360"/>
    <tableColumn id="625" xr3:uid="{00000000-0010-0000-0000-000071020000}" name="Columna52" dataDxfId="359"/>
    <tableColumn id="626" xr3:uid="{00000000-0010-0000-0000-000072020000}" name="Columna53" dataDxfId="358"/>
    <tableColumn id="627" xr3:uid="{00000000-0010-0000-0000-000073020000}" name="Columna54" dataDxfId="357"/>
    <tableColumn id="628" xr3:uid="{00000000-0010-0000-0000-000074020000}" name="Columna55" dataDxfId="356"/>
    <tableColumn id="629" xr3:uid="{00000000-0010-0000-0000-000075020000}" name="Columna56" dataDxfId="355"/>
    <tableColumn id="630" xr3:uid="{00000000-0010-0000-0000-000076020000}" name="Columna57" dataDxfId="354"/>
    <tableColumn id="631" xr3:uid="{00000000-0010-0000-0000-000077020000}" name="Columna58" dataDxfId="353"/>
    <tableColumn id="632" xr3:uid="{00000000-0010-0000-0000-000078020000}" name="Columna59" dataDxfId="352"/>
    <tableColumn id="633" xr3:uid="{00000000-0010-0000-0000-000079020000}" name="Columna60" dataDxfId="351"/>
    <tableColumn id="634" xr3:uid="{00000000-0010-0000-0000-00007A020000}" name="Columna61" dataDxfId="350"/>
    <tableColumn id="635" xr3:uid="{00000000-0010-0000-0000-00007B020000}" name="Columna62" dataDxfId="349"/>
    <tableColumn id="636" xr3:uid="{00000000-0010-0000-0000-00007C020000}" name="Columna63" dataDxfId="348"/>
    <tableColumn id="637" xr3:uid="{00000000-0010-0000-0000-00007D020000}" name="Columna64" dataDxfId="347"/>
    <tableColumn id="638" xr3:uid="{00000000-0010-0000-0000-00007E020000}" name="Columna65" dataDxfId="346"/>
    <tableColumn id="639" xr3:uid="{00000000-0010-0000-0000-00007F020000}" name="Columna66" dataDxfId="345"/>
    <tableColumn id="640" xr3:uid="{00000000-0010-0000-0000-000080020000}" name="Columna67" dataDxfId="344"/>
    <tableColumn id="641" xr3:uid="{00000000-0010-0000-0000-000081020000}" name="Columna68" dataDxfId="343"/>
    <tableColumn id="642" xr3:uid="{00000000-0010-0000-0000-000082020000}" name="Columna69" dataDxfId="342"/>
    <tableColumn id="643" xr3:uid="{00000000-0010-0000-0000-000083020000}" name="Columna70" dataDxfId="341"/>
    <tableColumn id="644" xr3:uid="{00000000-0010-0000-0000-000084020000}" name="Columna71" dataDxfId="340"/>
    <tableColumn id="645" xr3:uid="{00000000-0010-0000-0000-000085020000}" name="Columna72" dataDxfId="339"/>
    <tableColumn id="646" xr3:uid="{00000000-0010-0000-0000-000086020000}" name="Columna73" dataDxfId="338"/>
    <tableColumn id="647" xr3:uid="{00000000-0010-0000-0000-000087020000}" name="Columna74" dataDxfId="337"/>
    <tableColumn id="648" xr3:uid="{00000000-0010-0000-0000-000088020000}" name="Columna75" dataDxfId="336"/>
    <tableColumn id="649" xr3:uid="{00000000-0010-0000-0000-000089020000}" name="Columna76" dataDxfId="335"/>
    <tableColumn id="650" xr3:uid="{00000000-0010-0000-0000-00008A020000}" name="Columna77" dataDxfId="334"/>
    <tableColumn id="651" xr3:uid="{00000000-0010-0000-0000-00008B020000}" name="Columna78" dataDxfId="333"/>
    <tableColumn id="652" xr3:uid="{00000000-0010-0000-0000-00008C020000}" name="Columna79" dataDxfId="332"/>
    <tableColumn id="653" xr3:uid="{00000000-0010-0000-0000-00008D020000}" name="Columna80" dataDxfId="331"/>
    <tableColumn id="654" xr3:uid="{00000000-0010-0000-0000-00008E020000}" name="Columna81" dataDxfId="330"/>
    <tableColumn id="655" xr3:uid="{00000000-0010-0000-0000-00008F020000}" name="Columna82" dataDxfId="329"/>
    <tableColumn id="656" xr3:uid="{00000000-0010-0000-0000-000090020000}" name="Columna83" dataDxfId="328"/>
    <tableColumn id="657" xr3:uid="{00000000-0010-0000-0000-000091020000}" name="Columna84" dataDxfId="327"/>
    <tableColumn id="658" xr3:uid="{00000000-0010-0000-0000-000092020000}" name="Columna85" dataDxfId="326"/>
    <tableColumn id="659" xr3:uid="{00000000-0010-0000-0000-000093020000}" name="Columna86" dataDxfId="325"/>
    <tableColumn id="660" xr3:uid="{00000000-0010-0000-0000-000094020000}" name="Columna87" dataDxfId="324"/>
    <tableColumn id="661" xr3:uid="{00000000-0010-0000-0000-000095020000}" name="Columna88" dataDxfId="323"/>
    <tableColumn id="662" xr3:uid="{00000000-0010-0000-0000-000096020000}" name="Columna89" dataDxfId="322"/>
    <tableColumn id="663" xr3:uid="{00000000-0010-0000-0000-000097020000}" name="Columna90" dataDxfId="321"/>
    <tableColumn id="664" xr3:uid="{00000000-0010-0000-0000-000098020000}" name="Columna91" dataDxfId="320"/>
    <tableColumn id="665" xr3:uid="{00000000-0010-0000-0000-000099020000}" name="Columna92" dataDxfId="319"/>
    <tableColumn id="666" xr3:uid="{00000000-0010-0000-0000-00009A020000}" name="Columna93" dataDxfId="318"/>
    <tableColumn id="667" xr3:uid="{00000000-0010-0000-0000-00009B020000}" name="Columna94" dataDxfId="317"/>
    <tableColumn id="668" xr3:uid="{00000000-0010-0000-0000-00009C020000}" name="Columna95" dataDxfId="316"/>
    <tableColumn id="669" xr3:uid="{00000000-0010-0000-0000-00009D020000}" name="Columna96" dataDxfId="315"/>
    <tableColumn id="670" xr3:uid="{00000000-0010-0000-0000-00009E020000}" name="Columna97" dataDxfId="314"/>
    <tableColumn id="671" xr3:uid="{00000000-0010-0000-0000-00009F020000}" name="Columna98" dataDxfId="313"/>
    <tableColumn id="672" xr3:uid="{00000000-0010-0000-0000-0000A0020000}" name="Columna99" dataDxfId="312"/>
    <tableColumn id="673" xr3:uid="{00000000-0010-0000-0000-0000A1020000}" name="Columna100" dataDxfId="311"/>
    <tableColumn id="91" xr3:uid="{00000000-0010-0000-0000-00005B000000}" name="Columna101" dataDxfId="310"/>
    <tableColumn id="93" xr3:uid="{00000000-0010-0000-0000-00005D000000}" name="Columna102" dataDxfId="309"/>
    <tableColumn id="95" xr3:uid="{00000000-0010-0000-0000-00005F000000}" name="Columna103" dataDxfId="308"/>
    <tableColumn id="97" xr3:uid="{00000000-0010-0000-0000-000061000000}" name="Columna104" dataDxfId="307"/>
    <tableColumn id="500" xr3:uid="{00000000-0010-0000-0000-0000F4010000}" name="Columna105" dataDxfId="306">
      <calculatedColumnFormula>COUNTIF(Tabla4[[#This Row],[Columna101]:[Columna104]],"&gt;=0")</calculatedColumnFormula>
    </tableColumn>
    <tableColumn id="503" xr3:uid="{00000000-0010-0000-0000-0000F7010000}" name="Columna106" dataDxfId="305">
      <calculatedColumnFormula>SUM(Tabla4[[#This Row],[Columna101]:[Columna104]])</calculatedColumnFormula>
    </tableColumn>
    <tableColumn id="501" xr3:uid="{00000000-0010-0000-0000-0000F5010000}" name="Columna107" dataDxfId="304" dataCellStyle="Porcentaje">
      <calculatedColumnFormula>IFERROR((DB6/DA6)*100,"NA")</calculatedColumnFormula>
    </tableColumn>
    <tableColumn id="502" xr3:uid="{00000000-0010-0000-0000-0000F6010000}" name="Columna108" dataDxfId="303" dataCellStyle="Porcentaje">
      <calculatedColumnFormula>IF(DC6&lt;&gt;"NA",IF(DC6&lt;60,"No Cumple",IF(DC6&lt;=94.99,"Cumple Parcialmente",IF(DC6&gt;=95,"Cumple",""))),CELL("contenido",DC6))</calculatedColumnFormula>
    </tableColumn>
    <tableColumn id="86" xr3:uid="{A3CE7EB7-01D0-49E7-9CFB-69FF9C81FDED}" name="Columna109" dataDxfId="302"/>
    <tableColumn id="87" xr3:uid="{EBBED095-E22D-4FF9-8064-CCC0778C8DE9}" name="Columna110" dataDxfId="301"/>
    <tableColumn id="84" xr3:uid="{8319F8DF-E0E8-4974-911A-844B4CACC17E}" name="Columna111" dataDxfId="300">
      <calculatedColumnFormula>COUNTIF(Tabla4[[#This Row],[Columna109]:[Columna110]],"&gt;=0")</calculatedColumnFormula>
    </tableColumn>
    <tableColumn id="85" xr3:uid="{F13FAEA0-BD42-4CD2-A098-1262806924E7}" name="Columna112" dataDxfId="299">
      <calculatedColumnFormula>SUM(Tabla4[[#This Row],[Columna109]:[Columna110]])</calculatedColumnFormula>
    </tableColumn>
    <tableColumn id="83" xr3:uid="{36C77DFF-3B5B-48B2-AE41-AF93A4A31BF9}" name="Columna113" dataDxfId="298" dataCellStyle="Porcentaje">
      <calculatedColumnFormula>IFERROR((DH6/DG6)*100,"NA")</calculatedColumnFormula>
    </tableColumn>
    <tableColumn id="82" xr3:uid="{070EA51C-AF63-42FB-B487-54B3E5D58E35}" name="Columna114" dataDxfId="297">
      <calculatedColumnFormula>IF(DI6&lt;&gt;"NA",IF(DI6&lt;60,"No Cumple",IF(DI6&lt;=94.99,"Cumple Parcialmente",IF(DI6&gt;=95,"Cumple",""))),CELL("contenido",DI6))</calculatedColumnFormula>
    </tableColumn>
    <tableColumn id="105" xr3:uid="{00000000-0010-0000-0000-000069000000}" name="Columna115" dataDxfId="296"/>
    <tableColumn id="69" xr3:uid="{00000000-0010-0000-0000-000045000000}" name="Columna116" dataDxfId="295"/>
    <tableColumn id="71" xr3:uid="{00000000-0010-0000-0000-000047000000}" name="Columna117" dataDxfId="294"/>
    <tableColumn id="72" xr3:uid="{00000000-0010-0000-0000-000048000000}" name="Columna118" dataDxfId="293"/>
    <tableColumn id="70" xr3:uid="{00000000-0010-0000-0000-000046000000}" name="Columna119" dataDxfId="292"/>
    <tableColumn id="506" xr3:uid="{00000000-0010-0000-0000-0000FA010000}" name="Columna120" dataDxfId="291">
      <calculatedColumnFormula>COUNTIF(Tabla4[[#This Row],[Columna115]:[Columna119]],"&gt;=0")</calculatedColumnFormula>
    </tableColumn>
    <tableColumn id="508" xr3:uid="{00000000-0010-0000-0000-0000FC010000}" name="Columna121" dataDxfId="290">
      <calculatedColumnFormula>SUM(Tabla4[[#This Row],[Columna115]:[Columna119]])</calculatedColumnFormula>
    </tableColumn>
    <tableColumn id="509" xr3:uid="{00000000-0010-0000-0000-0000FD010000}" name="Columna122" dataDxfId="289" dataCellStyle="Porcentaje">
      <calculatedColumnFormula>IFERROR((DQ6/DP6)*100,"NA")</calculatedColumnFormula>
    </tableColumn>
    <tableColumn id="507" xr3:uid="{00000000-0010-0000-0000-0000FB010000}" name="Columna123" dataDxfId="288" dataCellStyle="Porcentaje">
      <calculatedColumnFormula>IF(DR6&lt;&gt;"NA",IF(DR6&lt;60,"No Cumple",IF(DR6&lt;=94.99,"Cumple Parcialmente",IF(DR6&gt;=95,"Cumple",""))),CELL("contenido",DR6))</calculatedColumnFormula>
    </tableColumn>
    <tableColumn id="107" xr3:uid="{00000000-0010-0000-0000-00006B000000}" name="Columna124" dataDxfId="287"/>
    <tableColumn id="88" xr3:uid="{0D173CD7-43D7-48DB-B6F7-6D430DD22A85}" name="Columna125" dataDxfId="286"/>
    <tableColumn id="108" xr3:uid="{00000000-0010-0000-0000-00006C000000}" name="Columna126" dataDxfId="285"/>
    <tableColumn id="109" xr3:uid="{00000000-0010-0000-0000-00006D000000}" name="Columna127" dataDxfId="284"/>
    <tableColumn id="110" xr3:uid="{00000000-0010-0000-0000-00006E000000}" name="Columna128" dataDxfId="283"/>
    <tableColumn id="111" xr3:uid="{00000000-0010-0000-0000-00006F000000}" name="Columna129" dataDxfId="282"/>
    <tableColumn id="112" xr3:uid="{00000000-0010-0000-0000-000070000000}" name="Columna130" dataDxfId="281"/>
    <tableColumn id="113" xr3:uid="{00000000-0010-0000-0000-000071000000}" name="Columna131" dataDxfId="280"/>
    <tableColumn id="114" xr3:uid="{00000000-0010-0000-0000-000072000000}" name="Columna132" dataDxfId="279"/>
    <tableColumn id="510" xr3:uid="{00000000-0010-0000-0000-0000FE010000}" name="Columna133" dataDxfId="278">
      <calculatedColumnFormula>COUNTIF(Tabla4[[#This Row],[Columna124]:[Columna132]],"&gt;=0")</calculatedColumnFormula>
    </tableColumn>
    <tableColumn id="512" xr3:uid="{00000000-0010-0000-0000-000000020000}" name="Columna134" dataDxfId="277">
      <calculatedColumnFormula>SUM(Tabla4[[#This Row],[Columna124]:[Columna132]])</calculatedColumnFormula>
    </tableColumn>
    <tableColumn id="513" xr3:uid="{00000000-0010-0000-0000-000001020000}" name="Columna135" dataDxfId="276" dataCellStyle="Porcentaje">
      <calculatedColumnFormula>IFERROR((ED6/EC6)*100,"NA")</calculatedColumnFormula>
    </tableColumn>
    <tableColumn id="511" xr3:uid="{00000000-0010-0000-0000-0000FF010000}" name="Columna136" dataDxfId="275" dataCellStyle="Porcentaje">
      <calculatedColumnFormula>IF(EE6&lt;&gt;"NA",IF(EE6&lt;60,"No Cumple",IF(EE6&lt;=94.99,"Cumple Parcialmente",IF(EE6&gt;=95,"Cumple",""))),CELL("contenido",EE6))</calculatedColumnFormula>
    </tableColumn>
    <tableColumn id="117" xr3:uid="{00000000-0010-0000-0000-000075000000}" name="Columna137" dataDxfId="274"/>
    <tableColumn id="118" xr3:uid="{00000000-0010-0000-0000-000076000000}" name="Columna138" dataDxfId="273"/>
    <tableColumn id="492" xr3:uid="{00000000-0010-0000-0000-0000EC010000}" name="Columna139" dataDxfId="272">
      <calculatedColumnFormula>COUNTIF(Tabla4[[#This Row],[Columna137]:[Columna138]],"&gt;=0")</calculatedColumnFormula>
    </tableColumn>
    <tableColumn id="515" xr3:uid="{00000000-0010-0000-0000-000003020000}" name="Columna140" dataDxfId="271">
      <calculatedColumnFormula>SUM(Tabla4[[#This Row],[Columna137]:[Columna138]])</calculatedColumnFormula>
    </tableColumn>
    <tableColumn id="516" xr3:uid="{00000000-0010-0000-0000-000004020000}" name="Columna141" dataDxfId="270" dataCellStyle="Porcentaje">
      <calculatedColumnFormula>IFERROR((EJ6/EI6)*100,"NA")</calculatedColumnFormula>
    </tableColumn>
    <tableColumn id="514" xr3:uid="{00000000-0010-0000-0000-000002020000}" name="Columna142" dataDxfId="269" dataCellStyle="Porcentaje">
      <calculatedColumnFormula>IF(EK6&lt;&gt;"NA",IF(EK6&lt;60,"No Cumple",IF(EK6&lt;=94.99,"Cumple Parcialmente",IF(EK6&gt;=95,"Cumple",""))),CELL("contenido",EK6))</calculatedColumnFormula>
    </tableColumn>
    <tableColumn id="127" xr3:uid="{00000000-0010-0000-0000-00007F000000}" name="Columna143" dataDxfId="268"/>
    <tableColumn id="128" xr3:uid="{00000000-0010-0000-0000-000080000000}" name="Columna144" dataDxfId="267"/>
    <tableColumn id="129" xr3:uid="{00000000-0010-0000-0000-000081000000}" name="Columna145" dataDxfId="266"/>
    <tableColumn id="493" xr3:uid="{00000000-0010-0000-0000-0000ED010000}" name="Columna146" dataDxfId="265">
      <calculatedColumnFormula>COUNTIF(Tabla4[[#This Row],[Columna143]:[Columna145]],"&gt;=0")</calculatedColumnFormula>
    </tableColumn>
    <tableColumn id="495" xr3:uid="{00000000-0010-0000-0000-0000EF010000}" name="Columna147" dataDxfId="264">
      <calculatedColumnFormula>SUM(Tabla4[[#This Row],[Columna143]:[Columna145]])</calculatedColumnFormula>
    </tableColumn>
    <tableColumn id="496" xr3:uid="{00000000-0010-0000-0000-0000F0010000}" name="Columna148" dataDxfId="263" dataCellStyle="Porcentaje">
      <calculatedColumnFormula>IFERROR((EQ6/EP6)*100,"NA")</calculatedColumnFormula>
    </tableColumn>
    <tableColumn id="494" xr3:uid="{00000000-0010-0000-0000-0000EE010000}" name="Columna149" dataDxfId="262">
      <calculatedColumnFormula>IF(ER6&lt;&gt;"NA",IF(ER6&lt;60,"No Cumple",IF(ER6&lt;=94.99,"Cumple Parcialmente",IF(ER6&gt;=95,"Cumple",""))),CELL("contenido",ER6))</calculatedColumnFormula>
    </tableColumn>
    <tableColumn id="139" xr3:uid="{00000000-0010-0000-0000-00008B000000}" name="Columna150" dataDxfId="261"/>
    <tableColumn id="141" xr3:uid="{00000000-0010-0000-0000-00008D000000}" name="Columna151" dataDxfId="260"/>
    <tableColumn id="497" xr3:uid="{00000000-0010-0000-0000-0000F1010000}" name="Columna152" dataDxfId="259">
      <calculatedColumnFormula>COUNTIF(Tabla4[[#This Row],[Columna150]:[Columna151]],"&gt;=0")</calculatedColumnFormula>
    </tableColumn>
    <tableColumn id="499" xr3:uid="{00000000-0010-0000-0000-0000F3010000}" name="Columna153" dataDxfId="258">
      <calculatedColumnFormula>SUM(Tabla4[[#This Row],[Columna150]:[Columna151]])</calculatedColumnFormula>
    </tableColumn>
    <tableColumn id="504" xr3:uid="{00000000-0010-0000-0000-0000F8010000}" name="Columna154" dataDxfId="257" dataCellStyle="Porcentaje">
      <calculatedColumnFormula>IFERROR((EW6/EV6)*100,"NA")</calculatedColumnFormula>
    </tableColumn>
    <tableColumn id="498" xr3:uid="{00000000-0010-0000-0000-0000F2010000}" name="Columna155" dataDxfId="256">
      <calculatedColumnFormula>IF(EX6&lt;&gt;"NA",IF(EX6&lt;60,"No Cumple",IF(EX6&lt;=94.99,"Cumple Parcialmente",IF(EX6&gt;=95,"Cumple",""))),CELL("contenido",EX6))</calculatedColumnFormula>
    </tableColumn>
    <tableColumn id="174" xr3:uid="{00000000-0010-0000-0000-0000AE000000}" name="Columna156" dataDxfId="255"/>
    <tableColumn id="175" xr3:uid="{00000000-0010-0000-0000-0000AF000000}" name="Columna157" dataDxfId="254"/>
    <tableColumn id="176" xr3:uid="{00000000-0010-0000-0000-0000B0000000}" name="Columna158" dataDxfId="253"/>
    <tableColumn id="177" xr3:uid="{00000000-0010-0000-0000-0000B1000000}" name="Columna159" dataDxfId="252"/>
    <tableColumn id="505" xr3:uid="{00000000-0010-0000-0000-0000F9010000}" name="Columna160" dataDxfId="251">
      <calculatedColumnFormula>COUNTIF(Tabla4[[#This Row],[Columna156]:[Columna159]],"&gt;=0")</calculatedColumnFormula>
    </tableColumn>
    <tableColumn id="518" xr3:uid="{00000000-0010-0000-0000-000006020000}" name="Columna161" dataDxfId="250">
      <calculatedColumnFormula>SUM(Tabla4[[#This Row],[Columna156]:[Columna159]])</calculatedColumnFormula>
    </tableColumn>
    <tableColumn id="519" xr3:uid="{00000000-0010-0000-0000-000007020000}" name="Columna162" dataDxfId="249" dataCellStyle="Porcentaje">
      <calculatedColumnFormula>IFERROR((FE6/FD6)*100,"NA")</calculatedColumnFormula>
    </tableColumn>
    <tableColumn id="517" xr3:uid="{00000000-0010-0000-0000-000005020000}" name="Columna163" dataDxfId="248">
      <calculatedColumnFormula>IF(FF6&lt;&gt;"NA",IF(FF6&lt;60,"No Cumple",IF(FF6&lt;=94.99,"Cumple Parcialmente",IF(FF6&gt;=95,"Cumple",""))),CELL("contenido",FF6))</calculatedColumnFormula>
    </tableColumn>
    <tableColumn id="178" xr3:uid="{00000000-0010-0000-0000-0000B2000000}" name="Columna164" dataDxfId="247"/>
    <tableColumn id="179" xr3:uid="{00000000-0010-0000-0000-0000B3000000}" name="Columna165" dataDxfId="246"/>
    <tableColumn id="180" xr3:uid="{00000000-0010-0000-0000-0000B4000000}" name="Columna166" dataDxfId="245"/>
    <tableColumn id="520" xr3:uid="{00000000-0010-0000-0000-000008020000}" name="Columna167" dataDxfId="244">
      <calculatedColumnFormula>COUNTIF(Tabla4[[#This Row],[Columna164]:[Columna166]],"&gt;=0")</calculatedColumnFormula>
    </tableColumn>
    <tableColumn id="522" xr3:uid="{00000000-0010-0000-0000-00000A020000}" name="Columna168" dataDxfId="243">
      <calculatedColumnFormula>SUM(Tabla4[[#This Row],[Columna164]:[Columna166]])</calculatedColumnFormula>
    </tableColumn>
    <tableColumn id="523" xr3:uid="{00000000-0010-0000-0000-00000B020000}" name="Columna169" dataDxfId="242" dataCellStyle="Porcentaje">
      <calculatedColumnFormula>IFERROR((FL6/FK6)*100,"NA")</calculatedColumnFormula>
    </tableColumn>
    <tableColumn id="521" xr3:uid="{00000000-0010-0000-0000-000009020000}" name="Columna170" dataDxfId="241">
      <calculatedColumnFormula>IF(FM6&lt;&gt;"NA",IF(FM6&lt;60,"No Cumple",IF(FM6&lt;=94.99,"Cumple Parcialmente",IF(FM6&gt;=95,"Cumple",""))),CELL("contenido",FM6))</calculatedColumnFormula>
    </tableColumn>
    <tableColumn id="182" xr3:uid="{00000000-0010-0000-0000-0000B6000000}" name="Columna171" dataDxfId="240"/>
    <tableColumn id="183" xr3:uid="{00000000-0010-0000-0000-0000B7000000}" name="Columna172" dataDxfId="239"/>
    <tableColumn id="9" xr3:uid="{CAFC9CB7-E7ED-45DB-9A33-E6D86C609D99}" name="Columna173" dataDxfId="238"/>
    <tableColumn id="524" xr3:uid="{00000000-0010-0000-0000-00000C020000}" name="Columna174" dataDxfId="237">
      <calculatedColumnFormula>COUNTIF(Tabla4[[#This Row],[Columna171]:[Columna173]],"&gt;=0")</calculatedColumnFormula>
    </tableColumn>
    <tableColumn id="526" xr3:uid="{00000000-0010-0000-0000-00000E020000}" name="Columna175" dataDxfId="236">
      <calculatedColumnFormula>SUM(Tabla4[[#This Row],[Columna171]:[Columna173]])</calculatedColumnFormula>
    </tableColumn>
    <tableColumn id="527" xr3:uid="{00000000-0010-0000-0000-00000F020000}" name="Columna176" dataDxfId="235" dataCellStyle="Porcentaje">
      <calculatedColumnFormula>IFERROR((FS6/FR6)*100,"NA")</calculatedColumnFormula>
    </tableColumn>
    <tableColumn id="525" xr3:uid="{00000000-0010-0000-0000-00000D020000}" name="Columna177" dataDxfId="234">
      <calculatedColumnFormula>IF(FT6&lt;&gt;"NA",IF(FT6&lt;60,"No Cumple",IF(FT6&lt;=94.99,"Cumple Parcialmente",IF(FT6&gt;=95,"Cumple",""))),CELL("contenido",FT6))</calculatedColumnFormula>
    </tableColumn>
    <tableColumn id="184" xr3:uid="{00000000-0010-0000-0000-0000B8000000}" name="Columna178" dataDxfId="233"/>
    <tableColumn id="528" xr3:uid="{00000000-0010-0000-0000-000010020000}" name="Columna179" dataDxfId="232">
      <calculatedColumnFormula>COUNTIF(Tabla4[[#This Row],[Columna178]],"&gt;=0")</calculatedColumnFormula>
    </tableColumn>
    <tableColumn id="530" xr3:uid="{00000000-0010-0000-0000-000012020000}" name="Columna180" dataDxfId="231">
      <calculatedColumnFormula>SUM(Tabla4[[#This Row],[Columna178]])</calculatedColumnFormula>
    </tableColumn>
    <tableColumn id="531" xr3:uid="{00000000-0010-0000-0000-000013020000}" name="Columna181" dataDxfId="230" dataCellStyle="Porcentaje">
      <calculatedColumnFormula>IFERROR((FX6/FW6)*100,"NA")</calculatedColumnFormula>
    </tableColumn>
    <tableColumn id="529" xr3:uid="{00000000-0010-0000-0000-000011020000}" name="Columna182" dataDxfId="229">
      <calculatedColumnFormula>IF(FY6&lt;&gt;"NA",IF(FY6&lt;60,"No Cumple",IF(FY6&lt;=94.99,"Cumple Parcialmente",IF(FY6&gt;=95,"Cumple",""))),CELL("contenido",FY6))</calculatedColumnFormula>
    </tableColumn>
    <tableColumn id="198" xr3:uid="{00000000-0010-0000-0000-0000C6000000}" name="Columna183" dataDxfId="228"/>
    <tableColumn id="200" xr3:uid="{00000000-0010-0000-0000-0000C8000000}" name="Columna184" dataDxfId="227"/>
    <tableColumn id="532" xr3:uid="{00000000-0010-0000-0000-000014020000}" name="Columna185" dataDxfId="226">
      <calculatedColumnFormula>COUNTIF(Tabla4[[#This Row],[Columna183]:[Columna184]],"&gt;=0")</calculatedColumnFormula>
    </tableColumn>
    <tableColumn id="534" xr3:uid="{00000000-0010-0000-0000-000016020000}" name="Columna186" dataDxfId="225">
      <calculatedColumnFormula>SUM(Tabla4[[#This Row],[Columna183]:[Columna184]])</calculatedColumnFormula>
    </tableColumn>
    <tableColumn id="535" xr3:uid="{00000000-0010-0000-0000-000017020000}" name="Columna187" dataDxfId="224" dataCellStyle="Porcentaje">
      <calculatedColumnFormula>IFERROR((GD6/GC6)*100,"NA")</calculatedColumnFormula>
    </tableColumn>
    <tableColumn id="533" xr3:uid="{00000000-0010-0000-0000-000015020000}" name="Columna188" dataDxfId="223">
      <calculatedColumnFormula>IF(GE6&lt;&gt;"NA",IF(GE6&lt;60,"No Cumple",IF(GE6&lt;=94.99,"Cumple Parcialmente",IF(GE6&gt;=95,"Cumple",""))),CELL("contenido",GE6))</calculatedColumnFormula>
    </tableColumn>
    <tableColumn id="204" xr3:uid="{00000000-0010-0000-0000-0000CC000000}" name="Columna189" dataDxfId="222"/>
    <tableColumn id="14" xr3:uid="{CE10100E-A5CA-453D-A7BD-398D940588C5}" name="Columna190" dataDxfId="221"/>
    <tableColumn id="15" xr3:uid="{959A6A4F-072A-4854-9EFC-0CDEFDA2EFC9}" name="Columna191" dataDxfId="220"/>
    <tableColumn id="12" xr3:uid="{9EB3F838-BDAE-4637-965C-B582DCAB521D}" name="Columna192" dataDxfId="219"/>
    <tableColumn id="13" xr3:uid="{C381D125-C636-4269-A323-224E613E8857}" name="Columna193" dataDxfId="218"/>
    <tableColumn id="205" xr3:uid="{00000000-0010-0000-0000-0000CD000000}" name="Columna194" dataDxfId="217"/>
    <tableColumn id="11" xr3:uid="{3E76DCE0-713F-48D9-A996-F29B158AB025}" name="Columna195" dataDxfId="216"/>
    <tableColumn id="540" xr3:uid="{00000000-0010-0000-0000-00001C020000}" name="Columna196" dataDxfId="215">
      <calculatedColumnFormula>COUNTIF(Tabla4[[#This Row],[Columna189]:[Columna195]],"&gt;=0")</calculatedColumnFormula>
    </tableColumn>
    <tableColumn id="542" xr3:uid="{00000000-0010-0000-0000-00001E020000}" name="Columna197" dataDxfId="214">
      <calculatedColumnFormula>SUM(Tabla4[[#This Row],[Columna189]:[Columna195]])</calculatedColumnFormula>
    </tableColumn>
    <tableColumn id="543" xr3:uid="{00000000-0010-0000-0000-00001F020000}" name="Columna198" dataDxfId="213" dataCellStyle="Porcentaje">
      <calculatedColumnFormula>IFERROR((GO6/GN6)*100,"NA")</calculatedColumnFormula>
    </tableColumn>
    <tableColumn id="541" xr3:uid="{00000000-0010-0000-0000-00001D020000}" name="Columna199" dataDxfId="212">
      <calculatedColumnFormula>IF(GP6&lt;&gt;"NA",IF(GP6&lt;60,"No Cumple",IF(GP6&lt;=94.99,"Cumple Parcialmente",IF(GP6&gt;=95,"Cumple",""))),CELL("contenido",GP6))</calculatedColumnFormula>
    </tableColumn>
    <tableColumn id="206" xr3:uid="{00000000-0010-0000-0000-0000CE000000}" name="Columna200" dataDxfId="211"/>
    <tableColumn id="207" xr3:uid="{00000000-0010-0000-0000-0000CF000000}" name="Columna201" dataDxfId="210"/>
    <tableColumn id="208" xr3:uid="{00000000-0010-0000-0000-0000D0000000}" name="Columna202" dataDxfId="209"/>
    <tableColumn id="209" xr3:uid="{00000000-0010-0000-0000-0000D1000000}" name="Columna203" dataDxfId="208"/>
    <tableColumn id="210" xr3:uid="{00000000-0010-0000-0000-0000D2000000}" name="Columna204" dataDxfId="207"/>
    <tableColumn id="211" xr3:uid="{00000000-0010-0000-0000-0000D3000000}" name="Columna205" dataDxfId="206"/>
    <tableColumn id="544" xr3:uid="{00000000-0010-0000-0000-000020020000}" name="Columna206" dataDxfId="205">
      <calculatedColumnFormula>COUNTIF(Tabla4[[#This Row],[Columna200]:[Columna205]],"&gt;=0")</calculatedColumnFormula>
    </tableColumn>
    <tableColumn id="546" xr3:uid="{00000000-0010-0000-0000-000022020000}" name="Columna207" dataDxfId="204">
      <calculatedColumnFormula>SUM(Tabla4[[#This Row],[Columna200]:[Columna205]])</calculatedColumnFormula>
    </tableColumn>
    <tableColumn id="547" xr3:uid="{00000000-0010-0000-0000-000023020000}" name="Columna208" dataDxfId="203" dataCellStyle="Porcentaje">
      <calculatedColumnFormula>IFERROR((GY6/GX6)*100,"NA")</calculatedColumnFormula>
    </tableColumn>
    <tableColumn id="545" xr3:uid="{00000000-0010-0000-0000-000021020000}" name="Columna209" dataDxfId="202">
      <calculatedColumnFormula>IF(GZ6&lt;&gt;"NA",IF(GZ6&lt;60,"No Cumple",IF(GZ6&lt;=94.99,"Cumple Parcialmente",IF(GZ6&gt;=95,"Cumple",""))),CELL("contenido",GZ6))</calculatedColumnFormula>
    </tableColumn>
    <tableColumn id="216" xr3:uid="{00000000-0010-0000-0000-0000D8000000}" name="Columna210" dataDxfId="201"/>
    <tableColumn id="18" xr3:uid="{A72D80C1-ABF0-4EB1-A492-678BD377F2F0}" name="Columna211" dataDxfId="200"/>
    <tableColumn id="17" xr3:uid="{4F704E30-2C9B-42FA-989E-C1945313AEC9}" name="Columna212" dataDxfId="199"/>
    <tableColumn id="16" xr3:uid="{15039D83-9554-4348-A927-03E6D296CFCE}" name="Columna213" dataDxfId="198"/>
    <tableColumn id="217" xr3:uid="{00000000-0010-0000-0000-0000D9000000}" name="Columna214" dataDxfId="197"/>
    <tableColumn id="548" xr3:uid="{00000000-0010-0000-0000-000024020000}" name="Columna215" dataDxfId="196">
      <calculatedColumnFormula>COUNTIF(Tabla4[[#This Row],[Columna210]:[Columna214]],"&gt;=0")</calculatedColumnFormula>
    </tableColumn>
    <tableColumn id="550" xr3:uid="{00000000-0010-0000-0000-000026020000}" name="Columna216" dataDxfId="195">
      <calculatedColumnFormula>SUM(Tabla4[[#This Row],[Columna210]:[Columna214]])</calculatedColumnFormula>
    </tableColumn>
    <tableColumn id="551" xr3:uid="{00000000-0010-0000-0000-000027020000}" name="Columna217" dataDxfId="194" dataCellStyle="Porcentaje">
      <calculatedColumnFormula>IFERROR((HH6/HG6)*100,"NA")</calculatedColumnFormula>
    </tableColumn>
    <tableColumn id="549" xr3:uid="{00000000-0010-0000-0000-000025020000}" name="Columna218" dataDxfId="193">
      <calculatedColumnFormula>IF(HI6&lt;&gt;"NA",IF(HI6&lt;60,"No Cumple",IF(HI6&lt;=94.99,"Cumple Parcialmente",IF(HI6&gt;=95,"Cumple",""))),CELL("contenido",HI6))</calculatedColumnFormula>
    </tableColumn>
    <tableColumn id="218" xr3:uid="{00000000-0010-0000-0000-0000DA000000}" name="Columna219" dataDxfId="192"/>
    <tableColumn id="219" xr3:uid="{00000000-0010-0000-0000-0000DB000000}" name="Columna220" dataDxfId="191"/>
    <tableColumn id="19" xr3:uid="{3925E00B-03A6-4E1C-95D7-9EE845D5A054}" name="Columna221" dataDxfId="190"/>
    <tableColumn id="20" xr3:uid="{F6F3DF08-1765-41CC-99F3-20A4FDF571A9}" name="Columna222" dataDxfId="189"/>
    <tableColumn id="21" xr3:uid="{8709877D-61EC-4DC2-AE07-7F1890059FAC}" name="Columna223" dataDxfId="188"/>
    <tableColumn id="220" xr3:uid="{00000000-0010-0000-0000-0000DC000000}" name="Columna224" dataDxfId="187"/>
    <tableColumn id="221" xr3:uid="{00000000-0010-0000-0000-0000DD000000}" name="Columna225" dataDxfId="186"/>
    <tableColumn id="222" xr3:uid="{00000000-0010-0000-0000-0000DE000000}" name="Columna226" dataDxfId="185"/>
    <tableColumn id="223" xr3:uid="{00000000-0010-0000-0000-0000DF000000}" name="Columna227" dataDxfId="184"/>
    <tableColumn id="552" xr3:uid="{00000000-0010-0000-0000-000028020000}" name="Columna228" dataDxfId="183">
      <calculatedColumnFormula>COUNTIF(Tabla4[[#This Row],[Columna219]:[Columna227]],"&gt;=0")</calculatedColumnFormula>
    </tableColumn>
    <tableColumn id="554" xr3:uid="{00000000-0010-0000-0000-00002A020000}" name="Columna229" dataDxfId="182">
      <calculatedColumnFormula>SUM(Tabla4[[#This Row],[Columna219]:[Columna227]])</calculatedColumnFormula>
    </tableColumn>
    <tableColumn id="555" xr3:uid="{00000000-0010-0000-0000-00002B020000}" name="Columna230" dataDxfId="181" dataCellStyle="Porcentaje">
      <calculatedColumnFormula>IFERROR((HU6/HT6)*100,"NA")</calculatedColumnFormula>
    </tableColumn>
    <tableColumn id="553" xr3:uid="{00000000-0010-0000-0000-000029020000}" name="Columna231" dataDxfId="180">
      <calculatedColumnFormula>IF(HV6&lt;&gt;"NA",IF(HV6&lt;60,"No Cumple",IF(HV6&lt;=94.99,"Cumple Parcialmente",IF(HV6&gt;=95,"Cumple",""))),CELL("contenido",HV6))</calculatedColumnFormula>
    </tableColumn>
    <tableColumn id="243" xr3:uid="{00000000-0010-0000-0000-0000F3000000}" name="Columna232" dataDxfId="179"/>
    <tableColumn id="245" xr3:uid="{00000000-0010-0000-0000-0000F5000000}" name="Columna233" dataDxfId="178"/>
    <tableColumn id="247" xr3:uid="{00000000-0010-0000-0000-0000F7000000}" name="Columna234" dataDxfId="177"/>
    <tableColumn id="249" xr3:uid="{00000000-0010-0000-0000-0000F9000000}" name="Columna235" dataDxfId="176"/>
    <tableColumn id="250" xr3:uid="{00000000-0010-0000-0000-0000FA000000}" name="Columna236" dataDxfId="175"/>
    <tableColumn id="251" xr3:uid="{00000000-0010-0000-0000-0000FB000000}" name="Columna237" dataDxfId="174"/>
    <tableColumn id="252" xr3:uid="{00000000-0010-0000-0000-0000FC000000}" name="Columna238" dataDxfId="173"/>
    <tableColumn id="253" xr3:uid="{00000000-0010-0000-0000-0000FD000000}" name="Columna239" dataDxfId="172"/>
    <tableColumn id="254" xr3:uid="{00000000-0010-0000-0000-0000FE000000}" name="Columna240" dataDxfId="171"/>
    <tableColumn id="255" xr3:uid="{00000000-0010-0000-0000-0000FF000000}" name="Columna241" dataDxfId="170"/>
    <tableColumn id="256" xr3:uid="{00000000-0010-0000-0000-000000010000}" name="Columna242" dataDxfId="169"/>
    <tableColumn id="257" xr3:uid="{00000000-0010-0000-0000-000001010000}" name="Columna243" dataDxfId="168"/>
    <tableColumn id="258" xr3:uid="{00000000-0010-0000-0000-000002010000}" name="Columna244" dataDxfId="167"/>
    <tableColumn id="259" xr3:uid="{00000000-0010-0000-0000-000003010000}" name="Columna245" dataDxfId="166"/>
    <tableColumn id="260" xr3:uid="{00000000-0010-0000-0000-000004010000}" name="Columna246" dataDxfId="165"/>
    <tableColumn id="261" xr3:uid="{00000000-0010-0000-0000-000005010000}" name="Columna247" dataDxfId="164"/>
    <tableColumn id="262" xr3:uid="{00000000-0010-0000-0000-000006010000}" name="Columna248" dataDxfId="163"/>
    <tableColumn id="263" xr3:uid="{00000000-0010-0000-0000-000007010000}" name="Columna249" dataDxfId="162"/>
    <tableColumn id="264" xr3:uid="{00000000-0010-0000-0000-000008010000}" name="Columna250" dataDxfId="161"/>
    <tableColumn id="265" xr3:uid="{00000000-0010-0000-0000-000009010000}" name="Columna251" dataDxfId="160"/>
    <tableColumn id="266" xr3:uid="{00000000-0010-0000-0000-00000A010000}" name="Columna252" dataDxfId="159"/>
    <tableColumn id="267" xr3:uid="{00000000-0010-0000-0000-00000B010000}" name="Columna253" dataDxfId="158"/>
    <tableColumn id="268" xr3:uid="{00000000-0010-0000-0000-00000C010000}" name="Columna254" dataDxfId="157"/>
    <tableColumn id="269" xr3:uid="{00000000-0010-0000-0000-00000D010000}" name="Columna255" dataDxfId="156"/>
    <tableColumn id="270" xr3:uid="{00000000-0010-0000-0000-00000E010000}" name="Columna256" dataDxfId="155"/>
    <tableColumn id="271" xr3:uid="{00000000-0010-0000-0000-00000F010000}" name="Columna257" dataDxfId="154"/>
    <tableColumn id="272" xr3:uid="{00000000-0010-0000-0000-000010010000}" name="Columna258" dataDxfId="153"/>
    <tableColumn id="273" xr3:uid="{00000000-0010-0000-0000-000011010000}" name="Columna259" dataDxfId="152"/>
    <tableColumn id="274" xr3:uid="{00000000-0010-0000-0000-000012010000}" name="Columna260" dataDxfId="151"/>
    <tableColumn id="275" xr3:uid="{00000000-0010-0000-0000-000013010000}" name="Columna261" dataDxfId="150"/>
    <tableColumn id="276" xr3:uid="{00000000-0010-0000-0000-000014010000}" name="Columna262" dataDxfId="149"/>
    <tableColumn id="277" xr3:uid="{00000000-0010-0000-0000-000015010000}" name="Columna263" dataDxfId="148"/>
    <tableColumn id="278" xr3:uid="{00000000-0010-0000-0000-000016010000}" name="Columna264" dataDxfId="147"/>
    <tableColumn id="279" xr3:uid="{00000000-0010-0000-0000-000017010000}" name="Columna265" dataDxfId="146"/>
    <tableColumn id="280" xr3:uid="{00000000-0010-0000-0000-000018010000}" name="Columna266" dataDxfId="145"/>
    <tableColumn id="281" xr3:uid="{00000000-0010-0000-0000-000019010000}" name="Columna267" dataDxfId="144"/>
    <tableColumn id="282" xr3:uid="{00000000-0010-0000-0000-00001A010000}" name="Columna268" dataDxfId="143"/>
    <tableColumn id="283" xr3:uid="{00000000-0010-0000-0000-00001B010000}" name="Columna269" dataDxfId="142"/>
    <tableColumn id="284" xr3:uid="{00000000-0010-0000-0000-00001C010000}" name="Columna270" dataDxfId="141"/>
    <tableColumn id="285" xr3:uid="{00000000-0010-0000-0000-00001D010000}" name="Columna271" dataDxfId="140"/>
    <tableColumn id="286" xr3:uid="{00000000-0010-0000-0000-00001E010000}" name="Columna272" dataDxfId="139"/>
    <tableColumn id="287" xr3:uid="{00000000-0010-0000-0000-00001F010000}" name="Columna273" dataDxfId="138"/>
    <tableColumn id="288" xr3:uid="{00000000-0010-0000-0000-000020010000}" name="Columna274" dataDxfId="137"/>
    <tableColumn id="289" xr3:uid="{00000000-0010-0000-0000-000021010000}" name="Columna275" dataDxfId="136"/>
    <tableColumn id="290" xr3:uid="{00000000-0010-0000-0000-000022010000}" name="Columna276" dataDxfId="135"/>
    <tableColumn id="291" xr3:uid="{00000000-0010-0000-0000-000023010000}" name="Columna277" dataDxfId="134"/>
    <tableColumn id="292" xr3:uid="{00000000-0010-0000-0000-000024010000}" name="Columna278" dataDxfId="133"/>
    <tableColumn id="293" xr3:uid="{00000000-0010-0000-0000-000025010000}" name="Columna279" dataDxfId="132"/>
    <tableColumn id="294" xr3:uid="{00000000-0010-0000-0000-000026010000}" name="Columna280" dataDxfId="131"/>
    <tableColumn id="295" xr3:uid="{00000000-0010-0000-0000-000027010000}" name="Columna281" dataDxfId="130"/>
    <tableColumn id="296" xr3:uid="{00000000-0010-0000-0000-000028010000}" name="Columna282" dataDxfId="129"/>
    <tableColumn id="297" xr3:uid="{00000000-0010-0000-0000-000029010000}" name="Columna283" dataDxfId="128"/>
    <tableColumn id="298" xr3:uid="{00000000-0010-0000-0000-00002A010000}" name="Columna284" dataDxfId="127"/>
    <tableColumn id="299" xr3:uid="{00000000-0010-0000-0000-00002B010000}" name="Columna285" dataDxfId="126"/>
    <tableColumn id="300" xr3:uid="{00000000-0010-0000-0000-00002C010000}" name="Columna286" dataDxfId="125"/>
    <tableColumn id="301" xr3:uid="{00000000-0010-0000-0000-00002D010000}" name="Columna287" dataDxfId="124"/>
    <tableColumn id="302" xr3:uid="{00000000-0010-0000-0000-00002E010000}" name="Columna288" dataDxfId="123"/>
    <tableColumn id="303" xr3:uid="{00000000-0010-0000-0000-00002F010000}" name="Columna289" dataDxfId="122"/>
    <tableColumn id="304" xr3:uid="{00000000-0010-0000-0000-000030010000}" name="Columna290" dataDxfId="121"/>
    <tableColumn id="305" xr3:uid="{00000000-0010-0000-0000-000031010000}" name="Columna291" dataDxfId="120"/>
    <tableColumn id="306" xr3:uid="{00000000-0010-0000-0000-000032010000}" name="Columna292" dataDxfId="119"/>
    <tableColumn id="307" xr3:uid="{00000000-0010-0000-0000-000033010000}" name="Columna293" dataDxfId="118"/>
    <tableColumn id="308" xr3:uid="{00000000-0010-0000-0000-000034010000}" name="Columna294" dataDxfId="117"/>
    <tableColumn id="309" xr3:uid="{00000000-0010-0000-0000-000035010000}" name="Columna295" dataDxfId="116"/>
    <tableColumn id="310" xr3:uid="{00000000-0010-0000-0000-000036010000}" name="Columna296" dataDxfId="115"/>
    <tableColumn id="311" xr3:uid="{00000000-0010-0000-0000-000037010000}" name="Columna297" dataDxfId="114"/>
    <tableColumn id="312" xr3:uid="{00000000-0010-0000-0000-000038010000}" name="Columna298" dataDxfId="113"/>
    <tableColumn id="313" xr3:uid="{00000000-0010-0000-0000-000039010000}" name="Columna299" dataDxfId="112"/>
    <tableColumn id="314" xr3:uid="{00000000-0010-0000-0000-00003A010000}" name="Columna300" dataDxfId="111"/>
    <tableColumn id="315" xr3:uid="{00000000-0010-0000-0000-00003B010000}" name="Columna301" dataDxfId="110"/>
    <tableColumn id="316" xr3:uid="{00000000-0010-0000-0000-00003C010000}" name="Columna302" dataDxfId="109"/>
    <tableColumn id="317" xr3:uid="{00000000-0010-0000-0000-00003D010000}" name="Columna303" dataDxfId="108"/>
    <tableColumn id="318" xr3:uid="{00000000-0010-0000-0000-00003E010000}" name="Columna304" dataDxfId="107"/>
    <tableColumn id="319" xr3:uid="{00000000-0010-0000-0000-00003F010000}" name="Columna305" dataDxfId="106"/>
    <tableColumn id="320" xr3:uid="{00000000-0010-0000-0000-000040010000}" name="Columna306" dataDxfId="105"/>
    <tableColumn id="321" xr3:uid="{00000000-0010-0000-0000-000041010000}" name="Columna307" dataDxfId="104"/>
    <tableColumn id="322" xr3:uid="{00000000-0010-0000-0000-000042010000}" name="Columna308" dataDxfId="103"/>
    <tableColumn id="323" xr3:uid="{00000000-0010-0000-0000-000043010000}" name="Columna309" dataDxfId="102"/>
    <tableColumn id="324" xr3:uid="{00000000-0010-0000-0000-000044010000}" name="Columna310" dataDxfId="101"/>
    <tableColumn id="325" xr3:uid="{00000000-0010-0000-0000-000045010000}" name="Columna311" dataDxfId="100"/>
    <tableColumn id="326" xr3:uid="{00000000-0010-0000-0000-000046010000}" name="Columna312" dataDxfId="99"/>
    <tableColumn id="327" xr3:uid="{00000000-0010-0000-0000-000047010000}" name="Columna313" dataDxfId="98"/>
    <tableColumn id="328" xr3:uid="{00000000-0010-0000-0000-000048010000}" name="Columna314" dataDxfId="97"/>
    <tableColumn id="329" xr3:uid="{00000000-0010-0000-0000-000049010000}" name="Columna315" dataDxfId="96"/>
    <tableColumn id="330" xr3:uid="{00000000-0010-0000-0000-00004A010000}" name="Columna316" dataDxfId="95"/>
    <tableColumn id="331" xr3:uid="{00000000-0010-0000-0000-00004B010000}" name="Columna317" dataDxfId="94"/>
    <tableColumn id="332" xr3:uid="{00000000-0010-0000-0000-00004C010000}" name="Columna318" dataDxfId="93"/>
    <tableColumn id="333" xr3:uid="{00000000-0010-0000-0000-00004D010000}" name="Columna319" dataDxfId="92"/>
    <tableColumn id="334" xr3:uid="{00000000-0010-0000-0000-00004E010000}" name="Columna320" dataDxfId="91"/>
    <tableColumn id="335" xr3:uid="{00000000-0010-0000-0000-00004F010000}" name="Columna321" dataDxfId="90"/>
    <tableColumn id="336" xr3:uid="{00000000-0010-0000-0000-000050010000}" name="Columna322" dataDxfId="89"/>
    <tableColumn id="337" xr3:uid="{00000000-0010-0000-0000-000051010000}" name="Columna323" dataDxfId="88"/>
    <tableColumn id="338" xr3:uid="{00000000-0010-0000-0000-000052010000}" name="Columna324" dataDxfId="87"/>
    <tableColumn id="339" xr3:uid="{00000000-0010-0000-0000-000053010000}" name="Columna325" dataDxfId="86"/>
    <tableColumn id="340" xr3:uid="{00000000-0010-0000-0000-000054010000}" name="Columna326" dataDxfId="85"/>
    <tableColumn id="341" xr3:uid="{00000000-0010-0000-0000-000055010000}" name="Columna327" dataDxfId="84"/>
    <tableColumn id="342" xr3:uid="{00000000-0010-0000-0000-000056010000}" name="Columna328" dataDxfId="83"/>
    <tableColumn id="343" xr3:uid="{00000000-0010-0000-0000-000057010000}" name="Columna329" dataDxfId="82"/>
    <tableColumn id="344" xr3:uid="{00000000-0010-0000-0000-000058010000}" name="Columna330" dataDxfId="81"/>
    <tableColumn id="345" xr3:uid="{00000000-0010-0000-0000-000059010000}" name="Columna331" dataDxfId="80"/>
    <tableColumn id="346" xr3:uid="{00000000-0010-0000-0000-00005A010000}" name="Columna332" dataDxfId="79"/>
    <tableColumn id="347" xr3:uid="{00000000-0010-0000-0000-00005B010000}" name="Columna333" dataDxfId="78"/>
    <tableColumn id="348" xr3:uid="{00000000-0010-0000-0000-00005C010000}" name="Columna334" dataDxfId="77"/>
    <tableColumn id="349" xr3:uid="{00000000-0010-0000-0000-00005D010000}" name="Columna335" dataDxfId="76"/>
    <tableColumn id="350" xr3:uid="{00000000-0010-0000-0000-00005E010000}" name="Columna336" dataDxfId="75"/>
    <tableColumn id="351" xr3:uid="{00000000-0010-0000-0000-00005F010000}" name="Columna337" dataDxfId="74"/>
    <tableColumn id="352" xr3:uid="{00000000-0010-0000-0000-000060010000}" name="Columna338" dataDxfId="73"/>
    <tableColumn id="353" xr3:uid="{00000000-0010-0000-0000-000061010000}" name="Columna339" dataDxfId="72"/>
    <tableColumn id="354" xr3:uid="{00000000-0010-0000-0000-000062010000}" name="Columna340" dataDxfId="71"/>
    <tableColumn id="355" xr3:uid="{00000000-0010-0000-0000-000063010000}" name="Columna341" dataDxfId="70"/>
    <tableColumn id="356" xr3:uid="{00000000-0010-0000-0000-000064010000}" name="Columna342" dataDxfId="69"/>
    <tableColumn id="357" xr3:uid="{00000000-0010-0000-0000-000065010000}" name="Columna343" dataDxfId="68"/>
    <tableColumn id="358" xr3:uid="{00000000-0010-0000-0000-000066010000}" name="Columna344" dataDxfId="67"/>
    <tableColumn id="359" xr3:uid="{00000000-0010-0000-0000-000067010000}" name="Columna345" dataDxfId="66"/>
    <tableColumn id="360" xr3:uid="{00000000-0010-0000-0000-000068010000}" name="Columna346" dataDxfId="65"/>
    <tableColumn id="361" xr3:uid="{00000000-0010-0000-0000-000069010000}" name="Columna347" dataDxfId="64"/>
    <tableColumn id="568" xr3:uid="{00000000-0010-0000-0000-000038020000}" name="Columna348" dataDxfId="63">
      <calculatedColumnFormula>COUNTIF(Tabla4[[#This Row],[Columna232]:[Columna347]],"&gt;=0")</calculatedColumnFormula>
    </tableColumn>
    <tableColumn id="570" xr3:uid="{00000000-0010-0000-0000-00003A020000}" name="Columna349" dataDxfId="62">
      <calculatedColumnFormula>SUM(Tabla4[[#This Row],[Columna232]:[Columna347]])</calculatedColumnFormula>
    </tableColumn>
    <tableColumn id="571" xr3:uid="{00000000-0010-0000-0000-00003B020000}" name="Columna350" dataDxfId="61" dataCellStyle="Porcentaje">
      <calculatedColumnFormula>IFERROR((MK6/MJ6)*100,"NA")</calculatedColumnFormula>
    </tableColumn>
    <tableColumn id="569" xr3:uid="{00000000-0010-0000-0000-000039020000}" name="Columna351" dataDxfId="60">
      <calculatedColumnFormula>IF(ML6&lt;&gt;"NA",IF(ML6&lt;60,"No Cumple",IF(ML6&lt;=94.99,"Cumple Parcialmente",IF(ML6&gt;=95,"Cumple",""))),CELL("contenido",ML6))</calculatedColumnFormula>
    </tableColumn>
    <tableColumn id="487" xr3:uid="{00000000-0010-0000-0000-0000E7010000}" name="Columna352" dataDxfId="59">
      <calculatedColumnFormula>SUM(Tabla4[[#This Row],[Columna105]],Tabla4[[#This Row],[Columna111]],Tabla4[[#This Row],[Columna120]],Tabla4[[#This Row],[Columna133]],Tabla4[[#This Row],[Columna139]],Tabla4[[#This Row],[Columna146]],Tabla4[[#This Row],[Columna152]],Tabla4[[#This Row],[Columna160]],Tabla4[[#This Row],[Columna167]],Tabla4[[#This Row],[Columna174]],Tabla4[[#This Row],[Columna179]],Tabla4[[#This Row],[Columna185]],Tabla4[[#This Row],[Columna196]],Tabla4[[#This Row],[Columna206]],Tabla4[[#This Row],[Columna215]],Tabla4[[#This Row],[Columna228]],Tabla4[[#This Row],[Columna348]])</calculatedColumnFormula>
    </tableColumn>
    <tableColumn id="488" xr3:uid="{00000000-0010-0000-0000-0000E8010000}" name="Columna353" dataDxfId="58">
      <calculatedColumnFormula>SUM(Tabla4[[#This Row],[Columna106]],Tabla4[[#This Row],[Columna112]],Tabla4[[#This Row],[Columna121]],Tabla4[[#This Row],[Columna134]],Tabla4[[#This Row],[Columna140]],Tabla4[[#This Row],[Columna147]],Tabla4[[#This Row],[Columna153]],Tabla4[[#This Row],[Columna161]],Tabla4[[#This Row],[Columna168]],Tabla4[[#This Row],[Columna175]],Tabla4[[#This Row],[Columna180]],Tabla4[[#This Row],[Columna186]],Tabla4[[#This Row],[Columna197]],Tabla4[[#This Row],[Columna207]],Tabla4[[#This Row],[Columna216]],Tabla4[[#This Row],[Columna229]],Tabla4[[#This Row],[Columna349]])</calculatedColumnFormula>
    </tableColumn>
    <tableColumn id="489" xr3:uid="{00000000-0010-0000-0000-0000E9010000}" name="Columna354" dataDxfId="57" dataCellStyle="Porcentaje">
      <calculatedColumnFormula>IFERROR((MO6/MN6)*100,"NA")</calculatedColumnFormula>
    </tableColumn>
    <tableColumn id="572" xr3:uid="{00000000-0010-0000-0000-00003C020000}" name="Columna355" dataDxfId="56" dataCellStyle="Porcentaje">
      <calculatedColumnFormula>IF(MP6&lt;&gt;"NA",IF(MP6&lt;60,"No Cumple",IF(MP6&lt;=94.99,"Cumple Parcialmente",IF(MP6&gt;=95,"Cumple",""))),CELL("contenido",MP6))</calculatedColumnFormula>
    </tableColumn>
    <tableColumn id="22" xr3:uid="{EAF30239-CE58-4C97-8909-D863D0D18D8A}" name="Columna356" dataDxfId="55"/>
    <tableColumn id="573" xr3:uid="{00000000-0010-0000-0000-00003D020000}" name="Columna357" dataDxfId="54"/>
    <tableColumn id="490" xr3:uid="{00000000-0010-0000-0000-0000EA010000}" name="Columna358" dataDxfId="53" dataCellStyle="Porcentaj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a16" displayName="Tabla16" ref="A2:AH511" totalsRowShown="0" headerRowDxfId="49" dataDxfId="47" headerRowBorderDxfId="48" dataCellStyle="Normal 84">
  <autoFilter ref="A2:AH511" xr:uid="{00000000-0009-0000-0100-000005000000}">
    <filterColumn colId="1">
      <filters>
        <filter val="ALIRIO GOMEZ G S.A.S"/>
      </filters>
    </filterColumn>
    <filterColumn colId="33">
      <filters>
        <filter val="Comparte comedor los 300 Almuerzos deben ser entregados en la S.E Tomas Carrasquilla #1"/>
        <filter val="Comparten comedor - los 200 AM/PM de SE Fe y Alegria #3 se deben entregar en I.E Fe y Alegria la Cima."/>
        <filter val="Comparten comedor - Los 240 AM/PM y 130 VL de la SE Asia Ignaciana se deben entregar en la I.E Asia Ignaciana._x000a_ITEM 3: Comparten comedor - Los 60 RI de SP el Playon y los 130 de la SE Asia Ignaciana se deben entregar en la I.E Asia Ignaciana"/>
        <filter val="Comparten comedor - los 250 AM/PM de SE la Anunciación deberan ser entregados en la IE Gonzalo Restrepo"/>
        <filter val="Comparten comedor - los 28 Almuerzos de Cibercolegio y los 23 de la volcana con los 41 de La Suiza. El servicio para los 3 centros educativos se presta en La Suiza."/>
        <filter val="Comparten comedor - los 30 Almuerzos de Cibercolegio y los 23 de la volcana deben ser entregados en el CE la Suiza."/>
        <filter val="Comparten comedor - Los 320 AM/PM de la IE. Fe y Alegria deben ser entregados en la SE Fe y Alegria."/>
        <filter val="Comparten comedor, los escolares de las dos secciónes pasan almorzar a la IE. principal"/>
      </filters>
    </filterColumn>
  </autoFilter>
  <tableColumns count="34">
    <tableColumn id="1" xr3:uid="{00000000-0010-0000-0100-000001000000}" name="ID SEDE" dataDxfId="46" dataCellStyle="Normal 84"/>
    <tableColumn id="3" xr3:uid="{00000000-0010-0000-0100-000003000000}" name="OPERADOR" dataDxfId="45" dataCellStyle="Normal 84"/>
    <tableColumn id="2" xr3:uid="{00000000-0010-0000-0100-000002000000}" name="CONTRATISTA" dataDxfId="44" dataCellStyle="Normal 84"/>
    <tableColumn id="4" xr3:uid="{00000000-0010-0000-0100-000004000000}" name="MODALIDAD" dataDxfId="43" dataCellStyle="Normal 84"/>
    <tableColumn id="5" xr3:uid="{00000000-0010-0000-0100-000005000000}" name="No. LOTE " dataDxfId="42" dataCellStyle="Normal 84"/>
    <tableColumn id="6" xr3:uid="{00000000-0010-0000-0100-000006000000}" name="Zona " dataDxfId="41" dataCellStyle="Normal 84"/>
    <tableColumn id="7" xr3:uid="{00000000-0010-0000-0100-000007000000}" name="No. " dataDxfId="40" dataCellStyle="Normal 84"/>
    <tableColumn id="8" xr3:uid="{00000000-0010-0000-0100-000008000000}" name="COMEDOR ESCOLAR" dataDxfId="39" dataCellStyle="Normal 84"/>
    <tableColumn id="9" xr3:uid="{00000000-0010-0000-0100-000009000000}" name="NOMBRE SEDE" dataDxfId="38" dataCellStyle="Normal 84"/>
    <tableColumn id="10" xr3:uid="{00000000-0010-0000-0100-00000A000000}" name="CONSECUTIVO DANE" dataDxfId="37" dataCellStyle="Normal 84"/>
    <tableColumn id="11" xr3:uid="{00000000-0010-0000-0100-00000B000000}" name="TIPO DE EE" dataDxfId="36" dataCellStyle="Normal 84"/>
    <tableColumn id="12" xr3:uid="{00000000-0010-0000-0100-00000C000000}" name="J.UNICA" dataDxfId="35" dataCellStyle="Normal 84"/>
    <tableColumn id="13" xr3:uid="{00000000-0010-0000-0100-00000D000000}" name="COMUNA" dataDxfId="34" dataCellStyle="Normal 84"/>
    <tableColumn id="14" xr3:uid="{00000000-0010-0000-0100-00000E000000}" name="BARRIO" dataDxfId="33" dataCellStyle="Normal 84"/>
    <tableColumn id="15" xr3:uid="{00000000-0010-0000-0100-00000F000000}" name="DIRECCION" dataDxfId="32" dataCellStyle="Normal 84"/>
    <tableColumn id="16" xr3:uid="{00000000-0010-0000-0100-000010000000}" name="TELEFONO" dataDxfId="31" dataCellStyle="Normal 84"/>
    <tableColumn id="17" xr3:uid="{00000000-0010-0000-0100-000011000000}" name="RECTOR Y/O COORDINADOR  " dataDxfId="30" dataCellStyle="Normal 84"/>
    <tableColumn id="18" xr3:uid="{00000000-0010-0000-0100-000012000000}" name="DOCENTE ENCARGADO DEL R.E." dataDxfId="29" dataCellStyle="Normal 84"/>
    <tableColumn id="19" xr3:uid="{00000000-0010-0000-0100-000013000000}" name="CORREO ELECTRONICO" dataDxfId="28" dataCellStyle="Normal 84"/>
    <tableColumn id="20" xr3:uid="{00000000-0010-0000-0100-000014000000}" name="COMPLEMENTO ALIMENTARIO  AM/PM _x000a_0° a 3°" dataDxfId="27" dataCellStyle="Normal 84"/>
    <tableColumn id="21" xr3:uid="{00000000-0010-0000-0100-000015000000}" name="COMPLEMENTO ALIMENTARIO  AM/PM _x000a_4° a 8°" dataDxfId="26" dataCellStyle="Normal 84"/>
    <tableColumn id="22" xr3:uid="{00000000-0010-0000-0100-000016000000}" name="COMPLEMENTO ALIMENTARIO  AM/PM _x000a_9° a 11°" dataDxfId="25" dataCellStyle="Normal 84"/>
    <tableColumn id="23" xr3:uid="{00000000-0010-0000-0100-000017000000}" name="TIPO COMPLEMENTO" dataDxfId="24" dataCellStyle="Normal 84"/>
    <tableColumn id="24" xr3:uid="{00000000-0010-0000-0100-000018000000}" name="OPERADOR2" dataDxfId="23" dataCellStyle="Normal 84"/>
    <tableColumn id="25" xr3:uid="{00000000-0010-0000-0100-000019000000}" name="TOTAL CUPOS_x000a_" dataDxfId="22" dataCellStyle="Normal 84"/>
    <tableColumn id="26" xr3:uid="{00000000-0010-0000-0100-00001A000000}" name=" COMPLEMENTO VASO DE LECHE 0° a 3°" dataDxfId="21" dataCellStyle="Normal 84"/>
    <tableColumn id="27" xr3:uid="{00000000-0010-0000-0100-00001B000000}" name=" COMPLEMENTO VASO DE LECHE 4° a 8°" dataDxfId="20" dataCellStyle="Normal 84"/>
    <tableColumn id="28" xr3:uid="{00000000-0010-0000-0100-00001C000000}" name=" COMPLEMENTO VASO DE LECHE 9° a 11°" dataDxfId="19" dataCellStyle="Normal 84"/>
    <tableColumn id="29" xr3:uid="{00000000-0010-0000-0100-00001D000000}" name="TIPO COMPLEMENTO2" dataDxfId="18" dataCellStyle="Normal 84"/>
    <tableColumn id="30" xr3:uid="{00000000-0010-0000-0100-00001E000000}" name="OPERADOR3" dataDxfId="17" dataCellStyle="Normal 84"/>
    <tableColumn id="31" xr3:uid="{00000000-0010-0000-0100-00001F000000}" name="TOTAL CUPOS_x000a_4" dataDxfId="16" dataCellStyle="Normal 84"/>
    <tableColumn id="32" xr3:uid="{00000000-0010-0000-0100-000020000000}" name="TOTAL COBERTURA " dataDxfId="15" dataCellStyle="Normal 84"/>
    <tableColumn id="33" xr3:uid="{00000000-0010-0000-0100-000021000000}" name="IE CON RIT" dataDxfId="14" dataCellStyle="Normal 84"/>
    <tableColumn id="34" xr3:uid="{00000000-0010-0000-0100-000022000000}" name="OBSERVACIONES" dataDxfId="13" dataCellStyle="Normal 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2" displayName="Tabla2" ref="A8:B33" totalsRowShown="0" headerRowDxfId="12" dataDxfId="11">
  <autoFilter ref="A8:B33" xr:uid="{00000000-0009-0000-0100-000003000000}"/>
  <tableColumns count="2">
    <tableColumn id="1" xr3:uid="{00000000-0010-0000-0200-000001000000}" name="VISITA" dataDxfId="10"/>
    <tableColumn id="2" xr3:uid="{00000000-0010-0000-0200-000002000000}" name="ACTA" dataDxfId="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3" displayName="Tabla3" ref="A46:D114" totalsRowShown="0" headerRowDxfId="8" dataDxfId="6" headerRowBorderDxfId="7" tableBorderDxfId="5" totalsRowBorderDxfId="4" headerRowCellStyle="Normal 17">
  <autoFilter ref="A46:D114" xr:uid="{00000000-0009-0000-0100-000004000000}"/>
  <sortState xmlns:xlrd2="http://schemas.microsoft.com/office/spreadsheetml/2017/richdata2" ref="A47:D114">
    <sortCondition ref="A46:A114"/>
  </sortState>
  <tableColumns count="4">
    <tableColumn id="1" xr3:uid="{00000000-0010-0000-0300-000001000000}" name="PROFESIONAL" dataDxfId="3" dataCellStyle="Normal 2 10"/>
    <tableColumn id="2" xr3:uid="{00000000-0010-0000-0300-000002000000}" name="ROL" dataDxfId="2" dataCellStyle="Normal 2 10"/>
    <tableColumn id="3" xr3:uid="{00000000-0010-0000-0300-000003000000}" name="IDENTIFICACION" dataDxfId="1"/>
    <tableColumn id="4" xr3:uid="{00000000-0010-0000-0300-000004000000}" name="CONTACT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MT6"/>
  <sheetViews>
    <sheetView tabSelected="1" zoomScale="60" zoomScaleNormal="60" workbookViewId="0">
      <pane ySplit="4" topLeftCell="A5" activePane="bottomLeft" state="frozen"/>
      <selection pane="bottomLeft" activeCell="A4" sqref="A4"/>
    </sheetView>
  </sheetViews>
  <sheetFormatPr baseColWidth="10" defaultColWidth="11.44140625" defaultRowHeight="14.4"/>
  <cols>
    <col min="1" max="1" width="15.88671875" style="11" customWidth="1"/>
    <col min="2" max="2" width="12.6640625" style="3" customWidth="1"/>
    <col min="3" max="3" width="13.88671875" style="3" customWidth="1"/>
    <col min="4" max="4" width="15" style="5" customWidth="1"/>
    <col min="5" max="5" width="15.6640625" style="5" customWidth="1"/>
    <col min="6" max="6" width="23.21875" style="5" customWidth="1"/>
    <col min="7" max="10" width="24.44140625" style="3" customWidth="1"/>
    <col min="11" max="11" width="32.88671875" style="3" customWidth="1"/>
    <col min="12" max="12" width="19.6640625" style="3" customWidth="1"/>
    <col min="13" max="13" width="18.44140625" style="3" customWidth="1"/>
    <col min="14" max="14" width="18.33203125" style="3" customWidth="1"/>
    <col min="15" max="15" width="26.88671875" style="3" customWidth="1"/>
    <col min="16" max="18" width="17.44140625" style="3" bestFit="1" customWidth="1"/>
    <col min="19" max="19" width="21.88671875" style="3" customWidth="1"/>
    <col min="20" max="20" width="17.44140625" style="3" customWidth="1"/>
    <col min="21" max="100" width="23.88671875" style="3" customWidth="1"/>
    <col min="101" max="104" width="32.33203125" style="24" customWidth="1"/>
    <col min="105" max="108" width="16" style="24" bestFit="1" customWidth="1"/>
    <col min="109" max="110" width="32.33203125" style="24" customWidth="1"/>
    <col min="111" max="114" width="16" style="24" bestFit="1" customWidth="1"/>
    <col min="115" max="115" width="38.77734375" style="24" customWidth="1"/>
    <col min="116" max="116" width="32.6640625" style="24" customWidth="1"/>
    <col min="117" max="117" width="35.44140625" style="24" bestFit="1" customWidth="1"/>
    <col min="118" max="118" width="39.33203125" style="24" customWidth="1"/>
    <col min="119" max="119" width="35.44140625" style="24" bestFit="1" customWidth="1"/>
    <col min="120" max="123" width="16" style="24" bestFit="1" customWidth="1"/>
    <col min="124" max="132" width="32.33203125" style="24" customWidth="1"/>
    <col min="133" max="136" width="16" style="24" bestFit="1" customWidth="1"/>
    <col min="137" max="138" width="32.33203125" style="24" customWidth="1"/>
    <col min="139" max="142" width="16" style="24" bestFit="1" customWidth="1"/>
    <col min="143" max="143" width="36.6640625" style="24" customWidth="1"/>
    <col min="144" max="144" width="32.33203125" style="24" customWidth="1"/>
    <col min="145" max="145" width="36.44140625" style="24" customWidth="1"/>
    <col min="146" max="149" width="16" style="24" bestFit="1" customWidth="1"/>
    <col min="150" max="150" width="44.109375" style="24" customWidth="1"/>
    <col min="151" max="151" width="48.77734375" style="24" customWidth="1"/>
    <col min="152" max="155" width="17" style="24" bestFit="1" customWidth="1"/>
    <col min="156" max="159" width="32.33203125" style="24" customWidth="1"/>
    <col min="160" max="163" width="17" style="24" bestFit="1" customWidth="1"/>
    <col min="164" max="165" width="32.33203125" style="24" customWidth="1"/>
    <col min="166" max="166" width="46.109375" style="24" customWidth="1"/>
    <col min="167" max="170" width="17" style="24" bestFit="1" customWidth="1"/>
    <col min="171" max="173" width="37.33203125" style="24" customWidth="1"/>
    <col min="174" max="176" width="17" style="24" bestFit="1" customWidth="1"/>
    <col min="177" max="177" width="16" style="24" bestFit="1" customWidth="1"/>
    <col min="178" max="178" width="32.33203125" style="24" customWidth="1"/>
    <col min="179" max="182" width="17" style="24" bestFit="1" customWidth="1"/>
    <col min="183" max="183" width="32.33203125" style="24" customWidth="1"/>
    <col min="184" max="184" width="46.33203125" style="24" customWidth="1"/>
    <col min="185" max="188" width="17" style="24" bestFit="1" customWidth="1"/>
    <col min="189" max="189" width="32.33203125" style="24" customWidth="1"/>
    <col min="190" max="190" width="50.5546875" style="24" customWidth="1"/>
    <col min="191" max="195" width="32.33203125" style="24" customWidth="1"/>
    <col min="196" max="199" width="17" style="24" bestFit="1" customWidth="1"/>
    <col min="200" max="203" width="32.33203125" style="24" customWidth="1"/>
    <col min="204" max="204" width="46.6640625" style="24" customWidth="1"/>
    <col min="205" max="205" width="32.33203125" style="24" customWidth="1"/>
    <col min="206" max="208" width="17" style="24" bestFit="1" customWidth="1"/>
    <col min="209" max="209" width="16" style="24" bestFit="1" customWidth="1"/>
    <col min="210" max="214" width="41.21875" style="24" customWidth="1"/>
    <col min="215" max="218" width="17" style="24" bestFit="1" customWidth="1"/>
    <col min="219" max="227" width="32.33203125" style="24" customWidth="1"/>
    <col min="228" max="231" width="17" style="24" bestFit="1" customWidth="1"/>
    <col min="232" max="235" width="50.109375" style="24" customWidth="1"/>
    <col min="236" max="236" width="85.5546875" style="24" customWidth="1"/>
    <col min="237" max="254" width="50.109375" style="24" customWidth="1"/>
    <col min="255" max="255" width="62.44140625" style="24" customWidth="1"/>
    <col min="256" max="258" width="50.109375" style="24" customWidth="1"/>
    <col min="259" max="259" width="71.21875" style="24" customWidth="1"/>
    <col min="260" max="264" width="50.109375" style="24" customWidth="1"/>
    <col min="265" max="265" width="61.6640625" style="24" customWidth="1"/>
    <col min="266" max="279" width="50.109375" style="24" customWidth="1"/>
    <col min="280" max="280" width="69.6640625" style="24" customWidth="1"/>
    <col min="281" max="283" width="50.109375" style="24" customWidth="1"/>
    <col min="284" max="284" width="107" style="24" customWidth="1"/>
    <col min="285" max="287" width="50.109375" style="24" customWidth="1"/>
    <col min="288" max="288" width="70.109375" style="24" customWidth="1"/>
    <col min="289" max="291" width="50.109375" style="24" customWidth="1"/>
    <col min="292" max="292" width="74.21875" style="24" customWidth="1"/>
    <col min="293" max="296" width="50.109375" style="24" customWidth="1"/>
    <col min="297" max="297" width="71.88671875" style="24" customWidth="1"/>
    <col min="298" max="304" width="50.109375" style="24" customWidth="1"/>
    <col min="305" max="305" width="100.44140625" style="24" customWidth="1"/>
    <col min="306" max="310" width="50.109375" style="24" customWidth="1"/>
    <col min="311" max="311" width="97" style="24" customWidth="1"/>
    <col min="312" max="313" width="50.109375" style="24" customWidth="1"/>
    <col min="314" max="314" width="80.88671875" style="24" customWidth="1"/>
    <col min="315" max="315" width="80.44140625" style="24" customWidth="1"/>
    <col min="316" max="316" width="69.44140625" style="24" customWidth="1"/>
    <col min="317" max="317" width="50.109375" style="24" customWidth="1"/>
    <col min="318" max="318" width="68.6640625" style="24" customWidth="1"/>
    <col min="319" max="322" width="50.109375" style="24" customWidth="1"/>
    <col min="323" max="323" width="63.5546875" style="24" customWidth="1"/>
    <col min="324" max="324" width="78.88671875" style="24" customWidth="1"/>
    <col min="325" max="325" width="63.77734375" style="24" customWidth="1"/>
    <col min="326" max="326" width="72" style="24" customWidth="1"/>
    <col min="327" max="327" width="50.109375" style="24" customWidth="1"/>
    <col min="328" max="328" width="84.88671875" style="24" customWidth="1"/>
    <col min="329" max="330" width="50.109375" style="24" customWidth="1"/>
    <col min="331" max="331" width="84.33203125" style="24" customWidth="1"/>
    <col min="332" max="337" width="50.109375" style="24" customWidth="1"/>
    <col min="338" max="338" width="59.6640625" style="24" customWidth="1"/>
    <col min="339" max="345" width="50.109375" style="24" customWidth="1"/>
    <col min="346" max="346" width="80.77734375" style="24" customWidth="1"/>
    <col min="347" max="347" width="50.109375" style="24" customWidth="1"/>
    <col min="348" max="351" width="17" style="24" bestFit="1" customWidth="1"/>
    <col min="352" max="353" width="23.88671875" style="22" bestFit="1" customWidth="1"/>
    <col min="354" max="354" width="23.44140625" style="22" bestFit="1" customWidth="1"/>
    <col min="355" max="355" width="23.44140625" style="22" customWidth="1"/>
    <col min="356" max="356" width="36.109375" style="3" customWidth="1"/>
    <col min="357" max="358" width="56.5546875" style="24" customWidth="1"/>
    <col min="359" max="16384" width="11.44140625" style="3"/>
  </cols>
  <sheetData>
    <row r="1" spans="1:358" s="4" customFormat="1" ht="34.5" customHeight="1" thickBot="1">
      <c r="A1" s="513" t="s">
        <v>3169</v>
      </c>
      <c r="B1" s="514"/>
      <c r="C1" s="514"/>
      <c r="D1" s="514"/>
      <c r="E1" s="514"/>
      <c r="F1" s="514"/>
      <c r="G1" s="514"/>
      <c r="H1" s="514"/>
      <c r="I1" s="514"/>
      <c r="J1" s="514"/>
      <c r="K1" s="514"/>
      <c r="L1" s="514"/>
      <c r="M1" s="514"/>
      <c r="N1" s="32"/>
      <c r="O1" s="32"/>
      <c r="P1" s="32"/>
      <c r="Q1" s="32"/>
      <c r="R1" s="32"/>
      <c r="S1" s="32"/>
      <c r="T1" s="32"/>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row>
    <row r="2" spans="1:358" s="39" customFormat="1" ht="16.2" thickBot="1">
      <c r="A2" s="389"/>
      <c r="B2" s="389"/>
      <c r="C2" s="389"/>
      <c r="D2" s="389"/>
      <c r="E2" s="389"/>
      <c r="F2" s="389"/>
      <c r="G2" s="389"/>
      <c r="H2" s="389"/>
      <c r="I2" s="389"/>
      <c r="J2" s="389"/>
      <c r="K2" s="389"/>
      <c r="L2" s="389"/>
      <c r="M2" s="389"/>
      <c r="N2" s="32"/>
      <c r="O2" s="32"/>
      <c r="P2" s="32"/>
      <c r="Q2" s="32"/>
      <c r="R2" s="32"/>
      <c r="S2" s="32"/>
      <c r="T2" s="32"/>
      <c r="U2" s="482" t="s">
        <v>3543</v>
      </c>
      <c r="V2" s="483"/>
      <c r="W2" s="483"/>
      <c r="X2" s="483"/>
      <c r="Y2" s="483"/>
      <c r="Z2" s="483"/>
      <c r="AA2" s="483"/>
      <c r="AB2" s="484"/>
      <c r="AC2" s="482" t="s">
        <v>3544</v>
      </c>
      <c r="AD2" s="483"/>
      <c r="AE2" s="483"/>
      <c r="AF2" s="483"/>
      <c r="AG2" s="483"/>
      <c r="AH2" s="483"/>
      <c r="AI2" s="483"/>
      <c r="AJ2" s="484"/>
      <c r="AK2" s="482" t="s">
        <v>3554</v>
      </c>
      <c r="AL2" s="483"/>
      <c r="AM2" s="483"/>
      <c r="AN2" s="483"/>
      <c r="AO2" s="483"/>
      <c r="AP2" s="483"/>
      <c r="AQ2" s="483"/>
      <c r="AR2" s="484"/>
      <c r="AS2" s="482" t="s">
        <v>3563</v>
      </c>
      <c r="AT2" s="483"/>
      <c r="AU2" s="483"/>
      <c r="AV2" s="483"/>
      <c r="AW2" s="483"/>
      <c r="AX2" s="483"/>
      <c r="AY2" s="483"/>
      <c r="AZ2" s="484"/>
      <c r="BA2" s="482" t="s">
        <v>3572</v>
      </c>
      <c r="BB2" s="483"/>
      <c r="BC2" s="483"/>
      <c r="BD2" s="483"/>
      <c r="BE2" s="483"/>
      <c r="BF2" s="483"/>
      <c r="BG2" s="483"/>
      <c r="BH2" s="484"/>
      <c r="BI2" s="482" t="s">
        <v>3581</v>
      </c>
      <c r="BJ2" s="483"/>
      <c r="BK2" s="483"/>
      <c r="BL2" s="483"/>
      <c r="BM2" s="483"/>
      <c r="BN2" s="483"/>
      <c r="BO2" s="483"/>
      <c r="BP2" s="484"/>
      <c r="BQ2" s="482" t="s">
        <v>3590</v>
      </c>
      <c r="BR2" s="483"/>
      <c r="BS2" s="483"/>
      <c r="BT2" s="483"/>
      <c r="BU2" s="483"/>
      <c r="BV2" s="483"/>
      <c r="BW2" s="483"/>
      <c r="BX2" s="484"/>
      <c r="BY2" s="482" t="s">
        <v>3599</v>
      </c>
      <c r="BZ2" s="483"/>
      <c r="CA2" s="483"/>
      <c r="CB2" s="483"/>
      <c r="CC2" s="483"/>
      <c r="CD2" s="483"/>
      <c r="CE2" s="483"/>
      <c r="CF2" s="484"/>
      <c r="CG2" s="482" t="s">
        <v>3608</v>
      </c>
      <c r="CH2" s="483"/>
      <c r="CI2" s="483"/>
      <c r="CJ2" s="483"/>
      <c r="CK2" s="483"/>
      <c r="CL2" s="483"/>
      <c r="CM2" s="483"/>
      <c r="CN2" s="484"/>
      <c r="CO2" s="482" t="s">
        <v>3617</v>
      </c>
      <c r="CP2" s="483"/>
      <c r="CQ2" s="483"/>
      <c r="CR2" s="483"/>
      <c r="CS2" s="483"/>
      <c r="CT2" s="483"/>
      <c r="CU2" s="483"/>
      <c r="CV2" s="484"/>
      <c r="CW2" s="497" t="s">
        <v>2670</v>
      </c>
      <c r="CX2" s="498"/>
      <c r="CY2" s="498"/>
      <c r="CZ2" s="498"/>
      <c r="DA2" s="498"/>
      <c r="DB2" s="498"/>
      <c r="DC2" s="498"/>
      <c r="DD2" s="498"/>
      <c r="DE2" s="499"/>
      <c r="DF2" s="499"/>
      <c r="DG2" s="499"/>
      <c r="DH2" s="499"/>
      <c r="DI2" s="499"/>
      <c r="DJ2" s="499"/>
      <c r="DK2" s="499"/>
      <c r="DL2" s="499"/>
      <c r="DM2" s="499"/>
      <c r="DN2" s="499"/>
      <c r="DO2" s="499"/>
      <c r="DP2" s="499"/>
      <c r="DQ2" s="499"/>
      <c r="DR2" s="499"/>
      <c r="DS2" s="499"/>
      <c r="DT2" s="499"/>
      <c r="DU2" s="499"/>
      <c r="DV2" s="499"/>
      <c r="DW2" s="499"/>
      <c r="DX2" s="499"/>
      <c r="DY2" s="499"/>
      <c r="DZ2" s="499"/>
      <c r="EA2" s="499"/>
      <c r="EB2" s="499"/>
      <c r="EC2" s="499"/>
      <c r="ED2" s="499"/>
      <c r="EE2" s="499"/>
      <c r="EF2" s="499"/>
      <c r="EG2" s="499"/>
      <c r="EH2" s="499"/>
      <c r="EI2" s="499"/>
      <c r="EJ2" s="499"/>
      <c r="EK2" s="499"/>
      <c r="EL2" s="499"/>
      <c r="EM2" s="499"/>
      <c r="EN2" s="499"/>
      <c r="EO2" s="499"/>
      <c r="EP2" s="499"/>
      <c r="EQ2" s="499"/>
      <c r="ER2" s="499"/>
      <c r="ES2" s="499"/>
      <c r="ET2" s="499"/>
      <c r="EU2" s="499"/>
      <c r="EV2" s="499"/>
      <c r="EW2" s="499"/>
      <c r="EX2" s="499"/>
      <c r="EY2" s="499"/>
      <c r="EZ2" s="499"/>
      <c r="FA2" s="499"/>
      <c r="FB2" s="499"/>
      <c r="FC2" s="499"/>
      <c r="FD2" s="499"/>
      <c r="FE2" s="499"/>
      <c r="FF2" s="499"/>
      <c r="FG2" s="499"/>
      <c r="FH2" s="499"/>
      <c r="FI2" s="499"/>
      <c r="FJ2" s="499"/>
      <c r="FK2" s="499"/>
      <c r="FL2" s="499"/>
      <c r="FM2" s="499"/>
      <c r="FN2" s="499"/>
      <c r="FO2" s="499"/>
      <c r="FP2" s="499"/>
      <c r="FQ2" s="499"/>
      <c r="FR2" s="499"/>
      <c r="FS2" s="499"/>
      <c r="FT2" s="499"/>
      <c r="FU2" s="499"/>
      <c r="FV2" s="499"/>
      <c r="FW2" s="499"/>
      <c r="FX2" s="499"/>
      <c r="FY2" s="499"/>
      <c r="FZ2" s="499"/>
      <c r="GA2" s="499"/>
      <c r="GB2" s="499"/>
      <c r="GC2" s="499"/>
      <c r="GD2" s="499"/>
      <c r="GE2" s="499"/>
      <c r="GF2" s="499"/>
      <c r="GG2" s="498"/>
      <c r="GH2" s="498"/>
      <c r="GI2" s="498"/>
      <c r="GJ2" s="498"/>
      <c r="GK2" s="498"/>
      <c r="GL2" s="498"/>
      <c r="GM2" s="498"/>
      <c r="GN2" s="498"/>
      <c r="GO2" s="498"/>
      <c r="GP2" s="498"/>
      <c r="GQ2" s="498"/>
      <c r="GR2" s="499"/>
      <c r="GS2" s="499"/>
      <c r="GT2" s="499"/>
      <c r="GU2" s="499"/>
      <c r="GV2" s="499"/>
      <c r="GW2" s="499"/>
      <c r="GX2" s="499"/>
      <c r="GY2" s="499"/>
      <c r="GZ2" s="499"/>
      <c r="HA2" s="499"/>
      <c r="HB2" s="499"/>
      <c r="HC2" s="499"/>
      <c r="HD2" s="499"/>
      <c r="HE2" s="499"/>
      <c r="HF2" s="499"/>
      <c r="HG2" s="499"/>
      <c r="HH2" s="499"/>
      <c r="HI2" s="499"/>
      <c r="HJ2" s="499"/>
      <c r="HK2" s="499"/>
      <c r="HL2" s="499"/>
      <c r="HM2" s="499"/>
      <c r="HN2" s="499"/>
      <c r="HO2" s="499"/>
      <c r="HP2" s="499"/>
      <c r="HQ2" s="499"/>
      <c r="HR2" s="499"/>
      <c r="HS2" s="499"/>
      <c r="HT2" s="499"/>
      <c r="HU2" s="499"/>
      <c r="HV2" s="499"/>
      <c r="HW2" s="499"/>
      <c r="HX2" s="491" t="s">
        <v>2734</v>
      </c>
      <c r="HY2" s="492"/>
      <c r="HZ2" s="492"/>
      <c r="IA2" s="492"/>
      <c r="IB2" s="492"/>
      <c r="IC2" s="492"/>
      <c r="ID2" s="492"/>
      <c r="IE2" s="492"/>
      <c r="IF2" s="492"/>
      <c r="IG2" s="492"/>
      <c r="IH2" s="492"/>
      <c r="II2" s="492"/>
      <c r="IJ2" s="492"/>
      <c r="IK2" s="492"/>
      <c r="IL2" s="492"/>
      <c r="IM2" s="492"/>
      <c r="IN2" s="492"/>
      <c r="IO2" s="492"/>
      <c r="IP2" s="492"/>
      <c r="IQ2" s="492"/>
      <c r="IR2" s="492"/>
      <c r="IS2" s="492"/>
      <c r="IT2" s="492"/>
      <c r="IU2" s="492"/>
      <c r="IV2" s="492"/>
      <c r="IW2" s="492"/>
      <c r="IX2" s="492"/>
      <c r="IY2" s="492"/>
      <c r="IZ2" s="492"/>
      <c r="JA2" s="492"/>
      <c r="JB2" s="492"/>
      <c r="JC2" s="492"/>
      <c r="JD2" s="492"/>
      <c r="JE2" s="492"/>
      <c r="JF2" s="492"/>
      <c r="JG2" s="492"/>
      <c r="JH2" s="492"/>
      <c r="JI2" s="492"/>
      <c r="JJ2" s="492"/>
      <c r="JK2" s="492"/>
      <c r="JL2" s="492"/>
      <c r="JM2" s="492"/>
      <c r="JN2" s="492"/>
      <c r="JO2" s="492"/>
      <c r="JP2" s="492"/>
      <c r="JQ2" s="492"/>
      <c r="JR2" s="492"/>
      <c r="JS2" s="492"/>
      <c r="JT2" s="492"/>
      <c r="JU2" s="492"/>
      <c r="JV2" s="492"/>
      <c r="JW2" s="492"/>
      <c r="JX2" s="492"/>
      <c r="JY2" s="492"/>
      <c r="JZ2" s="492"/>
      <c r="KA2" s="492"/>
      <c r="KB2" s="492"/>
      <c r="KC2" s="492"/>
      <c r="KD2" s="492"/>
      <c r="KE2" s="492"/>
      <c r="KF2" s="492"/>
      <c r="KG2" s="492"/>
      <c r="KH2" s="492"/>
      <c r="KI2" s="492"/>
      <c r="KJ2" s="492"/>
      <c r="KK2" s="492"/>
      <c r="KL2" s="492"/>
      <c r="KM2" s="492"/>
      <c r="KN2" s="492"/>
      <c r="KO2" s="492"/>
      <c r="KP2" s="492"/>
      <c r="KQ2" s="492"/>
      <c r="KR2" s="492"/>
      <c r="KS2" s="492"/>
      <c r="KT2" s="492"/>
      <c r="KU2" s="492"/>
      <c r="KV2" s="492"/>
      <c r="KW2" s="492"/>
      <c r="KX2" s="492"/>
      <c r="KY2" s="492"/>
      <c r="KZ2" s="492"/>
      <c r="LA2" s="492"/>
      <c r="LB2" s="492"/>
      <c r="LC2" s="492"/>
      <c r="LD2" s="492"/>
      <c r="LE2" s="492"/>
      <c r="LF2" s="492"/>
      <c r="LG2" s="492"/>
      <c r="LH2" s="492"/>
      <c r="LI2" s="492"/>
      <c r="LJ2" s="492"/>
      <c r="LK2" s="492"/>
      <c r="LL2" s="492"/>
      <c r="LM2" s="492"/>
      <c r="LN2" s="492"/>
      <c r="LO2" s="492"/>
      <c r="LP2" s="492"/>
      <c r="LQ2" s="492"/>
      <c r="LR2" s="492"/>
      <c r="LS2" s="492"/>
      <c r="LT2" s="492"/>
      <c r="LU2" s="492"/>
      <c r="LV2" s="492"/>
      <c r="LW2" s="492"/>
      <c r="LX2" s="492"/>
      <c r="LY2" s="492"/>
      <c r="LZ2" s="492"/>
      <c r="MA2" s="492"/>
      <c r="MB2" s="492"/>
      <c r="MC2" s="492"/>
      <c r="MD2" s="492"/>
      <c r="ME2" s="492"/>
      <c r="MF2" s="492"/>
      <c r="MG2" s="492"/>
      <c r="MH2" s="492"/>
      <c r="MI2" s="492"/>
      <c r="MJ2" s="492"/>
      <c r="MK2" s="492"/>
      <c r="ML2" s="492"/>
      <c r="MM2" s="493"/>
      <c r="MN2" s="477" t="s">
        <v>2850</v>
      </c>
      <c r="MO2" s="478"/>
      <c r="MP2" s="478"/>
      <c r="MQ2" s="479"/>
      <c r="MR2" s="389"/>
    </row>
    <row r="3" spans="1:358" s="30" customFormat="1" ht="16.2" thickBot="1">
      <c r="A3" s="512"/>
      <c r="B3" s="512"/>
      <c r="C3" s="512"/>
      <c r="D3" s="512"/>
      <c r="E3" s="512"/>
      <c r="F3" s="512"/>
      <c r="G3" s="512"/>
      <c r="H3" s="512"/>
      <c r="I3" s="512"/>
      <c r="J3" s="512"/>
      <c r="K3" s="512"/>
      <c r="L3" s="512"/>
      <c r="M3" s="512"/>
      <c r="N3" s="512"/>
      <c r="O3" s="512"/>
      <c r="P3" s="512"/>
      <c r="Q3" s="512"/>
      <c r="R3" s="512"/>
      <c r="S3" s="512"/>
      <c r="T3" s="512"/>
      <c r="U3" s="485"/>
      <c r="V3" s="486"/>
      <c r="W3" s="486"/>
      <c r="X3" s="486"/>
      <c r="Y3" s="486"/>
      <c r="Z3" s="486"/>
      <c r="AA3" s="486"/>
      <c r="AB3" s="487"/>
      <c r="AC3" s="485"/>
      <c r="AD3" s="486"/>
      <c r="AE3" s="486"/>
      <c r="AF3" s="486"/>
      <c r="AG3" s="486"/>
      <c r="AH3" s="486"/>
      <c r="AI3" s="486"/>
      <c r="AJ3" s="487"/>
      <c r="AK3" s="485"/>
      <c r="AL3" s="486"/>
      <c r="AM3" s="486"/>
      <c r="AN3" s="486"/>
      <c r="AO3" s="486"/>
      <c r="AP3" s="486"/>
      <c r="AQ3" s="486"/>
      <c r="AR3" s="487"/>
      <c r="AS3" s="485"/>
      <c r="AT3" s="486"/>
      <c r="AU3" s="486"/>
      <c r="AV3" s="486"/>
      <c r="AW3" s="486"/>
      <c r="AX3" s="486"/>
      <c r="AY3" s="486"/>
      <c r="AZ3" s="487"/>
      <c r="BA3" s="485"/>
      <c r="BB3" s="486"/>
      <c r="BC3" s="486"/>
      <c r="BD3" s="486"/>
      <c r="BE3" s="486"/>
      <c r="BF3" s="486"/>
      <c r="BG3" s="486"/>
      <c r="BH3" s="487"/>
      <c r="BI3" s="485"/>
      <c r="BJ3" s="486"/>
      <c r="BK3" s="486"/>
      <c r="BL3" s="486"/>
      <c r="BM3" s="486"/>
      <c r="BN3" s="486"/>
      <c r="BO3" s="486"/>
      <c r="BP3" s="487"/>
      <c r="BQ3" s="485"/>
      <c r="BR3" s="486"/>
      <c r="BS3" s="486"/>
      <c r="BT3" s="486"/>
      <c r="BU3" s="486"/>
      <c r="BV3" s="486"/>
      <c r="BW3" s="486"/>
      <c r="BX3" s="487"/>
      <c r="BY3" s="485"/>
      <c r="BZ3" s="486"/>
      <c r="CA3" s="486"/>
      <c r="CB3" s="486"/>
      <c r="CC3" s="486"/>
      <c r="CD3" s="486"/>
      <c r="CE3" s="486"/>
      <c r="CF3" s="487"/>
      <c r="CG3" s="485"/>
      <c r="CH3" s="486"/>
      <c r="CI3" s="486"/>
      <c r="CJ3" s="486"/>
      <c r="CK3" s="486"/>
      <c r="CL3" s="486"/>
      <c r="CM3" s="486"/>
      <c r="CN3" s="487"/>
      <c r="CO3" s="485"/>
      <c r="CP3" s="486"/>
      <c r="CQ3" s="486"/>
      <c r="CR3" s="486"/>
      <c r="CS3" s="486"/>
      <c r="CT3" s="486"/>
      <c r="CU3" s="486"/>
      <c r="CV3" s="487"/>
      <c r="CW3" s="508" t="s">
        <v>3170</v>
      </c>
      <c r="CX3" s="509"/>
      <c r="CY3" s="509"/>
      <c r="CZ3" s="509"/>
      <c r="DA3" s="510"/>
      <c r="DB3" s="510"/>
      <c r="DC3" s="510"/>
      <c r="DD3" s="510"/>
      <c r="DE3" s="515" t="s">
        <v>3743</v>
      </c>
      <c r="DF3" s="515"/>
      <c r="DG3" s="515"/>
      <c r="DH3" s="515"/>
      <c r="DI3" s="515"/>
      <c r="DJ3" s="516"/>
      <c r="DK3" s="508" t="s">
        <v>3754</v>
      </c>
      <c r="DL3" s="509"/>
      <c r="DM3" s="509"/>
      <c r="DN3" s="509"/>
      <c r="DO3" s="509"/>
      <c r="DP3" s="506"/>
      <c r="DQ3" s="506"/>
      <c r="DR3" s="506"/>
      <c r="DS3" s="507"/>
      <c r="DT3" s="505" t="s">
        <v>3764</v>
      </c>
      <c r="DU3" s="511"/>
      <c r="DV3" s="506"/>
      <c r="DW3" s="506"/>
      <c r="DX3" s="506"/>
      <c r="DY3" s="506"/>
      <c r="DZ3" s="506"/>
      <c r="EA3" s="506"/>
      <c r="EB3" s="506"/>
      <c r="EC3" s="506"/>
      <c r="ED3" s="506"/>
      <c r="EE3" s="506"/>
      <c r="EF3" s="507"/>
      <c r="EG3" s="508" t="s">
        <v>3777</v>
      </c>
      <c r="EH3" s="509"/>
      <c r="EI3" s="506"/>
      <c r="EJ3" s="506"/>
      <c r="EK3" s="506"/>
      <c r="EL3" s="507"/>
      <c r="EM3" s="517" t="s">
        <v>3784</v>
      </c>
      <c r="EN3" s="518"/>
      <c r="EO3" s="518"/>
      <c r="EP3" s="495"/>
      <c r="EQ3" s="495"/>
      <c r="ER3" s="495"/>
      <c r="ES3" s="496"/>
      <c r="ET3" s="494" t="s">
        <v>3793</v>
      </c>
      <c r="EU3" s="495"/>
      <c r="EV3" s="495"/>
      <c r="EW3" s="495"/>
      <c r="EX3" s="495"/>
      <c r="EY3" s="496"/>
      <c r="EZ3" s="505" t="s">
        <v>3801</v>
      </c>
      <c r="FA3" s="506"/>
      <c r="FB3" s="506"/>
      <c r="FC3" s="506"/>
      <c r="FD3" s="506"/>
      <c r="FE3" s="506"/>
      <c r="FF3" s="506"/>
      <c r="FG3" s="507"/>
      <c r="FH3" s="505" t="s">
        <v>3811</v>
      </c>
      <c r="FI3" s="506"/>
      <c r="FJ3" s="506"/>
      <c r="FK3" s="506"/>
      <c r="FL3" s="506"/>
      <c r="FM3" s="506"/>
      <c r="FN3" s="507"/>
      <c r="FO3" s="505" t="s">
        <v>3820</v>
      </c>
      <c r="FP3" s="506"/>
      <c r="FQ3" s="506"/>
      <c r="FR3" s="506"/>
      <c r="FS3" s="506"/>
      <c r="FT3" s="506"/>
      <c r="FU3" s="507"/>
      <c r="FV3" s="505" t="s">
        <v>3830</v>
      </c>
      <c r="FW3" s="506"/>
      <c r="FX3" s="506"/>
      <c r="FY3" s="506"/>
      <c r="FZ3" s="507"/>
      <c r="GA3" s="494" t="s">
        <v>3840</v>
      </c>
      <c r="GB3" s="495"/>
      <c r="GC3" s="495"/>
      <c r="GD3" s="495"/>
      <c r="GE3" s="495"/>
      <c r="GF3" s="500"/>
      <c r="GG3" s="501" t="s">
        <v>3847</v>
      </c>
      <c r="GH3" s="502"/>
      <c r="GI3" s="502"/>
      <c r="GJ3" s="502"/>
      <c r="GK3" s="502"/>
      <c r="GL3" s="502"/>
      <c r="GM3" s="502"/>
      <c r="GN3" s="503"/>
      <c r="GO3" s="503"/>
      <c r="GP3" s="503"/>
      <c r="GQ3" s="503"/>
      <c r="GR3" s="494" t="s">
        <v>3860</v>
      </c>
      <c r="GS3" s="495"/>
      <c r="GT3" s="495"/>
      <c r="GU3" s="495"/>
      <c r="GV3" s="495"/>
      <c r="GW3" s="495"/>
      <c r="GX3" s="495"/>
      <c r="GY3" s="495"/>
      <c r="GZ3" s="495"/>
      <c r="HA3" s="496"/>
      <c r="HB3" s="494" t="s">
        <v>3873</v>
      </c>
      <c r="HC3" s="504"/>
      <c r="HD3" s="504"/>
      <c r="HE3" s="504"/>
      <c r="HF3" s="495"/>
      <c r="HG3" s="495"/>
      <c r="HH3" s="495"/>
      <c r="HI3" s="495"/>
      <c r="HJ3" s="496"/>
      <c r="HK3" s="494" t="s">
        <v>3883</v>
      </c>
      <c r="HL3" s="495"/>
      <c r="HM3" s="495"/>
      <c r="HN3" s="495"/>
      <c r="HO3" s="495"/>
      <c r="HP3" s="495"/>
      <c r="HQ3" s="495"/>
      <c r="HR3" s="495"/>
      <c r="HS3" s="495"/>
      <c r="HT3" s="495"/>
      <c r="HU3" s="495"/>
      <c r="HV3" s="495"/>
      <c r="HW3" s="496"/>
      <c r="HX3" s="488" t="s">
        <v>4019</v>
      </c>
      <c r="HY3" s="489"/>
      <c r="HZ3" s="489"/>
      <c r="IA3" s="489"/>
      <c r="IB3" s="489"/>
      <c r="IC3" s="489"/>
      <c r="ID3" s="489"/>
      <c r="IE3" s="489"/>
      <c r="IF3" s="489"/>
      <c r="IG3" s="489"/>
      <c r="IH3" s="489"/>
      <c r="II3" s="489"/>
      <c r="IJ3" s="489"/>
      <c r="IK3" s="489"/>
      <c r="IL3" s="489"/>
      <c r="IM3" s="489"/>
      <c r="IN3" s="489"/>
      <c r="IO3" s="489"/>
      <c r="IP3" s="489"/>
      <c r="IQ3" s="489"/>
      <c r="IR3" s="489"/>
      <c r="IS3" s="489"/>
      <c r="IT3" s="489"/>
      <c r="IU3" s="489"/>
      <c r="IV3" s="489"/>
      <c r="IW3" s="489"/>
      <c r="IX3" s="489"/>
      <c r="IY3" s="489"/>
      <c r="IZ3" s="489"/>
      <c r="JA3" s="489"/>
      <c r="JB3" s="489"/>
      <c r="JC3" s="489"/>
      <c r="JD3" s="489"/>
      <c r="JE3" s="489"/>
      <c r="JF3" s="489"/>
      <c r="JG3" s="489"/>
      <c r="JH3" s="489"/>
      <c r="JI3" s="489"/>
      <c r="JJ3" s="489"/>
      <c r="JK3" s="489"/>
      <c r="JL3" s="489"/>
      <c r="JM3" s="489"/>
      <c r="JN3" s="489"/>
      <c r="JO3" s="489"/>
      <c r="JP3" s="489"/>
      <c r="JQ3" s="489"/>
      <c r="JR3" s="489"/>
      <c r="JS3" s="489"/>
      <c r="JT3" s="489"/>
      <c r="JU3" s="489"/>
      <c r="JV3" s="489"/>
      <c r="JW3" s="489"/>
      <c r="JX3" s="489"/>
      <c r="JY3" s="489"/>
      <c r="JZ3" s="489"/>
      <c r="KA3" s="489"/>
      <c r="KB3" s="489"/>
      <c r="KC3" s="489"/>
      <c r="KD3" s="489"/>
      <c r="KE3" s="489"/>
      <c r="KF3" s="489"/>
      <c r="KG3" s="489"/>
      <c r="KH3" s="489"/>
      <c r="KI3" s="489"/>
      <c r="KJ3" s="489"/>
      <c r="KK3" s="489"/>
      <c r="KL3" s="489"/>
      <c r="KM3" s="489"/>
      <c r="KN3" s="489"/>
      <c r="KO3" s="489"/>
      <c r="KP3" s="489"/>
      <c r="KQ3" s="489"/>
      <c r="KR3" s="489"/>
      <c r="KS3" s="489"/>
      <c r="KT3" s="489"/>
      <c r="KU3" s="489"/>
      <c r="KV3" s="489"/>
      <c r="KW3" s="489"/>
      <c r="KX3" s="489"/>
      <c r="KY3" s="489"/>
      <c r="KZ3" s="489"/>
      <c r="LA3" s="489"/>
      <c r="LB3" s="489"/>
      <c r="LC3" s="489"/>
      <c r="LD3" s="489"/>
      <c r="LE3" s="489"/>
      <c r="LF3" s="489"/>
      <c r="LG3" s="489"/>
      <c r="LH3" s="489"/>
      <c r="LI3" s="489"/>
      <c r="LJ3" s="489"/>
      <c r="LK3" s="489"/>
      <c r="LL3" s="489"/>
      <c r="LM3" s="489"/>
      <c r="LN3" s="489"/>
      <c r="LO3" s="489"/>
      <c r="LP3" s="489"/>
      <c r="LQ3" s="489"/>
      <c r="LR3" s="489"/>
      <c r="LS3" s="489"/>
      <c r="LT3" s="489"/>
      <c r="LU3" s="489"/>
      <c r="LV3" s="489"/>
      <c r="LW3" s="489"/>
      <c r="LX3" s="489"/>
      <c r="LY3" s="489"/>
      <c r="LZ3" s="489"/>
      <c r="MA3" s="489"/>
      <c r="MB3" s="489"/>
      <c r="MC3" s="489"/>
      <c r="MD3" s="489"/>
      <c r="ME3" s="489"/>
      <c r="MF3" s="489"/>
      <c r="MG3" s="489"/>
      <c r="MH3" s="489"/>
      <c r="MI3" s="489"/>
      <c r="MJ3" s="489"/>
      <c r="MK3" s="489"/>
      <c r="ML3" s="489"/>
      <c r="MM3" s="490"/>
      <c r="MN3" s="480"/>
      <c r="MO3" s="480"/>
      <c r="MP3" s="480"/>
      <c r="MQ3" s="481"/>
      <c r="MR3" s="474"/>
    </row>
    <row r="4" spans="1:358" s="38" customFormat="1" ht="106.5" customHeight="1">
      <c r="A4" s="475" t="s">
        <v>0</v>
      </c>
      <c r="B4" s="476" t="s">
        <v>1</v>
      </c>
      <c r="C4" s="13" t="s">
        <v>3166</v>
      </c>
      <c r="D4" s="387" t="s">
        <v>3167</v>
      </c>
      <c r="E4" s="387" t="s">
        <v>3168</v>
      </c>
      <c r="F4" s="13" t="s">
        <v>2608</v>
      </c>
      <c r="G4" s="13" t="s">
        <v>3527</v>
      </c>
      <c r="H4" s="13" t="s">
        <v>3528</v>
      </c>
      <c r="I4" s="13" t="s">
        <v>3531</v>
      </c>
      <c r="J4" s="13" t="s">
        <v>3532</v>
      </c>
      <c r="K4" s="13" t="s">
        <v>2664</v>
      </c>
      <c r="L4" s="13" t="s">
        <v>2665</v>
      </c>
      <c r="M4" s="37" t="s">
        <v>2905</v>
      </c>
      <c r="N4" s="37" t="s">
        <v>2611</v>
      </c>
      <c r="O4" s="13" t="s">
        <v>3534</v>
      </c>
      <c r="P4" s="13" t="s">
        <v>2908</v>
      </c>
      <c r="Q4" s="416" t="s">
        <v>2909</v>
      </c>
      <c r="R4" s="416" t="s">
        <v>2910</v>
      </c>
      <c r="S4" s="13" t="s">
        <v>3535</v>
      </c>
      <c r="T4" s="13" t="s">
        <v>2911</v>
      </c>
      <c r="U4" s="26" t="s">
        <v>3536</v>
      </c>
      <c r="V4" s="21" t="s">
        <v>3547</v>
      </c>
      <c r="W4" s="342" t="s">
        <v>3537</v>
      </c>
      <c r="X4" s="342" t="s">
        <v>3538</v>
      </c>
      <c r="Y4" s="342" t="s">
        <v>3539</v>
      </c>
      <c r="Z4" s="21" t="s">
        <v>3540</v>
      </c>
      <c r="AA4" s="21" t="s">
        <v>3541</v>
      </c>
      <c r="AB4" s="27" t="s">
        <v>3542</v>
      </c>
      <c r="AC4" s="26" t="s">
        <v>3545</v>
      </c>
      <c r="AD4" s="21" t="s">
        <v>3546</v>
      </c>
      <c r="AE4" s="342" t="s">
        <v>3548</v>
      </c>
      <c r="AF4" s="342" t="s">
        <v>3549</v>
      </c>
      <c r="AG4" s="342" t="s">
        <v>3550</v>
      </c>
      <c r="AH4" s="21" t="s">
        <v>3551</v>
      </c>
      <c r="AI4" s="21" t="s">
        <v>3552</v>
      </c>
      <c r="AJ4" s="27" t="s">
        <v>3553</v>
      </c>
      <c r="AK4" s="26" t="s">
        <v>3555</v>
      </c>
      <c r="AL4" s="21" t="s">
        <v>3556</v>
      </c>
      <c r="AM4" s="342" t="s">
        <v>3557</v>
      </c>
      <c r="AN4" s="342" t="s">
        <v>3558</v>
      </c>
      <c r="AO4" s="342" t="s">
        <v>3559</v>
      </c>
      <c r="AP4" s="21" t="s">
        <v>3560</v>
      </c>
      <c r="AQ4" s="21" t="s">
        <v>3561</v>
      </c>
      <c r="AR4" s="27" t="s">
        <v>3562</v>
      </c>
      <c r="AS4" s="26" t="s">
        <v>3564</v>
      </c>
      <c r="AT4" s="21" t="s">
        <v>3565</v>
      </c>
      <c r="AU4" s="342" t="s">
        <v>3566</v>
      </c>
      <c r="AV4" s="342" t="s">
        <v>3567</v>
      </c>
      <c r="AW4" s="342" t="s">
        <v>3568</v>
      </c>
      <c r="AX4" s="21" t="s">
        <v>3569</v>
      </c>
      <c r="AY4" s="21" t="s">
        <v>3570</v>
      </c>
      <c r="AZ4" s="27" t="s">
        <v>3571</v>
      </c>
      <c r="BA4" s="26" t="s">
        <v>3573</v>
      </c>
      <c r="BB4" s="21" t="s">
        <v>3574</v>
      </c>
      <c r="BC4" s="342" t="s">
        <v>3575</v>
      </c>
      <c r="BD4" s="342" t="s">
        <v>3576</v>
      </c>
      <c r="BE4" s="342" t="s">
        <v>3577</v>
      </c>
      <c r="BF4" s="21" t="s">
        <v>3578</v>
      </c>
      <c r="BG4" s="21" t="s">
        <v>3579</v>
      </c>
      <c r="BH4" s="27" t="s">
        <v>3580</v>
      </c>
      <c r="BI4" s="26" t="s">
        <v>3582</v>
      </c>
      <c r="BJ4" s="21" t="s">
        <v>3583</v>
      </c>
      <c r="BK4" s="342" t="s">
        <v>3584</v>
      </c>
      <c r="BL4" s="342" t="s">
        <v>3585</v>
      </c>
      <c r="BM4" s="342" t="s">
        <v>3586</v>
      </c>
      <c r="BN4" s="21" t="s">
        <v>3587</v>
      </c>
      <c r="BO4" s="21" t="s">
        <v>3588</v>
      </c>
      <c r="BP4" s="27" t="s">
        <v>3589</v>
      </c>
      <c r="BQ4" s="26" t="s">
        <v>3591</v>
      </c>
      <c r="BR4" s="21" t="s">
        <v>3592</v>
      </c>
      <c r="BS4" s="342" t="s">
        <v>3593</v>
      </c>
      <c r="BT4" s="342" t="s">
        <v>3594</v>
      </c>
      <c r="BU4" s="342" t="s">
        <v>3595</v>
      </c>
      <c r="BV4" s="21" t="s">
        <v>3596</v>
      </c>
      <c r="BW4" s="21" t="s">
        <v>3597</v>
      </c>
      <c r="BX4" s="27" t="s">
        <v>3598</v>
      </c>
      <c r="BY4" s="26" t="s">
        <v>3600</v>
      </c>
      <c r="BZ4" s="21" t="s">
        <v>3601</v>
      </c>
      <c r="CA4" s="342" t="s">
        <v>3602</v>
      </c>
      <c r="CB4" s="342" t="s">
        <v>3603</v>
      </c>
      <c r="CC4" s="342" t="s">
        <v>3604</v>
      </c>
      <c r="CD4" s="21" t="s">
        <v>3605</v>
      </c>
      <c r="CE4" s="21" t="s">
        <v>3606</v>
      </c>
      <c r="CF4" s="27" t="s">
        <v>3607</v>
      </c>
      <c r="CG4" s="26" t="s">
        <v>3609</v>
      </c>
      <c r="CH4" s="21" t="s">
        <v>3610</v>
      </c>
      <c r="CI4" s="342" t="s">
        <v>3611</v>
      </c>
      <c r="CJ4" s="342" t="s">
        <v>3612</v>
      </c>
      <c r="CK4" s="342" t="s">
        <v>3613</v>
      </c>
      <c r="CL4" s="21" t="s">
        <v>3614</v>
      </c>
      <c r="CM4" s="21" t="s">
        <v>3615</v>
      </c>
      <c r="CN4" s="27" t="s">
        <v>3616</v>
      </c>
      <c r="CO4" s="26" t="s">
        <v>3618</v>
      </c>
      <c r="CP4" s="21" t="s">
        <v>3619</v>
      </c>
      <c r="CQ4" s="342" t="s">
        <v>3620</v>
      </c>
      <c r="CR4" s="342" t="s">
        <v>3621</v>
      </c>
      <c r="CS4" s="342" t="s">
        <v>3622</v>
      </c>
      <c r="CT4" s="21" t="s">
        <v>3623</v>
      </c>
      <c r="CU4" s="21" t="s">
        <v>3624</v>
      </c>
      <c r="CV4" s="432" t="s">
        <v>3625</v>
      </c>
      <c r="CW4" s="471" t="s">
        <v>3739</v>
      </c>
      <c r="CX4" s="471" t="s">
        <v>3740</v>
      </c>
      <c r="CY4" s="471" t="s">
        <v>3741</v>
      </c>
      <c r="CZ4" s="471" t="s">
        <v>3742</v>
      </c>
      <c r="DA4" s="434" t="s">
        <v>3744</v>
      </c>
      <c r="DB4" s="434" t="s">
        <v>3745</v>
      </c>
      <c r="DC4" s="434" t="s">
        <v>3746</v>
      </c>
      <c r="DD4" s="435" t="s">
        <v>3747</v>
      </c>
      <c r="DE4" s="471" t="s">
        <v>3748</v>
      </c>
      <c r="DF4" s="471" t="s">
        <v>3749</v>
      </c>
      <c r="DG4" s="434" t="s">
        <v>3750</v>
      </c>
      <c r="DH4" s="434" t="s">
        <v>3751</v>
      </c>
      <c r="DI4" s="434" t="s">
        <v>3752</v>
      </c>
      <c r="DJ4" s="435" t="s">
        <v>3753</v>
      </c>
      <c r="DK4" s="471" t="s">
        <v>4016</v>
      </c>
      <c r="DL4" s="471" t="s">
        <v>3755</v>
      </c>
      <c r="DM4" s="471" t="s">
        <v>3756</v>
      </c>
      <c r="DN4" s="471" t="s">
        <v>3757</v>
      </c>
      <c r="DO4" s="471" t="s">
        <v>3758</v>
      </c>
      <c r="DP4" s="436" t="s">
        <v>3759</v>
      </c>
      <c r="DQ4" s="31" t="s">
        <v>3760</v>
      </c>
      <c r="DR4" s="31" t="s">
        <v>3761</v>
      </c>
      <c r="DS4" s="361" t="s">
        <v>3762</v>
      </c>
      <c r="DT4" s="471" t="s">
        <v>4017</v>
      </c>
      <c r="DU4" s="471" t="s">
        <v>3765</v>
      </c>
      <c r="DV4" s="471" t="s">
        <v>3766</v>
      </c>
      <c r="DW4" s="471" t="s">
        <v>3767</v>
      </c>
      <c r="DX4" s="471" t="s">
        <v>3768</v>
      </c>
      <c r="DY4" s="471" t="s">
        <v>3769</v>
      </c>
      <c r="DZ4" s="471" t="s">
        <v>3770</v>
      </c>
      <c r="EA4" s="471" t="s">
        <v>3771</v>
      </c>
      <c r="EB4" s="471" t="s">
        <v>3772</v>
      </c>
      <c r="EC4" s="31" t="s">
        <v>3773</v>
      </c>
      <c r="ED4" s="31" t="s">
        <v>3774</v>
      </c>
      <c r="EE4" s="31" t="s">
        <v>3775</v>
      </c>
      <c r="EF4" s="361" t="s">
        <v>3776</v>
      </c>
      <c r="EG4" s="471" t="s">
        <v>3782</v>
      </c>
      <c r="EH4" s="471" t="s">
        <v>3783</v>
      </c>
      <c r="EI4" s="436" t="s">
        <v>3778</v>
      </c>
      <c r="EJ4" s="31" t="s">
        <v>3779</v>
      </c>
      <c r="EK4" s="31" t="s">
        <v>3780</v>
      </c>
      <c r="EL4" s="361" t="s">
        <v>3781</v>
      </c>
      <c r="EM4" s="471" t="s">
        <v>3786</v>
      </c>
      <c r="EN4" s="471" t="s">
        <v>3787</v>
      </c>
      <c r="EO4" s="471" t="s">
        <v>3788</v>
      </c>
      <c r="EP4" s="31" t="s">
        <v>3789</v>
      </c>
      <c r="EQ4" s="31" t="s">
        <v>3790</v>
      </c>
      <c r="ER4" s="31" t="s">
        <v>3791</v>
      </c>
      <c r="ES4" s="31" t="s">
        <v>3792</v>
      </c>
      <c r="ET4" s="472" t="s">
        <v>3795</v>
      </c>
      <c r="EU4" s="472" t="s">
        <v>3796</v>
      </c>
      <c r="EV4" s="31" t="s">
        <v>3797</v>
      </c>
      <c r="EW4" s="31" t="s">
        <v>3798</v>
      </c>
      <c r="EX4" s="31" t="s">
        <v>3799</v>
      </c>
      <c r="EY4" s="31" t="s">
        <v>3800</v>
      </c>
      <c r="EZ4" s="472" t="s">
        <v>3803</v>
      </c>
      <c r="FA4" s="472" t="s">
        <v>3804</v>
      </c>
      <c r="FB4" s="472" t="s">
        <v>3805</v>
      </c>
      <c r="FC4" s="472" t="s">
        <v>3806</v>
      </c>
      <c r="FD4" s="436" t="s">
        <v>3807</v>
      </c>
      <c r="FE4" s="31" t="s">
        <v>3808</v>
      </c>
      <c r="FF4" s="31" t="s">
        <v>3809</v>
      </c>
      <c r="FG4" s="361" t="s">
        <v>3810</v>
      </c>
      <c r="FH4" s="472" t="s">
        <v>3813</v>
      </c>
      <c r="FI4" s="472" t="s">
        <v>3814</v>
      </c>
      <c r="FJ4" s="472" t="s">
        <v>3815</v>
      </c>
      <c r="FK4" s="436" t="s">
        <v>3816</v>
      </c>
      <c r="FL4" s="31" t="s">
        <v>3817</v>
      </c>
      <c r="FM4" s="31" t="s">
        <v>3818</v>
      </c>
      <c r="FN4" s="361" t="s">
        <v>3819</v>
      </c>
      <c r="FO4" s="472" t="s">
        <v>3823</v>
      </c>
      <c r="FP4" s="472" t="s">
        <v>3824</v>
      </c>
      <c r="FQ4" s="472" t="s">
        <v>3825</v>
      </c>
      <c r="FR4" s="436" t="s">
        <v>3826</v>
      </c>
      <c r="FS4" s="31" t="s">
        <v>3827</v>
      </c>
      <c r="FT4" s="31" t="s">
        <v>3828</v>
      </c>
      <c r="FU4" s="361" t="s">
        <v>3829</v>
      </c>
      <c r="FV4" s="26" t="s">
        <v>3831</v>
      </c>
      <c r="FW4" s="31" t="s">
        <v>3832</v>
      </c>
      <c r="FX4" s="31" t="s">
        <v>3833</v>
      </c>
      <c r="FY4" s="31" t="s">
        <v>3834</v>
      </c>
      <c r="FZ4" s="361" t="s">
        <v>3835</v>
      </c>
      <c r="GA4" s="472" t="s">
        <v>3841</v>
      </c>
      <c r="GB4" s="472" t="s">
        <v>3842</v>
      </c>
      <c r="GC4" s="436" t="s">
        <v>3843</v>
      </c>
      <c r="GD4" s="31" t="s">
        <v>3844</v>
      </c>
      <c r="GE4" s="31" t="s">
        <v>3845</v>
      </c>
      <c r="GF4" s="363" t="s">
        <v>3846</v>
      </c>
      <c r="GG4" s="472" t="s">
        <v>3849</v>
      </c>
      <c r="GH4" s="472" t="s">
        <v>3850</v>
      </c>
      <c r="GI4" s="472" t="s">
        <v>3851</v>
      </c>
      <c r="GJ4" s="472" t="s">
        <v>3852</v>
      </c>
      <c r="GK4" s="472" t="s">
        <v>3853</v>
      </c>
      <c r="GL4" s="472" t="s">
        <v>3854</v>
      </c>
      <c r="GM4" s="472" t="s">
        <v>3855</v>
      </c>
      <c r="GN4" s="441" t="s">
        <v>3856</v>
      </c>
      <c r="GO4" s="33" t="s">
        <v>3857</v>
      </c>
      <c r="GP4" s="33" t="s">
        <v>3858</v>
      </c>
      <c r="GQ4" s="367" t="s">
        <v>3859</v>
      </c>
      <c r="GR4" s="472" t="s">
        <v>4018</v>
      </c>
      <c r="GS4" s="472" t="s">
        <v>3864</v>
      </c>
      <c r="GT4" s="472" t="s">
        <v>3865</v>
      </c>
      <c r="GU4" s="472" t="s">
        <v>3866</v>
      </c>
      <c r="GV4" s="472" t="s">
        <v>3867</v>
      </c>
      <c r="GW4" s="472" t="s">
        <v>3868</v>
      </c>
      <c r="GX4" s="31" t="s">
        <v>3869</v>
      </c>
      <c r="GY4" s="31" t="s">
        <v>3870</v>
      </c>
      <c r="GZ4" s="31" t="s">
        <v>3871</v>
      </c>
      <c r="HA4" s="361" t="s">
        <v>3872</v>
      </c>
      <c r="HB4" s="472" t="s">
        <v>3874</v>
      </c>
      <c r="HC4" s="472" t="s">
        <v>3875</v>
      </c>
      <c r="HD4" s="472" t="s">
        <v>3876</v>
      </c>
      <c r="HE4" s="472" t="s">
        <v>3877</v>
      </c>
      <c r="HF4" s="472" t="s">
        <v>3878</v>
      </c>
      <c r="HG4" s="31" t="s">
        <v>3879</v>
      </c>
      <c r="HH4" s="31" t="s">
        <v>3880</v>
      </c>
      <c r="HI4" s="31" t="s">
        <v>3881</v>
      </c>
      <c r="HJ4" s="361" t="s">
        <v>3882</v>
      </c>
      <c r="HK4" s="472" t="s">
        <v>3887</v>
      </c>
      <c r="HL4" s="472" t="s">
        <v>3888</v>
      </c>
      <c r="HM4" s="472" t="s">
        <v>3889</v>
      </c>
      <c r="HN4" s="472" t="s">
        <v>3890</v>
      </c>
      <c r="HO4" s="472" t="s">
        <v>3891</v>
      </c>
      <c r="HP4" s="472" t="s">
        <v>3892</v>
      </c>
      <c r="HQ4" s="472" t="s">
        <v>3893</v>
      </c>
      <c r="HR4" s="472" t="s">
        <v>3894</v>
      </c>
      <c r="HS4" s="472" t="s">
        <v>3895</v>
      </c>
      <c r="HT4" s="31" t="s">
        <v>3896</v>
      </c>
      <c r="HU4" s="31" t="s">
        <v>3897</v>
      </c>
      <c r="HV4" s="31" t="s">
        <v>3898</v>
      </c>
      <c r="HW4" s="361" t="s">
        <v>3899</v>
      </c>
      <c r="HX4" s="472" t="s">
        <v>3900</v>
      </c>
      <c r="HY4" s="472" t="s">
        <v>3901</v>
      </c>
      <c r="HZ4" s="472" t="s">
        <v>3902</v>
      </c>
      <c r="IA4" s="472" t="s">
        <v>3903</v>
      </c>
      <c r="IB4" s="472" t="s">
        <v>3904</v>
      </c>
      <c r="IC4" s="472" t="s">
        <v>3905</v>
      </c>
      <c r="ID4" s="472" t="s">
        <v>3906</v>
      </c>
      <c r="IE4" s="472" t="s">
        <v>3907</v>
      </c>
      <c r="IF4" s="472" t="s">
        <v>3908</v>
      </c>
      <c r="IG4" s="472" t="s">
        <v>3909</v>
      </c>
      <c r="IH4" s="472" t="s">
        <v>3910</v>
      </c>
      <c r="II4" s="472" t="s">
        <v>3911</v>
      </c>
      <c r="IJ4" s="472" t="s">
        <v>3912</v>
      </c>
      <c r="IK4" s="472" t="s">
        <v>3913</v>
      </c>
      <c r="IL4" s="472" t="s">
        <v>3914</v>
      </c>
      <c r="IM4" s="472" t="s">
        <v>3915</v>
      </c>
      <c r="IN4" s="472" t="s">
        <v>3916</v>
      </c>
      <c r="IO4" s="472" t="s">
        <v>3917</v>
      </c>
      <c r="IP4" s="472" t="s">
        <v>3918</v>
      </c>
      <c r="IQ4" s="472" t="s">
        <v>3919</v>
      </c>
      <c r="IR4" s="472" t="s">
        <v>3920</v>
      </c>
      <c r="IS4" s="472" t="s">
        <v>3921</v>
      </c>
      <c r="IT4" s="472" t="s">
        <v>3922</v>
      </c>
      <c r="IU4" s="472" t="s">
        <v>3923</v>
      </c>
      <c r="IV4" s="472" t="s">
        <v>3924</v>
      </c>
      <c r="IW4" s="472" t="s">
        <v>3925</v>
      </c>
      <c r="IX4" s="472" t="s">
        <v>3926</v>
      </c>
      <c r="IY4" s="472" t="s">
        <v>3927</v>
      </c>
      <c r="IZ4" s="472" t="s">
        <v>3928</v>
      </c>
      <c r="JA4" s="472" t="s">
        <v>3929</v>
      </c>
      <c r="JB4" s="472" t="s">
        <v>3930</v>
      </c>
      <c r="JC4" s="472" t="s">
        <v>3931</v>
      </c>
      <c r="JD4" s="472" t="s">
        <v>3932</v>
      </c>
      <c r="JE4" s="472" t="s">
        <v>3933</v>
      </c>
      <c r="JF4" s="472" t="s">
        <v>3934</v>
      </c>
      <c r="JG4" s="472" t="s">
        <v>3935</v>
      </c>
      <c r="JH4" s="472" t="s">
        <v>3936</v>
      </c>
      <c r="JI4" s="472" t="s">
        <v>3937</v>
      </c>
      <c r="JJ4" s="472" t="s">
        <v>3938</v>
      </c>
      <c r="JK4" s="472" t="s">
        <v>3939</v>
      </c>
      <c r="JL4" s="472" t="s">
        <v>3940</v>
      </c>
      <c r="JM4" s="472" t="s">
        <v>3941</v>
      </c>
      <c r="JN4" s="472" t="s">
        <v>3942</v>
      </c>
      <c r="JO4" s="472" t="s">
        <v>3943</v>
      </c>
      <c r="JP4" s="472" t="s">
        <v>3944</v>
      </c>
      <c r="JQ4" s="472" t="s">
        <v>3945</v>
      </c>
      <c r="JR4" s="472" t="s">
        <v>3946</v>
      </c>
      <c r="JS4" s="472" t="s">
        <v>3947</v>
      </c>
      <c r="JT4" s="472" t="s">
        <v>3948</v>
      </c>
      <c r="JU4" s="472" t="s">
        <v>3949</v>
      </c>
      <c r="JV4" s="472" t="s">
        <v>3950</v>
      </c>
      <c r="JW4" s="472" t="s">
        <v>3951</v>
      </c>
      <c r="JX4" s="472" t="s">
        <v>3952</v>
      </c>
      <c r="JY4" s="472" t="s">
        <v>3953</v>
      </c>
      <c r="JZ4" s="472" t="s">
        <v>3954</v>
      </c>
      <c r="KA4" s="472" t="s">
        <v>3955</v>
      </c>
      <c r="KB4" s="472" t="s">
        <v>3956</v>
      </c>
      <c r="KC4" s="472" t="s">
        <v>3957</v>
      </c>
      <c r="KD4" s="472" t="s">
        <v>3958</v>
      </c>
      <c r="KE4" s="472" t="s">
        <v>3959</v>
      </c>
      <c r="KF4" s="472" t="s">
        <v>3960</v>
      </c>
      <c r="KG4" s="472" t="s">
        <v>3961</v>
      </c>
      <c r="KH4" s="472" t="s">
        <v>3962</v>
      </c>
      <c r="KI4" s="472" t="s">
        <v>3963</v>
      </c>
      <c r="KJ4" s="472" t="s">
        <v>3964</v>
      </c>
      <c r="KK4" s="472" t="s">
        <v>3965</v>
      </c>
      <c r="KL4" s="472" t="s">
        <v>3966</v>
      </c>
      <c r="KM4" s="472" t="s">
        <v>3967</v>
      </c>
      <c r="KN4" s="472" t="s">
        <v>3968</v>
      </c>
      <c r="KO4" s="472" t="s">
        <v>3969</v>
      </c>
      <c r="KP4" s="472" t="s">
        <v>3970</v>
      </c>
      <c r="KQ4" s="472" t="s">
        <v>3971</v>
      </c>
      <c r="KR4" s="472" t="s">
        <v>3972</v>
      </c>
      <c r="KS4" s="472" t="s">
        <v>3973</v>
      </c>
      <c r="KT4" s="472" t="s">
        <v>3974</v>
      </c>
      <c r="KU4" s="472" t="s">
        <v>3975</v>
      </c>
      <c r="KV4" s="472" t="s">
        <v>3976</v>
      </c>
      <c r="KW4" s="472" t="s">
        <v>3977</v>
      </c>
      <c r="KX4" s="472" t="s">
        <v>3978</v>
      </c>
      <c r="KY4" s="472" t="s">
        <v>3979</v>
      </c>
      <c r="KZ4" s="472" t="s">
        <v>3980</v>
      </c>
      <c r="LA4" s="472" t="s">
        <v>3981</v>
      </c>
      <c r="LB4" s="472" t="s">
        <v>3982</v>
      </c>
      <c r="LC4" s="472" t="s">
        <v>3983</v>
      </c>
      <c r="LD4" s="472" t="s">
        <v>3984</v>
      </c>
      <c r="LE4" s="472" t="s">
        <v>3985</v>
      </c>
      <c r="LF4" s="472" t="s">
        <v>3986</v>
      </c>
      <c r="LG4" s="472" t="s">
        <v>3987</v>
      </c>
      <c r="LH4" s="472" t="s">
        <v>3988</v>
      </c>
      <c r="LI4" s="472" t="s">
        <v>3989</v>
      </c>
      <c r="LJ4" s="472" t="s">
        <v>3990</v>
      </c>
      <c r="LK4" s="472" t="s">
        <v>3991</v>
      </c>
      <c r="LL4" s="472" t="s">
        <v>3992</v>
      </c>
      <c r="LM4" s="472" t="s">
        <v>3993</v>
      </c>
      <c r="LN4" s="472" t="s">
        <v>3994</v>
      </c>
      <c r="LO4" s="472" t="s">
        <v>3995</v>
      </c>
      <c r="LP4" s="472" t="s">
        <v>3996</v>
      </c>
      <c r="LQ4" s="472" t="s">
        <v>3997</v>
      </c>
      <c r="LR4" s="472" t="s">
        <v>3998</v>
      </c>
      <c r="LS4" s="472" t="s">
        <v>3999</v>
      </c>
      <c r="LT4" s="472" t="s">
        <v>4000</v>
      </c>
      <c r="LU4" s="472" t="s">
        <v>4001</v>
      </c>
      <c r="LV4" s="472" t="s">
        <v>4002</v>
      </c>
      <c r="LW4" s="472" t="s">
        <v>4003</v>
      </c>
      <c r="LX4" s="472" t="s">
        <v>4004</v>
      </c>
      <c r="LY4" s="472" t="s">
        <v>4005</v>
      </c>
      <c r="LZ4" s="472" t="s">
        <v>4006</v>
      </c>
      <c r="MA4" s="472" t="s">
        <v>4007</v>
      </c>
      <c r="MB4" s="472" t="s">
        <v>4008</v>
      </c>
      <c r="MC4" s="472" t="s">
        <v>4009</v>
      </c>
      <c r="MD4" s="472" t="s">
        <v>4010</v>
      </c>
      <c r="ME4" s="472" t="s">
        <v>4011</v>
      </c>
      <c r="MF4" s="472" t="s">
        <v>4012</v>
      </c>
      <c r="MG4" s="472" t="s">
        <v>4013</v>
      </c>
      <c r="MH4" s="472" t="s">
        <v>4014</v>
      </c>
      <c r="MI4" s="472" t="s">
        <v>4015</v>
      </c>
      <c r="MJ4" s="31" t="s">
        <v>4020</v>
      </c>
      <c r="MK4" s="31" t="s">
        <v>4021</v>
      </c>
      <c r="ML4" s="31" t="s">
        <v>4022</v>
      </c>
      <c r="MM4" s="363" t="s">
        <v>4023</v>
      </c>
      <c r="MN4" s="369" t="s">
        <v>2851</v>
      </c>
      <c r="MO4" s="34" t="s">
        <v>2852</v>
      </c>
      <c r="MP4" s="34" t="s">
        <v>2853</v>
      </c>
      <c r="MQ4" s="35" t="s">
        <v>2854</v>
      </c>
      <c r="MR4" s="21" t="s">
        <v>4027</v>
      </c>
      <c r="MS4" s="35" t="s">
        <v>2855</v>
      </c>
      <c r="MT4" s="35" t="s">
        <v>2856</v>
      </c>
    </row>
    <row r="5" spans="1:358" s="9" customFormat="1">
      <c r="A5" s="12" t="s">
        <v>6</v>
      </c>
      <c r="B5" s="12" t="s">
        <v>7</v>
      </c>
      <c r="C5" s="12" t="s">
        <v>8</v>
      </c>
      <c r="D5" s="12" t="s">
        <v>9</v>
      </c>
      <c r="E5" s="12" t="s">
        <v>3529</v>
      </c>
      <c r="F5" s="12" t="s">
        <v>3530</v>
      </c>
      <c r="G5" s="12" t="s">
        <v>10</v>
      </c>
      <c r="H5" s="12" t="s">
        <v>11</v>
      </c>
      <c r="I5" s="12" t="s">
        <v>12</v>
      </c>
      <c r="J5" s="12" t="s">
        <v>13</v>
      </c>
      <c r="K5" s="12" t="s">
        <v>2667</v>
      </c>
      <c r="L5" s="12" t="s">
        <v>14</v>
      </c>
      <c r="M5" s="12" t="s">
        <v>15</v>
      </c>
      <c r="N5" s="12" t="s">
        <v>16</v>
      </c>
      <c r="O5" s="25" t="s">
        <v>17</v>
      </c>
      <c r="P5" s="25" t="s">
        <v>18</v>
      </c>
      <c r="Q5" s="25" t="s">
        <v>19</v>
      </c>
      <c r="R5" s="25" t="s">
        <v>20</v>
      </c>
      <c r="S5" s="25" t="s">
        <v>21</v>
      </c>
      <c r="T5" s="25" t="s">
        <v>22</v>
      </c>
      <c r="U5" s="344" t="s">
        <v>23</v>
      </c>
      <c r="V5" s="343" t="s">
        <v>24</v>
      </c>
      <c r="W5" s="343" t="s">
        <v>25</v>
      </c>
      <c r="X5" s="343" t="s">
        <v>26</v>
      </c>
      <c r="Y5" s="343" t="s">
        <v>27</v>
      </c>
      <c r="Z5" s="343" t="s">
        <v>2668</v>
      </c>
      <c r="AA5" s="343" t="s">
        <v>2669</v>
      </c>
      <c r="AB5" s="345" t="s">
        <v>3178</v>
      </c>
      <c r="AC5" s="344" t="s">
        <v>3179</v>
      </c>
      <c r="AD5" s="343" t="s">
        <v>3180</v>
      </c>
      <c r="AE5" s="343" t="s">
        <v>3181</v>
      </c>
      <c r="AF5" s="343" t="s">
        <v>3182</v>
      </c>
      <c r="AG5" s="343" t="s">
        <v>3183</v>
      </c>
      <c r="AH5" s="343" t="s">
        <v>3184</v>
      </c>
      <c r="AI5" s="343" t="s">
        <v>3185</v>
      </c>
      <c r="AJ5" s="345" t="s">
        <v>3186</v>
      </c>
      <c r="AK5" s="344" t="s">
        <v>3187</v>
      </c>
      <c r="AL5" s="343" t="s">
        <v>3188</v>
      </c>
      <c r="AM5" s="343" t="s">
        <v>3189</v>
      </c>
      <c r="AN5" s="343" t="s">
        <v>3190</v>
      </c>
      <c r="AO5" s="343" t="s">
        <v>3191</v>
      </c>
      <c r="AP5" s="343" t="s">
        <v>3192</v>
      </c>
      <c r="AQ5" s="343" t="s">
        <v>3193</v>
      </c>
      <c r="AR5" s="345" t="s">
        <v>3194</v>
      </c>
      <c r="AS5" s="344" t="s">
        <v>3195</v>
      </c>
      <c r="AT5" s="343" t="s">
        <v>3196</v>
      </c>
      <c r="AU5" s="343" t="s">
        <v>3197</v>
      </c>
      <c r="AV5" s="343" t="s">
        <v>3198</v>
      </c>
      <c r="AW5" s="343" t="s">
        <v>3199</v>
      </c>
      <c r="AX5" s="343" t="s">
        <v>3200</v>
      </c>
      <c r="AY5" s="343" t="s">
        <v>3201</v>
      </c>
      <c r="AZ5" s="345" t="s">
        <v>3202</v>
      </c>
      <c r="BA5" s="344" t="s">
        <v>3203</v>
      </c>
      <c r="BB5" s="343" t="s">
        <v>3204</v>
      </c>
      <c r="BC5" s="343" t="s">
        <v>3205</v>
      </c>
      <c r="BD5" s="343" t="s">
        <v>3206</v>
      </c>
      <c r="BE5" s="343" t="s">
        <v>3207</v>
      </c>
      <c r="BF5" s="343" t="s">
        <v>3208</v>
      </c>
      <c r="BG5" s="343" t="s">
        <v>3209</v>
      </c>
      <c r="BH5" s="345" t="s">
        <v>3210</v>
      </c>
      <c r="BI5" s="344" t="s">
        <v>3211</v>
      </c>
      <c r="BJ5" s="343" t="s">
        <v>3212</v>
      </c>
      <c r="BK5" s="343" t="s">
        <v>3213</v>
      </c>
      <c r="BL5" s="343" t="s">
        <v>3214</v>
      </c>
      <c r="BM5" s="343" t="s">
        <v>3215</v>
      </c>
      <c r="BN5" s="343" t="s">
        <v>3216</v>
      </c>
      <c r="BO5" s="343" t="s">
        <v>3217</v>
      </c>
      <c r="BP5" s="345" t="s">
        <v>3218</v>
      </c>
      <c r="BQ5" s="344" t="s">
        <v>3219</v>
      </c>
      <c r="BR5" s="343" t="s">
        <v>3220</v>
      </c>
      <c r="BS5" s="343" t="s">
        <v>3221</v>
      </c>
      <c r="BT5" s="343" t="s">
        <v>3222</v>
      </c>
      <c r="BU5" s="343" t="s">
        <v>3223</v>
      </c>
      <c r="BV5" s="343" t="s">
        <v>3224</v>
      </c>
      <c r="BW5" s="343" t="s">
        <v>3225</v>
      </c>
      <c r="BX5" s="345" t="s">
        <v>3226</v>
      </c>
      <c r="BY5" s="344" t="s">
        <v>3227</v>
      </c>
      <c r="BZ5" s="343" t="s">
        <v>3228</v>
      </c>
      <c r="CA5" s="343" t="s">
        <v>3229</v>
      </c>
      <c r="CB5" s="343" t="s">
        <v>3230</v>
      </c>
      <c r="CC5" s="343" t="s">
        <v>3231</v>
      </c>
      <c r="CD5" s="343" t="s">
        <v>3232</v>
      </c>
      <c r="CE5" s="343" t="s">
        <v>3233</v>
      </c>
      <c r="CF5" s="345" t="s">
        <v>3234</v>
      </c>
      <c r="CG5" s="344" t="s">
        <v>3235</v>
      </c>
      <c r="CH5" s="343" t="s">
        <v>3236</v>
      </c>
      <c r="CI5" s="343" t="s">
        <v>3237</v>
      </c>
      <c r="CJ5" s="343" t="s">
        <v>3238</v>
      </c>
      <c r="CK5" s="343" t="s">
        <v>3239</v>
      </c>
      <c r="CL5" s="343" t="s">
        <v>3240</v>
      </c>
      <c r="CM5" s="343" t="s">
        <v>3241</v>
      </c>
      <c r="CN5" s="345" t="s">
        <v>3242</v>
      </c>
      <c r="CO5" s="344" t="s">
        <v>3243</v>
      </c>
      <c r="CP5" s="343" t="s">
        <v>3244</v>
      </c>
      <c r="CQ5" s="343" t="s">
        <v>3245</v>
      </c>
      <c r="CR5" s="343" t="s">
        <v>3246</v>
      </c>
      <c r="CS5" s="343" t="s">
        <v>3247</v>
      </c>
      <c r="CT5" s="343" t="s">
        <v>3248</v>
      </c>
      <c r="CU5" s="343" t="s">
        <v>3249</v>
      </c>
      <c r="CV5" s="412" t="s">
        <v>3250</v>
      </c>
      <c r="CW5" s="417" t="s">
        <v>3251</v>
      </c>
      <c r="CX5" s="417" t="s">
        <v>3252</v>
      </c>
      <c r="CY5" s="417" t="s">
        <v>3253</v>
      </c>
      <c r="CZ5" s="417" t="s">
        <v>3254</v>
      </c>
      <c r="DA5" s="388" t="s">
        <v>3255</v>
      </c>
      <c r="DB5" s="388" t="s">
        <v>3256</v>
      </c>
      <c r="DC5" s="388" t="s">
        <v>3257</v>
      </c>
      <c r="DD5" s="412" t="s">
        <v>3258</v>
      </c>
      <c r="DE5" s="417" t="s">
        <v>3259</v>
      </c>
      <c r="DF5" s="417" t="s">
        <v>3260</v>
      </c>
      <c r="DG5" s="388" t="s">
        <v>3261</v>
      </c>
      <c r="DH5" s="388" t="s">
        <v>3262</v>
      </c>
      <c r="DI5" s="388" t="s">
        <v>3263</v>
      </c>
      <c r="DJ5" s="388" t="s">
        <v>3264</v>
      </c>
      <c r="DK5" s="437" t="s">
        <v>3265</v>
      </c>
      <c r="DL5" s="23" t="s">
        <v>3266</v>
      </c>
      <c r="DM5" s="23" t="s">
        <v>3267</v>
      </c>
      <c r="DN5" s="23" t="s">
        <v>3268</v>
      </c>
      <c r="DO5" s="23" t="s">
        <v>3269</v>
      </c>
      <c r="DP5" s="343" t="s">
        <v>3270</v>
      </c>
      <c r="DQ5" s="343" t="s">
        <v>3271</v>
      </c>
      <c r="DR5" s="343" t="s">
        <v>3272</v>
      </c>
      <c r="DS5" s="365" t="s">
        <v>3273</v>
      </c>
      <c r="DT5" s="364" t="s">
        <v>3274</v>
      </c>
      <c r="DU5" s="433" t="s">
        <v>3275</v>
      </c>
      <c r="DV5" s="362" t="s">
        <v>3276</v>
      </c>
      <c r="DW5" s="362" t="s">
        <v>3277</v>
      </c>
      <c r="DX5" s="362" t="s">
        <v>3278</v>
      </c>
      <c r="DY5" s="362" t="s">
        <v>3279</v>
      </c>
      <c r="DZ5" s="362" t="s">
        <v>3280</v>
      </c>
      <c r="EA5" s="362" t="s">
        <v>3281</v>
      </c>
      <c r="EB5" s="362" t="s">
        <v>3282</v>
      </c>
      <c r="EC5" s="343" t="s">
        <v>3283</v>
      </c>
      <c r="ED5" s="343" t="s">
        <v>3284</v>
      </c>
      <c r="EE5" s="343" t="s">
        <v>3285</v>
      </c>
      <c r="EF5" s="365" t="s">
        <v>3286</v>
      </c>
      <c r="EG5" s="364" t="s">
        <v>3287</v>
      </c>
      <c r="EH5" s="362" t="s">
        <v>3288</v>
      </c>
      <c r="EI5" s="343" t="s">
        <v>3289</v>
      </c>
      <c r="EJ5" s="343" t="s">
        <v>3290</v>
      </c>
      <c r="EK5" s="343" t="s">
        <v>3291</v>
      </c>
      <c r="EL5" s="365" t="s">
        <v>3292</v>
      </c>
      <c r="EM5" s="28" t="s">
        <v>3293</v>
      </c>
      <c r="EN5" s="12" t="s">
        <v>3294</v>
      </c>
      <c r="EO5" s="12" t="s">
        <v>3295</v>
      </c>
      <c r="EP5" s="12" t="s">
        <v>3296</v>
      </c>
      <c r="EQ5" s="12" t="s">
        <v>3297</v>
      </c>
      <c r="ER5" s="12" t="s">
        <v>3298</v>
      </c>
      <c r="ES5" s="25" t="s">
        <v>3299</v>
      </c>
      <c r="ET5" s="28" t="s">
        <v>3300</v>
      </c>
      <c r="EU5" s="12" t="s">
        <v>3301</v>
      </c>
      <c r="EV5" s="12" t="s">
        <v>3302</v>
      </c>
      <c r="EW5" s="12" t="s">
        <v>3303</v>
      </c>
      <c r="EX5" s="12" t="s">
        <v>3304</v>
      </c>
      <c r="EY5" s="25" t="s">
        <v>3305</v>
      </c>
      <c r="EZ5" s="28" t="s">
        <v>3306</v>
      </c>
      <c r="FA5" s="12" t="s">
        <v>3307</v>
      </c>
      <c r="FB5" s="12" t="s">
        <v>3308</v>
      </c>
      <c r="FC5" s="12" t="s">
        <v>3309</v>
      </c>
      <c r="FD5" s="343" t="s">
        <v>3310</v>
      </c>
      <c r="FE5" s="343" t="s">
        <v>3311</v>
      </c>
      <c r="FF5" s="343" t="s">
        <v>3312</v>
      </c>
      <c r="FG5" s="365" t="s">
        <v>3313</v>
      </c>
      <c r="FH5" s="28" t="s">
        <v>3314</v>
      </c>
      <c r="FI5" s="12" t="s">
        <v>3315</v>
      </c>
      <c r="FJ5" s="12" t="s">
        <v>3316</v>
      </c>
      <c r="FK5" s="343" t="s">
        <v>3317</v>
      </c>
      <c r="FL5" s="343" t="s">
        <v>3318</v>
      </c>
      <c r="FM5" s="343" t="s">
        <v>3319</v>
      </c>
      <c r="FN5" s="365" t="s">
        <v>3320</v>
      </c>
      <c r="FO5" s="28" t="s">
        <v>3321</v>
      </c>
      <c r="FP5" s="12" t="s">
        <v>3322</v>
      </c>
      <c r="FQ5" s="12" t="s">
        <v>3323</v>
      </c>
      <c r="FR5" s="343" t="s">
        <v>3324</v>
      </c>
      <c r="FS5" s="343" t="s">
        <v>3325</v>
      </c>
      <c r="FT5" s="343" t="s">
        <v>3326</v>
      </c>
      <c r="FU5" s="365" t="s">
        <v>3327</v>
      </c>
      <c r="FV5" s="344" t="s">
        <v>3328</v>
      </c>
      <c r="FW5" s="343" t="s">
        <v>3329</v>
      </c>
      <c r="FX5" s="343" t="s">
        <v>3330</v>
      </c>
      <c r="FY5" s="343" t="s">
        <v>3331</v>
      </c>
      <c r="FZ5" s="365" t="s">
        <v>3332</v>
      </c>
      <c r="GA5" s="28" t="s">
        <v>3333</v>
      </c>
      <c r="GB5" s="12" t="s">
        <v>3334</v>
      </c>
      <c r="GC5" s="343" t="s">
        <v>3335</v>
      </c>
      <c r="GD5" s="343" t="s">
        <v>3336</v>
      </c>
      <c r="GE5" s="343" t="s">
        <v>3337</v>
      </c>
      <c r="GF5" s="345" t="s">
        <v>3338</v>
      </c>
      <c r="GG5" s="28" t="s">
        <v>3339</v>
      </c>
      <c r="GH5" s="440" t="s">
        <v>3340</v>
      </c>
      <c r="GI5" s="440" t="s">
        <v>3341</v>
      </c>
      <c r="GJ5" s="440" t="s">
        <v>3342</v>
      </c>
      <c r="GK5" s="440" t="s">
        <v>3343</v>
      </c>
      <c r="GL5" s="29" t="s">
        <v>3344</v>
      </c>
      <c r="GM5" s="440" t="s">
        <v>3345</v>
      </c>
      <c r="GN5" s="28" t="s">
        <v>3346</v>
      </c>
      <c r="GO5" s="12" t="s">
        <v>3347</v>
      </c>
      <c r="GP5" s="12" t="s">
        <v>3348</v>
      </c>
      <c r="GQ5" s="25" t="s">
        <v>3349</v>
      </c>
      <c r="GR5" s="344" t="s">
        <v>3350</v>
      </c>
      <c r="GS5" s="343" t="s">
        <v>3351</v>
      </c>
      <c r="GT5" s="343" t="s">
        <v>2683</v>
      </c>
      <c r="GU5" s="343" t="s">
        <v>3352</v>
      </c>
      <c r="GV5" s="343" t="s">
        <v>2684</v>
      </c>
      <c r="GW5" s="343" t="s">
        <v>2685</v>
      </c>
      <c r="GX5" s="343" t="s">
        <v>2686</v>
      </c>
      <c r="GY5" s="343" t="s">
        <v>2687</v>
      </c>
      <c r="GZ5" s="343" t="s">
        <v>2688</v>
      </c>
      <c r="HA5" s="365" t="s">
        <v>2689</v>
      </c>
      <c r="HB5" s="344" t="s">
        <v>2690</v>
      </c>
      <c r="HC5" s="443" t="s">
        <v>2691</v>
      </c>
      <c r="HD5" s="443" t="s">
        <v>2692</v>
      </c>
      <c r="HE5" s="443" t="s">
        <v>2693</v>
      </c>
      <c r="HF5" s="343" t="s">
        <v>2694</v>
      </c>
      <c r="HG5" s="343" t="s">
        <v>2695</v>
      </c>
      <c r="HH5" s="343" t="s">
        <v>2696</v>
      </c>
      <c r="HI5" s="343" t="s">
        <v>2697</v>
      </c>
      <c r="HJ5" s="365" t="s">
        <v>2698</v>
      </c>
      <c r="HK5" s="344" t="s">
        <v>2699</v>
      </c>
      <c r="HL5" s="343" t="s">
        <v>2700</v>
      </c>
      <c r="HM5" s="343" t="s">
        <v>2701</v>
      </c>
      <c r="HN5" s="343" t="s">
        <v>2702</v>
      </c>
      <c r="HO5" s="343" t="s">
        <v>2703</v>
      </c>
      <c r="HP5" s="343" t="s">
        <v>2704</v>
      </c>
      <c r="HQ5" s="343" t="s">
        <v>2705</v>
      </c>
      <c r="HR5" s="343" t="s">
        <v>2706</v>
      </c>
      <c r="HS5" s="343" t="s">
        <v>2707</v>
      </c>
      <c r="HT5" s="343" t="s">
        <v>2708</v>
      </c>
      <c r="HU5" s="343" t="s">
        <v>2709</v>
      </c>
      <c r="HV5" s="343" t="s">
        <v>2710</v>
      </c>
      <c r="HW5" s="365" t="s">
        <v>2711</v>
      </c>
      <c r="HX5" s="344" t="s">
        <v>2712</v>
      </c>
      <c r="HY5" s="343" t="s">
        <v>2713</v>
      </c>
      <c r="HZ5" s="343" t="s">
        <v>2714</v>
      </c>
      <c r="IA5" s="343" t="s">
        <v>2715</v>
      </c>
      <c r="IB5" s="343" t="s">
        <v>2716</v>
      </c>
      <c r="IC5" s="343" t="s">
        <v>2717</v>
      </c>
      <c r="ID5" s="343" t="s">
        <v>2718</v>
      </c>
      <c r="IE5" s="343" t="s">
        <v>2719</v>
      </c>
      <c r="IF5" s="343" t="s">
        <v>2720</v>
      </c>
      <c r="IG5" s="343" t="s">
        <v>2721</v>
      </c>
      <c r="IH5" s="343" t="s">
        <v>2722</v>
      </c>
      <c r="II5" s="343" t="s">
        <v>2723</v>
      </c>
      <c r="IJ5" s="343" t="s">
        <v>2724</v>
      </c>
      <c r="IK5" s="343" t="s">
        <v>2725</v>
      </c>
      <c r="IL5" s="343" t="s">
        <v>2726</v>
      </c>
      <c r="IM5" s="343" t="s">
        <v>2727</v>
      </c>
      <c r="IN5" s="343" t="s">
        <v>2728</v>
      </c>
      <c r="IO5" s="343" t="s">
        <v>2729</v>
      </c>
      <c r="IP5" s="343" t="s">
        <v>2730</v>
      </c>
      <c r="IQ5" s="343" t="s">
        <v>2731</v>
      </c>
      <c r="IR5" s="343" t="s">
        <v>2732</v>
      </c>
      <c r="IS5" s="343" t="s">
        <v>2733</v>
      </c>
      <c r="IT5" s="343" t="s">
        <v>2735</v>
      </c>
      <c r="IU5" s="343" t="s">
        <v>2736</v>
      </c>
      <c r="IV5" s="343" t="s">
        <v>2737</v>
      </c>
      <c r="IW5" s="343" t="s">
        <v>2738</v>
      </c>
      <c r="IX5" s="343" t="s">
        <v>2739</v>
      </c>
      <c r="IY5" s="343" t="s">
        <v>2740</v>
      </c>
      <c r="IZ5" s="343" t="s">
        <v>2741</v>
      </c>
      <c r="JA5" s="343" t="s">
        <v>2742</v>
      </c>
      <c r="JB5" s="343" t="s">
        <v>2743</v>
      </c>
      <c r="JC5" s="343" t="s">
        <v>2744</v>
      </c>
      <c r="JD5" s="343" t="s">
        <v>2745</v>
      </c>
      <c r="JE5" s="343" t="s">
        <v>2746</v>
      </c>
      <c r="JF5" s="343" t="s">
        <v>2747</v>
      </c>
      <c r="JG5" s="343" t="s">
        <v>2748</v>
      </c>
      <c r="JH5" s="343" t="s">
        <v>2749</v>
      </c>
      <c r="JI5" s="343" t="s">
        <v>2750</v>
      </c>
      <c r="JJ5" s="343" t="s">
        <v>2751</v>
      </c>
      <c r="JK5" s="343" t="s">
        <v>2752</v>
      </c>
      <c r="JL5" s="343" t="s">
        <v>2753</v>
      </c>
      <c r="JM5" s="343" t="s">
        <v>2754</v>
      </c>
      <c r="JN5" s="343" t="s">
        <v>2755</v>
      </c>
      <c r="JO5" s="343" t="s">
        <v>2756</v>
      </c>
      <c r="JP5" s="343" t="s">
        <v>2757</v>
      </c>
      <c r="JQ5" s="343" t="s">
        <v>2758</v>
      </c>
      <c r="JR5" s="343" t="s">
        <v>2759</v>
      </c>
      <c r="JS5" s="343" t="s">
        <v>2760</v>
      </c>
      <c r="JT5" s="343" t="s">
        <v>2761</v>
      </c>
      <c r="JU5" s="343" t="s">
        <v>2762</v>
      </c>
      <c r="JV5" s="343" t="s">
        <v>2763</v>
      </c>
      <c r="JW5" s="343" t="s">
        <v>2764</v>
      </c>
      <c r="JX5" s="343" t="s">
        <v>2765</v>
      </c>
      <c r="JY5" s="343" t="s">
        <v>2766</v>
      </c>
      <c r="JZ5" s="343" t="s">
        <v>2767</v>
      </c>
      <c r="KA5" s="343" t="s">
        <v>2768</v>
      </c>
      <c r="KB5" s="343" t="s">
        <v>2769</v>
      </c>
      <c r="KC5" s="343" t="s">
        <v>2770</v>
      </c>
      <c r="KD5" s="343" t="s">
        <v>2771</v>
      </c>
      <c r="KE5" s="343" t="s">
        <v>2772</v>
      </c>
      <c r="KF5" s="343" t="s">
        <v>2773</v>
      </c>
      <c r="KG5" s="343" t="s">
        <v>2774</v>
      </c>
      <c r="KH5" s="343" t="s">
        <v>2775</v>
      </c>
      <c r="KI5" s="343" t="s">
        <v>2776</v>
      </c>
      <c r="KJ5" s="343" t="s">
        <v>2777</v>
      </c>
      <c r="KK5" s="343" t="s">
        <v>2778</v>
      </c>
      <c r="KL5" s="343" t="s">
        <v>2779</v>
      </c>
      <c r="KM5" s="343" t="s">
        <v>2780</v>
      </c>
      <c r="KN5" s="343" t="s">
        <v>2781</v>
      </c>
      <c r="KO5" s="343" t="s">
        <v>2782</v>
      </c>
      <c r="KP5" s="343" t="s">
        <v>2783</v>
      </c>
      <c r="KQ5" s="343" t="s">
        <v>2784</v>
      </c>
      <c r="KR5" s="343" t="s">
        <v>2785</v>
      </c>
      <c r="KS5" s="343" t="s">
        <v>2786</v>
      </c>
      <c r="KT5" s="343" t="s">
        <v>2787</v>
      </c>
      <c r="KU5" s="343" t="s">
        <v>2788</v>
      </c>
      <c r="KV5" s="343" t="s">
        <v>2789</v>
      </c>
      <c r="KW5" s="343" t="s">
        <v>2790</v>
      </c>
      <c r="KX5" s="343" t="s">
        <v>2791</v>
      </c>
      <c r="KY5" s="343" t="s">
        <v>2792</v>
      </c>
      <c r="KZ5" s="343" t="s">
        <v>2793</v>
      </c>
      <c r="LA5" s="343" t="s">
        <v>2794</v>
      </c>
      <c r="LB5" s="343" t="s">
        <v>2795</v>
      </c>
      <c r="LC5" s="343" t="s">
        <v>2796</v>
      </c>
      <c r="LD5" s="343" t="s">
        <v>2797</v>
      </c>
      <c r="LE5" s="343" t="s">
        <v>2798</v>
      </c>
      <c r="LF5" s="343" t="s">
        <v>2799</v>
      </c>
      <c r="LG5" s="343" t="s">
        <v>2800</v>
      </c>
      <c r="LH5" s="343" t="s">
        <v>2801</v>
      </c>
      <c r="LI5" s="343" t="s">
        <v>2802</v>
      </c>
      <c r="LJ5" s="343" t="s">
        <v>2803</v>
      </c>
      <c r="LK5" s="343" t="s">
        <v>2804</v>
      </c>
      <c r="LL5" s="343" t="s">
        <v>2805</v>
      </c>
      <c r="LM5" s="343" t="s">
        <v>2806</v>
      </c>
      <c r="LN5" s="343" t="s">
        <v>2807</v>
      </c>
      <c r="LO5" s="343" t="s">
        <v>2808</v>
      </c>
      <c r="LP5" s="343" t="s">
        <v>2809</v>
      </c>
      <c r="LQ5" s="343" t="s">
        <v>2810</v>
      </c>
      <c r="LR5" s="343" t="s">
        <v>2811</v>
      </c>
      <c r="LS5" s="343" t="s">
        <v>2812</v>
      </c>
      <c r="LT5" s="343" t="s">
        <v>2813</v>
      </c>
      <c r="LU5" s="343" t="s">
        <v>2814</v>
      </c>
      <c r="LV5" s="343" t="s">
        <v>2815</v>
      </c>
      <c r="LW5" s="343" t="s">
        <v>2816</v>
      </c>
      <c r="LX5" s="343" t="s">
        <v>2817</v>
      </c>
      <c r="LY5" s="343" t="s">
        <v>2818</v>
      </c>
      <c r="LZ5" s="343" t="s">
        <v>2819</v>
      </c>
      <c r="MA5" s="343" t="s">
        <v>2820</v>
      </c>
      <c r="MB5" s="343" t="s">
        <v>2821</v>
      </c>
      <c r="MC5" s="343" t="s">
        <v>2822</v>
      </c>
      <c r="MD5" s="343" t="s">
        <v>2823</v>
      </c>
      <c r="ME5" s="343" t="s">
        <v>2824</v>
      </c>
      <c r="MF5" s="343" t="s">
        <v>2825</v>
      </c>
      <c r="MG5" s="343" t="s">
        <v>2826</v>
      </c>
      <c r="MH5" s="343" t="s">
        <v>2827</v>
      </c>
      <c r="MI5" s="343" t="s">
        <v>2828</v>
      </c>
      <c r="MJ5" s="343" t="s">
        <v>2829</v>
      </c>
      <c r="MK5" s="343" t="s">
        <v>2830</v>
      </c>
      <c r="ML5" s="343" t="s">
        <v>2831</v>
      </c>
      <c r="MM5" s="345" t="s">
        <v>2832</v>
      </c>
      <c r="MN5" s="366" t="s">
        <v>2833</v>
      </c>
      <c r="MO5" s="12" t="s">
        <v>2834</v>
      </c>
      <c r="MP5" s="12" t="s">
        <v>2835</v>
      </c>
      <c r="MQ5" s="12" t="s">
        <v>2836</v>
      </c>
      <c r="MR5" s="12" t="s">
        <v>2837</v>
      </c>
      <c r="MS5" s="36" t="s">
        <v>2838</v>
      </c>
      <c r="MT5" s="36" t="s">
        <v>2839</v>
      </c>
    </row>
    <row r="6" spans="1:358" s="407" customFormat="1" ht="24" customHeight="1">
      <c r="A6" s="390" t="s">
        <v>4025</v>
      </c>
      <c r="B6" s="391" t="s">
        <v>36</v>
      </c>
      <c r="C6" s="392">
        <v>44746</v>
      </c>
      <c r="D6" s="473">
        <v>0.20138888888888887</v>
      </c>
      <c r="E6" s="473">
        <v>0.54166666666666663</v>
      </c>
      <c r="F6" s="393" t="s">
        <v>2868</v>
      </c>
      <c r="G6" s="393" t="s">
        <v>2868</v>
      </c>
      <c r="H6" s="408" t="s">
        <v>4024</v>
      </c>
      <c r="I6" s="408"/>
      <c r="J6" s="408"/>
      <c r="K6" s="393" t="s">
        <v>2610</v>
      </c>
      <c r="L6" s="393" t="s">
        <v>54</v>
      </c>
      <c r="M6" s="392">
        <v>44746</v>
      </c>
      <c r="N6" s="393" t="s">
        <v>3533</v>
      </c>
      <c r="O6" s="394" t="s">
        <v>4026</v>
      </c>
      <c r="P6" s="395">
        <v>25896352</v>
      </c>
      <c r="Q6" s="390">
        <v>3135698652</v>
      </c>
      <c r="R6" s="390" t="s">
        <v>3157</v>
      </c>
      <c r="S6" s="396" t="s">
        <v>3526</v>
      </c>
      <c r="T6" s="396">
        <v>43613877</v>
      </c>
      <c r="U6" s="392">
        <v>44746</v>
      </c>
      <c r="V6" s="394" t="s">
        <v>63</v>
      </c>
      <c r="W6" s="394" t="s">
        <v>63</v>
      </c>
      <c r="X6" s="394" t="s">
        <v>63</v>
      </c>
      <c r="Y6" s="394" t="s">
        <v>63</v>
      </c>
      <c r="Z6" s="394" t="s">
        <v>63</v>
      </c>
      <c r="AA6" s="394" t="s">
        <v>63</v>
      </c>
      <c r="AB6" s="397" t="s">
        <v>63</v>
      </c>
      <c r="AC6" s="392">
        <v>44746</v>
      </c>
      <c r="AD6" s="394" t="s">
        <v>63</v>
      </c>
      <c r="AE6" s="394" t="s">
        <v>63</v>
      </c>
      <c r="AF6" s="394" t="s">
        <v>63</v>
      </c>
      <c r="AG6" s="394" t="s">
        <v>63</v>
      </c>
      <c r="AH6" s="394" t="s">
        <v>63</v>
      </c>
      <c r="AI6" s="394" t="s">
        <v>63</v>
      </c>
      <c r="AJ6" s="397" t="s">
        <v>63</v>
      </c>
      <c r="AK6" s="392">
        <v>44746</v>
      </c>
      <c r="AL6" s="394" t="s">
        <v>63</v>
      </c>
      <c r="AM6" s="394" t="s">
        <v>63</v>
      </c>
      <c r="AN6" s="394" t="s">
        <v>63</v>
      </c>
      <c r="AO6" s="394" t="s">
        <v>63</v>
      </c>
      <c r="AP6" s="394" t="s">
        <v>63</v>
      </c>
      <c r="AQ6" s="394" t="s">
        <v>63</v>
      </c>
      <c r="AR6" s="397" t="s">
        <v>63</v>
      </c>
      <c r="AS6" s="392">
        <v>44746</v>
      </c>
      <c r="AT6" s="394" t="s">
        <v>63</v>
      </c>
      <c r="AU6" s="394" t="s">
        <v>63</v>
      </c>
      <c r="AV6" s="394" t="s">
        <v>63</v>
      </c>
      <c r="AW6" s="394" t="s">
        <v>63</v>
      </c>
      <c r="AX6" s="394" t="s">
        <v>63</v>
      </c>
      <c r="AY6" s="394" t="s">
        <v>63</v>
      </c>
      <c r="AZ6" s="397" t="s">
        <v>63</v>
      </c>
      <c r="BA6" s="392">
        <v>44746</v>
      </c>
      <c r="BB6" s="394" t="s">
        <v>63</v>
      </c>
      <c r="BC6" s="394" t="s">
        <v>63</v>
      </c>
      <c r="BD6" s="394" t="s">
        <v>63</v>
      </c>
      <c r="BE6" s="394" t="s">
        <v>63</v>
      </c>
      <c r="BF6" s="394" t="s">
        <v>63</v>
      </c>
      <c r="BG6" s="394" t="s">
        <v>63</v>
      </c>
      <c r="BH6" s="397" t="s">
        <v>63</v>
      </c>
      <c r="BI6" s="392">
        <v>44746</v>
      </c>
      <c r="BJ6" s="394" t="s">
        <v>63</v>
      </c>
      <c r="BK6" s="394" t="s">
        <v>63</v>
      </c>
      <c r="BL6" s="394" t="s">
        <v>63</v>
      </c>
      <c r="BM6" s="394" t="s">
        <v>63</v>
      </c>
      <c r="BN6" s="394" t="s">
        <v>63</v>
      </c>
      <c r="BO6" s="394" t="s">
        <v>63</v>
      </c>
      <c r="BP6" s="397" t="s">
        <v>63</v>
      </c>
      <c r="BQ6" s="392">
        <v>44746</v>
      </c>
      <c r="BR6" s="394" t="s">
        <v>63</v>
      </c>
      <c r="BS6" s="394" t="s">
        <v>63</v>
      </c>
      <c r="BT6" s="394" t="s">
        <v>63</v>
      </c>
      <c r="BU6" s="394" t="s">
        <v>63</v>
      </c>
      <c r="BV6" s="394" t="s">
        <v>63</v>
      </c>
      <c r="BW6" s="394" t="s">
        <v>63</v>
      </c>
      <c r="BX6" s="397" t="s">
        <v>63</v>
      </c>
      <c r="BY6" s="392">
        <v>44746</v>
      </c>
      <c r="BZ6" s="394" t="s">
        <v>63</v>
      </c>
      <c r="CA6" s="394" t="s">
        <v>63</v>
      </c>
      <c r="CB6" s="394" t="s">
        <v>63</v>
      </c>
      <c r="CC6" s="394" t="s">
        <v>63</v>
      </c>
      <c r="CD6" s="394" t="s">
        <v>63</v>
      </c>
      <c r="CE6" s="394" t="s">
        <v>63</v>
      </c>
      <c r="CF6" s="397" t="s">
        <v>63</v>
      </c>
      <c r="CG6" s="392">
        <v>44746</v>
      </c>
      <c r="CH6" s="394" t="s">
        <v>63</v>
      </c>
      <c r="CI6" s="394" t="s">
        <v>63</v>
      </c>
      <c r="CJ6" s="394" t="s">
        <v>63</v>
      </c>
      <c r="CK6" s="394" t="s">
        <v>63</v>
      </c>
      <c r="CL6" s="394" t="s">
        <v>63</v>
      </c>
      <c r="CM6" s="394" t="s">
        <v>63</v>
      </c>
      <c r="CN6" s="397" t="s">
        <v>63</v>
      </c>
      <c r="CO6" s="392">
        <v>44746</v>
      </c>
      <c r="CP6" s="394" t="s">
        <v>63</v>
      </c>
      <c r="CQ6" s="394" t="s">
        <v>63</v>
      </c>
      <c r="CR6" s="394" t="s">
        <v>63</v>
      </c>
      <c r="CS6" s="394" t="s">
        <v>63</v>
      </c>
      <c r="CT6" s="394" t="s">
        <v>63</v>
      </c>
      <c r="CU6" s="394" t="s">
        <v>63</v>
      </c>
      <c r="CV6" s="410" t="s">
        <v>63</v>
      </c>
      <c r="CW6" s="409">
        <v>1</v>
      </c>
      <c r="CX6" s="409">
        <v>1</v>
      </c>
      <c r="CY6" s="409">
        <v>1</v>
      </c>
      <c r="CZ6" s="409">
        <v>1</v>
      </c>
      <c r="DA6" s="411">
        <f>COUNTIF(Tabla4[[#This Row],[Columna101]:[Columna104]],"&gt;=0")</f>
        <v>4</v>
      </c>
      <c r="DB6" s="411">
        <f>SUM(Tabla4[[#This Row],[Columna101]:[Columna104]])</f>
        <v>4</v>
      </c>
      <c r="DC6" s="413">
        <f t="shared" ref="DC6" si="0">IFERROR((DB6/DA6)*100,"NA")</f>
        <v>100</v>
      </c>
      <c r="DD6" s="414" t="str">
        <f t="shared" ref="DD6" ca="1" si="1">IF(DC6&lt;&gt;"NA",IF(DC6&lt;60,"No Cumple",IF(DC6&lt;=94.99,"Cumple Parcialmente",IF(DC6&gt;=95,"Cumple",""))),CELL("contenido",DC6))</f>
        <v>Cumple</v>
      </c>
      <c r="DE6" s="409">
        <v>1</v>
      </c>
      <c r="DF6" s="409">
        <v>1</v>
      </c>
      <c r="DG6" s="411">
        <f>COUNTIF(Tabla4[[#This Row],[Columna109]:[Columna110]],"&gt;=0")</f>
        <v>2</v>
      </c>
      <c r="DH6" s="411">
        <f>SUM(Tabla4[[#This Row],[Columna109]:[Columna110]])</f>
        <v>2</v>
      </c>
      <c r="DI6" s="413">
        <f t="shared" ref="DI6" si="2">IFERROR((DH6/DG6)*100,"NA")</f>
        <v>100</v>
      </c>
      <c r="DJ6" s="415" t="str">
        <f t="shared" ref="DJ6" ca="1" si="3">IF(DI6&lt;&gt;"NA",IF(DI6&lt;60,"No Cumple",IF(DI6&lt;=94.99,"Cumple Parcialmente",IF(DI6&gt;=95,"Cumple",""))),CELL("contenido",DI6))</f>
        <v>Cumple</v>
      </c>
      <c r="DK6" s="409">
        <v>1</v>
      </c>
      <c r="DL6" s="409">
        <v>1</v>
      </c>
      <c r="DM6" s="409">
        <v>1</v>
      </c>
      <c r="DN6" s="409">
        <v>1</v>
      </c>
      <c r="DO6" s="409">
        <v>1</v>
      </c>
      <c r="DP6" s="398">
        <f>COUNTIF(Tabla4[[#This Row],[Columna115]:[Columna119]],"&gt;=0")</f>
        <v>5</v>
      </c>
      <c r="DQ6" s="398">
        <f>SUM(Tabla4[[#This Row],[Columna115]:[Columna119]])</f>
        <v>5</v>
      </c>
      <c r="DR6" s="399">
        <f t="shared" ref="DR6" si="4">IFERROR((DQ6/DP6)*100,"NA")</f>
        <v>100</v>
      </c>
      <c r="DS6" s="400" t="str">
        <f t="shared" ref="DS6" ca="1" si="5">IF(DR6&lt;&gt;"NA",IF(DR6&lt;60,"No Cumple",IF(DR6&lt;=94.99,"Cumple Parcialmente",IF(DR6&gt;=95,"Cumple",""))),CELL("contenido",DR6))</f>
        <v>Cumple</v>
      </c>
      <c r="DT6" s="409">
        <v>1</v>
      </c>
      <c r="DU6" s="409">
        <v>1</v>
      </c>
      <c r="DV6" s="409">
        <v>1</v>
      </c>
      <c r="DW6" s="409">
        <v>1</v>
      </c>
      <c r="DX6" s="409">
        <v>1</v>
      </c>
      <c r="DY6" s="409">
        <v>1</v>
      </c>
      <c r="DZ6" s="409">
        <v>1</v>
      </c>
      <c r="EA6" s="409">
        <v>1</v>
      </c>
      <c r="EB6" s="409">
        <v>1</v>
      </c>
      <c r="EC6" s="398">
        <f>COUNTIF(Tabla4[[#This Row],[Columna124]:[Columna132]],"&gt;=0")</f>
        <v>9</v>
      </c>
      <c r="ED6" s="398">
        <f>SUM(Tabla4[[#This Row],[Columna124]:[Columna132]])</f>
        <v>9</v>
      </c>
      <c r="EE6" s="399">
        <f t="shared" ref="EE6" si="6">IFERROR((ED6/EC6)*100,"NA")</f>
        <v>100</v>
      </c>
      <c r="EF6" s="400" t="str">
        <f t="shared" ref="EF6" ca="1" si="7">IF(EE6&lt;&gt;"NA",IF(EE6&lt;60,"No Cumple",IF(EE6&lt;=94.99,"Cumple Parcialmente",IF(EE6&gt;=95,"Cumple",""))),CELL("contenido",EE6))</f>
        <v>Cumple</v>
      </c>
      <c r="EG6" s="409">
        <v>1</v>
      </c>
      <c r="EH6" s="409">
        <v>1</v>
      </c>
      <c r="EI6" s="398">
        <f>COUNTIF(Tabla4[[#This Row],[Columna137]:[Columna138]],"&gt;=0")</f>
        <v>2</v>
      </c>
      <c r="EJ6" s="398">
        <f>SUM(Tabla4[[#This Row],[Columna137]:[Columna138]])</f>
        <v>2</v>
      </c>
      <c r="EK6" s="399">
        <f t="shared" ref="EK6" si="8">IFERROR((EJ6/EI6)*100,"NA")</f>
        <v>100</v>
      </c>
      <c r="EL6" s="400" t="str">
        <f t="shared" ref="EL6" ca="1" si="9">IF(EK6&lt;&gt;"NA",IF(EK6&lt;60,"No Cumple",IF(EK6&lt;=94.99,"Cumple Parcialmente",IF(EK6&gt;=95,"Cumple",""))),CELL("contenido",EK6))</f>
        <v>Cumple</v>
      </c>
      <c r="EM6" s="409">
        <v>1</v>
      </c>
      <c r="EN6" s="409">
        <v>1</v>
      </c>
      <c r="EO6" s="409">
        <v>1</v>
      </c>
      <c r="EP6" s="398">
        <f>COUNTIF(Tabla4[[#This Row],[Columna143]:[Columna145]],"&gt;=0")</f>
        <v>3</v>
      </c>
      <c r="EQ6" s="398">
        <f>SUM(Tabla4[[#This Row],[Columna143]:[Columna145]])</f>
        <v>3</v>
      </c>
      <c r="ER6" s="399">
        <f t="shared" ref="ER6" si="10">IFERROR((EQ6/EP6)*100,"NA")</f>
        <v>100</v>
      </c>
      <c r="ES6" s="400" t="str">
        <f t="shared" ref="ES6" ca="1" si="11">IF(ER6&lt;&gt;"NA",IF(ER6&lt;60,"No Cumple",IF(ER6&lt;=94.99,"Cumple Parcialmente",IF(ER6&gt;=95,"Cumple",""))),CELL("contenido",ER6))</f>
        <v>Cumple</v>
      </c>
      <c r="ET6" s="409">
        <v>1</v>
      </c>
      <c r="EU6" s="409">
        <v>1</v>
      </c>
      <c r="EV6" s="398">
        <f>COUNTIF(Tabla4[[#This Row],[Columna150]:[Columna151]],"&gt;=0")</f>
        <v>2</v>
      </c>
      <c r="EW6" s="398">
        <f>SUM(Tabla4[[#This Row],[Columna150]:[Columna151]])</f>
        <v>2</v>
      </c>
      <c r="EX6" s="399">
        <f t="shared" ref="EX6" si="12">IFERROR((EW6/EV6)*100,"NA")</f>
        <v>100</v>
      </c>
      <c r="EY6" s="400" t="str">
        <f t="shared" ref="EY6" ca="1" si="13">IF(EX6&lt;&gt;"NA",IF(EX6&lt;60,"No Cumple",IF(EX6&lt;=94.99,"Cumple Parcialmente",IF(EX6&gt;=95,"Cumple",""))),CELL("contenido",EX6))</f>
        <v>Cumple</v>
      </c>
      <c r="EZ6" s="409">
        <v>1</v>
      </c>
      <c r="FA6" s="409">
        <v>1</v>
      </c>
      <c r="FB6" s="409">
        <v>1</v>
      </c>
      <c r="FC6" s="409">
        <v>1</v>
      </c>
      <c r="FD6" s="398">
        <f>COUNTIF(Tabla4[[#This Row],[Columna156]:[Columna159]],"&gt;=0")</f>
        <v>4</v>
      </c>
      <c r="FE6" s="398">
        <f>SUM(Tabla4[[#This Row],[Columna156]:[Columna159]])</f>
        <v>4</v>
      </c>
      <c r="FF6" s="399">
        <f t="shared" ref="FF6" si="14">IFERROR((FE6/FD6)*100,"NA")</f>
        <v>100</v>
      </c>
      <c r="FG6" s="400" t="str">
        <f t="shared" ref="FG6" ca="1" si="15">IF(FF6&lt;&gt;"NA",IF(FF6&lt;60,"No Cumple",IF(FF6&lt;=94.99,"Cumple Parcialmente",IF(FF6&gt;=95,"Cumple",""))),CELL("contenido",FF6))</f>
        <v>Cumple</v>
      </c>
      <c r="FH6" s="409">
        <v>1</v>
      </c>
      <c r="FI6" s="409">
        <v>1</v>
      </c>
      <c r="FJ6" s="409">
        <v>1</v>
      </c>
      <c r="FK6" s="398">
        <f>COUNTIF(Tabla4[[#This Row],[Columna164]:[Columna166]],"&gt;=0")</f>
        <v>3</v>
      </c>
      <c r="FL6" s="398">
        <f>SUM(Tabla4[[#This Row],[Columna164]:[Columna166]])</f>
        <v>3</v>
      </c>
      <c r="FM6" s="399">
        <f t="shared" ref="FM6" si="16">IFERROR((FL6/FK6)*100,"NA")</f>
        <v>100</v>
      </c>
      <c r="FN6" s="400" t="str">
        <f t="shared" ref="FN6" ca="1" si="17">IF(FM6&lt;&gt;"NA",IF(FM6&lt;60,"No Cumple",IF(FM6&lt;=94.99,"Cumple Parcialmente",IF(FM6&gt;=95,"Cumple",""))),CELL("contenido",FM6))</f>
        <v>Cumple</v>
      </c>
      <c r="FO6" s="409">
        <v>1</v>
      </c>
      <c r="FP6" s="409">
        <v>1</v>
      </c>
      <c r="FQ6" s="409">
        <v>1</v>
      </c>
      <c r="FR6" s="398">
        <f>COUNTIF(Tabla4[[#This Row],[Columna171]:[Columna173]],"&gt;=0")</f>
        <v>3</v>
      </c>
      <c r="FS6" s="398">
        <f>SUM(Tabla4[[#This Row],[Columna171]:[Columna173]])</f>
        <v>3</v>
      </c>
      <c r="FT6" s="399">
        <f t="shared" ref="FT6" si="18">IFERROR((FS6/FR6)*100,"NA")</f>
        <v>100</v>
      </c>
      <c r="FU6" s="400" t="str">
        <f t="shared" ref="FU6" ca="1" si="19">IF(FT6&lt;&gt;"NA",IF(FT6&lt;60,"No Cumple",IF(FT6&lt;=94.99,"Cumple Parcialmente",IF(FT6&gt;=95,"Cumple",""))),CELL("contenido",FT6))</f>
        <v>Cumple</v>
      </c>
      <c r="FV6" s="409">
        <v>1</v>
      </c>
      <c r="FW6" s="398">
        <f>COUNTIF(Tabla4[[#This Row],[Columna178]],"&gt;=0")</f>
        <v>1</v>
      </c>
      <c r="FX6" s="398">
        <f>SUM(Tabla4[[#This Row],[Columna178]])</f>
        <v>1</v>
      </c>
      <c r="FY6" s="399">
        <f t="shared" ref="FY6" si="20">IFERROR((FX6/FW6)*100,"NA")</f>
        <v>100</v>
      </c>
      <c r="FZ6" s="400" t="str">
        <f t="shared" ref="FZ6" ca="1" si="21">IF(FY6&lt;&gt;"NA",IF(FY6&lt;60,"No Cumple",IF(FY6&lt;=94.99,"Cumple Parcialmente",IF(FY6&gt;=95,"Cumple",""))),CELL("contenido",FY6))</f>
        <v>Cumple</v>
      </c>
      <c r="GA6" s="409">
        <v>1</v>
      </c>
      <c r="GB6" s="409">
        <v>1</v>
      </c>
      <c r="GC6" s="398">
        <f>COUNTIF(Tabla4[[#This Row],[Columna183]:[Columna184]],"&gt;=0")</f>
        <v>2</v>
      </c>
      <c r="GD6" s="398">
        <f>SUM(Tabla4[[#This Row],[Columna183]:[Columna184]])</f>
        <v>2</v>
      </c>
      <c r="GE6" s="399">
        <f t="shared" ref="GE6" si="22">IFERROR((GD6/GC6)*100,"NA")</f>
        <v>100</v>
      </c>
      <c r="GF6" s="401" t="str">
        <f t="shared" ref="GF6" ca="1" si="23">IF(GE6&lt;&gt;"NA",IF(GE6&lt;60,"No Cumple",IF(GE6&lt;=94.99,"Cumple Parcialmente",IF(GE6&gt;=95,"Cumple",""))),CELL("contenido",GE6))</f>
        <v>Cumple</v>
      </c>
      <c r="GG6" s="409">
        <v>1</v>
      </c>
      <c r="GH6" s="409">
        <v>1</v>
      </c>
      <c r="GI6" s="409">
        <v>1</v>
      </c>
      <c r="GJ6" s="409">
        <v>1</v>
      </c>
      <c r="GK6" s="409">
        <v>1</v>
      </c>
      <c r="GL6" s="409">
        <v>1</v>
      </c>
      <c r="GM6" s="409">
        <v>1</v>
      </c>
      <c r="GN6" s="402">
        <f>COUNTIF(Tabla4[[#This Row],[Columna189]:[Columna195]],"&gt;=0")</f>
        <v>7</v>
      </c>
      <c r="GO6" s="398">
        <f>SUM(Tabla4[[#This Row],[Columna189]:[Columna195]])</f>
        <v>7</v>
      </c>
      <c r="GP6" s="399">
        <f t="shared" ref="GP6" si="24">IFERROR((GO6/GN6)*100,"NA")</f>
        <v>100</v>
      </c>
      <c r="GQ6" s="400" t="str">
        <f t="shared" ref="GQ6" ca="1" si="25">IF(GP6&lt;&gt;"NA",IF(GP6&lt;60,"No Cumple",IF(GP6&lt;=94.99,"Cumple Parcialmente",IF(GP6&gt;=95,"Cumple",""))),CELL("contenido",GP6))</f>
        <v>Cumple</v>
      </c>
      <c r="GR6" s="409">
        <v>1</v>
      </c>
      <c r="GS6" s="409">
        <v>1</v>
      </c>
      <c r="GT6" s="409">
        <v>1</v>
      </c>
      <c r="GU6" s="409">
        <v>1</v>
      </c>
      <c r="GV6" s="409">
        <v>1</v>
      </c>
      <c r="GW6" s="409">
        <v>1</v>
      </c>
      <c r="GX6" s="398">
        <f>COUNTIF(Tabla4[[#This Row],[Columna200]:[Columna205]],"&gt;=0")</f>
        <v>6</v>
      </c>
      <c r="GY6" s="398">
        <f>SUM(Tabla4[[#This Row],[Columna200]:[Columna205]])</f>
        <v>6</v>
      </c>
      <c r="GZ6" s="399">
        <f t="shared" ref="GZ6" si="26">IFERROR((GY6/GX6)*100,"NA")</f>
        <v>100</v>
      </c>
      <c r="HA6" s="400" t="str">
        <f t="shared" ref="HA6" ca="1" si="27">IF(GZ6&lt;&gt;"NA",IF(GZ6&lt;60,"No Cumple",IF(GZ6&lt;=94.99,"Cumple Parcialmente",IF(GZ6&gt;=95,"Cumple",""))),CELL("contenido",GZ6))</f>
        <v>Cumple</v>
      </c>
      <c r="HB6" s="409">
        <v>1</v>
      </c>
      <c r="HC6" s="409">
        <v>1</v>
      </c>
      <c r="HD6" s="409">
        <v>1</v>
      </c>
      <c r="HE6" s="409">
        <v>1</v>
      </c>
      <c r="HF6" s="409">
        <v>1</v>
      </c>
      <c r="HG6" s="398">
        <f>COUNTIF(Tabla4[[#This Row],[Columna210]:[Columna214]],"&gt;=0")</f>
        <v>5</v>
      </c>
      <c r="HH6" s="398">
        <f>SUM(Tabla4[[#This Row],[Columna210]:[Columna214]])</f>
        <v>5</v>
      </c>
      <c r="HI6" s="399">
        <f t="shared" ref="HI6" si="28">IFERROR((HH6/HG6)*100,"NA")</f>
        <v>100</v>
      </c>
      <c r="HJ6" s="400" t="str">
        <f t="shared" ref="HJ6" ca="1" si="29">IF(HI6&lt;&gt;"NA",IF(HI6&lt;60,"No Cumple",IF(HI6&lt;=94.99,"Cumple Parcialmente",IF(HI6&gt;=95,"Cumple",""))),CELL("contenido",HI6))</f>
        <v>Cumple</v>
      </c>
      <c r="HK6" s="409">
        <v>1</v>
      </c>
      <c r="HL6" s="409">
        <v>1</v>
      </c>
      <c r="HM6" s="409">
        <v>1</v>
      </c>
      <c r="HN6" s="409">
        <v>1</v>
      </c>
      <c r="HO6" s="409">
        <v>1</v>
      </c>
      <c r="HP6" s="409">
        <v>1</v>
      </c>
      <c r="HQ6" s="409">
        <v>1</v>
      </c>
      <c r="HR6" s="409">
        <v>1</v>
      </c>
      <c r="HS6" s="409">
        <v>1</v>
      </c>
      <c r="HT6" s="398">
        <f>COUNTIF(Tabla4[[#This Row],[Columna219]:[Columna227]],"&gt;=0")</f>
        <v>9</v>
      </c>
      <c r="HU6" s="398">
        <f>SUM(Tabla4[[#This Row],[Columna219]:[Columna227]])</f>
        <v>9</v>
      </c>
      <c r="HV6" s="399">
        <f t="shared" ref="HV6" si="30">IFERROR((HU6/HT6)*100,"NA")</f>
        <v>100</v>
      </c>
      <c r="HW6" s="400" t="str">
        <f t="shared" ref="HW6" ca="1" si="31">IF(HV6&lt;&gt;"NA",IF(HV6&lt;60,"No Cumple",IF(HV6&lt;=94.99,"Cumple Parcialmente",IF(HV6&gt;=95,"Cumple",""))),CELL("contenido",HV6))</f>
        <v>Cumple</v>
      </c>
      <c r="HX6" s="409">
        <v>1</v>
      </c>
      <c r="HY6" s="409">
        <v>1</v>
      </c>
      <c r="HZ6" s="409">
        <v>1</v>
      </c>
      <c r="IA6" s="409">
        <v>1</v>
      </c>
      <c r="IB6" s="409">
        <v>1</v>
      </c>
      <c r="IC6" s="409">
        <v>1</v>
      </c>
      <c r="ID6" s="409">
        <v>1</v>
      </c>
      <c r="IE6" s="409">
        <v>1</v>
      </c>
      <c r="IF6" s="409">
        <v>1</v>
      </c>
      <c r="IG6" s="409">
        <v>1</v>
      </c>
      <c r="IH6" s="409">
        <v>1</v>
      </c>
      <c r="II6" s="409">
        <v>1</v>
      </c>
      <c r="IJ6" s="409">
        <v>1</v>
      </c>
      <c r="IK6" s="409">
        <v>1</v>
      </c>
      <c r="IL6" s="409">
        <v>1</v>
      </c>
      <c r="IM6" s="409">
        <v>1</v>
      </c>
      <c r="IN6" s="409">
        <v>1</v>
      </c>
      <c r="IO6" s="409">
        <v>1</v>
      </c>
      <c r="IP6" s="409">
        <v>1</v>
      </c>
      <c r="IQ6" s="409">
        <v>1</v>
      </c>
      <c r="IR6" s="409">
        <v>1</v>
      </c>
      <c r="IS6" s="409">
        <v>1</v>
      </c>
      <c r="IT6" s="409">
        <v>1</v>
      </c>
      <c r="IU6" s="409">
        <v>1</v>
      </c>
      <c r="IV6" s="409">
        <v>1</v>
      </c>
      <c r="IW6" s="409">
        <v>1</v>
      </c>
      <c r="IX6" s="409">
        <v>1</v>
      </c>
      <c r="IY6" s="409">
        <v>1</v>
      </c>
      <c r="IZ6" s="409">
        <v>1</v>
      </c>
      <c r="JA6" s="409">
        <v>1</v>
      </c>
      <c r="JB6" s="409">
        <v>1</v>
      </c>
      <c r="JC6" s="409">
        <v>1</v>
      </c>
      <c r="JD6" s="409">
        <v>1</v>
      </c>
      <c r="JE6" s="409">
        <v>1</v>
      </c>
      <c r="JF6" s="409">
        <v>1</v>
      </c>
      <c r="JG6" s="409">
        <v>1</v>
      </c>
      <c r="JH6" s="409">
        <v>1</v>
      </c>
      <c r="JI6" s="409">
        <v>1</v>
      </c>
      <c r="JJ6" s="409">
        <v>1</v>
      </c>
      <c r="JK6" s="409">
        <v>1</v>
      </c>
      <c r="JL6" s="409">
        <v>1</v>
      </c>
      <c r="JM6" s="409">
        <v>1</v>
      </c>
      <c r="JN6" s="409">
        <v>1</v>
      </c>
      <c r="JO6" s="409">
        <v>1</v>
      </c>
      <c r="JP6" s="409">
        <v>1</v>
      </c>
      <c r="JQ6" s="409">
        <v>1</v>
      </c>
      <c r="JR6" s="409">
        <v>1</v>
      </c>
      <c r="JS6" s="409">
        <v>1</v>
      </c>
      <c r="JT6" s="409">
        <v>1</v>
      </c>
      <c r="JU6" s="409">
        <v>1</v>
      </c>
      <c r="JV6" s="409">
        <v>1</v>
      </c>
      <c r="JW6" s="409">
        <v>1</v>
      </c>
      <c r="JX6" s="409">
        <v>1</v>
      </c>
      <c r="JY6" s="409">
        <v>1</v>
      </c>
      <c r="JZ6" s="409">
        <v>1</v>
      </c>
      <c r="KA6" s="409">
        <v>1</v>
      </c>
      <c r="KB6" s="409">
        <v>1</v>
      </c>
      <c r="KC6" s="409">
        <v>1</v>
      </c>
      <c r="KD6" s="409">
        <v>1</v>
      </c>
      <c r="KE6" s="409">
        <v>1</v>
      </c>
      <c r="KF6" s="409">
        <v>1</v>
      </c>
      <c r="KG6" s="409">
        <v>1</v>
      </c>
      <c r="KH6" s="409">
        <v>1</v>
      </c>
      <c r="KI6" s="409">
        <v>1</v>
      </c>
      <c r="KJ6" s="409">
        <v>1</v>
      </c>
      <c r="KK6" s="409">
        <v>1</v>
      </c>
      <c r="KL6" s="409">
        <v>1</v>
      </c>
      <c r="KM6" s="409">
        <v>1</v>
      </c>
      <c r="KN6" s="409">
        <v>1</v>
      </c>
      <c r="KO6" s="409">
        <v>1</v>
      </c>
      <c r="KP6" s="409">
        <v>1</v>
      </c>
      <c r="KQ6" s="409">
        <v>1</v>
      </c>
      <c r="KR6" s="409">
        <v>1</v>
      </c>
      <c r="KS6" s="409">
        <v>1</v>
      </c>
      <c r="KT6" s="409">
        <v>1</v>
      </c>
      <c r="KU6" s="409">
        <v>1</v>
      </c>
      <c r="KV6" s="409">
        <v>1</v>
      </c>
      <c r="KW6" s="409">
        <v>1</v>
      </c>
      <c r="KX6" s="409">
        <v>1</v>
      </c>
      <c r="KY6" s="409">
        <v>1</v>
      </c>
      <c r="KZ6" s="409">
        <v>1</v>
      </c>
      <c r="LA6" s="409">
        <v>1</v>
      </c>
      <c r="LB6" s="409">
        <v>1</v>
      </c>
      <c r="LC6" s="409">
        <v>1</v>
      </c>
      <c r="LD6" s="409">
        <v>1</v>
      </c>
      <c r="LE6" s="409">
        <v>1</v>
      </c>
      <c r="LF6" s="409">
        <v>1</v>
      </c>
      <c r="LG6" s="409">
        <v>1</v>
      </c>
      <c r="LH6" s="409">
        <v>1</v>
      </c>
      <c r="LI6" s="409">
        <v>1</v>
      </c>
      <c r="LJ6" s="409">
        <v>1</v>
      </c>
      <c r="LK6" s="409">
        <v>1</v>
      </c>
      <c r="LL6" s="409">
        <v>1</v>
      </c>
      <c r="LM6" s="409">
        <v>1</v>
      </c>
      <c r="LN6" s="409">
        <v>1</v>
      </c>
      <c r="LO6" s="409">
        <v>1</v>
      </c>
      <c r="LP6" s="409">
        <v>1</v>
      </c>
      <c r="LQ6" s="409">
        <v>1</v>
      </c>
      <c r="LR6" s="409">
        <v>1</v>
      </c>
      <c r="LS6" s="409">
        <v>1</v>
      </c>
      <c r="LT6" s="409">
        <v>1</v>
      </c>
      <c r="LU6" s="409">
        <v>1</v>
      </c>
      <c r="LV6" s="409">
        <v>1</v>
      </c>
      <c r="LW6" s="409">
        <v>1</v>
      </c>
      <c r="LX6" s="409">
        <v>1</v>
      </c>
      <c r="LY6" s="409">
        <v>1</v>
      </c>
      <c r="LZ6" s="409">
        <v>1</v>
      </c>
      <c r="MA6" s="409">
        <v>1</v>
      </c>
      <c r="MB6" s="409">
        <v>1</v>
      </c>
      <c r="MC6" s="409">
        <v>1</v>
      </c>
      <c r="MD6" s="409">
        <v>1</v>
      </c>
      <c r="ME6" s="409">
        <v>1</v>
      </c>
      <c r="MF6" s="409">
        <v>1</v>
      </c>
      <c r="MG6" s="409">
        <v>1</v>
      </c>
      <c r="MH6" s="409">
        <v>1</v>
      </c>
      <c r="MI6" s="409">
        <v>1</v>
      </c>
      <c r="MJ6" s="398">
        <f>COUNTIF(Tabla4[[#This Row],[Columna232]:[Columna347]],"&gt;=0")</f>
        <v>116</v>
      </c>
      <c r="MK6" s="398">
        <f>SUM(Tabla4[[#This Row],[Columna232]:[Columna347]])</f>
        <v>116</v>
      </c>
      <c r="ML6" s="399">
        <f t="shared" ref="ML6" si="32">IFERROR((MK6/MJ6)*100,"NA")</f>
        <v>100</v>
      </c>
      <c r="MM6" s="401" t="str">
        <f t="shared" ref="MM6" ca="1" si="33">IF(ML6&lt;&gt;"NA",IF(ML6&lt;60,"No Cumple",IF(ML6&lt;=94.99,"Cumple Parcialmente",IF(ML6&gt;=95,"Cumple",""))),CELL("contenido",ML6))</f>
        <v>Cumple</v>
      </c>
      <c r="MN6" s="403">
        <f>SUM(Tabla4[[#This Row],[Columna105]],Tabla4[[#This Row],[Columna111]],Tabla4[[#This Row],[Columna120]],Tabla4[[#This Row],[Columna133]],Tabla4[[#This Row],[Columna139]],Tabla4[[#This Row],[Columna146]],Tabla4[[#This Row],[Columna152]],Tabla4[[#This Row],[Columna160]],Tabla4[[#This Row],[Columna167]],Tabla4[[#This Row],[Columna174]],Tabla4[[#This Row],[Columna179]],Tabla4[[#This Row],[Columna185]],Tabla4[[#This Row],[Columna196]],Tabla4[[#This Row],[Columna206]],Tabla4[[#This Row],[Columna215]],Tabla4[[#This Row],[Columna228]],Tabla4[[#This Row],[Columna348]])</f>
        <v>183</v>
      </c>
      <c r="MO6" s="404">
        <f>SUM(Tabla4[[#This Row],[Columna106]],Tabla4[[#This Row],[Columna112]],Tabla4[[#This Row],[Columna121]],Tabla4[[#This Row],[Columna134]],Tabla4[[#This Row],[Columna140]],Tabla4[[#This Row],[Columna147]],Tabla4[[#This Row],[Columna153]],Tabla4[[#This Row],[Columna161]],Tabla4[[#This Row],[Columna168]],Tabla4[[#This Row],[Columna175]],Tabla4[[#This Row],[Columna180]],Tabla4[[#This Row],[Columna186]],Tabla4[[#This Row],[Columna197]],Tabla4[[#This Row],[Columna207]],Tabla4[[#This Row],[Columna216]],Tabla4[[#This Row],[Columna229]],Tabla4[[#This Row],[Columna349]])</f>
        <v>183</v>
      </c>
      <c r="MP6" s="405">
        <f t="shared" ref="MP6" si="34">IFERROR((MO6/MN6)*100,"NA")</f>
        <v>100</v>
      </c>
      <c r="MQ6" s="406" t="str">
        <f t="shared" ref="MQ6" ca="1" si="35">IF(MP6&lt;&gt;"NA",IF(MP6&lt;60,"No Cumple",IF(MP6&lt;=94.99,"Cumple Parcialmente",IF(MP6&gt;=95,"Cumple",""))),CELL("contenido",MP6))</f>
        <v>Cumple</v>
      </c>
      <c r="MR6" s="392">
        <v>44746</v>
      </c>
      <c r="MS6" s="394"/>
      <c r="MT6" s="394"/>
    </row>
  </sheetData>
  <sheetProtection autoFilter="0"/>
  <mergeCells count="32">
    <mergeCell ref="U2:AB3"/>
    <mergeCell ref="AC2:AJ3"/>
    <mergeCell ref="A3:T3"/>
    <mergeCell ref="A1:M1"/>
    <mergeCell ref="DE3:DJ3"/>
    <mergeCell ref="HB3:HJ3"/>
    <mergeCell ref="ET3:EY3"/>
    <mergeCell ref="EZ3:FG3"/>
    <mergeCell ref="CW3:DD3"/>
    <mergeCell ref="FV3:FZ3"/>
    <mergeCell ref="DK3:DS3"/>
    <mergeCell ref="FO3:FU3"/>
    <mergeCell ref="DT3:EF3"/>
    <mergeCell ref="EG3:EL3"/>
    <mergeCell ref="EM3:ES3"/>
    <mergeCell ref="FH3:FN3"/>
    <mergeCell ref="MN2:MQ3"/>
    <mergeCell ref="AK2:AR3"/>
    <mergeCell ref="AS2:AZ3"/>
    <mergeCell ref="BA2:BH3"/>
    <mergeCell ref="BI2:BP3"/>
    <mergeCell ref="BQ2:BX3"/>
    <mergeCell ref="BY2:CF3"/>
    <mergeCell ref="CG2:CN3"/>
    <mergeCell ref="CO2:CV3"/>
    <mergeCell ref="HX3:MM3"/>
    <mergeCell ref="HX2:MM2"/>
    <mergeCell ref="HK3:HW3"/>
    <mergeCell ref="CW2:HW2"/>
    <mergeCell ref="GA3:GF3"/>
    <mergeCell ref="GG3:GQ3"/>
    <mergeCell ref="GR3:HA3"/>
  </mergeCells>
  <phoneticPr fontId="72" type="noConversion"/>
  <conditionalFormatting sqref="A6 F6 DA6 DP6:DR6 EC6:EE6">
    <cfRule type="containsBlanks" dxfId="660" priority="3574">
      <formula>LEN(TRIM(A6))=0</formula>
    </cfRule>
  </conditionalFormatting>
  <conditionalFormatting sqref="DS6 DD6 EF6">
    <cfRule type="containsBlanks" dxfId="659" priority="3549">
      <formula>LEN(TRIM(DD6))=0</formula>
    </cfRule>
  </conditionalFormatting>
  <conditionalFormatting sqref="DC6 DA6">
    <cfRule type="containsBlanks" dxfId="658" priority="3530">
      <formula>LEN(TRIM(DA6))=0</formula>
    </cfRule>
  </conditionalFormatting>
  <conditionalFormatting sqref="DA6:DD6">
    <cfRule type="containsBlanks" dxfId="657" priority="3528">
      <formula>LEN(TRIM(DA6))=0</formula>
    </cfRule>
  </conditionalFormatting>
  <conditionalFormatting sqref="DP6:DR6">
    <cfRule type="containsBlanks" dxfId="656" priority="3527">
      <formula>LEN(TRIM(DP6))=0</formula>
    </cfRule>
  </conditionalFormatting>
  <conditionalFormatting sqref="DP6:DS6">
    <cfRule type="containsBlanks" dxfId="655" priority="3525">
      <formula>LEN(TRIM(DP6))=0</formula>
    </cfRule>
  </conditionalFormatting>
  <conditionalFormatting sqref="EC6:EE6">
    <cfRule type="containsBlanks" dxfId="654" priority="3524">
      <formula>LEN(TRIM(EC6))=0</formula>
    </cfRule>
  </conditionalFormatting>
  <conditionalFormatting sqref="EC6:EF6">
    <cfRule type="containsBlanks" dxfId="653" priority="3522">
      <formula>LEN(TRIM(EC6))=0</formula>
    </cfRule>
  </conditionalFormatting>
  <conditionalFormatting sqref="FF6:FG6 FD6">
    <cfRule type="containsBlanks" dxfId="652" priority="3503">
      <formula>LEN(TRIM(FD6))=0</formula>
    </cfRule>
  </conditionalFormatting>
  <conditionalFormatting sqref="FE6">
    <cfRule type="containsBlanks" dxfId="651" priority="3502">
      <formula>LEN(TRIM(FE6))=0</formula>
    </cfRule>
  </conditionalFormatting>
  <conditionalFormatting sqref="FM6:FN6 FK6">
    <cfRule type="containsBlanks" dxfId="650" priority="3498">
      <formula>LEN(TRIM(FK6))=0</formula>
    </cfRule>
  </conditionalFormatting>
  <conditionalFormatting sqref="FL6">
    <cfRule type="containsBlanks" dxfId="649" priority="3497">
      <formula>LEN(TRIM(FL6))=0</formula>
    </cfRule>
  </conditionalFormatting>
  <conditionalFormatting sqref="FT6:FU6 FR6">
    <cfRule type="containsBlanks" dxfId="648" priority="3493">
      <formula>LEN(TRIM(FR6))=0</formula>
    </cfRule>
  </conditionalFormatting>
  <conditionalFormatting sqref="FS6">
    <cfRule type="containsBlanks" dxfId="647" priority="3492">
      <formula>LEN(TRIM(FS6))=0</formula>
    </cfRule>
  </conditionalFormatting>
  <conditionalFormatting sqref="FY6:FZ6 FW6">
    <cfRule type="containsBlanks" dxfId="646" priority="3488">
      <formula>LEN(TRIM(FW6))=0</formula>
    </cfRule>
  </conditionalFormatting>
  <conditionalFormatting sqref="FX6">
    <cfRule type="containsBlanks" dxfId="645" priority="3487">
      <formula>LEN(TRIM(FX6))=0</formula>
    </cfRule>
  </conditionalFormatting>
  <conditionalFormatting sqref="GE6:GF6 GC6">
    <cfRule type="containsBlanks" dxfId="644" priority="3483">
      <formula>LEN(TRIM(GC6))=0</formula>
    </cfRule>
  </conditionalFormatting>
  <conditionalFormatting sqref="GD6">
    <cfRule type="containsBlanks" dxfId="643" priority="3482">
      <formula>LEN(TRIM(GD6))=0</formula>
    </cfRule>
  </conditionalFormatting>
  <conditionalFormatting sqref="GP6:GQ6 GN6">
    <cfRule type="containsBlanks" dxfId="642" priority="3473">
      <formula>LEN(TRIM(GN6))=0</formula>
    </cfRule>
  </conditionalFormatting>
  <conditionalFormatting sqref="GO6">
    <cfRule type="containsBlanks" dxfId="641" priority="3472">
      <formula>LEN(TRIM(GO6))=0</formula>
    </cfRule>
  </conditionalFormatting>
  <conditionalFormatting sqref="GZ6:HA6 GX6">
    <cfRule type="containsBlanks" dxfId="640" priority="3468">
      <formula>LEN(TRIM(GX6))=0</formula>
    </cfRule>
  </conditionalFormatting>
  <conditionalFormatting sqref="GY6">
    <cfRule type="containsBlanks" dxfId="639" priority="3467">
      <formula>LEN(TRIM(GY6))=0</formula>
    </cfRule>
  </conditionalFormatting>
  <conditionalFormatting sqref="HI6:HJ6 HG6">
    <cfRule type="containsBlanks" dxfId="638" priority="3463">
      <formula>LEN(TRIM(HG6))=0</formula>
    </cfRule>
  </conditionalFormatting>
  <conditionalFormatting sqref="HH6">
    <cfRule type="containsBlanks" dxfId="637" priority="3462">
      <formula>LEN(TRIM(HH6))=0</formula>
    </cfRule>
  </conditionalFormatting>
  <conditionalFormatting sqref="HV6:HW6 HT6">
    <cfRule type="containsBlanks" dxfId="636" priority="3458">
      <formula>LEN(TRIM(HT6))=0</formula>
    </cfRule>
  </conditionalFormatting>
  <conditionalFormatting sqref="HU6">
    <cfRule type="containsBlanks" dxfId="635" priority="3457">
      <formula>LEN(TRIM(HU6))=0</formula>
    </cfRule>
  </conditionalFormatting>
  <conditionalFormatting sqref="MJ6 ML6:MM6">
    <cfRule type="containsBlanks" dxfId="634" priority="3438">
      <formula>LEN(TRIM(MJ6))=0</formula>
    </cfRule>
  </conditionalFormatting>
  <conditionalFormatting sqref="MK6">
    <cfRule type="containsBlanks" dxfId="633" priority="3437">
      <formula>LEN(TRIM(MK6))=0</formula>
    </cfRule>
  </conditionalFormatting>
  <conditionalFormatting sqref="MQ6">
    <cfRule type="containsBlanks" dxfId="632" priority="3416">
      <formula>LEN(TRIM(MQ6))=0</formula>
    </cfRule>
  </conditionalFormatting>
  <conditionalFormatting sqref="MN6:MP6">
    <cfRule type="containsBlanks" dxfId="631" priority="3432">
      <formula>LEN(TRIM(MN6))=0</formula>
    </cfRule>
  </conditionalFormatting>
  <conditionalFormatting sqref="MQ6">
    <cfRule type="containsText" dxfId="630" priority="3417" operator="containsText" text="Cumple Parcialmente">
      <formula>NOT(ISERROR(SEARCH("Cumple Parcialmente",MQ6)))</formula>
    </cfRule>
    <cfRule type="containsText" dxfId="629" priority="3418" operator="containsText" text="No Cumple">
      <formula>NOT(ISERROR(SEARCH("No Cumple",MQ6)))</formula>
    </cfRule>
    <cfRule type="containsText" dxfId="628" priority="3419" operator="containsText" text="Cumple">
      <formula>NOT(ISERROR(SEARCH("Cumple",MQ6)))</formula>
    </cfRule>
  </conditionalFormatting>
  <conditionalFormatting sqref="P6:R6">
    <cfRule type="containsBlanks" dxfId="627" priority="2962">
      <formula>LEN(TRIM(P6))=0</formula>
    </cfRule>
  </conditionalFormatting>
  <conditionalFormatting sqref="Q6:R6">
    <cfRule type="containsBlanks" dxfId="626" priority="2928">
      <formula>LEN(TRIM(Q6))=0</formula>
    </cfRule>
  </conditionalFormatting>
  <conditionalFormatting sqref="P6">
    <cfRule type="containsBlanks" dxfId="625" priority="2907">
      <formula>LEN(TRIM(P6))=0</formula>
    </cfRule>
  </conditionalFormatting>
  <conditionalFormatting sqref="N6 A6:B6 E6:L6">
    <cfRule type="containsBlanks" dxfId="624" priority="1339">
      <formula>LEN(TRIM(A6))=0</formula>
    </cfRule>
  </conditionalFormatting>
  <conditionalFormatting sqref="DD6 EF6 DS6">
    <cfRule type="containsBlanks" dxfId="623" priority="1338">
      <formula>LEN(TRIM(DD6))=0</formula>
    </cfRule>
  </conditionalFormatting>
  <conditionalFormatting sqref="DC6">
    <cfRule type="containsBlanks" dxfId="622" priority="1324">
      <formula>LEN(TRIM(DC6))=0</formula>
    </cfRule>
  </conditionalFormatting>
  <conditionalFormatting sqref="DA6:DD6">
    <cfRule type="containsBlanks" dxfId="621" priority="1322">
      <formula>LEN(TRIM(DA6))=0</formula>
    </cfRule>
  </conditionalFormatting>
  <conditionalFormatting sqref="DP6:DS6">
    <cfRule type="containsBlanks" dxfId="620" priority="1319">
      <formula>LEN(TRIM(DP6))=0</formula>
    </cfRule>
  </conditionalFormatting>
  <conditionalFormatting sqref="EC6:EF6">
    <cfRule type="containsBlanks" dxfId="619" priority="1316">
      <formula>LEN(TRIM(EC6))=0</formula>
    </cfRule>
  </conditionalFormatting>
  <conditionalFormatting sqref="FF6:FG6 FD6">
    <cfRule type="containsBlanks" dxfId="618" priority="1299">
      <formula>LEN(TRIM(FD6))=0</formula>
    </cfRule>
  </conditionalFormatting>
  <conditionalFormatting sqref="FE6">
    <cfRule type="containsBlanks" dxfId="617" priority="1298">
      <formula>LEN(TRIM(FE6))=0</formula>
    </cfRule>
  </conditionalFormatting>
  <conditionalFormatting sqref="FM6:FN6 FK6">
    <cfRule type="containsBlanks" dxfId="616" priority="1294">
      <formula>LEN(TRIM(FK6))=0</formula>
    </cfRule>
  </conditionalFormatting>
  <conditionalFormatting sqref="FL6">
    <cfRule type="containsBlanks" dxfId="615" priority="1293">
      <formula>LEN(TRIM(FL6))=0</formula>
    </cfRule>
  </conditionalFormatting>
  <conditionalFormatting sqref="FT6:FU6 FR6">
    <cfRule type="containsBlanks" dxfId="614" priority="1289">
      <formula>LEN(TRIM(FR6))=0</formula>
    </cfRule>
  </conditionalFormatting>
  <conditionalFormatting sqref="FS6">
    <cfRule type="containsBlanks" dxfId="613" priority="1288">
      <formula>LEN(TRIM(FS6))=0</formula>
    </cfRule>
  </conditionalFormatting>
  <conditionalFormatting sqref="FY6:FZ6 FW6">
    <cfRule type="containsBlanks" dxfId="612" priority="1284">
      <formula>LEN(TRIM(FW6))=0</formula>
    </cfRule>
  </conditionalFormatting>
  <conditionalFormatting sqref="FX6">
    <cfRule type="containsBlanks" dxfId="611" priority="1283">
      <formula>LEN(TRIM(FX6))=0</formula>
    </cfRule>
  </conditionalFormatting>
  <conditionalFormatting sqref="GE6:GF6 GC6">
    <cfRule type="containsBlanks" dxfId="610" priority="1279">
      <formula>LEN(TRIM(GC6))=0</formula>
    </cfRule>
  </conditionalFormatting>
  <conditionalFormatting sqref="GD6">
    <cfRule type="containsBlanks" dxfId="609" priority="1278">
      <formula>LEN(TRIM(GD6))=0</formula>
    </cfRule>
  </conditionalFormatting>
  <conditionalFormatting sqref="GP6:GQ6 GN6">
    <cfRule type="containsBlanks" dxfId="608" priority="1269">
      <formula>LEN(TRIM(GN6))=0</formula>
    </cfRule>
  </conditionalFormatting>
  <conditionalFormatting sqref="GO6">
    <cfRule type="containsBlanks" dxfId="607" priority="1268">
      <formula>LEN(TRIM(GO6))=0</formula>
    </cfRule>
  </conditionalFormatting>
  <conditionalFormatting sqref="GZ6:HA6 GX6">
    <cfRule type="containsBlanks" dxfId="606" priority="1264">
      <formula>LEN(TRIM(GX6))=0</formula>
    </cfRule>
  </conditionalFormatting>
  <conditionalFormatting sqref="GY6">
    <cfRule type="containsBlanks" dxfId="605" priority="1263">
      <formula>LEN(TRIM(GY6))=0</formula>
    </cfRule>
  </conditionalFormatting>
  <conditionalFormatting sqref="HI6:HJ6 HG6">
    <cfRule type="containsBlanks" dxfId="604" priority="1259">
      <formula>LEN(TRIM(HG6))=0</formula>
    </cfRule>
  </conditionalFormatting>
  <conditionalFormatting sqref="HH6">
    <cfRule type="containsBlanks" dxfId="603" priority="1258">
      <formula>LEN(TRIM(HH6))=0</formula>
    </cfRule>
  </conditionalFormatting>
  <conditionalFormatting sqref="HV6:HW6 HT6">
    <cfRule type="containsBlanks" dxfId="602" priority="1254">
      <formula>LEN(TRIM(HT6))=0</formula>
    </cfRule>
  </conditionalFormatting>
  <conditionalFormatting sqref="HU6">
    <cfRule type="containsBlanks" dxfId="601" priority="1253">
      <formula>LEN(TRIM(HU6))=0</formula>
    </cfRule>
  </conditionalFormatting>
  <conditionalFormatting sqref="MJ6 ML6:MM6">
    <cfRule type="containsBlanks" dxfId="600" priority="1236">
      <formula>LEN(TRIM(MJ6))=0</formula>
    </cfRule>
  </conditionalFormatting>
  <conditionalFormatting sqref="MK6">
    <cfRule type="containsBlanks" dxfId="599" priority="1235">
      <formula>LEN(TRIM(MK6))=0</formula>
    </cfRule>
  </conditionalFormatting>
  <conditionalFormatting sqref="MQ6">
    <cfRule type="containsBlanks" dxfId="598" priority="1230">
      <formula>LEN(TRIM(MQ6))=0</formula>
    </cfRule>
  </conditionalFormatting>
  <conditionalFormatting sqref="MS6">
    <cfRule type="containsBlanks" dxfId="597" priority="1222">
      <formula>LEN(TRIM(MS6))=0</formula>
    </cfRule>
  </conditionalFormatting>
  <conditionalFormatting sqref="MN6:MP6">
    <cfRule type="containsBlanks" dxfId="596" priority="1234">
      <formula>LEN(TRIM(MN6))=0</formula>
    </cfRule>
  </conditionalFormatting>
  <conditionalFormatting sqref="MQ6">
    <cfRule type="containsText" dxfId="595" priority="1231" operator="containsText" text="Cumple Parcialmente">
      <formula>NOT(ISERROR(SEARCH("Cumple Parcialmente",MQ6)))</formula>
    </cfRule>
    <cfRule type="containsText" dxfId="594" priority="1232" operator="containsText" text="No Cumple">
      <formula>NOT(ISERROR(SEARCH("No Cumple",MQ6)))</formula>
    </cfRule>
    <cfRule type="containsText" dxfId="593" priority="1233" operator="containsText" text="Cumple">
      <formula>NOT(ISERROR(SEARCH("Cumple",MQ6)))</formula>
    </cfRule>
  </conditionalFormatting>
  <conditionalFormatting sqref="MS6">
    <cfRule type="containsText" dxfId="592" priority="1223" operator="containsText" text="Cumple Parcialmente">
      <formula>NOT(ISERROR(SEARCH("Cumple Parcialmente",MS6)))</formula>
    </cfRule>
    <cfRule type="containsText" dxfId="591" priority="1224" operator="containsText" text="No Cumple">
      <formula>NOT(ISERROR(SEARCH("No Cumple",MS6)))</formula>
    </cfRule>
    <cfRule type="containsText" dxfId="590" priority="1225" operator="containsText" text="Cumple">
      <formula>NOT(ISERROR(SEARCH("Cumple",MS6)))</formula>
    </cfRule>
  </conditionalFormatting>
  <conditionalFormatting sqref="MT6">
    <cfRule type="containsBlanks" dxfId="589" priority="1226">
      <formula>LEN(TRIM(MT6))=0</formula>
    </cfRule>
  </conditionalFormatting>
  <conditionalFormatting sqref="MT6">
    <cfRule type="containsText" dxfId="588" priority="1227" operator="containsText" text="Cumple Parcialmente">
      <formula>NOT(ISERROR(SEARCH("Cumple Parcialmente",MT6)))</formula>
    </cfRule>
    <cfRule type="containsText" dxfId="587" priority="1228" operator="containsText" text="No Cumple">
      <formula>NOT(ISERROR(SEARCH("No Cumple",MT6)))</formula>
    </cfRule>
    <cfRule type="containsText" dxfId="586" priority="1229" operator="containsText" text="Cumple">
      <formula>NOT(ISERROR(SEARCH("Cumple",MT6)))</formula>
    </cfRule>
  </conditionalFormatting>
  <conditionalFormatting sqref="MS6">
    <cfRule type="containsBlanks" dxfId="585" priority="1218">
      <formula>LEN(TRIM(MS6))=0</formula>
    </cfRule>
  </conditionalFormatting>
  <conditionalFormatting sqref="D6">
    <cfRule type="containsBlanks" dxfId="584" priority="1217">
      <formula>LEN(TRIM(D6))=0</formula>
    </cfRule>
  </conditionalFormatting>
  <conditionalFormatting sqref="MS6">
    <cfRule type="containsText" dxfId="583" priority="1219" operator="containsText" text="Cumple Parcialmente">
      <formula>NOT(ISERROR(SEARCH("Cumple Parcialmente",MS6)))</formula>
    </cfRule>
    <cfRule type="containsText" dxfId="582" priority="1220" operator="containsText" text="No Cumple">
      <formula>NOT(ISERROR(SEARCH("No Cumple",MS6)))</formula>
    </cfRule>
    <cfRule type="containsText" dxfId="581" priority="1221" operator="containsText" text="Cumple">
      <formula>NOT(ISERROR(SEARCH("Cumple",MS6)))</formula>
    </cfRule>
  </conditionalFormatting>
  <conditionalFormatting sqref="O6:T6">
    <cfRule type="containsBlanks" dxfId="580" priority="1216">
      <formula>LEN(TRIM(O6))=0</formula>
    </cfRule>
  </conditionalFormatting>
  <conditionalFormatting sqref="V6:AB6">
    <cfRule type="containsBlanks" dxfId="579" priority="1214">
      <formula>LEN(TRIM(V6))=0</formula>
    </cfRule>
  </conditionalFormatting>
  <conditionalFormatting sqref="MT6">
    <cfRule type="containsBlanks" dxfId="578" priority="1209">
      <formula>LEN(TRIM(MT6))=0</formula>
    </cfRule>
  </conditionalFormatting>
  <conditionalFormatting sqref="MT6">
    <cfRule type="containsText" dxfId="577" priority="1210" operator="containsText" text="Cumple Parcialmente">
      <formula>NOT(ISERROR(SEARCH("Cumple Parcialmente",MT6)))</formula>
    </cfRule>
    <cfRule type="containsText" dxfId="576" priority="1211" operator="containsText" text="No Cumple">
      <formula>NOT(ISERROR(SEARCH("No Cumple",MT6)))</formula>
    </cfRule>
    <cfRule type="containsText" dxfId="575" priority="1212" operator="containsText" text="Cumple">
      <formula>NOT(ISERROR(SEARCH("Cumple",MT6)))</formula>
    </cfRule>
  </conditionalFormatting>
  <conditionalFormatting sqref="S6">
    <cfRule type="containsBlanks" dxfId="574" priority="1208">
      <formula>LEN(TRIM(S6))=0</formula>
    </cfRule>
  </conditionalFormatting>
  <conditionalFormatting sqref="Q6:R6">
    <cfRule type="containsBlanks" dxfId="573" priority="1207">
      <formula>LEN(TRIM(Q6))=0</formula>
    </cfRule>
  </conditionalFormatting>
  <conditionalFormatting sqref="P6">
    <cfRule type="containsBlanks" dxfId="572" priority="1206">
      <formula>LEN(TRIM(P6))=0</formula>
    </cfRule>
  </conditionalFormatting>
  <conditionalFormatting sqref="D6:E6">
    <cfRule type="containsBlanks" dxfId="571" priority="1197">
      <formula>LEN(TRIM(D6))=0</formula>
    </cfRule>
  </conditionalFormatting>
  <conditionalFormatting sqref="DC6">
    <cfRule type="iconSet" priority="3576">
      <iconSet iconSet="3Arrows">
        <cfvo type="percent" val="0"/>
        <cfvo type="num" val="60"/>
        <cfvo type="num" val="95"/>
      </iconSet>
    </cfRule>
  </conditionalFormatting>
  <conditionalFormatting sqref="DR6">
    <cfRule type="iconSet" priority="3577">
      <iconSet iconSet="3Arrows">
        <cfvo type="percent" val="0"/>
        <cfvo type="num" val="60"/>
        <cfvo type="num" val="95"/>
      </iconSet>
    </cfRule>
  </conditionalFormatting>
  <conditionalFormatting sqref="EE6">
    <cfRule type="iconSet" priority="3578">
      <iconSet iconSet="3Arrows">
        <cfvo type="percent" val="0"/>
        <cfvo type="num" val="60"/>
        <cfvo type="num" val="95"/>
      </iconSet>
    </cfRule>
  </conditionalFormatting>
  <conditionalFormatting sqref="FF6">
    <cfRule type="iconSet" priority="3583">
      <iconSet iconSet="3Arrows">
        <cfvo type="percent" val="0"/>
        <cfvo type="num" val="60"/>
        <cfvo type="num" val="95"/>
      </iconSet>
    </cfRule>
  </conditionalFormatting>
  <conditionalFormatting sqref="FM6">
    <cfRule type="iconSet" priority="3584">
      <iconSet iconSet="3Arrows">
        <cfvo type="percent" val="0"/>
        <cfvo type="num" val="60"/>
        <cfvo type="num" val="95"/>
      </iconSet>
    </cfRule>
  </conditionalFormatting>
  <conditionalFormatting sqref="FT6">
    <cfRule type="iconSet" priority="3585">
      <iconSet iconSet="3Arrows">
        <cfvo type="percent" val="0"/>
        <cfvo type="num" val="60"/>
        <cfvo type="num" val="95"/>
      </iconSet>
    </cfRule>
  </conditionalFormatting>
  <conditionalFormatting sqref="FY6">
    <cfRule type="iconSet" priority="3586">
      <iconSet iconSet="3Arrows">
        <cfvo type="percent" val="0"/>
        <cfvo type="num" val="60"/>
        <cfvo type="num" val="95"/>
      </iconSet>
    </cfRule>
  </conditionalFormatting>
  <conditionalFormatting sqref="GE6">
    <cfRule type="iconSet" priority="3587">
      <iconSet iconSet="3Arrows">
        <cfvo type="percent" val="0"/>
        <cfvo type="num" val="60"/>
        <cfvo type="num" val="95"/>
      </iconSet>
    </cfRule>
  </conditionalFormatting>
  <conditionalFormatting sqref="GP6">
    <cfRule type="iconSet" priority="3589">
      <iconSet iconSet="3Arrows">
        <cfvo type="percent" val="0"/>
        <cfvo type="num" val="60"/>
        <cfvo type="num" val="95"/>
      </iconSet>
    </cfRule>
  </conditionalFormatting>
  <conditionalFormatting sqref="GZ6">
    <cfRule type="iconSet" priority="3590">
      <iconSet iconSet="3Arrows">
        <cfvo type="percent" val="0"/>
        <cfvo type="num" val="60"/>
        <cfvo type="num" val="95"/>
      </iconSet>
    </cfRule>
  </conditionalFormatting>
  <conditionalFormatting sqref="HI6">
    <cfRule type="iconSet" priority="3591">
      <iconSet iconSet="3Arrows">
        <cfvo type="percent" val="0"/>
        <cfvo type="num" val="60"/>
        <cfvo type="num" val="95"/>
      </iconSet>
    </cfRule>
  </conditionalFormatting>
  <conditionalFormatting sqref="HV6">
    <cfRule type="iconSet" priority="3592">
      <iconSet iconSet="3Arrows">
        <cfvo type="percent" val="0"/>
        <cfvo type="num" val="60"/>
        <cfvo type="num" val="95"/>
      </iconSet>
    </cfRule>
  </conditionalFormatting>
  <conditionalFormatting sqref="ML6">
    <cfRule type="iconSet" priority="3596">
      <iconSet iconSet="3Arrows">
        <cfvo type="percent" val="0"/>
        <cfvo type="num" val="60"/>
        <cfvo type="num" val="95"/>
      </iconSet>
    </cfRule>
  </conditionalFormatting>
  <conditionalFormatting sqref="MP6">
    <cfRule type="iconSet" priority="3597">
      <iconSet iconSet="3Arrows">
        <cfvo type="percent" val="0"/>
        <cfvo type="num" val="60"/>
        <cfvo type="num" val="95"/>
      </iconSet>
    </cfRule>
  </conditionalFormatting>
  <conditionalFormatting sqref="AD6:AJ6">
    <cfRule type="containsBlanks" dxfId="570" priority="183">
      <formula>LEN(TRIM(AD6))=0</formula>
    </cfRule>
  </conditionalFormatting>
  <conditionalFormatting sqref="AL6:AR6">
    <cfRule type="containsBlanks" dxfId="569" priority="180">
      <formula>LEN(TRIM(AL6))=0</formula>
    </cfRule>
  </conditionalFormatting>
  <conditionalFormatting sqref="AT6:AZ6">
    <cfRule type="containsBlanks" dxfId="568" priority="177">
      <formula>LEN(TRIM(AT6))=0</formula>
    </cfRule>
  </conditionalFormatting>
  <conditionalFormatting sqref="BB6:BH6">
    <cfRule type="containsBlanks" dxfId="567" priority="174">
      <formula>LEN(TRIM(BB6))=0</formula>
    </cfRule>
  </conditionalFormatting>
  <conditionalFormatting sqref="BJ6:BP6">
    <cfRule type="containsBlanks" dxfId="566" priority="171">
      <formula>LEN(TRIM(BJ6))=0</formula>
    </cfRule>
  </conditionalFormatting>
  <conditionalFormatting sqref="BR6:BX6">
    <cfRule type="containsBlanks" dxfId="565" priority="168">
      <formula>LEN(TRIM(BR6))=0</formula>
    </cfRule>
  </conditionalFormatting>
  <conditionalFormatting sqref="BZ6:CF6">
    <cfRule type="containsBlanks" dxfId="564" priority="165">
      <formula>LEN(TRIM(BZ6))=0</formula>
    </cfRule>
  </conditionalFormatting>
  <conditionalFormatting sqref="CH6:CN6">
    <cfRule type="containsBlanks" dxfId="563" priority="162">
      <formula>LEN(TRIM(CH6))=0</formula>
    </cfRule>
  </conditionalFormatting>
  <conditionalFormatting sqref="CP6:CV6">
    <cfRule type="containsBlanks" dxfId="562" priority="159">
      <formula>LEN(TRIM(CP6))=0</formula>
    </cfRule>
  </conditionalFormatting>
  <conditionalFormatting sqref="CW6:CZ6">
    <cfRule type="containsBlanks" dxfId="561" priority="153">
      <formula>LEN(TRIM(CW6))=0</formula>
    </cfRule>
  </conditionalFormatting>
  <conditionalFormatting sqref="DG6">
    <cfRule type="containsBlanks" dxfId="560" priority="151">
      <formula>LEN(TRIM(DG6))=0</formula>
    </cfRule>
  </conditionalFormatting>
  <conditionalFormatting sqref="DJ6">
    <cfRule type="containsBlanks" dxfId="559" priority="150">
      <formula>LEN(TRIM(DJ6))=0</formula>
    </cfRule>
  </conditionalFormatting>
  <conditionalFormatting sqref="DI6 DG6">
    <cfRule type="containsBlanks" dxfId="558" priority="149">
      <formula>LEN(TRIM(DG6))=0</formula>
    </cfRule>
  </conditionalFormatting>
  <conditionalFormatting sqref="DG6:DJ6">
    <cfRule type="containsBlanks" dxfId="557" priority="148">
      <formula>LEN(TRIM(DG6))=0</formula>
    </cfRule>
  </conditionalFormatting>
  <conditionalFormatting sqref="DJ6">
    <cfRule type="containsBlanks" dxfId="556" priority="147">
      <formula>LEN(TRIM(DJ6))=0</formula>
    </cfRule>
  </conditionalFormatting>
  <conditionalFormatting sqref="DI6">
    <cfRule type="containsBlanks" dxfId="555" priority="146">
      <formula>LEN(TRIM(DI6))=0</formula>
    </cfRule>
  </conditionalFormatting>
  <conditionalFormatting sqref="DG6:DJ6">
    <cfRule type="containsBlanks" dxfId="554" priority="145">
      <formula>LEN(TRIM(DG6))=0</formula>
    </cfRule>
  </conditionalFormatting>
  <conditionalFormatting sqref="DI6">
    <cfRule type="iconSet" priority="152">
      <iconSet iconSet="3Arrows">
        <cfvo type="percent" val="0"/>
        <cfvo type="num" val="60"/>
        <cfvo type="num" val="95"/>
      </iconSet>
    </cfRule>
  </conditionalFormatting>
  <conditionalFormatting sqref="DE6:DF6">
    <cfRule type="containsBlanks" dxfId="553" priority="144">
      <formula>LEN(TRIM(DE6))=0</formula>
    </cfRule>
  </conditionalFormatting>
  <conditionalFormatting sqref="DK6:DO6">
    <cfRule type="containsBlanks" dxfId="552" priority="143">
      <formula>LEN(TRIM(DK6))=0</formula>
    </cfRule>
  </conditionalFormatting>
  <conditionalFormatting sqref="DT6:EB6">
    <cfRule type="containsBlanks" dxfId="551" priority="142">
      <formula>LEN(TRIM(DT6))=0</formula>
    </cfRule>
  </conditionalFormatting>
  <conditionalFormatting sqref="EG6:EH6">
    <cfRule type="containsBlanks" dxfId="550" priority="141">
      <formula>LEN(TRIM(EG6))=0</formula>
    </cfRule>
  </conditionalFormatting>
  <conditionalFormatting sqref="EI6:EK6">
    <cfRule type="containsBlanks" dxfId="549" priority="139">
      <formula>LEN(TRIM(EI6))=0</formula>
    </cfRule>
  </conditionalFormatting>
  <conditionalFormatting sqref="EL6">
    <cfRule type="containsBlanks" dxfId="548" priority="138">
      <formula>LEN(TRIM(EL6))=0</formula>
    </cfRule>
  </conditionalFormatting>
  <conditionalFormatting sqref="EI6:EK6">
    <cfRule type="containsBlanks" dxfId="547" priority="137">
      <formula>LEN(TRIM(EI6))=0</formula>
    </cfRule>
  </conditionalFormatting>
  <conditionalFormatting sqref="EI6:EL6">
    <cfRule type="containsBlanks" dxfId="546" priority="136">
      <formula>LEN(TRIM(EI6))=0</formula>
    </cfRule>
  </conditionalFormatting>
  <conditionalFormatting sqref="EL6">
    <cfRule type="containsBlanks" dxfId="545" priority="135">
      <formula>LEN(TRIM(EL6))=0</formula>
    </cfRule>
  </conditionalFormatting>
  <conditionalFormatting sqref="EI6:EL6">
    <cfRule type="containsBlanks" dxfId="544" priority="134">
      <formula>LEN(TRIM(EI6))=0</formula>
    </cfRule>
  </conditionalFormatting>
  <conditionalFormatting sqref="EK6">
    <cfRule type="iconSet" priority="140">
      <iconSet iconSet="3Arrows">
        <cfvo type="percent" val="0"/>
        <cfvo type="num" val="60"/>
        <cfvo type="num" val="95"/>
      </iconSet>
    </cfRule>
  </conditionalFormatting>
  <conditionalFormatting sqref="EP6:ER6">
    <cfRule type="containsBlanks" dxfId="543" priority="132">
      <formula>LEN(TRIM(EP6))=0</formula>
    </cfRule>
  </conditionalFormatting>
  <conditionalFormatting sqref="ES6">
    <cfRule type="containsBlanks" dxfId="542" priority="131">
      <formula>LEN(TRIM(ES6))=0</formula>
    </cfRule>
  </conditionalFormatting>
  <conditionalFormatting sqref="EP6:ER6">
    <cfRule type="containsBlanks" dxfId="541" priority="130">
      <formula>LEN(TRIM(EP6))=0</formula>
    </cfRule>
  </conditionalFormatting>
  <conditionalFormatting sqref="EP6:ES6">
    <cfRule type="containsBlanks" dxfId="540" priority="129">
      <formula>LEN(TRIM(EP6))=0</formula>
    </cfRule>
  </conditionalFormatting>
  <conditionalFormatting sqref="ES6">
    <cfRule type="containsBlanks" dxfId="539" priority="128">
      <formula>LEN(TRIM(ES6))=0</formula>
    </cfRule>
  </conditionalFormatting>
  <conditionalFormatting sqref="EP6:ES6">
    <cfRule type="containsBlanks" dxfId="538" priority="127">
      <formula>LEN(TRIM(EP6))=0</formula>
    </cfRule>
  </conditionalFormatting>
  <conditionalFormatting sqref="ER6">
    <cfRule type="iconSet" priority="133">
      <iconSet iconSet="3Arrows">
        <cfvo type="percent" val="0"/>
        <cfvo type="num" val="60"/>
        <cfvo type="num" val="95"/>
      </iconSet>
    </cfRule>
  </conditionalFormatting>
  <conditionalFormatting sqref="EM6:EO6">
    <cfRule type="containsBlanks" dxfId="537" priority="126">
      <formula>LEN(TRIM(EM6))=0</formula>
    </cfRule>
  </conditionalFormatting>
  <conditionalFormatting sqref="EV6:EX6">
    <cfRule type="containsBlanks" dxfId="536" priority="124">
      <formula>LEN(TRIM(EV6))=0</formula>
    </cfRule>
  </conditionalFormatting>
  <conditionalFormatting sqref="EY6">
    <cfRule type="containsBlanks" dxfId="535" priority="123">
      <formula>LEN(TRIM(EY6))=0</formula>
    </cfRule>
  </conditionalFormatting>
  <conditionalFormatting sqref="EV6:EX6">
    <cfRule type="containsBlanks" dxfId="534" priority="122">
      <formula>LEN(TRIM(EV6))=0</formula>
    </cfRule>
  </conditionalFormatting>
  <conditionalFormatting sqref="EV6:EY6">
    <cfRule type="containsBlanks" dxfId="533" priority="121">
      <formula>LEN(TRIM(EV6))=0</formula>
    </cfRule>
  </conditionalFormatting>
  <conditionalFormatting sqref="EY6">
    <cfRule type="containsBlanks" dxfId="532" priority="120">
      <formula>LEN(TRIM(EY6))=0</formula>
    </cfRule>
  </conditionalFormatting>
  <conditionalFormatting sqref="EV6:EY6">
    <cfRule type="containsBlanks" dxfId="531" priority="119">
      <formula>LEN(TRIM(EV6))=0</formula>
    </cfRule>
  </conditionalFormatting>
  <conditionalFormatting sqref="EX6">
    <cfRule type="iconSet" priority="125">
      <iconSet iconSet="3Arrows">
        <cfvo type="percent" val="0"/>
        <cfvo type="num" val="60"/>
        <cfvo type="num" val="95"/>
      </iconSet>
    </cfRule>
  </conditionalFormatting>
  <conditionalFormatting sqref="ET6:EU6">
    <cfRule type="containsBlanks" dxfId="530" priority="118">
      <formula>LEN(TRIM(ET6))=0</formula>
    </cfRule>
  </conditionalFormatting>
  <conditionalFormatting sqref="EZ6:FC6">
    <cfRule type="containsBlanks" dxfId="529" priority="117">
      <formula>LEN(TRIM(EZ6))=0</formula>
    </cfRule>
  </conditionalFormatting>
  <conditionalFormatting sqref="FH6:FJ6">
    <cfRule type="containsBlanks" dxfId="528" priority="116">
      <formula>LEN(TRIM(FH6))=0</formula>
    </cfRule>
  </conditionalFormatting>
  <conditionalFormatting sqref="FO6:FQ6">
    <cfRule type="containsBlanks" dxfId="527" priority="115">
      <formula>LEN(TRIM(FO6))=0</formula>
    </cfRule>
  </conditionalFormatting>
  <conditionalFormatting sqref="FV6">
    <cfRule type="containsBlanks" dxfId="526" priority="114">
      <formula>LEN(TRIM(FV6))=0</formula>
    </cfRule>
  </conditionalFormatting>
  <conditionalFormatting sqref="GA6:GB6">
    <cfRule type="containsBlanks" dxfId="525" priority="113">
      <formula>LEN(TRIM(GA6))=0</formula>
    </cfRule>
  </conditionalFormatting>
  <conditionalFormatting sqref="GG6:GM6">
    <cfRule type="containsBlanks" dxfId="524" priority="111">
      <formula>LEN(TRIM(GG6))=0</formula>
    </cfRule>
  </conditionalFormatting>
  <conditionalFormatting sqref="GR6:GW6">
    <cfRule type="containsBlanks" dxfId="523" priority="110">
      <formula>LEN(TRIM(GR6))=0</formula>
    </cfRule>
  </conditionalFormatting>
  <conditionalFormatting sqref="HB6:HF6">
    <cfRule type="containsBlanks" dxfId="522" priority="109">
      <formula>LEN(TRIM(HB6))=0</formula>
    </cfRule>
  </conditionalFormatting>
  <conditionalFormatting sqref="HK6:HS6">
    <cfRule type="containsBlanks" dxfId="521" priority="107">
      <formula>LEN(TRIM(HK6))=0</formula>
    </cfRule>
  </conditionalFormatting>
  <conditionalFormatting sqref="HX6:MI6">
    <cfRule type="containsBlanks" dxfId="520" priority="106">
      <formula>LEN(TRIM(HX6))=0</formula>
    </cfRule>
  </conditionalFormatting>
  <conditionalFormatting sqref="MR6">
    <cfRule type="containsBlanks" dxfId="519" priority="101">
      <formula>LEN(TRIM(MR6))=0</formula>
    </cfRule>
  </conditionalFormatting>
  <conditionalFormatting sqref="MR6">
    <cfRule type="containsText" dxfId="518" priority="102" operator="containsText" text="Cumple Parcialmente">
      <formula>NOT(ISERROR(SEARCH("Cumple Parcialmente",MR6)))</formula>
    </cfRule>
    <cfRule type="containsText" dxfId="517" priority="103" operator="containsText" text="No Cumple">
      <formula>NOT(ISERROR(SEARCH("No Cumple",MR6)))</formula>
    </cfRule>
    <cfRule type="containsText" dxfId="516" priority="104" operator="containsText" text="Cumple">
      <formula>NOT(ISERROR(SEARCH("Cumple",MR6)))</formula>
    </cfRule>
  </conditionalFormatting>
  <conditionalFormatting sqref="MR6">
    <cfRule type="containsBlanks" dxfId="515" priority="97">
      <formula>LEN(TRIM(MR6))=0</formula>
    </cfRule>
  </conditionalFormatting>
  <conditionalFormatting sqref="MR6">
    <cfRule type="containsText" dxfId="514" priority="98" operator="containsText" text="Cumple Parcialmente">
      <formula>NOT(ISERROR(SEARCH("Cumple Parcialmente",MR6)))</formula>
    </cfRule>
    <cfRule type="containsText" dxfId="513" priority="99" operator="containsText" text="No Cumple">
      <formula>NOT(ISERROR(SEARCH("No Cumple",MR6)))</formula>
    </cfRule>
    <cfRule type="containsText" dxfId="512" priority="100" operator="containsText" text="Cumple">
      <formula>NOT(ISERROR(SEARCH("Cumple",MR6)))</formula>
    </cfRule>
  </conditionalFormatting>
  <conditionalFormatting sqref="C6">
    <cfRule type="containsBlanks" dxfId="511" priority="93">
      <formula>LEN(TRIM(C6))=0</formula>
    </cfRule>
  </conditionalFormatting>
  <conditionalFormatting sqref="C6">
    <cfRule type="containsText" dxfId="510" priority="94" operator="containsText" text="Cumple Parcialmente">
      <formula>NOT(ISERROR(SEARCH("Cumple Parcialmente",C6)))</formula>
    </cfRule>
    <cfRule type="containsText" dxfId="509" priority="95" operator="containsText" text="No Cumple">
      <formula>NOT(ISERROR(SEARCH("No Cumple",C6)))</formula>
    </cfRule>
    <cfRule type="containsText" dxfId="508" priority="96" operator="containsText" text="Cumple">
      <formula>NOT(ISERROR(SEARCH("Cumple",C6)))</formula>
    </cfRule>
  </conditionalFormatting>
  <conditionalFormatting sqref="C6">
    <cfRule type="containsBlanks" dxfId="507" priority="89">
      <formula>LEN(TRIM(C6))=0</formula>
    </cfRule>
  </conditionalFormatting>
  <conditionalFormatting sqref="C6">
    <cfRule type="containsText" dxfId="506" priority="90" operator="containsText" text="Cumple Parcialmente">
      <formula>NOT(ISERROR(SEARCH("Cumple Parcialmente",C6)))</formula>
    </cfRule>
    <cfRule type="containsText" dxfId="505" priority="91" operator="containsText" text="No Cumple">
      <formula>NOT(ISERROR(SEARCH("No Cumple",C6)))</formula>
    </cfRule>
    <cfRule type="containsText" dxfId="504" priority="92" operator="containsText" text="Cumple">
      <formula>NOT(ISERROR(SEARCH("Cumple",C6)))</formula>
    </cfRule>
  </conditionalFormatting>
  <conditionalFormatting sqref="M6">
    <cfRule type="containsBlanks" dxfId="503" priority="85">
      <formula>LEN(TRIM(M6))=0</formula>
    </cfRule>
  </conditionalFormatting>
  <conditionalFormatting sqref="M6">
    <cfRule type="containsText" dxfId="502" priority="86" operator="containsText" text="Cumple Parcialmente">
      <formula>NOT(ISERROR(SEARCH("Cumple Parcialmente",M6)))</formula>
    </cfRule>
    <cfRule type="containsText" dxfId="501" priority="87" operator="containsText" text="No Cumple">
      <formula>NOT(ISERROR(SEARCH("No Cumple",M6)))</formula>
    </cfRule>
    <cfRule type="containsText" dxfId="500" priority="88" operator="containsText" text="Cumple">
      <formula>NOT(ISERROR(SEARCH("Cumple",M6)))</formula>
    </cfRule>
  </conditionalFormatting>
  <conditionalFormatting sqref="M6">
    <cfRule type="containsBlanks" dxfId="499" priority="81">
      <formula>LEN(TRIM(M6))=0</formula>
    </cfRule>
  </conditionalFormatting>
  <conditionalFormatting sqref="M6">
    <cfRule type="containsText" dxfId="498" priority="82" operator="containsText" text="Cumple Parcialmente">
      <formula>NOT(ISERROR(SEARCH("Cumple Parcialmente",M6)))</formula>
    </cfRule>
    <cfRule type="containsText" dxfId="497" priority="83" operator="containsText" text="No Cumple">
      <formula>NOT(ISERROR(SEARCH("No Cumple",M6)))</formula>
    </cfRule>
    <cfRule type="containsText" dxfId="496" priority="84" operator="containsText" text="Cumple">
      <formula>NOT(ISERROR(SEARCH("Cumple",M6)))</formula>
    </cfRule>
  </conditionalFormatting>
  <conditionalFormatting sqref="U6">
    <cfRule type="containsBlanks" dxfId="495" priority="77">
      <formula>LEN(TRIM(U6))=0</formula>
    </cfRule>
  </conditionalFormatting>
  <conditionalFormatting sqref="U6">
    <cfRule type="containsText" dxfId="494" priority="78" operator="containsText" text="Cumple Parcialmente">
      <formula>NOT(ISERROR(SEARCH("Cumple Parcialmente",U6)))</formula>
    </cfRule>
    <cfRule type="containsText" dxfId="493" priority="79" operator="containsText" text="No Cumple">
      <formula>NOT(ISERROR(SEARCH("No Cumple",U6)))</formula>
    </cfRule>
    <cfRule type="containsText" dxfId="492" priority="80" operator="containsText" text="Cumple">
      <formula>NOT(ISERROR(SEARCH("Cumple",U6)))</formula>
    </cfRule>
  </conditionalFormatting>
  <conditionalFormatting sqref="U6">
    <cfRule type="containsBlanks" dxfId="491" priority="73">
      <formula>LEN(TRIM(U6))=0</formula>
    </cfRule>
  </conditionalFormatting>
  <conditionalFormatting sqref="U6">
    <cfRule type="containsText" dxfId="490" priority="74" operator="containsText" text="Cumple Parcialmente">
      <formula>NOT(ISERROR(SEARCH("Cumple Parcialmente",U6)))</formula>
    </cfRule>
    <cfRule type="containsText" dxfId="489" priority="75" operator="containsText" text="No Cumple">
      <formula>NOT(ISERROR(SEARCH("No Cumple",U6)))</formula>
    </cfRule>
    <cfRule type="containsText" dxfId="488" priority="76" operator="containsText" text="Cumple">
      <formula>NOT(ISERROR(SEARCH("Cumple",U6)))</formula>
    </cfRule>
  </conditionalFormatting>
  <conditionalFormatting sqref="AC6">
    <cfRule type="containsBlanks" dxfId="487" priority="69">
      <formula>LEN(TRIM(AC6))=0</formula>
    </cfRule>
  </conditionalFormatting>
  <conditionalFormatting sqref="AC6">
    <cfRule type="containsText" dxfId="486" priority="70" operator="containsText" text="Cumple Parcialmente">
      <formula>NOT(ISERROR(SEARCH("Cumple Parcialmente",AC6)))</formula>
    </cfRule>
    <cfRule type="containsText" dxfId="485" priority="71" operator="containsText" text="No Cumple">
      <formula>NOT(ISERROR(SEARCH("No Cumple",AC6)))</formula>
    </cfRule>
    <cfRule type="containsText" dxfId="484" priority="72" operator="containsText" text="Cumple">
      <formula>NOT(ISERROR(SEARCH("Cumple",AC6)))</formula>
    </cfRule>
  </conditionalFormatting>
  <conditionalFormatting sqref="AC6">
    <cfRule type="containsBlanks" dxfId="483" priority="65">
      <formula>LEN(TRIM(AC6))=0</formula>
    </cfRule>
  </conditionalFormatting>
  <conditionalFormatting sqref="AC6">
    <cfRule type="containsText" dxfId="482" priority="66" operator="containsText" text="Cumple Parcialmente">
      <formula>NOT(ISERROR(SEARCH("Cumple Parcialmente",AC6)))</formula>
    </cfRule>
    <cfRule type="containsText" dxfId="481" priority="67" operator="containsText" text="No Cumple">
      <formula>NOT(ISERROR(SEARCH("No Cumple",AC6)))</formula>
    </cfRule>
    <cfRule type="containsText" dxfId="480" priority="68" operator="containsText" text="Cumple">
      <formula>NOT(ISERROR(SEARCH("Cumple",AC6)))</formula>
    </cfRule>
  </conditionalFormatting>
  <conditionalFormatting sqref="AK6">
    <cfRule type="containsBlanks" dxfId="479" priority="61">
      <formula>LEN(TRIM(AK6))=0</formula>
    </cfRule>
  </conditionalFormatting>
  <conditionalFormatting sqref="AK6">
    <cfRule type="containsText" dxfId="478" priority="62" operator="containsText" text="Cumple Parcialmente">
      <formula>NOT(ISERROR(SEARCH("Cumple Parcialmente",AK6)))</formula>
    </cfRule>
    <cfRule type="containsText" dxfId="477" priority="63" operator="containsText" text="No Cumple">
      <formula>NOT(ISERROR(SEARCH("No Cumple",AK6)))</formula>
    </cfRule>
    <cfRule type="containsText" dxfId="476" priority="64" operator="containsText" text="Cumple">
      <formula>NOT(ISERROR(SEARCH("Cumple",AK6)))</formula>
    </cfRule>
  </conditionalFormatting>
  <conditionalFormatting sqref="AK6">
    <cfRule type="containsBlanks" dxfId="475" priority="57">
      <formula>LEN(TRIM(AK6))=0</formula>
    </cfRule>
  </conditionalFormatting>
  <conditionalFormatting sqref="AK6">
    <cfRule type="containsText" dxfId="474" priority="58" operator="containsText" text="Cumple Parcialmente">
      <formula>NOT(ISERROR(SEARCH("Cumple Parcialmente",AK6)))</formula>
    </cfRule>
    <cfRule type="containsText" dxfId="473" priority="59" operator="containsText" text="No Cumple">
      <formula>NOT(ISERROR(SEARCH("No Cumple",AK6)))</formula>
    </cfRule>
    <cfRule type="containsText" dxfId="472" priority="60" operator="containsText" text="Cumple">
      <formula>NOT(ISERROR(SEARCH("Cumple",AK6)))</formula>
    </cfRule>
  </conditionalFormatting>
  <conditionalFormatting sqref="AS6">
    <cfRule type="containsBlanks" dxfId="471" priority="53">
      <formula>LEN(TRIM(AS6))=0</formula>
    </cfRule>
  </conditionalFormatting>
  <conditionalFormatting sqref="AS6">
    <cfRule type="containsText" dxfId="470" priority="54" operator="containsText" text="Cumple Parcialmente">
      <formula>NOT(ISERROR(SEARCH("Cumple Parcialmente",AS6)))</formula>
    </cfRule>
    <cfRule type="containsText" dxfId="469" priority="55" operator="containsText" text="No Cumple">
      <formula>NOT(ISERROR(SEARCH("No Cumple",AS6)))</formula>
    </cfRule>
    <cfRule type="containsText" dxfId="468" priority="56" operator="containsText" text="Cumple">
      <formula>NOT(ISERROR(SEARCH("Cumple",AS6)))</formula>
    </cfRule>
  </conditionalFormatting>
  <conditionalFormatting sqref="AS6">
    <cfRule type="containsBlanks" dxfId="467" priority="49">
      <formula>LEN(TRIM(AS6))=0</formula>
    </cfRule>
  </conditionalFormatting>
  <conditionalFormatting sqref="AS6">
    <cfRule type="containsText" dxfId="466" priority="50" operator="containsText" text="Cumple Parcialmente">
      <formula>NOT(ISERROR(SEARCH("Cumple Parcialmente",AS6)))</formula>
    </cfRule>
    <cfRule type="containsText" dxfId="465" priority="51" operator="containsText" text="No Cumple">
      <formula>NOT(ISERROR(SEARCH("No Cumple",AS6)))</formula>
    </cfRule>
    <cfRule type="containsText" dxfId="464" priority="52" operator="containsText" text="Cumple">
      <formula>NOT(ISERROR(SEARCH("Cumple",AS6)))</formula>
    </cfRule>
  </conditionalFormatting>
  <conditionalFormatting sqref="BA6">
    <cfRule type="containsBlanks" dxfId="463" priority="45">
      <formula>LEN(TRIM(BA6))=0</formula>
    </cfRule>
  </conditionalFormatting>
  <conditionalFormatting sqref="BA6">
    <cfRule type="containsText" dxfId="462" priority="46" operator="containsText" text="Cumple Parcialmente">
      <formula>NOT(ISERROR(SEARCH("Cumple Parcialmente",BA6)))</formula>
    </cfRule>
    <cfRule type="containsText" dxfId="461" priority="47" operator="containsText" text="No Cumple">
      <formula>NOT(ISERROR(SEARCH("No Cumple",BA6)))</formula>
    </cfRule>
    <cfRule type="containsText" dxfId="460" priority="48" operator="containsText" text="Cumple">
      <formula>NOT(ISERROR(SEARCH("Cumple",BA6)))</formula>
    </cfRule>
  </conditionalFormatting>
  <conditionalFormatting sqref="BA6">
    <cfRule type="containsBlanks" dxfId="459" priority="41">
      <formula>LEN(TRIM(BA6))=0</formula>
    </cfRule>
  </conditionalFormatting>
  <conditionalFormatting sqref="BA6">
    <cfRule type="containsText" dxfId="458" priority="42" operator="containsText" text="Cumple Parcialmente">
      <formula>NOT(ISERROR(SEARCH("Cumple Parcialmente",BA6)))</formula>
    </cfRule>
    <cfRule type="containsText" dxfId="457" priority="43" operator="containsText" text="No Cumple">
      <formula>NOT(ISERROR(SEARCH("No Cumple",BA6)))</formula>
    </cfRule>
    <cfRule type="containsText" dxfId="456" priority="44" operator="containsText" text="Cumple">
      <formula>NOT(ISERROR(SEARCH("Cumple",BA6)))</formula>
    </cfRule>
  </conditionalFormatting>
  <conditionalFormatting sqref="BI6">
    <cfRule type="containsBlanks" dxfId="455" priority="37">
      <formula>LEN(TRIM(BI6))=0</formula>
    </cfRule>
  </conditionalFormatting>
  <conditionalFormatting sqref="BI6">
    <cfRule type="containsText" dxfId="454" priority="38" operator="containsText" text="Cumple Parcialmente">
      <formula>NOT(ISERROR(SEARCH("Cumple Parcialmente",BI6)))</formula>
    </cfRule>
    <cfRule type="containsText" dxfId="453" priority="39" operator="containsText" text="No Cumple">
      <formula>NOT(ISERROR(SEARCH("No Cumple",BI6)))</formula>
    </cfRule>
    <cfRule type="containsText" dxfId="452" priority="40" operator="containsText" text="Cumple">
      <formula>NOT(ISERROR(SEARCH("Cumple",BI6)))</formula>
    </cfRule>
  </conditionalFormatting>
  <conditionalFormatting sqref="BI6">
    <cfRule type="containsBlanks" dxfId="451" priority="33">
      <formula>LEN(TRIM(BI6))=0</formula>
    </cfRule>
  </conditionalFormatting>
  <conditionalFormatting sqref="BI6">
    <cfRule type="containsText" dxfId="450" priority="34" operator="containsText" text="Cumple Parcialmente">
      <formula>NOT(ISERROR(SEARCH("Cumple Parcialmente",BI6)))</formula>
    </cfRule>
    <cfRule type="containsText" dxfId="449" priority="35" operator="containsText" text="No Cumple">
      <formula>NOT(ISERROR(SEARCH("No Cumple",BI6)))</formula>
    </cfRule>
    <cfRule type="containsText" dxfId="448" priority="36" operator="containsText" text="Cumple">
      <formula>NOT(ISERROR(SEARCH("Cumple",BI6)))</formula>
    </cfRule>
  </conditionalFormatting>
  <conditionalFormatting sqref="BQ6">
    <cfRule type="containsBlanks" dxfId="447" priority="29">
      <formula>LEN(TRIM(BQ6))=0</formula>
    </cfRule>
  </conditionalFormatting>
  <conditionalFormatting sqref="BQ6">
    <cfRule type="containsText" dxfId="446" priority="30" operator="containsText" text="Cumple Parcialmente">
      <formula>NOT(ISERROR(SEARCH("Cumple Parcialmente",BQ6)))</formula>
    </cfRule>
    <cfRule type="containsText" dxfId="445" priority="31" operator="containsText" text="No Cumple">
      <formula>NOT(ISERROR(SEARCH("No Cumple",BQ6)))</formula>
    </cfRule>
    <cfRule type="containsText" dxfId="444" priority="32" operator="containsText" text="Cumple">
      <formula>NOT(ISERROR(SEARCH("Cumple",BQ6)))</formula>
    </cfRule>
  </conditionalFormatting>
  <conditionalFormatting sqref="BQ6">
    <cfRule type="containsBlanks" dxfId="443" priority="25">
      <formula>LEN(TRIM(BQ6))=0</formula>
    </cfRule>
  </conditionalFormatting>
  <conditionalFormatting sqref="BQ6">
    <cfRule type="containsText" dxfId="442" priority="26" operator="containsText" text="Cumple Parcialmente">
      <formula>NOT(ISERROR(SEARCH("Cumple Parcialmente",BQ6)))</formula>
    </cfRule>
    <cfRule type="containsText" dxfId="441" priority="27" operator="containsText" text="No Cumple">
      <formula>NOT(ISERROR(SEARCH("No Cumple",BQ6)))</formula>
    </cfRule>
    <cfRule type="containsText" dxfId="440" priority="28" operator="containsText" text="Cumple">
      <formula>NOT(ISERROR(SEARCH("Cumple",BQ6)))</formula>
    </cfRule>
  </conditionalFormatting>
  <conditionalFormatting sqref="BY6">
    <cfRule type="containsBlanks" dxfId="439" priority="21">
      <formula>LEN(TRIM(BY6))=0</formula>
    </cfRule>
  </conditionalFormatting>
  <conditionalFormatting sqref="BY6">
    <cfRule type="containsText" dxfId="438" priority="22" operator="containsText" text="Cumple Parcialmente">
      <formula>NOT(ISERROR(SEARCH("Cumple Parcialmente",BY6)))</formula>
    </cfRule>
    <cfRule type="containsText" dxfId="437" priority="23" operator="containsText" text="No Cumple">
      <formula>NOT(ISERROR(SEARCH("No Cumple",BY6)))</formula>
    </cfRule>
    <cfRule type="containsText" dxfId="436" priority="24" operator="containsText" text="Cumple">
      <formula>NOT(ISERROR(SEARCH("Cumple",BY6)))</formula>
    </cfRule>
  </conditionalFormatting>
  <conditionalFormatting sqref="BY6">
    <cfRule type="containsBlanks" dxfId="435" priority="17">
      <formula>LEN(TRIM(BY6))=0</formula>
    </cfRule>
  </conditionalFormatting>
  <conditionalFormatting sqref="BY6">
    <cfRule type="containsText" dxfId="434" priority="18" operator="containsText" text="Cumple Parcialmente">
      <formula>NOT(ISERROR(SEARCH("Cumple Parcialmente",BY6)))</formula>
    </cfRule>
    <cfRule type="containsText" dxfId="433" priority="19" operator="containsText" text="No Cumple">
      <formula>NOT(ISERROR(SEARCH("No Cumple",BY6)))</formula>
    </cfRule>
    <cfRule type="containsText" dxfId="432" priority="20" operator="containsText" text="Cumple">
      <formula>NOT(ISERROR(SEARCH("Cumple",BY6)))</formula>
    </cfRule>
  </conditionalFormatting>
  <conditionalFormatting sqref="CG6">
    <cfRule type="containsBlanks" dxfId="431" priority="13">
      <formula>LEN(TRIM(CG6))=0</formula>
    </cfRule>
  </conditionalFormatting>
  <conditionalFormatting sqref="CG6">
    <cfRule type="containsText" dxfId="430" priority="14" operator="containsText" text="Cumple Parcialmente">
      <formula>NOT(ISERROR(SEARCH("Cumple Parcialmente",CG6)))</formula>
    </cfRule>
    <cfRule type="containsText" dxfId="429" priority="15" operator="containsText" text="No Cumple">
      <formula>NOT(ISERROR(SEARCH("No Cumple",CG6)))</formula>
    </cfRule>
    <cfRule type="containsText" dxfId="428" priority="16" operator="containsText" text="Cumple">
      <formula>NOT(ISERROR(SEARCH("Cumple",CG6)))</formula>
    </cfRule>
  </conditionalFormatting>
  <conditionalFormatting sqref="CG6">
    <cfRule type="containsBlanks" dxfId="427" priority="9">
      <formula>LEN(TRIM(CG6))=0</formula>
    </cfRule>
  </conditionalFormatting>
  <conditionalFormatting sqref="CG6">
    <cfRule type="containsText" dxfId="426" priority="10" operator="containsText" text="Cumple Parcialmente">
      <formula>NOT(ISERROR(SEARCH("Cumple Parcialmente",CG6)))</formula>
    </cfRule>
    <cfRule type="containsText" dxfId="425" priority="11" operator="containsText" text="No Cumple">
      <formula>NOT(ISERROR(SEARCH("No Cumple",CG6)))</formula>
    </cfRule>
    <cfRule type="containsText" dxfId="424" priority="12" operator="containsText" text="Cumple">
      <formula>NOT(ISERROR(SEARCH("Cumple",CG6)))</formula>
    </cfRule>
  </conditionalFormatting>
  <conditionalFormatting sqref="CO6">
    <cfRule type="containsBlanks" dxfId="423" priority="5">
      <formula>LEN(TRIM(CO6))=0</formula>
    </cfRule>
  </conditionalFormatting>
  <conditionalFormatting sqref="CO6">
    <cfRule type="containsText" dxfId="422" priority="6" operator="containsText" text="Cumple Parcialmente">
      <formula>NOT(ISERROR(SEARCH("Cumple Parcialmente",CO6)))</formula>
    </cfRule>
    <cfRule type="containsText" dxfId="421" priority="7" operator="containsText" text="No Cumple">
      <formula>NOT(ISERROR(SEARCH("No Cumple",CO6)))</formula>
    </cfRule>
    <cfRule type="containsText" dxfId="420" priority="8" operator="containsText" text="Cumple">
      <formula>NOT(ISERROR(SEARCH("Cumple",CO6)))</formula>
    </cfRule>
  </conditionalFormatting>
  <conditionalFormatting sqref="CO6">
    <cfRule type="containsBlanks" dxfId="419" priority="1">
      <formula>LEN(TRIM(CO6))=0</formula>
    </cfRule>
  </conditionalFormatting>
  <conditionalFormatting sqref="CO6">
    <cfRule type="containsText" dxfId="418" priority="2" operator="containsText" text="Cumple Parcialmente">
      <formula>NOT(ISERROR(SEARCH("Cumple Parcialmente",CO6)))</formula>
    </cfRule>
    <cfRule type="containsText" dxfId="417" priority="3" operator="containsText" text="No Cumple">
      <formula>NOT(ISERROR(SEARCH("No Cumple",CO6)))</formula>
    </cfRule>
    <cfRule type="containsText" dxfId="416" priority="4" operator="containsText" text="Cumple">
      <formula>NOT(ISERROR(SEARCH("Cumple",CO6)))</formula>
    </cfRule>
  </conditionalFormatting>
  <dataValidations count="1">
    <dataValidation type="time" allowBlank="1" showInputMessage="1" showErrorMessage="1" error="El formato de la hora es MILITAR de 01:00 a 23:59" sqref="D6:E6" xr:uid="{00000000-0002-0000-0000-000008000000}">
      <formula1>0.0416666666666667</formula1>
      <formula2>0.999988425925926</formula2>
    </dataValidation>
  </dataValidations>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A44F4-135E-4A59-911A-AFD1CAABF5AA}">
  <dimension ref="A1:E215"/>
  <sheetViews>
    <sheetView topLeftCell="A88" zoomScale="110" zoomScaleNormal="110" workbookViewId="0">
      <selection activeCell="A98" sqref="A98:A99"/>
    </sheetView>
  </sheetViews>
  <sheetFormatPr baseColWidth="10" defaultRowHeight="14.4"/>
  <cols>
    <col min="1" max="1" width="11.5546875" style="2"/>
    <col min="2" max="2" width="141.21875" customWidth="1"/>
  </cols>
  <sheetData>
    <row r="1" spans="1:3" ht="15" customHeight="1">
      <c r="A1" s="528"/>
      <c r="B1" s="529"/>
      <c r="C1" s="418"/>
    </row>
    <row r="2" spans="1:3" ht="15" customHeight="1" thickBot="1">
      <c r="A2" s="530" t="s">
        <v>3626</v>
      </c>
      <c r="B2" s="531"/>
      <c r="C2" s="419" t="s">
        <v>2876</v>
      </c>
    </row>
    <row r="3" spans="1:3" ht="15" customHeight="1" thickBot="1">
      <c r="A3" s="522" t="s">
        <v>3836</v>
      </c>
      <c r="B3" s="523"/>
      <c r="C3" s="524"/>
    </row>
    <row r="4" spans="1:3" ht="15" customHeight="1" thickBot="1">
      <c r="A4" s="446"/>
      <c r="B4" s="427" t="s">
        <v>3627</v>
      </c>
      <c r="C4" s="430"/>
    </row>
    <row r="5" spans="1:3" ht="15" customHeight="1">
      <c r="A5" s="447"/>
      <c r="B5" s="427" t="s">
        <v>3628</v>
      </c>
      <c r="C5" s="430"/>
    </row>
    <row r="6" spans="1:3" ht="15" customHeight="1" thickBot="1">
      <c r="A6" s="448">
        <v>3</v>
      </c>
      <c r="B6" s="429" t="s">
        <v>3629</v>
      </c>
      <c r="C6" s="431"/>
    </row>
    <row r="7" spans="1:3" ht="15" customHeight="1" thickBot="1">
      <c r="A7" s="449"/>
      <c r="B7" s="427" t="s">
        <v>3738</v>
      </c>
      <c r="C7" s="430"/>
    </row>
    <row r="8" spans="1:3" ht="15" customHeight="1" thickBot="1">
      <c r="A8" s="522" t="s">
        <v>3743</v>
      </c>
      <c r="B8" s="523"/>
      <c r="C8" s="524"/>
    </row>
    <row r="9" spans="1:3" ht="15" customHeight="1">
      <c r="A9" s="449"/>
      <c r="B9" s="427" t="s">
        <v>3630</v>
      </c>
      <c r="C9" s="430"/>
    </row>
    <row r="10" spans="1:3" ht="15" customHeight="1" thickBot="1">
      <c r="A10" s="448">
        <v>6</v>
      </c>
      <c r="B10" s="421" t="s">
        <v>3631</v>
      </c>
      <c r="C10" s="431"/>
    </row>
    <row r="11" spans="1:3" ht="15" customHeight="1" thickBot="1">
      <c r="A11" s="522" t="s">
        <v>3754</v>
      </c>
      <c r="B11" s="523"/>
      <c r="C11" s="524"/>
    </row>
    <row r="12" spans="1:3" ht="15" customHeight="1">
      <c r="A12" s="449"/>
      <c r="B12" s="427" t="s">
        <v>3632</v>
      </c>
      <c r="C12" s="430"/>
    </row>
    <row r="13" spans="1:3" ht="15" customHeight="1" thickBot="1">
      <c r="A13" s="448">
        <v>8</v>
      </c>
      <c r="B13" s="421" t="s">
        <v>3633</v>
      </c>
      <c r="C13" s="422"/>
    </row>
    <row r="14" spans="1:3" ht="15" customHeight="1" thickBot="1">
      <c r="A14" s="448">
        <v>9</v>
      </c>
      <c r="B14" s="421" t="s">
        <v>3634</v>
      </c>
      <c r="C14" s="431"/>
    </row>
    <row r="15" spans="1:3" ht="15" customHeight="1" thickBot="1">
      <c r="A15" s="448">
        <v>10</v>
      </c>
      <c r="B15" s="421" t="s">
        <v>3635</v>
      </c>
      <c r="C15" s="422"/>
    </row>
    <row r="16" spans="1:3" ht="15" customHeight="1" thickBot="1">
      <c r="A16" s="448">
        <v>11</v>
      </c>
      <c r="B16" s="421" t="s">
        <v>3636</v>
      </c>
      <c r="C16" s="431"/>
    </row>
    <row r="17" spans="1:3" ht="15" customHeight="1">
      <c r="A17" s="444"/>
    </row>
    <row r="18" spans="1:3" ht="15" customHeight="1">
      <c r="A18" s="525"/>
      <c r="B18" s="526"/>
      <c r="C18" s="527"/>
    </row>
    <row r="19" spans="1:3" ht="15" customHeight="1" thickBot="1">
      <c r="A19" s="519" t="s">
        <v>3837</v>
      </c>
      <c r="B19" s="520"/>
      <c r="C19" s="521"/>
    </row>
    <row r="20" spans="1:3" ht="15" customHeight="1" thickBot="1">
      <c r="A20" s="450"/>
      <c r="B20" s="438" t="s">
        <v>3637</v>
      </c>
      <c r="C20" s="428"/>
    </row>
    <row r="21" spans="1:3" ht="15" customHeight="1">
      <c r="A21" s="450"/>
      <c r="B21" s="438" t="s">
        <v>3638</v>
      </c>
      <c r="C21" s="428"/>
    </row>
    <row r="22" spans="1:3" ht="15" customHeight="1" thickBot="1">
      <c r="A22" s="451">
        <v>14</v>
      </c>
      <c r="B22" s="438" t="s">
        <v>3639</v>
      </c>
      <c r="C22" s="422"/>
    </row>
    <row r="23" spans="1:3" ht="15" customHeight="1" thickBot="1">
      <c r="A23" s="450"/>
      <c r="B23" s="438" t="s">
        <v>3640</v>
      </c>
      <c r="C23" s="428"/>
    </row>
    <row r="24" spans="1:3" ht="15" customHeight="1">
      <c r="A24" s="452"/>
      <c r="B24" s="438" t="s">
        <v>3763</v>
      </c>
      <c r="C24" s="428"/>
    </row>
    <row r="25" spans="1:3" ht="15" customHeight="1" thickBot="1">
      <c r="A25" s="451">
        <v>17</v>
      </c>
      <c r="B25" s="438" t="s">
        <v>3641</v>
      </c>
      <c r="C25" s="422"/>
    </row>
    <row r="26" spans="1:3" ht="15" customHeight="1" thickBot="1">
      <c r="A26" s="451">
        <v>18</v>
      </c>
      <c r="B26" s="438" t="s">
        <v>3642</v>
      </c>
      <c r="C26" s="422"/>
    </row>
    <row r="27" spans="1:3" ht="15" customHeight="1" thickBot="1">
      <c r="A27" s="450"/>
      <c r="B27" s="438" t="s">
        <v>3643</v>
      </c>
      <c r="C27" s="428"/>
    </row>
    <row r="28" spans="1:3" ht="15" customHeight="1" thickBot="1">
      <c r="A28" s="452"/>
      <c r="B28" s="438" t="s">
        <v>3644</v>
      </c>
      <c r="C28" s="428"/>
    </row>
    <row r="29" spans="1:3" ht="15" customHeight="1" thickBot="1">
      <c r="A29" s="522" t="s">
        <v>3777</v>
      </c>
      <c r="B29" s="533"/>
      <c r="C29" s="524"/>
    </row>
    <row r="30" spans="1:3" ht="15" customHeight="1" thickBot="1">
      <c r="A30" s="453"/>
      <c r="B30" s="427" t="s">
        <v>3645</v>
      </c>
      <c r="C30" s="430"/>
    </row>
    <row r="31" spans="1:3" ht="15" customHeight="1" thickBot="1">
      <c r="A31" s="454"/>
      <c r="B31" s="427" t="s">
        <v>3646</v>
      </c>
      <c r="C31" s="430"/>
    </row>
    <row r="32" spans="1:3" ht="15" customHeight="1" thickBot="1">
      <c r="A32" s="522" t="s">
        <v>3784</v>
      </c>
      <c r="B32" s="523"/>
      <c r="C32" s="524"/>
    </row>
    <row r="33" spans="1:3" ht="15" customHeight="1" thickBot="1">
      <c r="A33" s="448">
        <v>23</v>
      </c>
      <c r="B33" s="421" t="s">
        <v>3647</v>
      </c>
      <c r="C33" s="423"/>
    </row>
    <row r="34" spans="1:3" ht="15" customHeight="1" thickBot="1">
      <c r="A34" s="455"/>
      <c r="B34" s="427" t="s">
        <v>3648</v>
      </c>
      <c r="C34" s="430"/>
    </row>
    <row r="35" spans="1:3" ht="15" customHeight="1" thickBot="1">
      <c r="A35" s="449"/>
      <c r="B35" s="420" t="s">
        <v>3785</v>
      </c>
      <c r="C35" s="430"/>
    </row>
    <row r="36" spans="1:3" ht="15" customHeight="1" thickBot="1">
      <c r="A36" s="522" t="s">
        <v>3838</v>
      </c>
      <c r="B36" s="523"/>
      <c r="C36" s="524"/>
    </row>
    <row r="37" spans="1:3" ht="15" customHeight="1" thickBot="1">
      <c r="A37" s="448">
        <v>26</v>
      </c>
      <c r="B37" s="421" t="s">
        <v>3649</v>
      </c>
      <c r="C37" s="423"/>
    </row>
    <row r="38" spans="1:3" ht="15" customHeight="1" thickBot="1">
      <c r="A38" s="456">
        <v>27</v>
      </c>
      <c r="B38" s="420" t="s">
        <v>3794</v>
      </c>
      <c r="C38" s="430"/>
    </row>
    <row r="39" spans="1:3" ht="15" customHeight="1" thickBot="1">
      <c r="A39" s="522" t="s">
        <v>3801</v>
      </c>
      <c r="B39" s="532"/>
      <c r="C39" s="524"/>
    </row>
    <row r="40" spans="1:3" ht="15" customHeight="1">
      <c r="A40" s="457"/>
      <c r="B40" s="439" t="s">
        <v>3802</v>
      </c>
      <c r="C40" s="428"/>
    </row>
    <row r="41" spans="1:3" ht="15" customHeight="1" thickBot="1">
      <c r="A41" s="451">
        <v>29</v>
      </c>
      <c r="B41" s="439" t="s">
        <v>3650</v>
      </c>
      <c r="C41" s="422"/>
    </row>
    <row r="42" spans="1:3" ht="15" customHeight="1" thickBot="1">
      <c r="A42" s="448">
        <v>30</v>
      </c>
      <c r="B42" s="421" t="s">
        <v>3651</v>
      </c>
      <c r="C42" s="423"/>
    </row>
    <row r="43" spans="1:3" ht="15" customHeight="1" thickBot="1">
      <c r="A43" s="448">
        <v>31</v>
      </c>
      <c r="B43" s="421" t="s">
        <v>3652</v>
      </c>
      <c r="C43" s="423"/>
    </row>
    <row r="44" spans="1:3" ht="15" customHeight="1" thickBot="1">
      <c r="A44" s="522" t="s">
        <v>3811</v>
      </c>
      <c r="B44" s="523"/>
      <c r="C44" s="524"/>
    </row>
    <row r="45" spans="1:3" ht="15" customHeight="1" thickBot="1">
      <c r="A45" s="448">
        <v>32</v>
      </c>
      <c r="B45" s="421" t="s">
        <v>3653</v>
      </c>
      <c r="C45" s="431"/>
    </row>
    <row r="46" spans="1:3" ht="15" customHeight="1" thickBot="1">
      <c r="A46" s="448">
        <v>33</v>
      </c>
      <c r="B46" s="421" t="s">
        <v>3654</v>
      </c>
      <c r="C46" s="422"/>
    </row>
    <row r="47" spans="1:3" ht="15" customHeight="1" thickBot="1">
      <c r="A47" s="456">
        <v>34</v>
      </c>
      <c r="B47" s="420" t="s">
        <v>3812</v>
      </c>
      <c r="C47" s="430"/>
    </row>
    <row r="48" spans="1:3" ht="15" customHeight="1" thickBot="1">
      <c r="A48" s="522" t="s">
        <v>3820</v>
      </c>
      <c r="B48" s="523"/>
      <c r="C48" s="524"/>
    </row>
    <row r="49" spans="1:3" ht="15" customHeight="1" thickBot="1">
      <c r="A49" s="456">
        <v>35</v>
      </c>
      <c r="B49" s="420" t="s">
        <v>3821</v>
      </c>
      <c r="C49" s="430"/>
    </row>
    <row r="50" spans="1:3" ht="15" customHeight="1">
      <c r="A50" s="456">
        <v>36</v>
      </c>
      <c r="B50" s="420" t="s">
        <v>3822</v>
      </c>
      <c r="C50" s="430"/>
    </row>
    <row r="51" spans="1:3" ht="15" customHeight="1" thickBot="1">
      <c r="A51" s="448">
        <v>37</v>
      </c>
      <c r="B51" s="421" t="s">
        <v>3655</v>
      </c>
      <c r="C51" s="423"/>
    </row>
    <row r="52" spans="1:3" ht="15" customHeight="1" thickBot="1">
      <c r="A52" s="522" t="s">
        <v>3830</v>
      </c>
      <c r="B52" s="523"/>
      <c r="C52" s="524"/>
    </row>
    <row r="53" spans="1:3" ht="15" customHeight="1">
      <c r="A53" s="449"/>
      <c r="B53" s="534" t="s">
        <v>3656</v>
      </c>
      <c r="C53" s="536"/>
    </row>
    <row r="54" spans="1:3" ht="15" customHeight="1" thickBot="1">
      <c r="A54" s="448">
        <v>38</v>
      </c>
      <c r="B54" s="535"/>
      <c r="C54" s="537"/>
    </row>
    <row r="55" spans="1:3" ht="15" customHeight="1" thickBot="1">
      <c r="A55" s="522" t="s">
        <v>3840</v>
      </c>
      <c r="B55" s="523"/>
      <c r="C55" s="524"/>
    </row>
    <row r="56" spans="1:3" ht="15" customHeight="1">
      <c r="A56" s="456">
        <v>39</v>
      </c>
      <c r="B56" s="420" t="s">
        <v>3839</v>
      </c>
      <c r="C56" s="430"/>
    </row>
    <row r="57" spans="1:3" ht="15" customHeight="1" thickBot="1">
      <c r="A57" s="448">
        <v>40</v>
      </c>
      <c r="B57" s="421" t="s">
        <v>3657</v>
      </c>
      <c r="C57" s="423"/>
    </row>
    <row r="58" spans="1:3" ht="15" customHeight="1" thickBot="1">
      <c r="A58" s="522" t="s">
        <v>3847</v>
      </c>
      <c r="B58" s="523"/>
      <c r="C58" s="524"/>
    </row>
    <row r="59" spans="1:3" ht="15" customHeight="1" thickBot="1">
      <c r="A59" s="448">
        <v>41</v>
      </c>
      <c r="B59" s="421" t="s">
        <v>3658</v>
      </c>
      <c r="C59" s="422"/>
    </row>
    <row r="60" spans="1:3" ht="15" customHeight="1">
      <c r="A60" s="458"/>
      <c r="B60" s="420" t="s">
        <v>3848</v>
      </c>
      <c r="C60" s="536"/>
    </row>
    <row r="61" spans="1:3" ht="15" customHeight="1">
      <c r="A61" s="459">
        <v>42</v>
      </c>
      <c r="B61" s="420" t="s">
        <v>3659</v>
      </c>
      <c r="C61" s="538"/>
    </row>
    <row r="62" spans="1:3" ht="15" customHeight="1" thickBot="1">
      <c r="A62" s="448">
        <v>44</v>
      </c>
      <c r="B62" s="421" t="s">
        <v>3660</v>
      </c>
      <c r="C62" s="422"/>
    </row>
    <row r="63" spans="1:3" ht="15" customHeight="1">
      <c r="A63" s="460"/>
      <c r="B63" s="427" t="s">
        <v>3661</v>
      </c>
      <c r="C63" s="430"/>
    </row>
    <row r="64" spans="1:3" ht="15" customHeight="1" thickBot="1">
      <c r="A64" s="448">
        <v>46</v>
      </c>
      <c r="B64" s="421" t="s">
        <v>3662</v>
      </c>
      <c r="C64" s="422"/>
    </row>
    <row r="65" spans="1:3" ht="15" customHeight="1" thickBot="1">
      <c r="A65" s="460"/>
      <c r="B65" s="427" t="s">
        <v>3663</v>
      </c>
      <c r="C65" s="430"/>
    </row>
    <row r="66" spans="1:3" ht="15" customHeight="1" thickBot="1">
      <c r="A66" s="522" t="s">
        <v>3860</v>
      </c>
      <c r="B66" s="532"/>
      <c r="C66" s="524"/>
    </row>
    <row r="67" spans="1:3" ht="15" customHeight="1">
      <c r="A67" s="461">
        <v>48</v>
      </c>
      <c r="B67" s="439" t="s">
        <v>3861</v>
      </c>
      <c r="C67" s="428"/>
    </row>
    <row r="68" spans="1:3" ht="15" customHeight="1" thickBot="1">
      <c r="A68" s="451">
        <v>49</v>
      </c>
      <c r="B68" s="439" t="s">
        <v>3664</v>
      </c>
      <c r="C68" s="422"/>
    </row>
    <row r="69" spans="1:3" ht="15" customHeight="1" thickBot="1">
      <c r="A69" s="451">
        <v>50</v>
      </c>
      <c r="B69" s="439" t="s">
        <v>3665</v>
      </c>
      <c r="C69" s="423"/>
    </row>
    <row r="70" spans="1:3" ht="15" customHeight="1" thickBot="1">
      <c r="A70" s="462">
        <v>51</v>
      </c>
      <c r="B70" s="439" t="s">
        <v>3863</v>
      </c>
      <c r="C70" s="442"/>
    </row>
    <row r="71" spans="1:3" ht="15" customHeight="1" thickBot="1">
      <c r="A71" s="450"/>
      <c r="B71" s="439" t="s">
        <v>3862</v>
      </c>
      <c r="C71" s="428"/>
    </row>
    <row r="72" spans="1:3" ht="15" customHeight="1" thickBot="1">
      <c r="A72" s="457"/>
      <c r="B72" s="439" t="s">
        <v>3666</v>
      </c>
      <c r="C72" s="428"/>
    </row>
    <row r="73" spans="1:3" ht="15" customHeight="1" thickBot="1">
      <c r="A73" s="522" t="s">
        <v>3873</v>
      </c>
      <c r="B73" s="533"/>
      <c r="C73" s="524"/>
    </row>
    <row r="74" spans="1:3" ht="15" customHeight="1">
      <c r="A74" s="455"/>
      <c r="B74" s="534" t="s">
        <v>3667</v>
      </c>
      <c r="C74" s="536"/>
    </row>
    <row r="75" spans="1:3" ht="15" customHeight="1" thickBot="1">
      <c r="A75" s="448">
        <v>54</v>
      </c>
      <c r="B75" s="535"/>
      <c r="C75" s="537"/>
    </row>
    <row r="76" spans="1:3" ht="15" customHeight="1">
      <c r="A76" s="449"/>
      <c r="B76" s="534" t="s">
        <v>3668</v>
      </c>
      <c r="C76" s="536"/>
    </row>
    <row r="77" spans="1:3" ht="15" customHeight="1" thickBot="1">
      <c r="A77" s="448">
        <v>55</v>
      </c>
      <c r="B77" s="535"/>
      <c r="C77" s="537"/>
    </row>
    <row r="78" spans="1:3" ht="15" customHeight="1" thickBot="1">
      <c r="A78" s="448">
        <v>56</v>
      </c>
      <c r="B78" s="421" t="s">
        <v>3669</v>
      </c>
      <c r="C78" s="423"/>
    </row>
    <row r="79" spans="1:3" ht="15" customHeight="1">
      <c r="A79" s="449"/>
      <c r="B79" s="534" t="s">
        <v>3670</v>
      </c>
      <c r="C79" s="536"/>
    </row>
    <row r="80" spans="1:3" ht="15" customHeight="1" thickBot="1">
      <c r="A80" s="448">
        <v>57</v>
      </c>
      <c r="B80" s="535"/>
      <c r="C80" s="537"/>
    </row>
    <row r="81" spans="1:3" ht="15" customHeight="1">
      <c r="A81" s="539">
        <v>58</v>
      </c>
      <c r="B81" s="420" t="s">
        <v>3671</v>
      </c>
      <c r="C81" s="536"/>
    </row>
    <row r="82" spans="1:3" ht="15" customHeight="1" thickBot="1">
      <c r="A82" s="540"/>
      <c r="B82" s="421" t="s">
        <v>3672</v>
      </c>
      <c r="C82" s="537"/>
    </row>
    <row r="83" spans="1:3" ht="15" customHeight="1" thickBot="1">
      <c r="A83" s="522" t="s">
        <v>3883</v>
      </c>
      <c r="B83" s="532"/>
      <c r="C83" s="524"/>
    </row>
    <row r="84" spans="1:3" ht="15" customHeight="1">
      <c r="A84" s="461">
        <v>59</v>
      </c>
      <c r="B84" s="439" t="s">
        <v>3886</v>
      </c>
      <c r="C84" s="428"/>
    </row>
    <row r="85" spans="1:3" ht="15" customHeight="1" thickBot="1">
      <c r="A85" s="451">
        <v>60</v>
      </c>
      <c r="B85" s="439" t="s">
        <v>3673</v>
      </c>
      <c r="C85" s="423"/>
    </row>
    <row r="86" spans="1:3" ht="15" customHeight="1" thickBot="1">
      <c r="A86" s="461">
        <v>61</v>
      </c>
      <c r="B86" s="439" t="s">
        <v>3885</v>
      </c>
      <c r="C86" s="428"/>
    </row>
    <row r="87" spans="1:3" ht="15" customHeight="1">
      <c r="A87" s="461">
        <v>62</v>
      </c>
      <c r="B87" s="439" t="s">
        <v>3884</v>
      </c>
      <c r="C87" s="428"/>
    </row>
    <row r="88" spans="1:3" ht="15" customHeight="1" thickBot="1">
      <c r="A88" s="451">
        <v>63</v>
      </c>
      <c r="B88" s="439" t="s">
        <v>3674</v>
      </c>
      <c r="C88" s="422"/>
    </row>
    <row r="89" spans="1:3" ht="15" customHeight="1" thickBot="1">
      <c r="A89" s="451">
        <v>64</v>
      </c>
      <c r="B89" s="439" t="s">
        <v>3675</v>
      </c>
      <c r="C89" s="423"/>
    </row>
    <row r="90" spans="1:3" ht="15" customHeight="1" thickBot="1">
      <c r="A90" s="451">
        <v>65</v>
      </c>
      <c r="B90" s="439" t="s">
        <v>3676</v>
      </c>
      <c r="C90" s="423"/>
    </row>
    <row r="91" spans="1:3" ht="15" customHeight="1" thickBot="1">
      <c r="A91" s="451">
        <v>66</v>
      </c>
      <c r="B91" s="439" t="s">
        <v>3677</v>
      </c>
      <c r="C91" s="422"/>
    </row>
    <row r="92" spans="1:3" ht="15" customHeight="1" thickBot="1">
      <c r="A92" s="451">
        <v>67</v>
      </c>
      <c r="B92" s="439" t="s">
        <v>3678</v>
      </c>
      <c r="C92" s="422"/>
    </row>
    <row r="93" spans="1:3" ht="15" customHeight="1">
      <c r="A93" s="463"/>
    </row>
    <row r="94" spans="1:3" ht="15" customHeight="1"/>
    <row r="95" spans="1:3" ht="15" customHeight="1" thickBot="1">
      <c r="A95" s="445"/>
    </row>
    <row r="96" spans="1:3" ht="15" customHeight="1">
      <c r="A96" s="543" t="s">
        <v>3679</v>
      </c>
      <c r="B96" s="544"/>
      <c r="C96" s="544"/>
    </row>
    <row r="97" spans="1:5" ht="15" customHeight="1" thickBot="1">
      <c r="A97" s="545" t="s">
        <v>3680</v>
      </c>
      <c r="B97" s="546"/>
      <c r="C97" s="546"/>
    </row>
    <row r="98" spans="1:5" ht="15" customHeight="1">
      <c r="A98" s="541" t="s">
        <v>3681</v>
      </c>
      <c r="B98" s="424"/>
      <c r="C98" s="424"/>
    </row>
    <row r="99" spans="1:5" ht="15" customHeight="1" thickBot="1">
      <c r="A99" s="542"/>
      <c r="B99" s="465" t="s">
        <v>2877</v>
      </c>
      <c r="C99" s="425" t="s">
        <v>2878</v>
      </c>
    </row>
    <row r="100" spans="1:5" ht="15" customHeight="1" thickBot="1">
      <c r="A100" s="464" t="s">
        <v>3682</v>
      </c>
      <c r="B100" s="466" t="s">
        <v>3683</v>
      </c>
      <c r="C100" s="422"/>
      <c r="D100" t="str">
        <f>CONCATENATE(A100, ". ", B100)</f>
        <v>Artículo 6 (1.1). La planta o bodega están ubicados en lugares aislados de cualquier foco de insalubridad que represente riesgos potenciales para la contaminación del alimento.</v>
      </c>
      <c r="E100" t="s">
        <v>3900</v>
      </c>
    </row>
    <row r="101" spans="1:5" ht="15" customHeight="1" thickBot="1">
      <c r="A101" s="464" t="s">
        <v>2914</v>
      </c>
      <c r="B101" s="466" t="s">
        <v>2880</v>
      </c>
      <c r="C101" s="422"/>
      <c r="D101" t="str">
        <f t="shared" ref="D101:D164" si="0">CONCATENATE(A101, ". ", B101)</f>
        <v>Artículo 6 (1.2). Su funcionamiento no debe poner en riesgo la salud y el bienestar de la comunidad.</v>
      </c>
      <c r="E101" t="s">
        <v>3901</v>
      </c>
    </row>
    <row r="102" spans="1:5" ht="15" customHeight="1" thickBot="1">
      <c r="A102" s="464" t="s">
        <v>2915</v>
      </c>
      <c r="B102" s="466" t="s">
        <v>3439</v>
      </c>
      <c r="C102" s="428"/>
      <c r="D102" t="str">
        <f t="shared" si="0"/>
        <v>Artículo 6 (1.3). Sus accesos y alrededores se mantendrán limpios, libres de acumulación de basuras y deberán tener superficies pavimentadas o recubiertas con materiales que faciliten el mantenimiento sanitario e impidan la generación de polvo, el estancamiento de aguas o la presencia de otras fuentes de contaminación para el alimento.</v>
      </c>
      <c r="E102" t="s">
        <v>3902</v>
      </c>
    </row>
    <row r="103" spans="1:5" ht="15" customHeight="1" thickBot="1">
      <c r="A103" s="464" t="s">
        <v>2916</v>
      </c>
      <c r="B103" s="466" t="s">
        <v>2612</v>
      </c>
      <c r="C103" s="422"/>
      <c r="D103" t="str">
        <f t="shared" si="0"/>
        <v>Artículo 6 (2.1). La edificación debe estar diseñada y construida de manera que proteja los ambientes de producción e impida la entrada de polvo, lluvia, suciedades u otros contaminantes, así como del ingreso y refugio de plagas y animales domésticos.</v>
      </c>
      <c r="E103" t="s">
        <v>3903</v>
      </c>
    </row>
    <row r="104" spans="1:5" ht="15" customHeight="1" thickBot="1">
      <c r="A104" s="464" t="s">
        <v>2917</v>
      </c>
      <c r="B104" s="466" t="s">
        <v>3440</v>
      </c>
      <c r="C104" s="428"/>
      <c r="D104" t="str">
        <f t="shared" si="0"/>
        <v>Artículo 6 (2.3). Los diversos ambientes de la edificación deben tener el tamaño adecuado para la instalación, operación y mantenimiento de los equipos, así como para la circulación del personal y el traslado de materiales o productos. Estos ambientes deben estar ubicados según la secuencia lógica del proceso, desde la recepción de los insumos hasta el despacho del producto terminado, de tal manera que se eviten retrasos indebidos y la contaminación cruzada. De ser requerido, tales ambientes deben dotarse de las condiciones de temperatura, humedad u otras necesarias para la ejecución higiénica de las operaciones de producción y/o para la conservación del alimento.</v>
      </c>
      <c r="E104" t="s">
        <v>3904</v>
      </c>
    </row>
    <row r="105" spans="1:5" ht="15" customHeight="1" thickBot="1">
      <c r="A105" s="464" t="s">
        <v>2918</v>
      </c>
      <c r="B105" s="466" t="s">
        <v>2613</v>
      </c>
      <c r="C105" s="422"/>
      <c r="D105" t="str">
        <f t="shared" si="0"/>
        <v>Artículo 6 (2.4). La edificación y sus instalaciones deben estar construidas de manera que se faciliten las operaciones de limpieza, desinfección y control de plagas según lo establecido en el plan de saneamiento del establecimiento.</v>
      </c>
      <c r="E105" t="s">
        <v>3905</v>
      </c>
    </row>
    <row r="106" spans="1:5" ht="15" customHeight="1" thickBot="1">
      <c r="A106" s="464" t="s">
        <v>2920</v>
      </c>
      <c r="B106" s="466" t="s">
        <v>2881</v>
      </c>
      <c r="C106" s="422"/>
      <c r="D106" t="str">
        <f t="shared" si="0"/>
        <v>Artículo 6 (2.6). Sus áreas deben ser independientes y separadas físicamente de cualquier tipo de vivienda y no pueden ser utilizadas como dormitorio.</v>
      </c>
      <c r="E106" t="s">
        <v>3906</v>
      </c>
    </row>
    <row r="107" spans="1:5" ht="15" customHeight="1" thickBot="1">
      <c r="A107" s="464" t="s">
        <v>2922</v>
      </c>
      <c r="B107" s="466" t="s">
        <v>2617</v>
      </c>
      <c r="C107" s="422"/>
      <c r="D107" t="str">
        <f t="shared" si="0"/>
        <v>Artículo 6 (2.9). En los establecimientos contemplados en el presente título, no se permite el almacenamiento de elementos, productos químicos o peligrosos ajenos a las actividades propias realizadas en este.</v>
      </c>
      <c r="E107" t="s">
        <v>3907</v>
      </c>
    </row>
    <row r="108" spans="1:5" ht="15" customHeight="1" thickBot="1">
      <c r="A108" s="464" t="s">
        <v>2923</v>
      </c>
      <c r="B108" s="466" t="s">
        <v>2882</v>
      </c>
      <c r="C108" s="422"/>
      <c r="D108" t="str">
        <f t="shared" si="0"/>
        <v>Artículo 6 (3.1). El agua que se utilice debe ser de calidad potable y cumplir con las normas vigentes establecidas por el Ministerio de Salud y Protección Social.</v>
      </c>
      <c r="E108" t="s">
        <v>3908</v>
      </c>
    </row>
    <row r="109" spans="1:5" ht="15" customHeight="1" thickBot="1">
      <c r="A109" s="464" t="s">
        <v>2924</v>
      </c>
      <c r="B109" s="466" t="s">
        <v>2883</v>
      </c>
      <c r="C109" s="422"/>
      <c r="D109" t="str">
        <f t="shared" si="0"/>
        <v>Artículo 6 (3.2). Se debe disponer de agua potable a la temperatura y presión requeridas en las diferentes actividades que se realizan en el establecimiento, así como para una limpieza y desinfección efectiva.</v>
      </c>
      <c r="E109" t="s">
        <v>3909</v>
      </c>
    </row>
    <row r="110" spans="1:5" ht="15" customHeight="1" thickBot="1">
      <c r="A110" s="464" t="s">
        <v>2925</v>
      </c>
      <c r="B110" s="466" t="s">
        <v>2884</v>
      </c>
      <c r="C110" s="422"/>
      <c r="D110" t="str">
        <f t="shared" si="0"/>
        <v>Artículo 6 (3.4). El sistema de conducción o tuberías debe garantizar la protección de la potabilidad del agua.</v>
      </c>
      <c r="E110" t="s">
        <v>3910</v>
      </c>
    </row>
    <row r="111" spans="1:5" ht="15" customHeight="1" thickBot="1">
      <c r="A111" s="464" t="s">
        <v>2926</v>
      </c>
      <c r="B111" s="466" t="s">
        <v>2618</v>
      </c>
      <c r="C111" s="428"/>
      <c r="D111" t="str">
        <f t="shared" si="0"/>
        <v>Artículo 6 (3.5). El establecimiento debe disponer de un tanque de almacenamiento de agua con capacidad suficiente para un día de trabajo, garantizando la potabilidad de la misma. La construcción y el material de dicho tanque se realizará conforme a lo establecido en las normas sanitarias vigentes y deberá cumplir con los siguientes requisitos:</v>
      </c>
      <c r="E111" t="s">
        <v>3911</v>
      </c>
    </row>
    <row r="112" spans="1:5" ht="15" customHeight="1" thickBot="1">
      <c r="A112" s="464" t="s">
        <v>2927</v>
      </c>
      <c r="B112" s="466" t="s">
        <v>2619</v>
      </c>
      <c r="C112" s="422"/>
      <c r="D112" t="str">
        <f t="shared" si="0"/>
        <v>Artículo 6 (3.5.1). Los pisos, paredes y tapas deben estar construidos con materiales que no generen sustancias o contaminantes tóxicos, deben ser resistentes, no porosos, impermeables, no absorbentes y con acabados libres de grietas o defectos que dificulten la limpieza y desinfección.</v>
      </c>
      <c r="E112" t="s">
        <v>3912</v>
      </c>
    </row>
    <row r="113" spans="1:5" ht="15" customHeight="1" thickBot="1">
      <c r="A113" s="464" t="s">
        <v>2928</v>
      </c>
      <c r="B113" s="466" t="s">
        <v>2885</v>
      </c>
      <c r="C113" s="422"/>
      <c r="D113" t="str">
        <f t="shared" si="0"/>
        <v>Artículo 6 (3.5.2). Debe ser de fácil acceso para limpieza y desinfección periódica según lo establecido en el plan de saneamiento.</v>
      </c>
      <c r="E113" t="s">
        <v>3913</v>
      </c>
    </row>
    <row r="114" spans="1:5" ht="15" customHeight="1" thickBot="1">
      <c r="A114" s="464" t="s">
        <v>2929</v>
      </c>
      <c r="B114" s="466" t="s">
        <v>2886</v>
      </c>
      <c r="C114" s="422"/>
      <c r="D114" t="str">
        <f t="shared" si="0"/>
        <v>Artículo 6 (3.5.3). Debe garantizar protección total contra el acceso de animales, cuerpos extraños o contaminación por aguas lluvias.</v>
      </c>
      <c r="E114" t="s">
        <v>3914</v>
      </c>
    </row>
    <row r="115" spans="1:5" ht="15" customHeight="1" thickBot="1">
      <c r="A115" s="464" t="s">
        <v>3684</v>
      </c>
      <c r="B115" s="466" t="s">
        <v>3685</v>
      </c>
      <c r="C115" s="422"/>
      <c r="D115" t="str">
        <f t="shared" si="0"/>
        <v>Artículo 6 (3.5.4). Deben estar debidamente identificado e indicada su capacidad.</v>
      </c>
      <c r="E115" t="s">
        <v>3915</v>
      </c>
    </row>
    <row r="116" spans="1:5" ht="15" customHeight="1" thickBot="1">
      <c r="A116" s="464" t="s">
        <v>3686</v>
      </c>
      <c r="B116" s="468" t="s">
        <v>3687</v>
      </c>
      <c r="C116" s="422"/>
      <c r="D116" t="str">
        <f t="shared" si="0"/>
        <v>Artículo 6 (4.2). El manejo de residuos líquidos dentro del establecimiento debe realizarse de manera que impida la contaminación del alimento o de las superficies de potencial contacto con este.</v>
      </c>
      <c r="E116" t="s">
        <v>3916</v>
      </c>
    </row>
    <row r="117" spans="1:5" ht="15" customHeight="1" thickBot="1">
      <c r="A117" s="464" t="s">
        <v>3688</v>
      </c>
      <c r="B117" s="466" t="s">
        <v>2888</v>
      </c>
      <c r="C117" s="422"/>
      <c r="D117" t="str">
        <f t="shared" si="0"/>
        <v>Artículo 6 (5.1). Los residuos sólidos que se generen deben ser ubicados de manera tal que no representen riesgo de contaminación al alimento, a los ambientes o superficies de potencial contacto con este.</v>
      </c>
      <c r="E117" t="s">
        <v>3917</v>
      </c>
    </row>
    <row r="118" spans="1:5" ht="15" customHeight="1" thickBot="1">
      <c r="A118" s="464" t="s">
        <v>3689</v>
      </c>
      <c r="B118" s="466" t="s">
        <v>2620</v>
      </c>
      <c r="C118" s="422"/>
      <c r="D118" t="str">
        <f t="shared" si="0"/>
        <v>Artículo 6 (5.2). Los residuos sólidos deben ser removidos frecuentemente de las áreas de producción y disponerse de manera que se elimine la generación de malos olores, el refugio y alimento de animales y plagas y que no contribuya de otra forma al deterioro ambiental.</v>
      </c>
      <c r="E118" t="s">
        <v>3918</v>
      </c>
    </row>
    <row r="119" spans="1:5" ht="15" customHeight="1" thickBot="1">
      <c r="A119" s="464" t="s">
        <v>3690</v>
      </c>
      <c r="B119" s="466" t="s">
        <v>2621</v>
      </c>
      <c r="C119" s="422"/>
      <c r="D119" t="str">
        <f t="shared" si="0"/>
        <v>Artículo 6 (5.3). El establecimiento debe estar dotado de un sistema de recolección y almacenamiento de residuos sólidos que impida el acceso y proliferación de insectos, roedores y otras plagas, el cual debe cumplir con las normas sanitarias vigentes.</v>
      </c>
      <c r="E119" t="s">
        <v>3919</v>
      </c>
    </row>
    <row r="120" spans="1:5" ht="15" customHeight="1" thickBot="1">
      <c r="A120" s="467" t="s">
        <v>3691</v>
      </c>
      <c r="B120" s="466" t="s">
        <v>2889</v>
      </c>
      <c r="C120" s="426"/>
      <c r="D120" t="str">
        <f t="shared" si="0"/>
        <v>Artículo 6 (5.5). Aquellos establecimientos que generen residuos peligrosos deben cumplir con la reglamentación sanitaria vigente.</v>
      </c>
      <c r="E120" t="s">
        <v>3920</v>
      </c>
    </row>
    <row r="121" spans="1:5" ht="15" customHeight="1" thickBot="1">
      <c r="A121" s="464" t="s">
        <v>2935</v>
      </c>
      <c r="B121" s="466" t="s">
        <v>2622</v>
      </c>
      <c r="C121" s="428"/>
      <c r="D121" t="str">
        <f t="shared" si="0"/>
        <v>Artículo 6 (6.1). Deben disponer de instalaciones sanitarias en cantidad suficiente tales como servicios sanitarios y vestidores, independientes para hombres y mujeres, separados de las áreas de elaboración. Para el caso de microempresas que tienen un reducido número de operarios (no más de 6 operarios), se podrá disponer de un baño para el servicio de hombres y mujeres.</v>
      </c>
      <c r="E121" t="s">
        <v>3921</v>
      </c>
    </row>
    <row r="122" spans="1:5" ht="15" customHeight="1" thickBot="1">
      <c r="A122" s="464" t="s">
        <v>2841</v>
      </c>
      <c r="B122" s="466" t="s">
        <v>3441</v>
      </c>
      <c r="C122" s="428"/>
      <c r="D122" t="str">
        <f t="shared" si="0"/>
        <v>Artículo 6 (6.2). Los servicios sanitarios deben mantenerse limpios y proveerse de los recursos requeridos para la higiene personal, tales como, pero sin limitarse a: papel higiénico, dispensador de jabón, desinfectante, implementos desechables o equipos automáticos para el secado de las manos y papeleras de accionamiento indirecto o no manual.</v>
      </c>
      <c r="E122" t="s">
        <v>3922</v>
      </c>
    </row>
    <row r="123" spans="1:5" ht="15" customHeight="1" thickBot="1">
      <c r="A123" s="464" t="s">
        <v>2936</v>
      </c>
      <c r="B123" s="466" t="s">
        <v>3442</v>
      </c>
      <c r="C123" s="428"/>
      <c r="D123" t="str">
        <f t="shared" si="0"/>
        <v>Artículo 6 (6.3). Se deben instalar lavamanos con grifos de accionamiento no manual dotados con dispensador de jabón desinfectante, implementos desechables o equipos automáticos para el secado de manos, en las áreas de elaboración o próximos a estas para la higiene del personal que participe en la manipulación de los alimentos y para facilitar la supervisión de estas prácticas. Estas áreas deben ser de uso exclusivo para este propósito.</v>
      </c>
      <c r="E123" t="s">
        <v>3923</v>
      </c>
    </row>
    <row r="124" spans="1:5" ht="15" customHeight="1" thickBot="1">
      <c r="A124" s="464" t="s">
        <v>2842</v>
      </c>
      <c r="B124" s="466" t="s">
        <v>2623</v>
      </c>
      <c r="C124" s="422"/>
      <c r="D124" t="str">
        <f t="shared" si="0"/>
        <v>Artículo 6 (6.4). En las proximidades de los lavamanos se deben colocar avisos o advertencias al personal sobre la necesidad de lavarse las manos luego de usar los servicios sanitarios, después de cualquier cambio de actividad y antes de iniciar las labores de producción.</v>
      </c>
      <c r="E124" t="s">
        <v>3924</v>
      </c>
    </row>
    <row r="125" spans="1:5" ht="15" customHeight="1" thickBot="1">
      <c r="A125" s="464" t="s">
        <v>2937</v>
      </c>
      <c r="B125" s="466" t="s">
        <v>2624</v>
      </c>
      <c r="C125" s="422"/>
      <c r="D125" t="str">
        <f t="shared" si="0"/>
        <v>Artículo 7 (1.1). Los pisos deben estar construidos con materiales que no generen sustancias o contaminantes tóxicos, resistentes, no porosos, impermeables, no absorbentes, no deslizantes y con acabados libres de grietas o defectos que dificulten la limpieza, desinfección y mantenimiento sanitario.</v>
      </c>
      <c r="E125" t="s">
        <v>3925</v>
      </c>
    </row>
    <row r="126" spans="1:5" ht="15" customHeight="1" thickBot="1">
      <c r="A126" s="464" t="s">
        <v>2938</v>
      </c>
      <c r="B126" s="466" t="s">
        <v>2625</v>
      </c>
      <c r="C126" s="422"/>
      <c r="D126" t="str">
        <f t="shared" si="0"/>
        <v>Artículo 7 (1.3). Cuando el drenaje de las cavas o cuartos fríos de refrigeración o congelación se encuentren en el interior de los mismos, se debe disponer de un mecanismo que garantice el sellamiento total del drenaje, el cual puede ser removido para propósitos de limpieza y desinfección.</v>
      </c>
      <c r="E126" t="s">
        <v>3926</v>
      </c>
    </row>
    <row r="127" spans="1:5" ht="15" customHeight="1" thickBot="1">
      <c r="A127" s="464" t="s">
        <v>2939</v>
      </c>
      <c r="B127" s="466" t="s">
        <v>3443</v>
      </c>
      <c r="C127" s="428"/>
      <c r="D127" t="str">
        <f t="shared" si="0"/>
        <v>Artículo 7 (1.4). El sistema de tuberías y drenajes para la conducción y recolección de las aguas residuales debe tener la capacidad y la pendiente requeridas para permitir una salida rápida y efectiva de los volúmenes máximos generados por el establecimiento. Los drenajes de piso deben tener la debida protección con rejillas y si se requieren trampas adecuadas para grasas y/o sólidos, deben estar diseñadas de forma que permitan su limpieza.</v>
      </c>
      <c r="E127" t="s">
        <v>3927</v>
      </c>
    </row>
    <row r="128" spans="1:5" ht="15" customHeight="1" thickBot="1">
      <c r="A128" s="464" t="s">
        <v>2940</v>
      </c>
      <c r="B128" s="466" t="s">
        <v>3692</v>
      </c>
      <c r="C128" s="422"/>
      <c r="D128" t="str">
        <f t="shared" si="0"/>
        <v>Artículo 7 (2.2). Las uniones entre las paredes y entre éstas y los pisos, deben estar selladas y tener forma redondeada para impedir la acumulación de suciedad y facilitar la limpieza y desinfección.</v>
      </c>
      <c r="E128" t="s">
        <v>3928</v>
      </c>
    </row>
    <row r="129" spans="1:5" ht="15" customHeight="1" thickBot="1">
      <c r="A129" s="464" t="s">
        <v>2941</v>
      </c>
      <c r="B129" s="466" t="s">
        <v>2626</v>
      </c>
      <c r="C129" s="422"/>
      <c r="D129" t="str">
        <f t="shared" si="0"/>
        <v>Artículo 7 (3.1). Los techos deben estar diseñados y construidos de manera que se evite la acumulación de suciedad, la condensación, la formación de hongos y levaduras, el desprendimiento superficial y además facilitar la limpieza y el mantenimiento.</v>
      </c>
      <c r="E129" t="s">
        <v>3929</v>
      </c>
    </row>
    <row r="130" spans="1:5" ht="15" customHeight="1" thickBot="1">
      <c r="A130" s="464" t="s">
        <v>2942</v>
      </c>
      <c r="B130" s="466" t="s">
        <v>2627</v>
      </c>
      <c r="C130" s="422"/>
      <c r="D130" t="str">
        <f t="shared" si="0"/>
        <v>Artículo 7 (3.2). En lo posible, no se debe permitir el uso de techos falsos o dobles techos, a menos que se construyan con materiales impermeables, resistentes, lisos, de fácil limpieza y con accesibilidad a la cámara superior para realizar la limpieza, desinfección y desinfestación.</v>
      </c>
      <c r="E130" t="s">
        <v>3930</v>
      </c>
    </row>
    <row r="131" spans="1:5" ht="15" customHeight="1" thickBot="1">
      <c r="A131" s="464" t="s">
        <v>2943</v>
      </c>
      <c r="B131" s="466" t="s">
        <v>2628</v>
      </c>
      <c r="C131" s="422"/>
      <c r="D131" t="str">
        <f t="shared" si="0"/>
        <v>Artículo 7 (3.3). En el caso de los falsos techos, las láminas utilizadas, deben fijarse de tal manera que se evite su fácil remoción por acción de corrientes de aire u otro factor externo ajeno a las labores de limpieza, desinfección y desinfestación.</v>
      </c>
      <c r="E131" t="s">
        <v>3931</v>
      </c>
    </row>
    <row r="132" spans="1:5" ht="15" customHeight="1" thickBot="1">
      <c r="A132" s="464" t="s">
        <v>3693</v>
      </c>
      <c r="B132" s="466" t="s">
        <v>2629</v>
      </c>
      <c r="C132" s="422"/>
      <c r="D132" t="str">
        <f t="shared" si="0"/>
        <v>Artículo 7 (4.1). Las ventanas y otras aberturas en las paredes deben construirse de manera tal que se evite la entrada y acumulación de polvo, suciedades, al igual que el ingreso de plagas y facilitar la limpieza y desinfección.</v>
      </c>
      <c r="E132" t="s">
        <v>3932</v>
      </c>
    </row>
    <row r="133" spans="1:5" ht="15" customHeight="1" thickBot="1">
      <c r="A133" s="464" t="s">
        <v>3694</v>
      </c>
      <c r="B133" s="466" t="s">
        <v>3695</v>
      </c>
      <c r="C133" s="428"/>
      <c r="D133" t="str">
        <f t="shared" si="0"/>
        <v>Artículo 7 (4.2). Las ventanas que se comuniquen con el ambiente exterior deben estar diseñadas de tal manera que se evite el ingreso de plagas y otros contaminantes, y estar provistas con malla anti insecto de fácil limpieza y buena conservación que sean resistentes a la limpieza y la manipulación. Los vidrios de las ventanas ubicadas en áreas de proceso deben tener protección para evitar contaminación en caso de ruptura.</v>
      </c>
      <c r="E133" t="s">
        <v>3933</v>
      </c>
    </row>
    <row r="134" spans="1:5" ht="15" customHeight="1" thickBot="1">
      <c r="A134" s="464" t="s">
        <v>2946</v>
      </c>
      <c r="B134" s="466" t="s">
        <v>3696</v>
      </c>
      <c r="C134" s="428"/>
      <c r="D134" t="str">
        <f t="shared" si="0"/>
        <v>Artículo 7 (5.1). Las puertas deben tener superficie lisa, no absorbente, deben ser resistentes y de suficiente amplitud; donde se precise, tendrán dispositivos de cierre automático y ajuste hermético. Las aberturas entre las puertas exteriores y los pisos, y entre éstas y las paredes deben ser de tal manera que se evite el ingreso de plagas.</v>
      </c>
      <c r="E134" t="s">
        <v>3934</v>
      </c>
    </row>
    <row r="135" spans="1:5" ht="15" customHeight="1" thickBot="1">
      <c r="A135" s="464" t="s">
        <v>2947</v>
      </c>
      <c r="B135" s="466" t="s">
        <v>2631</v>
      </c>
      <c r="C135" s="422"/>
      <c r="D135" t="str">
        <f t="shared" si="0"/>
        <v>Artículo 7 (6.2). Las estructuras elevadas y los accesorios deben aislarse en donde sea requerido, estar diseñadas y con un acabado para prevenir la acumulación de suciedad, minimizar la condensación, el desarrollo de hongos y el desprendimiento superficial.</v>
      </c>
      <c r="E135" t="s">
        <v>3935</v>
      </c>
    </row>
    <row r="136" spans="1:5" ht="15" customHeight="1" thickBot="1">
      <c r="A136" s="464" t="s">
        <v>2948</v>
      </c>
      <c r="B136" s="466" t="s">
        <v>2891</v>
      </c>
      <c r="C136" s="422"/>
      <c r="D136" t="str">
        <f t="shared" si="0"/>
        <v>Artículo 7 (6.3). Las instalaciones eléctricas, mecánicas y de prevención de incendios deben estar diseñadas y con un acabado de manera que impidan la acumulación de suciedades y el albergue de plagas.</v>
      </c>
      <c r="E136" t="s">
        <v>3936</v>
      </c>
    </row>
    <row r="137" spans="1:5" ht="15" customHeight="1" thickBot="1">
      <c r="A137" s="464" t="s">
        <v>2949</v>
      </c>
      <c r="B137" s="466" t="s">
        <v>2632</v>
      </c>
      <c r="C137" s="422"/>
      <c r="D137" t="str">
        <f t="shared" si="0"/>
        <v>Artículo 7 (7.1). Los establecimientos a que hace referencia el artículo 2° de la presente resolución tendrán una adecuada y suficiente iluminación natural o artificial, la cual se obtendrá por medio de ventanas, claraboyas, y lámparas convenientemente distribuidas.</v>
      </c>
      <c r="E137" t="s">
        <v>3937</v>
      </c>
    </row>
    <row r="138" spans="1:5" ht="15" customHeight="1" thickBot="1">
      <c r="A138" s="467" t="s">
        <v>2950</v>
      </c>
      <c r="B138" s="466" t="s">
        <v>2892</v>
      </c>
      <c r="C138" s="426"/>
      <c r="D138" t="str">
        <f t="shared" si="0"/>
        <v>Artículo 7 (7.2). La iluminación debe ser de la calidad e intensidad adecuada para la ejecución higiénica y efectiva de todas las actividades.</v>
      </c>
      <c r="E138" t="s">
        <v>3938</v>
      </c>
    </row>
    <row r="139" spans="1:5" ht="15" customHeight="1" thickBot="1">
      <c r="A139" s="464" t="s">
        <v>2951</v>
      </c>
      <c r="B139" s="466" t="s">
        <v>2912</v>
      </c>
      <c r="C139" s="422"/>
      <c r="D139" t="str">
        <f t="shared" si="0"/>
        <v>Artículo 7 (7.3). Las lámparas, accesorios y otros medios de iluminación del establecimiento deben ser del tipo de seguridad y estar protegidos para evitar la contaminación en caso de ruptura y, en general, contar con una iluminación uniforme que no altere los colores naturales.</v>
      </c>
      <c r="E139" t="s">
        <v>3939</v>
      </c>
    </row>
    <row r="140" spans="1:5" ht="15" customHeight="1" thickBot="1">
      <c r="A140" s="464" t="s">
        <v>2953</v>
      </c>
      <c r="B140" s="466" t="s">
        <v>2633</v>
      </c>
      <c r="C140" s="422"/>
      <c r="D140" t="str">
        <f t="shared" si="0"/>
        <v>Artículo 9 (1). Los equipos y utensilios empleados en el manejo de alimentos deben estar fabricados con materiales resistentes al uso y a la corrosión, así como a la utilización frecuente de los agentes de limpieza y desinfección.</v>
      </c>
      <c r="E140" t="s">
        <v>3940</v>
      </c>
    </row>
    <row r="141" spans="1:5" ht="15" customHeight="1" thickBot="1">
      <c r="A141" s="464" t="s">
        <v>2954</v>
      </c>
      <c r="B141" s="466" t="s">
        <v>3449</v>
      </c>
      <c r="C141" s="422"/>
      <c r="D141" t="str">
        <f t="shared" si="0"/>
        <v>Artículo 9 (2). Todas las superficies de contacto con el alimento deben cumplir con las resoluciones 683, 4142 y 4143 de 2012 o las normas que las modifiquen, adicionen o sustituyan.</v>
      </c>
      <c r="E141" t="s">
        <v>3941</v>
      </c>
    </row>
    <row r="142" spans="1:5" ht="15" customHeight="1" thickBot="1">
      <c r="A142" s="464" t="s">
        <v>2955</v>
      </c>
      <c r="B142" s="466" t="s">
        <v>2634</v>
      </c>
      <c r="C142" s="422"/>
      <c r="D142" t="str">
        <f t="shared" si="0"/>
        <v>Artículo 9 (10). Las mesas y mesones empleados en el manejo de alimentos deben tener superficies lisas, con bordes sin aristas y estar construidas con materiales resistentes, impermeables y de fácil limpieza y desinfección.</v>
      </c>
      <c r="E142" t="s">
        <v>3942</v>
      </c>
    </row>
    <row r="143" spans="1:5" ht="15" customHeight="1" thickBot="1">
      <c r="A143" s="464" t="s">
        <v>2956</v>
      </c>
      <c r="B143" s="466" t="s">
        <v>3450</v>
      </c>
      <c r="C143" s="428"/>
      <c r="D143" t="str">
        <f t="shared" si="0"/>
        <v>Artículo 9 (11). Los recipientes usados para materiales no comestibles y desechos deben ser a prueba de fugas, debidamente identificados, construidos de material impermeable, de fácil limpieza y desinfección y, de ser requerido, provistos de tapa hermética. Los mismos no pueden utilizarse para contener productos comestibles.</v>
      </c>
      <c r="E143" t="s">
        <v>3943</v>
      </c>
    </row>
    <row r="144" spans="1:5" ht="15" customHeight="1" thickBot="1">
      <c r="A144" s="464" t="s">
        <v>2843</v>
      </c>
      <c r="B144" s="466" t="s">
        <v>2635</v>
      </c>
      <c r="C144" s="422"/>
      <c r="D144" t="str">
        <f t="shared" si="0"/>
        <v>Artículo 10 (2). La distancia entre los equipos y las paredes perimetrales, columnas u otros elementos de la edificación, debe ser tal que les permita funcionar adecuadamente y facilite el acceso para la inspección, mantenimiento, limpieza y desinfección.</v>
      </c>
      <c r="E144" t="s">
        <v>3944</v>
      </c>
    </row>
    <row r="145" spans="1:5" ht="15" customHeight="1" thickBot="1">
      <c r="A145" s="464" t="s">
        <v>2957</v>
      </c>
      <c r="B145" s="466" t="s">
        <v>3451</v>
      </c>
      <c r="C145" s="422"/>
      <c r="D145" t="str">
        <f t="shared" si="0"/>
        <v>Artículo 10 (3). Los equipos que se utilicen en operaciones críticas para lograr la inocuidad del alimento deben estar dotados de los instrumentos y accesorios requeridos para la medición y registro de las variables del proceso. Así mismo, deben poseer dispositivos para permitir la toma de muestras del alimento y materias primas.</v>
      </c>
      <c r="E145" t="s">
        <v>3945</v>
      </c>
    </row>
    <row r="146" spans="1:5" ht="15" customHeight="1" thickBot="1">
      <c r="A146" s="464" t="s">
        <v>2959</v>
      </c>
      <c r="B146" s="466" t="s">
        <v>3452</v>
      </c>
      <c r="C146" s="422"/>
      <c r="D146" t="str">
        <f t="shared" si="0"/>
        <v>Artículo 12. Educación y capacitación. Todas las personas que realizan actividades de manipulación de alimentos deben tener formación en educación sanitaria, principios básicos de Buenas Prácticas de Manufactura y prácticas higiénicas en manipulación de alimentos. Igualmente, deben estar capacitados para llevar a cabo las tareas que se les asignen o desempeñen, con el fin de que se encuentren en capacidad de adoptar las precauciones y medidas preventivas necesarias para evitar la contaminación o deterioro de los alimentos.</v>
      </c>
      <c r="E146" t="s">
        <v>3946</v>
      </c>
    </row>
    <row r="147" spans="1:5" ht="15" customHeight="1" thickBot="1">
      <c r="A147" s="464" t="s">
        <v>3697</v>
      </c>
      <c r="B147" s="466" t="s">
        <v>3453</v>
      </c>
      <c r="C147" s="428"/>
      <c r="D147" t="str">
        <f t="shared" si="0"/>
        <v>Artículo 12ª. Las empresas deben tener un plan de capacitación continuo y permanente para el personal manipulador de alimentos desde el momento de su contratación y luego ser reforzado mediante charlas, cursos u otros medios efectivos de actualización. Dicho plan debe ser de por lo menos 10 horas anuales, sobre asuntos específicos de que trata la presente resolución. Esta capacitación estará bajo la responsabilidad de la empresa y podrá ser efectuada por esta, por personas naturales o jurídicas contratadas y por las autoridades sanitarias. Cuando el plan de capacitación se realice a través de personas naturales o jurídicas diferentes a la empresa, estas deben demostrar su idoneidad técnica y científica y su formación y experiencia específica en las áreas de higiene de los alimentos, Buenas Prácticas de Manufactura y sistemas preventivos de aseguramiento de la inocuidad.</v>
      </c>
      <c r="E147" t="s">
        <v>3947</v>
      </c>
    </row>
    <row r="148" spans="1:5" ht="15" customHeight="1" thickBot="1">
      <c r="A148" s="464" t="s">
        <v>2960</v>
      </c>
      <c r="B148" s="466" t="s">
        <v>3454</v>
      </c>
      <c r="C148" s="428"/>
      <c r="D148" t="str">
        <f t="shared" si="0"/>
        <v>Artículo 13. Plan de capacitación. El plan de capacitación debe contener, al menos, los siguientes aspectos: Metodología, duración, docentes, cronograma y temas específicos a impartir. El enfoque, contenido y alcance de la capacitación impartida debe ser acorde con la empresa, el proceso tecnológico y tipo de establecimiento de que se trate. En todo caso, la empresa debe demostrar a través del desempeño de los operarios y la condición sanitaria del establecimiento la efectividad e impacto de la capacitación impartida.</v>
      </c>
      <c r="E148" t="s">
        <v>3948</v>
      </c>
    </row>
    <row r="149" spans="1:5" ht="15" customHeight="1" thickBot="1">
      <c r="A149" s="469" t="s">
        <v>2961</v>
      </c>
      <c r="B149" s="466" t="s">
        <v>3455</v>
      </c>
      <c r="C149" s="428"/>
      <c r="D149" t="str">
        <f t="shared" si="0"/>
        <v>Artículo 13 Parágrafo 1. Para reforzar el cumplimiento de las prácticas higiénicas, se colocarán en sitios estratégicos avisos alusivos a la obligatoriedad y necesidad de su observancia durante la manipulación de alimentos.</v>
      </c>
      <c r="E149" t="s">
        <v>3949</v>
      </c>
    </row>
    <row r="150" spans="1:5" ht="15" customHeight="1">
      <c r="A150" s="469" t="s">
        <v>2962</v>
      </c>
      <c r="B150" s="466" t="s">
        <v>2637</v>
      </c>
      <c r="C150" s="428"/>
      <c r="D150" t="str">
        <f t="shared" si="0"/>
        <v>Artículo 13 Parágrafo 2. El manipulador de alimentos debe ser entrenado para comprender y manejar el control de los puntos del proceso que están bajo su responsabilidad y la importancia de su vigilancia o monitoreo; además, debe conocer los límites del punto del proceso y las acciones correctivas a tomar cuando existan desviaciones en dichos límites.</v>
      </c>
      <c r="E150" t="s">
        <v>3950</v>
      </c>
    </row>
    <row r="151" spans="1:5" ht="15" customHeight="1" thickBot="1">
      <c r="A151" s="464" t="s">
        <v>3698</v>
      </c>
      <c r="B151" s="466" t="s">
        <v>2638</v>
      </c>
      <c r="C151" s="422"/>
      <c r="D151" t="str">
        <f t="shared" si="0"/>
        <v>Artículo 14 (1). Mantener una estricta limpieza e higiene personal y aplicar buenas prácticas higiénicas en sus labores, de manera que se evite la contaminación del alimento y de las superficies de contacto con este.</v>
      </c>
      <c r="E151" t="s">
        <v>3951</v>
      </c>
    </row>
    <row r="152" spans="1:5" ht="15" customHeight="1" thickBot="1">
      <c r="A152" s="464" t="s">
        <v>3699</v>
      </c>
      <c r="B152" s="466" t="s">
        <v>3700</v>
      </c>
      <c r="C152" s="428"/>
      <c r="D152" t="str">
        <f t="shared" si="0"/>
        <v>Artículo 14 (2). Usar vestimenta de trabajo que cumpla los siguientes requisitos: De color claro que permita visualizar fácilmente su limpieza; con cierres o cremalleras y/o broches en lugar de botones u otros accesorios que puedan caer en el alimento; sin bolsillos ubicados por encima de la cintura; cuando se utiliza delantal, este debe permanecer atado al cuerpo en forma segura para evitar la contaminación del alimento y accidentes de trabajo. La empresa será responsable de una dotación de vestimenta de trabajo en número suficiente para el personal manipulador, con el propósito de facilitar el cambio de indumentaria el cual será consistente con el tipo de trabajo que desarrolla. En ningún caso se podrán aceptar colores grises o aquellos que impidan evidenciar su limpieza, en la dotación de los manipuladores de alimentos.</v>
      </c>
      <c r="E152" t="s">
        <v>3952</v>
      </c>
    </row>
    <row r="153" spans="1:5" ht="15" customHeight="1" thickBot="1">
      <c r="A153" s="464" t="s">
        <v>3701</v>
      </c>
      <c r="B153" s="466" t="s">
        <v>2844</v>
      </c>
      <c r="C153" s="422"/>
      <c r="D153" t="str">
        <f t="shared" si="0"/>
        <v>Artículo 14 (3). El manipulador de alimentos no podrá salir e ingresar al establecimiento con la vestimenta de trabajo.</v>
      </c>
      <c r="E153" t="s">
        <v>3953</v>
      </c>
    </row>
    <row r="154" spans="1:5" ht="15" customHeight="1" thickBot="1">
      <c r="A154" s="464" t="s">
        <v>3702</v>
      </c>
      <c r="B154" s="466" t="s">
        <v>2639</v>
      </c>
      <c r="C154" s="428"/>
      <c r="D154" t="str">
        <f t="shared" si="0"/>
        <v>Artículo 14 (4). Lavarse las manos con agua y jabón desinfectante, antes de comenzar su trabajo, cada vez que salga y regrese al área asignada y después de manipular cualquier material u objeto que pudiese representar un riesgo de contaminación para el alimento. Será obligatorio realizar la desinfección de las manos cuando los riesgos asociados con la etapa del proceso así lo justifiquen.</v>
      </c>
      <c r="E154" t="s">
        <v>3954</v>
      </c>
    </row>
    <row r="155" spans="1:5" ht="15" customHeight="1" thickBot="1">
      <c r="A155" s="464" t="s">
        <v>3703</v>
      </c>
      <c r="B155" s="466" t="s">
        <v>2640</v>
      </c>
      <c r="C155" s="422"/>
      <c r="D155" t="str">
        <f t="shared" si="0"/>
        <v>Artículo 14 (5). Mantener el cabello recogido y cubierto totalmente mediante malla, gorro u otro medio efectivo y en caso de llevar barba, bigote o patillas se debe usar cubiertas para estas. No se permite el uso de maquillaje.</v>
      </c>
      <c r="E155" t="s">
        <v>3955</v>
      </c>
    </row>
    <row r="156" spans="1:5" ht="15" customHeight="1" thickBot="1">
      <c r="A156" s="464" t="s">
        <v>3704</v>
      </c>
      <c r="B156" s="466" t="s">
        <v>2641</v>
      </c>
      <c r="C156" s="428"/>
      <c r="D156" t="str">
        <f t="shared" si="0"/>
        <v>Artículo 14 (6). Dependiendo del riesgo de contaminación asociado con el proceso o preparación, será obligatorio el uso de tapabocas desechables cubriendo nariz y boca mientras se manipula el alimento. Es necesario evaluar sobre todo el riesgo asociado a un alimento de mayor y riesgo medio en salud pública en las etapas finales de elaboración o manipulación del mismo, cuando este se encuentra listo para el consumo y puede estar expuesto a posible contaminación.</v>
      </c>
      <c r="E156" t="s">
        <v>3956</v>
      </c>
    </row>
    <row r="157" spans="1:5" ht="15" customHeight="1" thickBot="1">
      <c r="A157" s="464" t="s">
        <v>3705</v>
      </c>
      <c r="B157" s="466" t="s">
        <v>2845</v>
      </c>
      <c r="C157" s="422"/>
      <c r="D157" t="str">
        <f t="shared" si="0"/>
        <v>Artículo 14 (7). Mantener las uñas cortas, limpias y sin esmalte.</v>
      </c>
      <c r="E157" t="s">
        <v>3957</v>
      </c>
    </row>
    <row r="158" spans="1:5" ht="15" customHeight="1" thickBot="1">
      <c r="A158" s="464" t="s">
        <v>3706</v>
      </c>
      <c r="B158" s="466" t="s">
        <v>2642</v>
      </c>
      <c r="C158" s="422"/>
      <c r="D158" t="str">
        <f t="shared" si="0"/>
        <v>Artículo 14 (8). No se permite utilizar reloj, anillos, aretes, joyas u otros accesorios mientras el personal realice sus labores. En caso de usar lentes, deben asegurarse a la cabeza mediante bandas, cadenas u otros medios ajustables.</v>
      </c>
      <c r="E158" t="s">
        <v>3958</v>
      </c>
    </row>
    <row r="159" spans="1:5" ht="15" customHeight="1" thickBot="1">
      <c r="A159" s="464" t="s">
        <v>3707</v>
      </c>
      <c r="B159" s="466" t="s">
        <v>2846</v>
      </c>
      <c r="C159" s="422"/>
      <c r="D159" t="str">
        <f t="shared" si="0"/>
        <v>Artículo 14 (9). Usar calzado cerrado, de material resistente e impermeable y de tacón bajo.</v>
      </c>
      <c r="E159" t="s">
        <v>3959</v>
      </c>
    </row>
    <row r="160" spans="1:5" ht="15" customHeight="1" thickBot="1">
      <c r="A160" s="464" t="s">
        <v>3708</v>
      </c>
      <c r="B160" s="466" t="s">
        <v>2643</v>
      </c>
      <c r="C160" s="428"/>
      <c r="D160" t="str">
        <f t="shared" si="0"/>
        <v>Artículo 14 (10). De ser necesario el uso de guantes, estos deben mantenerse limpios, sin roturas o desperfectos y ser tratados con el mismo cuidado higiénico de las manos sin protección. El material de los guantes, debe ser apropiado para la operación realizada y debe evitarse la acumulación de humedad y contaminación en su interior para prevenir posibles afecciones cutáneas de los operarios. El uso de guantes no exime al operario de la obligación de lavarse las manos, según lo contempla el numeral 4 del presente artículo.</v>
      </c>
      <c r="E160" t="s">
        <v>3960</v>
      </c>
    </row>
    <row r="161" spans="1:5" ht="15" customHeight="1" thickBot="1">
      <c r="A161" s="464" t="s">
        <v>3709</v>
      </c>
      <c r="B161" s="466" t="s">
        <v>2847</v>
      </c>
      <c r="C161" s="422"/>
      <c r="D161" t="str">
        <f t="shared" si="0"/>
        <v>Artículo 14 (11). No está permitido comer, beber o masticar cualquier objeto o producto, como tampoco fumar o escupir en las áreas donde se manipulen alimentos.</v>
      </c>
      <c r="E161" t="s">
        <v>3961</v>
      </c>
    </row>
    <row r="162" spans="1:5" ht="15" customHeight="1" thickBot="1">
      <c r="A162" s="464" t="s">
        <v>3710</v>
      </c>
      <c r="B162" s="466" t="s">
        <v>2893</v>
      </c>
      <c r="C162" s="422"/>
      <c r="D162" t="str">
        <f t="shared" si="0"/>
        <v>Artículo 14 (12). El personal que presente afecciones de la piel o enfermedad infectocontagiosa debe ser excluido de toda actividad directa de manipulación de alimentos.</v>
      </c>
      <c r="E162" t="s">
        <v>3962</v>
      </c>
    </row>
    <row r="163" spans="1:5" ht="15" customHeight="1" thickBot="1">
      <c r="A163" s="464" t="s">
        <v>3711</v>
      </c>
      <c r="B163" s="466" t="s">
        <v>2848</v>
      </c>
      <c r="C163" s="422"/>
      <c r="D163" t="str">
        <f t="shared" si="0"/>
        <v>Artículo 14 (13). Los manipuladores no deben sentarse, acostarse, inclinarse o similares en el pasto, andenes o lugares donde la ropa de trabajo pueda contaminarse.</v>
      </c>
      <c r="E163" t="s">
        <v>3963</v>
      </c>
    </row>
    <row r="164" spans="1:5" ht="15" customHeight="1" thickBot="1">
      <c r="A164" s="464" t="s">
        <v>3712</v>
      </c>
      <c r="B164" s="466" t="s">
        <v>2644</v>
      </c>
      <c r="C164" s="422"/>
      <c r="D164" t="str">
        <f t="shared" si="0"/>
        <v>Artículo 14 (14). Los visitantes a los establecimientos o plantas deben cumplir estrictamente todas las prácticas de higiene establecidas en esta resolución y portar la vestimenta y dotación adecuada, la cual debe ser suministrada por la empresa.</v>
      </c>
      <c r="E164" t="s">
        <v>3964</v>
      </c>
    </row>
    <row r="165" spans="1:5" ht="15" customHeight="1" thickBot="1">
      <c r="A165" s="464" t="s">
        <v>2977</v>
      </c>
      <c r="B165" s="466" t="s">
        <v>2645</v>
      </c>
      <c r="C165" s="428"/>
      <c r="D165" t="str">
        <f t="shared" ref="D165:D215" si="1">CONCATENATE(A165, ". ", B165)</f>
        <v>Artículo 16 (1). La recepción de materias primas debe realizarse en condiciones que eviten su contaminación, alteración y daños físicos y deben estar debidamente identificadas de conformidad con la Resolución 5109 de 2005 o las normas que la modifiquen, adicionen o sustituyan, y para el caso de los insumos, deben cumplir con las resoluciones 1506 de 2011 y/o la 683 de 2012, según corresponda, o las normas que las modifiquen, adicionen o sustituyan.</v>
      </c>
      <c r="E165" t="s">
        <v>3965</v>
      </c>
    </row>
    <row r="166" spans="1:5" ht="15" customHeight="1" thickBot="1">
      <c r="A166" s="464" t="s">
        <v>2978</v>
      </c>
      <c r="B166" s="466" t="s">
        <v>2894</v>
      </c>
      <c r="C166" s="422"/>
      <c r="D166" t="str">
        <f t="shared" si="1"/>
        <v>Artículo 16 (2). Toda materia prima debe poseer una ficha técnica la cual debe estar a disposición de la autoridad sanitaria competente cuando esta lo requiera.</v>
      </c>
      <c r="E166" t="s">
        <v>3966</v>
      </c>
    </row>
    <row r="167" spans="1:5" ht="15" customHeight="1" thickBot="1">
      <c r="A167" s="464" t="s">
        <v>2981</v>
      </c>
      <c r="B167" s="466" t="s">
        <v>2647</v>
      </c>
      <c r="C167" s="422"/>
      <c r="D167" t="str">
        <f t="shared" si="1"/>
        <v>Artículo 16 (7). Los depósitos de materias primas y productos terminados ocuparán espacios independientes, salvo en aquellos casos en que a juicio de la autoridad sanitaria competente no se presenten peligros de contaminación para los alimentos.</v>
      </c>
      <c r="E167" t="s">
        <v>3967</v>
      </c>
    </row>
    <row r="168" spans="1:5" ht="15" customHeight="1" thickBot="1">
      <c r="A168" s="464" t="s">
        <v>2982</v>
      </c>
      <c r="B168" s="466" t="s">
        <v>2648</v>
      </c>
      <c r="C168" s="428"/>
      <c r="D168" t="str">
        <f t="shared" si="1"/>
        <v>Artículo 16 (8). Las zonas donde se reciban o almacenen materias primas estarán separadas de las que se destinan a elaboración o envasado del producto final. La autoridad sanitaria competente podrá eximir del cumplimiento de este requisito a los establecimientos en los cuales no exista peligro de contaminación para los alimentos.</v>
      </c>
      <c r="E168" t="s">
        <v>3968</v>
      </c>
    </row>
    <row r="169" spans="1:5" ht="15" customHeight="1" thickBot="1">
      <c r="A169" s="464" t="s">
        <v>2983</v>
      </c>
      <c r="B169" s="466" t="s">
        <v>2649</v>
      </c>
      <c r="C169" s="428"/>
      <c r="D169" t="str">
        <f t="shared" si="1"/>
        <v>Artículo 17 (1). Los envases y embalajes deben estar fabricados con materiales tales que garanticen la inocuidad del alimento, de acuerdo a lo establecido en la reglamentación expedida por el Ministerio de Salud y Protección Social especialmente las resoluciones 683, 4142 y 4143 de 2012; 834 y 835 de 2013 o las normas que las modifiquen, adicionen o sustituyan al respecto.</v>
      </c>
      <c r="E169" t="s">
        <v>3969</v>
      </c>
    </row>
    <row r="170" spans="1:5" ht="15" customHeight="1" thickBot="1">
      <c r="A170" s="467" t="s">
        <v>2984</v>
      </c>
      <c r="B170" s="466" t="s">
        <v>2895</v>
      </c>
      <c r="C170" s="426"/>
      <c r="D170" t="str">
        <f t="shared" si="1"/>
        <v>Artículo 17 (2). El material del envase y embalaje debe ser adecuado y conferir una protección apropiada contra la contaminación.</v>
      </c>
      <c r="E170" t="s">
        <v>3970</v>
      </c>
    </row>
    <row r="171" spans="1:5" ht="15" customHeight="1" thickBot="1">
      <c r="A171" s="464" t="s">
        <v>2985</v>
      </c>
      <c r="B171" s="466" t="s">
        <v>2896</v>
      </c>
      <c r="C171" s="422"/>
      <c r="D171" t="str">
        <f t="shared" si="1"/>
        <v>Artículo 17 (3). No deben haber sido utilizados previamente para fines diferentes que puedan ocasionar la contaminación del alimento a contener.</v>
      </c>
      <c r="E171" t="s">
        <v>3971</v>
      </c>
    </row>
    <row r="172" spans="1:5" ht="15" customHeight="1" thickBot="1">
      <c r="A172" s="464" t="s">
        <v>2986</v>
      </c>
      <c r="B172" s="466" t="s">
        <v>2897</v>
      </c>
      <c r="C172" s="422"/>
      <c r="D172" t="str">
        <f t="shared" si="1"/>
        <v>Artículo 17 (5). Los envases y embalajes deben almacenarse en un sitio exclusivo para este fin en condiciones de limpieza y debidamente protegidos.</v>
      </c>
      <c r="E172" t="s">
        <v>3972</v>
      </c>
    </row>
    <row r="173" spans="1:5" ht="15" customHeight="1" thickBot="1">
      <c r="A173" s="464" t="s">
        <v>3713</v>
      </c>
      <c r="B173" s="466" t="s">
        <v>3714</v>
      </c>
      <c r="C173" s="428"/>
      <c r="D173" t="str">
        <f t="shared" si="1"/>
        <v>Artículo 18 (1). Todo el proceso de fabricación del alimento, incluyendo las operaciones de envasado y almacenamiento, deben realizarse en óptimas condiciones sanitarias, de limpieza y conservación y con los controles necesarios para reducir el crecimiento de microorganismos y evitar la contaminación del alimento. Para cumplir con este requisito, se deben controlar factores, tales como tiempo, temperatura, humedad, actividad acuosa (Aw), pH, presión y velocidad de flujo. Adicionalmente, se debe vigilar las operaciones de fabricación, tales como congelación, deshidratación, tratamiento térmico, acidificación y refrigeración, asegurando que los tiempos de espera, las fluctuaciones de temperatura y otros factores, no contribuyan a la alteración o contaminación del alimento.</v>
      </c>
      <c r="E173" t="s">
        <v>3973</v>
      </c>
    </row>
    <row r="174" spans="1:5" ht="15" customHeight="1" thickBot="1">
      <c r="A174" s="464" t="s">
        <v>3715</v>
      </c>
      <c r="B174" s="466" t="s">
        <v>2650</v>
      </c>
      <c r="C174" s="422"/>
      <c r="D174" t="str">
        <f t="shared" si="1"/>
        <v>Artículo 18 (3). Los alimentos que por su naturaleza permiten un rápido crecimiento de microorganismos indeseables, deben mantenerse en condiciones tales que se evite su proliferación. Para el cumplimiento de este requisito deben adoptarse medidas efectivas como:</v>
      </c>
      <c r="E174" t="s">
        <v>3974</v>
      </c>
    </row>
    <row r="175" spans="1:5" ht="15" customHeight="1" thickBot="1">
      <c r="A175" s="464" t="s">
        <v>3716</v>
      </c>
      <c r="B175" s="466" t="s">
        <v>2898</v>
      </c>
      <c r="C175" s="422"/>
      <c r="D175" t="str">
        <f t="shared" si="1"/>
        <v>Artículo 18 (3.1). Mantener los alimentos a temperaturas de refrigeración no mayores de 4°C +/-2ºC.</v>
      </c>
      <c r="E175" t="s">
        <v>3975</v>
      </c>
    </row>
    <row r="176" spans="1:5" ht="15" customHeight="1" thickBot="1">
      <c r="A176" s="464" t="s">
        <v>3717</v>
      </c>
      <c r="B176" s="466" t="s">
        <v>2899</v>
      </c>
      <c r="C176" s="422"/>
      <c r="D176" t="str">
        <f t="shared" si="1"/>
        <v>Artículo 18 (3.2). Mantener el alimento en estado congelado.</v>
      </c>
      <c r="E176" t="s">
        <v>3976</v>
      </c>
    </row>
    <row r="177" spans="1:5" ht="15" customHeight="1" thickBot="1">
      <c r="A177" s="464" t="s">
        <v>3718</v>
      </c>
      <c r="B177" s="466" t="s">
        <v>3459</v>
      </c>
      <c r="C177" s="428"/>
      <c r="D177" t="str">
        <f t="shared" si="1"/>
        <v>Artículo 18 (4). Los métodos de esterilización, irradiación, ozonización, cloración, pasteurización, ultra pasteurización, ultra alta temperatura, congelación, refrigeración, control de pH, y de actividad acuosa (Aw) entre otros, que se utilizan para destruir y evitar el crecimiento de microorganismos indeseables, deben ser suficientes y validados bajo las condiciones de fabricación, procesamiento, manipulación, distribución y comercialización, para evitar la alteración y deterioro de los alimentos.</v>
      </c>
      <c r="E177" t="s">
        <v>3977</v>
      </c>
    </row>
    <row r="178" spans="1:5" ht="15" customHeight="1" thickBot="1">
      <c r="A178" s="464" t="s">
        <v>2992</v>
      </c>
      <c r="B178" s="466" t="s">
        <v>2900</v>
      </c>
      <c r="C178" s="422"/>
      <c r="D178" t="str">
        <f t="shared" si="1"/>
        <v>Artículo 19 (1). El envasado y embalado debe hacerse en condiciones que impidan la contaminación del alimento o materias primas y debe realizarse en un área exclusiva para este fin.</v>
      </c>
      <c r="E178" t="s">
        <v>3978</v>
      </c>
    </row>
    <row r="179" spans="1:5" ht="15" customHeight="1" thickBot="1">
      <c r="A179" s="464" t="s">
        <v>2993</v>
      </c>
      <c r="B179" s="466" t="s">
        <v>3460</v>
      </c>
      <c r="C179" s="428"/>
      <c r="D179" t="str">
        <f t="shared" si="1"/>
        <v>Artículo 19 (2). Identificación de lotes. Cada envase y embalaje debe llevar marcado o grabado la identificación de la fábrica productora y el lote de fabricación, la cual se debe hacer en clave o en lenguaje claro, de forma visible, legible e indeleble (Números, alfanumérico, ranuras, barras, perforaciones, fecha de producción, fecha de fabricación, fecha de vencimiento), teniendo en cuenta lo establecido en la resolución 5109 de 2005 o la norma que la modifique, adicione o sustituya. A partir del lote, fecha de vencimiento o fabricación se debe garantizar la trazabilidad hacia adelante y hacia atrás de los productos elaborados, así como de las materias primas utilizadas en su fabricación. No se aceptará el uso de adhesivos para declarar esta información.</v>
      </c>
      <c r="E179" t="s">
        <v>3979</v>
      </c>
    </row>
    <row r="180" spans="1:5" ht="15" customHeight="1" thickBot="1">
      <c r="A180" s="464" t="s">
        <v>2995</v>
      </c>
      <c r="B180" s="466" t="s">
        <v>2652</v>
      </c>
      <c r="C180" s="422"/>
      <c r="D180" t="str">
        <f t="shared" si="1"/>
        <v>Artículo 19 (4). Todo producto al momento de salir de una planta de proceso, independiente de su destino debe encontrarse debidamente rotulado, de conformidad con lo establecido en la reglamentación sanitaria vigente.</v>
      </c>
      <c r="E180" t="s">
        <v>3980</v>
      </c>
    </row>
    <row r="181" spans="1:5" ht="15" customHeight="1" thickBot="1">
      <c r="A181" s="464" t="s">
        <v>3719</v>
      </c>
      <c r="B181" s="466" t="s">
        <v>2653</v>
      </c>
      <c r="C181" s="422"/>
      <c r="D181" t="str">
        <f t="shared" si="1"/>
        <v>Artículo 20 (1). Durante las operaciones de fabricación, procesamiento, envasado y almacenamiento se tomarán medidas eficaces para evitar la contaminación de los alimentos por contacto directo o indirecto con materias primas que se encuentren en las fases iníciales del proceso.</v>
      </c>
      <c r="E181" t="s">
        <v>3981</v>
      </c>
    </row>
    <row r="182" spans="1:5" ht="15" customHeight="1" thickBot="1">
      <c r="A182" s="464" t="s">
        <v>3720</v>
      </c>
      <c r="B182" s="466" t="s">
        <v>3461</v>
      </c>
      <c r="C182" s="428"/>
      <c r="D182" t="str">
        <f t="shared" si="1"/>
        <v>Artículo 20 (6). Cuando sea requerido, se deben implementar filtros sanitarios (lava bota, pediluvios o instalaciones para limpieza y desinfección de calzado, lava manos de accionamiento no manual y toallas desechables o secador de manos, aspiradoras de polvo y contaminación, etc.), debidamente dotados y provistos de sustancias desinfectantes en cantidad suficiente para impedir el paso de contaminación de unas zonas a otras. En cualquier caso, se debe garantizar la limpieza y desinfección de manos de los operarios al ingreso de la sala de proceso o de manipulación de los productos.</v>
      </c>
      <c r="E182" t="s">
        <v>3982</v>
      </c>
    </row>
    <row r="183" spans="1:5" ht="15" customHeight="1" thickBot="1">
      <c r="A183" s="464" t="s">
        <v>2999</v>
      </c>
      <c r="B183" s="466" t="s">
        <v>3462</v>
      </c>
      <c r="C183" s="428"/>
      <c r="D183" t="str">
        <f t="shared" si="1"/>
        <v>Artículo 21. Control de la calidad e inocuidad. Todas las operaciones de fabricación, procesamiento, envase, embalado, almacenamiento, distribución, comercialización y expendio de los alimentos deben estar sujetas a los controles de calidad e inocuidad apropiados. Los procedimientos de control de calidad e inocuidad deben prevenir los defectos evitables y reducir los defectos naturales o inevitables a niveles tales que no representen riesgo para la salud. Estos controles variarán según el tipo de alimento y las necesidades del establecimiento y deben rechazar todo alimento que represente riesgo para la salud del consumidor.</v>
      </c>
      <c r="E183" t="s">
        <v>3983</v>
      </c>
    </row>
    <row r="184" spans="1:5" ht="15" customHeight="1" thickBot="1">
      <c r="A184" s="464" t="s">
        <v>3000</v>
      </c>
      <c r="B184" s="470" t="s">
        <v>3463</v>
      </c>
      <c r="C184" s="428"/>
      <c r="D184" t="str">
        <f t="shared" si="1"/>
        <v>Artículo 22. Sistema de control. Todas las fábricas de alimentos deben contar con un sistema de control y aseguramiento de calidad, el cual debe ser esencialmente preventivo y cubrir todas las etapas de procesamiento del alimento, desde la obtención de materias primas e insumos, hasta la distribución de productos terminados, el cual debe contar como mínimo, con los siguientes aspectos:</v>
      </c>
      <c r="E184" t="s">
        <v>3984</v>
      </c>
    </row>
    <row r="185" spans="1:5" ht="15" customHeight="1" thickBot="1">
      <c r="A185" s="464" t="s">
        <v>3001</v>
      </c>
      <c r="B185" s="466" t="s">
        <v>2655</v>
      </c>
      <c r="C185" s="422"/>
      <c r="D185" t="str">
        <f t="shared" si="1"/>
        <v>Artículo 22 (1). Especificaciones sobre las materias primas y productos terminados. Las especificaciones definen completamente la calidad de todos los productos y de todas las materias primas con los cuales son elaborados y deben incluir criterios claros para su aceptación, liberación, retención o rechazo.</v>
      </c>
      <c r="E185" t="s">
        <v>3985</v>
      </c>
    </row>
    <row r="186" spans="1:5" ht="15" customHeight="1" thickBot="1">
      <c r="A186" s="464" t="s">
        <v>3002</v>
      </c>
      <c r="B186" s="466" t="s">
        <v>3721</v>
      </c>
      <c r="C186" s="428"/>
      <c r="D186" t="str">
        <f t="shared" si="1"/>
        <v>Artículo 22 (2). Documentación sobre planta, equipos y proceso. Se debe disponer de manuales de instrucciones, guías y regulaciones donde se describen los detalles esenciales de equipos, procesos y procedimientos requeridos para fabricar o procesar productos. Estos documentos deben cubrir todos los factores que puedan afectar la calidad, manejo de los alimentos, del equipo de procesamiento, el control de calidad, almacenamiento, distribución, métodos y procedimientos de laboratorio.</v>
      </c>
      <c r="E186" t="s">
        <v>3986</v>
      </c>
    </row>
    <row r="187" spans="1:5" ht="15" customHeight="1" thickBot="1">
      <c r="A187" s="464" t="s">
        <v>3003</v>
      </c>
      <c r="B187" s="466" t="s">
        <v>2901</v>
      </c>
      <c r="C187" s="422"/>
      <c r="D187" t="str">
        <f t="shared" si="1"/>
        <v>Artículo 22 (3). Los planes de muestreo, los procedimientos de laboratorio, especificaciones y métodos de ensayo deben garantizar que los resultados sean confiables y representativos del lote analizado.</v>
      </c>
      <c r="E187" t="s">
        <v>3987</v>
      </c>
    </row>
    <row r="188" spans="1:5" ht="15" customHeight="1" thickBot="1">
      <c r="A188" s="464" t="s">
        <v>3004</v>
      </c>
      <c r="B188" s="466" t="s">
        <v>3722</v>
      </c>
      <c r="C188" s="422"/>
      <c r="D188" t="str">
        <f t="shared" si="1"/>
        <v>Artículo 22 (4). El control y el aseguramiento de la calidad no se limitan a las operaciones de laboratorio, sino que debe estar presente en todas las decisiones vinculadas con la calidad del producto.</v>
      </c>
      <c r="E188" t="s">
        <v>3988</v>
      </c>
    </row>
    <row r="189" spans="1:5" ht="15" customHeight="1" thickBot="1">
      <c r="A189" s="464" t="s">
        <v>3005</v>
      </c>
      <c r="B189" s="466" t="s">
        <v>3723</v>
      </c>
      <c r="C189" s="422"/>
      <c r="D189" t="str">
        <f t="shared" si="1"/>
        <v>Artículo 23. Laboratorios. Todas las fábricas de alimentos que procesen, elaboren o envasen alimentos deben tener acceso a un laboratorio de pruebas y ensayos, propio o externo. Estos laboratorios deberán cumplir con lo dispuesto en la Resolución 16078 de 1985, o la norma que la modifique, adicione o sustituya.</v>
      </c>
      <c r="E189" t="s">
        <v>3989</v>
      </c>
    </row>
    <row r="190" spans="1:5" ht="15" customHeight="1" thickBot="1">
      <c r="A190" s="464" t="s">
        <v>3724</v>
      </c>
      <c r="B190" s="466" t="s">
        <v>3467</v>
      </c>
      <c r="C190" s="428"/>
      <c r="D190" t="str">
        <f t="shared" si="1"/>
        <v>Artículo 24.. Obligatoriedad de profesional o personal técnico. Los establecimientos que fabriquen procesen, elaboren o envasen alimentos de alto riesgo en salud pública, deben contar con los servicios de tiempo completo de personal técnico idóneo en las áreas de producción y control de calidad de alimentos, quien debe tener a cargo el programa de capacitación del personal manipulador de alimentos.</v>
      </c>
      <c r="E190" t="s">
        <v>3990</v>
      </c>
    </row>
    <row r="191" spans="1:5" ht="15" customHeight="1" thickBot="1">
      <c r="A191" s="464" t="s">
        <v>3725</v>
      </c>
      <c r="B191" s="466" t="s">
        <v>3468</v>
      </c>
      <c r="C191" s="428"/>
      <c r="D191" t="str">
        <f t="shared" si="1"/>
        <v>Artículo 25.. Garantía de la confiabilidad de las mediciones. Toda persona natural o jurídica propietaria del establecimiento de que trata esta resolución deben garantizar la confiabilidad de las mediciones que se realizan para el control de puntos o variables críticas del proceso, para lo cual deben tener implementado un programa de calibración de los equipos e instrumentos de medición, que se encuentren relacionados con la inocuidad del producto procesado.</v>
      </c>
      <c r="E191" t="s">
        <v>3991</v>
      </c>
    </row>
    <row r="192" spans="1:5" ht="15" customHeight="1" thickBot="1">
      <c r="A192" s="464" t="s">
        <v>3438</v>
      </c>
      <c r="B192" s="466" t="s">
        <v>3469</v>
      </c>
      <c r="C192" s="428"/>
      <c r="D192" t="str">
        <f t="shared" si="1"/>
        <v>Artículo 26.. Plan de saneamiento. Toda persona natural o jurídica propietaria del establecimiento que fabrique, procese, envase, embale, almacene y expenda alimentos y sus materias primas debe implantar y desarrollar un Plan de Saneamiento con objetivos claramente definidos y con los procedimientos requeridos para disminuir los riesgos de contaminación de los alimentos. Este plan debe estar escrito y a disposición de la autoridad sanitaria competente; este debe incluir como mínimo los procedimientos, cronogramas, registros, listas de chequeo y responsables de los siguientes programas:</v>
      </c>
      <c r="E192" t="s">
        <v>3992</v>
      </c>
    </row>
    <row r="193" spans="1:5" ht="15" customHeight="1" thickBot="1">
      <c r="A193" s="464" t="s">
        <v>3008</v>
      </c>
      <c r="B193" s="466" t="s">
        <v>2656</v>
      </c>
      <c r="C193" s="428"/>
      <c r="D193" t="str">
        <f t="shared" si="1"/>
        <v>Artículo 26 (1). Limpieza y desinfección. Los procedimientos de limpieza y desinfección deben satisfacer las necesidades particulares del proceso y del producto de que se trate. Cada establecimiento debe tener por escrito todos los procedimientos, incluyendo los agentes y sustancias utilizadas, así como las concentraciones o formas de uso, tiempos de contacto y los equipos e implementos requeridos para efectuar las operaciones y periodicidad de limpieza y desinfección.</v>
      </c>
      <c r="E193" t="s">
        <v>3993</v>
      </c>
    </row>
    <row r="194" spans="1:5" ht="15" customHeight="1" thickBot="1">
      <c r="A194" s="464" t="s">
        <v>3009</v>
      </c>
      <c r="B194" s="466" t="s">
        <v>3470</v>
      </c>
      <c r="C194" s="428"/>
      <c r="D194" t="str">
        <f t="shared" si="1"/>
        <v>Artículo 26 (2). Desechos sólidos. Debe contarse con la infraestructura, elementos, áreas, recursos y procedimientos que garanticen una eficiente labor de recolección, conducción, manejo, almacenamiento interno, clasificación, transporte y disposición final de los desechos sólidos, lo cual tendrá que hacerse observando las normas de higiene y salud ocupacional establecidas con el propósito de evitar la contaminación de los alimentos, áreas, dependencias y equipos, y el deterioro del medio ambiente.</v>
      </c>
      <c r="E194" t="s">
        <v>3994</v>
      </c>
    </row>
    <row r="195" spans="1:5" ht="15" customHeight="1" thickBot="1">
      <c r="A195" s="464" t="s">
        <v>3010</v>
      </c>
      <c r="B195" s="466" t="s">
        <v>2657</v>
      </c>
      <c r="C195" s="422"/>
      <c r="D195" t="str">
        <f t="shared" si="1"/>
        <v>Artículo 26 (3). Control de plagas. Las plagas deben ser objeto de un programa de control específico, el cual debe involucrar el concepto de control integral, apelando a la aplicación armónica de las diferentes medidas de control conocidas, con especial énfasis en las radicales y de orden preventivo.</v>
      </c>
      <c r="E195" t="s">
        <v>3995</v>
      </c>
    </row>
    <row r="196" spans="1:5" ht="15" customHeight="1" thickBot="1">
      <c r="A196" s="464" t="s">
        <v>3726</v>
      </c>
      <c r="B196" s="466" t="s">
        <v>3727</v>
      </c>
      <c r="C196" s="422"/>
      <c r="D196" t="str">
        <f t="shared" si="1"/>
        <v>Artículo 26 (4). Abastecimiento o suministro de agua potable. Todos los establecimientos de que trata la presente resolución deben tener documentado el proceso de abastecimiento de agua que incluye claramente: fuente de captación o suministro, tratamientos realizados, manejo, diseño y capacidad del tanque de almacenamiento, distribución; mantenimiento, limpieza y desinfección de redes y tanque de almacenamiento; controles realizados para garantizar el cumplimiento de los requisitos fisicoquímicos y microbiológicos establecidos en la normatividad vigente, así como los registros que soporten el cumplimiento de los mismos.</v>
      </c>
      <c r="E196" t="s">
        <v>3996</v>
      </c>
    </row>
    <row r="197" spans="1:5" ht="15" customHeight="1" thickBot="1">
      <c r="A197" s="464" t="s">
        <v>3011</v>
      </c>
      <c r="B197" s="466" t="s">
        <v>3728</v>
      </c>
      <c r="C197" s="422"/>
      <c r="D197" t="str">
        <f t="shared" si="1"/>
        <v>Artículo 27. Condiciones generales. Las operaciones y condiciones de almacenamiento, distribución, transporte y comercialización deben evitar: a) La contaminación y alteración; b) La proliferación de microorganismos indeseables; c) El deterioro o daño del envase o embalaje.</v>
      </c>
      <c r="E197" t="s">
        <v>3997</v>
      </c>
    </row>
    <row r="198" spans="1:5" ht="15" customHeight="1" thickBot="1">
      <c r="A198" s="464" t="s">
        <v>3729</v>
      </c>
      <c r="B198" s="466" t="s">
        <v>2658</v>
      </c>
      <c r="C198" s="428"/>
      <c r="D198" t="str">
        <f t="shared" si="1"/>
        <v>Artículo 28 (1). Debe llevarse un control de primeras entradas y primeras salidas con el fin de garantizar la rotación de los productos. Es necesario que la empresa periódicamente dé salida a productos y materiales inútiles, en desuso, obsoletos o fuera de especificaciones para facilitar la limpieza de las instalaciones y eliminar posibles focos de contaminación.</v>
      </c>
      <c r="E198" t="s">
        <v>3998</v>
      </c>
    </row>
    <row r="199" spans="1:5" ht="15" customHeight="1" thickBot="1">
      <c r="A199" s="464" t="s">
        <v>3730</v>
      </c>
      <c r="B199" s="466" t="s">
        <v>3731</v>
      </c>
      <c r="C199" s="428"/>
      <c r="D199" t="str">
        <f t="shared" si="1"/>
        <v>Artículo 28 (2). El almacenamiento de productos que requieren refrigeración o congelación se realizará teniendo en cuenta las condiciones de temperatura, humedad y circulación del aire que requiera el alimento, materia prima o insumo. Estas instalaciones se mantendrán limpias y en buenas condiciones higiénicas, además, se llevará a cabo un control de temperatura y humedad que asegure la conservación del producto. Los dispositivos de registro de la temperatura y humedad deben inspeccionarse a intervalos regulares y se debe comprobar su exactitud. La temperatura de congelación debe ser de -18ºC o menor.</v>
      </c>
      <c r="E199" t="s">
        <v>3999</v>
      </c>
    </row>
    <row r="200" spans="1:5" ht="15" customHeight="1" thickBot="1">
      <c r="A200" s="464" t="s">
        <v>3732</v>
      </c>
      <c r="B200" s="466" t="s">
        <v>3472</v>
      </c>
      <c r="C200" s="428"/>
      <c r="D200" t="str">
        <f t="shared" si="1"/>
        <v>Artículo 28 (3). El almacenamiento de los insumos, materias primas y productos terminados se realizará de manera que se minimice su deterioro y se eviten aquellas condiciones que puedan afectar la inocuidad, funcionalidad e integridad de los mismos. Además, se deben identificar claramente y llevar registros para conocer su uso, procedencia, calidad y tiempo de vida.</v>
      </c>
      <c r="E200" t="s">
        <v>4000</v>
      </c>
    </row>
    <row r="201" spans="1:5" ht="15" customHeight="1" thickBot="1">
      <c r="A201" s="464" t="s">
        <v>3733</v>
      </c>
      <c r="B201" s="466" t="s">
        <v>2659</v>
      </c>
      <c r="C201" s="428"/>
      <c r="D201" t="str">
        <f t="shared" si="1"/>
        <v>Artículo 28 (4). El almacenamiento de los insumos, materias primas o productos terminados se realizará ordenadamente en pilas o estibas con separación mínima de 60 centímetros con respecto a las paredes perimetrales, y disponerse sobre palés o tarimas limpias y en buen estado, elevadas del piso por lo menos 15 centímetros de manera que se permita la inspección, limpieza y fumigación, si es el caso.</v>
      </c>
      <c r="E201" t="s">
        <v>4001</v>
      </c>
    </row>
    <row r="202" spans="1:5" ht="15" customHeight="1" thickBot="1">
      <c r="A202" s="464" t="s">
        <v>3734</v>
      </c>
      <c r="B202" s="466" t="s">
        <v>2849</v>
      </c>
      <c r="C202" s="422"/>
      <c r="D202" t="str">
        <f t="shared" si="1"/>
        <v>Artículo 28 (5). En los sitios o lugares destinados al almacenamiento de materias primas, insumos y productos terminados no podrán realizarse actividades diferentes a estas.</v>
      </c>
      <c r="E202" t="s">
        <v>4002</v>
      </c>
    </row>
    <row r="203" spans="1:5" ht="15" customHeight="1" thickBot="1">
      <c r="A203" s="464" t="s">
        <v>3735</v>
      </c>
      <c r="B203" s="466" t="s">
        <v>3473</v>
      </c>
      <c r="C203" s="428"/>
      <c r="D203" t="str">
        <f t="shared" si="1"/>
        <v>Artículo 28 (6). El almacenamiento de los alimentos y materias primas devueltos a la empresa o que se encuentren dentro de sus instalaciones con fecha de vencimiento caducada, debe realizarse en un área o depósito exclusivo para tal fin; este lugar debe identificarse claramente, se llevará un libro de registro en el cual se consigne la fecha y la cantidad de producto, las salidas parciales o totales y su destino final. Estos productos en ningún caso pueden destinarse al reproceso para elaboración de alimentos para consumo humano. Estos registros estarán a disposición de la autoridad sanitaria competente.</v>
      </c>
      <c r="E203" t="s">
        <v>4003</v>
      </c>
    </row>
    <row r="204" spans="1:5" ht="15" customHeight="1" thickBot="1">
      <c r="A204" s="464" t="s">
        <v>2902</v>
      </c>
      <c r="B204" s="466" t="s">
        <v>3736</v>
      </c>
      <c r="C204" s="422"/>
      <c r="D204" t="str">
        <f t="shared" si="1"/>
        <v>Artículo 29. El transporte de alimentos y sus materias primas se realizará cumpliendo con las siguientes condiciones:</v>
      </c>
      <c r="E204" t="s">
        <v>4004</v>
      </c>
    </row>
    <row r="205" spans="1:5" ht="15" customHeight="1" thickBot="1">
      <c r="A205" s="464" t="s">
        <v>3018</v>
      </c>
      <c r="B205" s="466" t="s">
        <v>3474</v>
      </c>
      <c r="C205" s="422"/>
      <c r="D205" t="str">
        <f t="shared" si="1"/>
        <v>Artículo 29 (1). En condiciones que impidan la contaminación y la proliferación de microorganismos y eviten su alteración, así como los daños en el envase o embalaje según sea el caso.</v>
      </c>
      <c r="E205" t="s">
        <v>4005</v>
      </c>
    </row>
    <row r="206" spans="1:5" ht="15" customHeight="1" thickBot="1">
      <c r="A206" s="464" t="s">
        <v>3019</v>
      </c>
      <c r="B206" s="466" t="s">
        <v>2660</v>
      </c>
      <c r="C206" s="428"/>
      <c r="D206" t="str">
        <f t="shared" si="1"/>
        <v>Artículo 29 (2). Los alimentos y materias primas que por su naturaleza requieran mantenerse refrigerados o congelados deben ser transportados y distribuidos bajo condiciones que aseguren y garanticen el mantenimiento de las condiciones de refrigeración o congelación hasta su destino final, que podrá verificarse mediante plantillas de registro de la temperatura del vehículo durante el transporte del alimento, o al producto durante el cargue y descargue.</v>
      </c>
      <c r="E206" t="s">
        <v>4006</v>
      </c>
    </row>
    <row r="207" spans="1:5" ht="15" customHeight="1" thickBot="1">
      <c r="A207" s="464" t="s">
        <v>3020</v>
      </c>
      <c r="B207" s="466" t="s">
        <v>3475</v>
      </c>
      <c r="C207" s="422"/>
      <c r="D207" t="str">
        <f t="shared" si="1"/>
        <v>Artículo 29 (3). Los medios de transporte que posean sistema de refrigeración o congelación deben contar con un adecuado funcionamiento que garantice el mantenimiento de las temperaturas requeridas para la conservación de los alimentos o sus materias primas, contando con indicadores y sistemas de registro.</v>
      </c>
      <c r="E207" t="s">
        <v>4007</v>
      </c>
    </row>
    <row r="208" spans="1:5" ht="15" customHeight="1" thickBot="1">
      <c r="A208" s="464" t="s">
        <v>3021</v>
      </c>
      <c r="B208" s="466" t="s">
        <v>2903</v>
      </c>
      <c r="C208" s="422"/>
      <c r="D208" t="str">
        <f t="shared" si="1"/>
        <v>Artículo 29 (4). Revisar los medios de transporte antes de cargar los alimentos o materias primas, con el fin de asegurar que se encuentren en adecuadas condiciones sanitarias.</v>
      </c>
      <c r="E208" t="s">
        <v>4008</v>
      </c>
    </row>
    <row r="209" spans="1:5" ht="15" customHeight="1" thickBot="1">
      <c r="A209" s="464" t="s">
        <v>3022</v>
      </c>
      <c r="B209" s="466" t="s">
        <v>3476</v>
      </c>
      <c r="C209" s="422"/>
      <c r="D209" t="str">
        <f t="shared" si="1"/>
        <v>Artículo 29 (5). Los medios de transporte y los recipientes en los cuales se transportan los alimentos o materias primas deben estar fabricados con materiales tales que permitan una correcta limpieza y desinfección.</v>
      </c>
      <c r="E209" t="s">
        <v>4009</v>
      </c>
    </row>
    <row r="210" spans="1:5" ht="15" customHeight="1" thickBot="1">
      <c r="A210" s="464" t="s">
        <v>3023</v>
      </c>
      <c r="B210" s="466" t="s">
        <v>2661</v>
      </c>
      <c r="C210" s="422"/>
      <c r="D210" t="str">
        <f t="shared" si="1"/>
        <v>Artículo 29 (6). Se permite transportar conjuntamente en un mismo vehículo, alimentos con diferente riesgo en salud pública siempre y cuando se encuentren debidamente envasados, protegidos y se evite la contaminación cruzada.</v>
      </c>
      <c r="E210" t="s">
        <v>4010</v>
      </c>
    </row>
    <row r="211" spans="1:5" ht="15" customHeight="1" thickBot="1">
      <c r="A211" s="464" t="s">
        <v>3024</v>
      </c>
      <c r="B211" s="466" t="s">
        <v>2662</v>
      </c>
      <c r="C211" s="422"/>
      <c r="D211" t="str">
        <f t="shared" si="1"/>
        <v>Artículo 29 (7). Se prohíbe disponer los alimentos directamente sobre el piso de los medios de transporte. Para este fin se utilizarán los recipientes, canastillas, o implementos de material adecuado, de manera que aíslen el producto de toda posibilidad de contaminación.</v>
      </c>
      <c r="E211" t="s">
        <v>4011</v>
      </c>
    </row>
    <row r="212" spans="1:5" ht="15" customHeight="1" thickBot="1">
      <c r="A212" s="464" t="s">
        <v>3025</v>
      </c>
      <c r="B212" s="466" t="s">
        <v>3737</v>
      </c>
      <c r="C212" s="422"/>
      <c r="D212" t="str">
        <f t="shared" si="1"/>
        <v>Artículo 29 (8). Se prohíbe transportar conjuntamente en un mismo vehículo alimentos o materias primas con sustancias peligrosas y otras sustancias que por su naturaleza representen riesgo de contaminación del alimento o la materia prima.</v>
      </c>
      <c r="E212" t="s">
        <v>4012</v>
      </c>
    </row>
    <row r="213" spans="1:5" ht="15" customHeight="1" thickBot="1">
      <c r="A213" s="464" t="s">
        <v>3026</v>
      </c>
      <c r="B213" s="466" t="s">
        <v>2904</v>
      </c>
      <c r="C213" s="422"/>
      <c r="D213" t="str">
        <f t="shared" si="1"/>
        <v>Artículo 29 (9). Los vehículos transportadores de alimentos deben llevar en su exterior en forma claramente visible la leyenda: Transporte de Alimentos.</v>
      </c>
      <c r="E213" t="s">
        <v>4013</v>
      </c>
    </row>
    <row r="214" spans="1:5" ht="15" customHeight="1" thickBot="1">
      <c r="A214" s="467" t="s">
        <v>3027</v>
      </c>
      <c r="B214" s="466" t="s">
        <v>3480</v>
      </c>
      <c r="C214" s="426"/>
      <c r="D214" t="str">
        <f t="shared" si="1"/>
        <v>Artículo 29 (10). Los vehículos destinados al transporte de alimentos y materias primas deben cumplir dentro del territorio colombiano con los requisitos sanitarios que garanticen la adecuada protección y conservación de los mismos, para lo cual las autoridades sanitarias realizarán las actividades de inspección, vigilancia y control necesarias para velar por su cumplimiento. Parágrafo Las autoridades sanitarias practicarán la inspección en el vehículo y/o medio de transporte y, por acta harán constar las condiciones sanitarias del mismo.</v>
      </c>
      <c r="E214" t="s">
        <v>4014</v>
      </c>
    </row>
    <row r="215" spans="1:5" ht="15" customHeight="1" thickBot="1">
      <c r="A215" s="464" t="s">
        <v>3028</v>
      </c>
      <c r="B215" s="466" t="s">
        <v>3481</v>
      </c>
      <c r="C215" s="422"/>
      <c r="D215" t="str">
        <f t="shared" si="1"/>
        <v>Parágrafo. Las autoridades sanitarias practicarán la inspección en el vehículo y/o medio de transporte y, por acta harán constar las condiciones sanitarias del mismo.</v>
      </c>
      <c r="E215" t="s">
        <v>4015</v>
      </c>
    </row>
  </sheetData>
  <mergeCells count="33">
    <mergeCell ref="A98:A99"/>
    <mergeCell ref="A96:C96"/>
    <mergeCell ref="A97:C97"/>
    <mergeCell ref="A83:C83"/>
    <mergeCell ref="A73:C73"/>
    <mergeCell ref="B74:B75"/>
    <mergeCell ref="C74:C75"/>
    <mergeCell ref="B76:B77"/>
    <mergeCell ref="C76:C77"/>
    <mergeCell ref="A66:C66"/>
    <mergeCell ref="C60:C61"/>
    <mergeCell ref="B79:B80"/>
    <mergeCell ref="C79:C80"/>
    <mergeCell ref="A81:A82"/>
    <mergeCell ref="C81:C82"/>
    <mergeCell ref="B53:B54"/>
    <mergeCell ref="C53:C54"/>
    <mergeCell ref="A55:C55"/>
    <mergeCell ref="A58:C58"/>
    <mergeCell ref="A48:C48"/>
    <mergeCell ref="A52:C52"/>
    <mergeCell ref="A39:C39"/>
    <mergeCell ref="A44:C44"/>
    <mergeCell ref="A36:C36"/>
    <mergeCell ref="A29:C29"/>
    <mergeCell ref="A32:C32"/>
    <mergeCell ref="A19:C19"/>
    <mergeCell ref="A11:C11"/>
    <mergeCell ref="A18:C18"/>
    <mergeCell ref="A8:C8"/>
    <mergeCell ref="A1:B1"/>
    <mergeCell ref="A2:B2"/>
    <mergeCell ref="A3:C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2:F197"/>
  <sheetViews>
    <sheetView workbookViewId="0"/>
  </sheetViews>
  <sheetFormatPr baseColWidth="10" defaultColWidth="11.44140625" defaultRowHeight="14.4"/>
  <cols>
    <col min="1" max="2" width="30" style="368" customWidth="1"/>
    <col min="3" max="3" width="118.44140625" style="368" customWidth="1"/>
    <col min="4" max="5" width="30" style="368" customWidth="1"/>
    <col min="6" max="6" width="118.44140625" style="368" customWidth="1"/>
    <col min="7" max="16384" width="11.44140625" style="368"/>
  </cols>
  <sheetData>
    <row r="2" spans="1:6" ht="63.75" customHeight="1">
      <c r="A2" s="547" t="s">
        <v>3170</v>
      </c>
      <c r="B2" s="548"/>
      <c r="C2" s="549" t="s">
        <v>3171</v>
      </c>
      <c r="D2" s="550"/>
      <c r="E2" s="550"/>
      <c r="F2" s="551"/>
    </row>
    <row r="3" spans="1:6" ht="15.6">
      <c r="A3" s="547" t="s">
        <v>3170</v>
      </c>
      <c r="B3" s="548"/>
      <c r="C3" s="549" t="s">
        <v>3172</v>
      </c>
      <c r="D3" s="550"/>
      <c r="E3" s="550"/>
      <c r="F3" s="551" t="s">
        <v>3172</v>
      </c>
    </row>
    <row r="4" spans="1:6" ht="15.6">
      <c r="A4" s="547" t="s">
        <v>3170</v>
      </c>
      <c r="B4" s="548"/>
      <c r="C4" s="549" t="s">
        <v>3173</v>
      </c>
      <c r="D4" s="550"/>
      <c r="E4" s="550"/>
      <c r="F4" s="551" t="s">
        <v>3173</v>
      </c>
    </row>
    <row r="5" spans="1:6" ht="15.6">
      <c r="A5" s="547" t="s">
        <v>3170</v>
      </c>
      <c r="B5" s="548"/>
      <c r="C5" s="549" t="s">
        <v>3174</v>
      </c>
      <c r="D5" s="550"/>
      <c r="E5" s="550"/>
      <c r="F5" s="551" t="s">
        <v>3174</v>
      </c>
    </row>
    <row r="6" spans="1:6" ht="15.6">
      <c r="A6" s="547" t="s">
        <v>3170</v>
      </c>
      <c r="B6" s="548"/>
      <c r="C6" s="549" t="s">
        <v>3175</v>
      </c>
      <c r="D6" s="550"/>
      <c r="E6" s="550"/>
      <c r="F6" s="551" t="s">
        <v>3175</v>
      </c>
    </row>
    <row r="7" spans="1:6" ht="15.6">
      <c r="A7" s="547" t="s">
        <v>3170</v>
      </c>
      <c r="B7" s="548"/>
      <c r="C7" s="549" t="s">
        <v>3176</v>
      </c>
      <c r="D7" s="550"/>
      <c r="E7" s="550"/>
      <c r="F7" s="551" t="s">
        <v>3176</v>
      </c>
    </row>
    <row r="8" spans="1:6" ht="15.6">
      <c r="A8" s="547" t="s">
        <v>3170</v>
      </c>
      <c r="B8" s="548"/>
      <c r="C8" s="549" t="s">
        <v>3177</v>
      </c>
      <c r="D8" s="550"/>
      <c r="E8" s="550"/>
      <c r="F8" s="551" t="s">
        <v>3177</v>
      </c>
    </row>
    <row r="9" spans="1:6" ht="15.6">
      <c r="A9" s="547" t="s">
        <v>3353</v>
      </c>
      <c r="B9" s="548"/>
      <c r="C9" s="549" t="s">
        <v>3354</v>
      </c>
      <c r="D9" s="550"/>
      <c r="E9" s="550"/>
      <c r="F9" s="551" t="s">
        <v>3354</v>
      </c>
    </row>
    <row r="10" spans="1:6" ht="15.6">
      <c r="A10" s="547" t="s">
        <v>3353</v>
      </c>
      <c r="B10" s="548"/>
      <c r="C10" s="549" t="s">
        <v>3355</v>
      </c>
      <c r="D10" s="550"/>
      <c r="E10" s="550"/>
      <c r="F10" s="551" t="s">
        <v>3355</v>
      </c>
    </row>
    <row r="11" spans="1:6" ht="15.6">
      <c r="A11" s="547" t="s">
        <v>3353</v>
      </c>
      <c r="B11" s="548"/>
      <c r="C11" s="549" t="s">
        <v>3356</v>
      </c>
      <c r="D11" s="550"/>
      <c r="E11" s="550"/>
      <c r="F11" s="551" t="s">
        <v>3356</v>
      </c>
    </row>
    <row r="12" spans="1:6" ht="15.6">
      <c r="A12" s="547" t="s">
        <v>3353</v>
      </c>
      <c r="B12" s="548"/>
      <c r="C12" s="549" t="s">
        <v>3357</v>
      </c>
      <c r="D12" s="550"/>
      <c r="E12" s="550"/>
      <c r="F12" s="551" t="s">
        <v>3357</v>
      </c>
    </row>
    <row r="13" spans="1:6" ht="15.6">
      <c r="A13" s="547" t="s">
        <v>3358</v>
      </c>
      <c r="B13" s="548"/>
      <c r="C13" s="549" t="s">
        <v>3359</v>
      </c>
      <c r="D13" s="550"/>
      <c r="E13" s="550"/>
      <c r="F13" s="551" t="s">
        <v>3359</v>
      </c>
    </row>
    <row r="14" spans="1:6" ht="15.6">
      <c r="A14" s="547" t="s">
        <v>3358</v>
      </c>
      <c r="B14" s="548"/>
      <c r="C14" s="549" t="s">
        <v>3360</v>
      </c>
      <c r="D14" s="550"/>
      <c r="E14" s="550"/>
      <c r="F14" s="551" t="s">
        <v>3360</v>
      </c>
    </row>
    <row r="15" spans="1:6" ht="15.6">
      <c r="A15" s="547" t="s">
        <v>3358</v>
      </c>
      <c r="B15" s="548"/>
      <c r="C15" s="549" t="s">
        <v>3361</v>
      </c>
      <c r="D15" s="550"/>
      <c r="E15" s="550"/>
      <c r="F15" s="551" t="s">
        <v>3361</v>
      </c>
    </row>
    <row r="16" spans="1:6" ht="15.6">
      <c r="A16" s="547" t="s">
        <v>3358</v>
      </c>
      <c r="B16" s="548"/>
      <c r="C16" s="549" t="s">
        <v>3362</v>
      </c>
      <c r="D16" s="550"/>
      <c r="E16" s="550"/>
      <c r="F16" s="551" t="s">
        <v>3362</v>
      </c>
    </row>
    <row r="17" spans="1:6" ht="15.6">
      <c r="A17" s="547" t="s">
        <v>3358</v>
      </c>
      <c r="B17" s="548"/>
      <c r="C17" s="549" t="s">
        <v>3363</v>
      </c>
      <c r="D17" s="550"/>
      <c r="E17" s="550"/>
      <c r="F17" s="551" t="s">
        <v>3363</v>
      </c>
    </row>
    <row r="18" spans="1:6" ht="15.6">
      <c r="A18" s="547" t="s">
        <v>3364</v>
      </c>
      <c r="B18" s="548"/>
      <c r="C18" s="549" t="s">
        <v>3365</v>
      </c>
      <c r="D18" s="550"/>
      <c r="E18" s="550"/>
      <c r="F18" s="551" t="s">
        <v>3365</v>
      </c>
    </row>
    <row r="19" spans="1:6" ht="15.6">
      <c r="A19" s="547" t="s">
        <v>3364</v>
      </c>
      <c r="B19" s="548"/>
      <c r="C19" s="549" t="s">
        <v>3366</v>
      </c>
      <c r="D19" s="550"/>
      <c r="E19" s="550"/>
      <c r="F19" s="551" t="s">
        <v>3366</v>
      </c>
    </row>
    <row r="20" spans="1:6" ht="15.6">
      <c r="A20" s="547" t="s">
        <v>3364</v>
      </c>
      <c r="B20" s="548"/>
      <c r="C20" s="549" t="s">
        <v>3367</v>
      </c>
      <c r="D20" s="550"/>
      <c r="E20" s="550"/>
      <c r="F20" s="551" t="s">
        <v>3367</v>
      </c>
    </row>
    <row r="21" spans="1:6" ht="15.6">
      <c r="A21" s="547" t="s">
        <v>3364</v>
      </c>
      <c r="B21" s="548"/>
      <c r="C21" s="549" t="s">
        <v>3368</v>
      </c>
      <c r="D21" s="550"/>
      <c r="E21" s="550"/>
      <c r="F21" s="551" t="s">
        <v>3368</v>
      </c>
    </row>
    <row r="22" spans="1:6" ht="15.6">
      <c r="A22" s="547" t="s">
        <v>3364</v>
      </c>
      <c r="B22" s="548"/>
      <c r="C22" s="549" t="s">
        <v>3369</v>
      </c>
      <c r="D22" s="550"/>
      <c r="E22" s="550"/>
      <c r="F22" s="551" t="s">
        <v>3369</v>
      </c>
    </row>
    <row r="23" spans="1:6" ht="15.6">
      <c r="A23" s="547" t="s">
        <v>3370</v>
      </c>
      <c r="B23" s="548"/>
      <c r="C23" s="549" t="s">
        <v>3371</v>
      </c>
      <c r="D23" s="550"/>
      <c r="E23" s="550"/>
      <c r="F23" s="551" t="s">
        <v>3371</v>
      </c>
    </row>
    <row r="24" spans="1:6" ht="15.6">
      <c r="A24" s="547" t="s">
        <v>3370</v>
      </c>
      <c r="B24" s="548"/>
      <c r="C24" s="549" t="s">
        <v>3372</v>
      </c>
      <c r="D24" s="550"/>
      <c r="E24" s="550"/>
      <c r="F24" s="551" t="s">
        <v>3372</v>
      </c>
    </row>
    <row r="25" spans="1:6" ht="15.6">
      <c r="A25" s="547" t="s">
        <v>3370</v>
      </c>
      <c r="B25" s="548"/>
      <c r="C25" s="549" t="s">
        <v>3373</v>
      </c>
      <c r="D25" s="550"/>
      <c r="E25" s="550"/>
      <c r="F25" s="551" t="s">
        <v>3373</v>
      </c>
    </row>
    <row r="26" spans="1:6" ht="15.6">
      <c r="A26" s="547" t="s">
        <v>3370</v>
      </c>
      <c r="B26" s="548"/>
      <c r="C26" s="549" t="s">
        <v>3374</v>
      </c>
      <c r="D26" s="550"/>
      <c r="E26" s="550"/>
      <c r="F26" s="551" t="s">
        <v>3374</v>
      </c>
    </row>
    <row r="27" spans="1:6" ht="15.6">
      <c r="A27" s="547" t="s">
        <v>3370</v>
      </c>
      <c r="B27" s="548"/>
      <c r="C27" s="549" t="s">
        <v>3375</v>
      </c>
      <c r="D27" s="550"/>
      <c r="E27" s="550"/>
      <c r="F27" s="551" t="s">
        <v>3375</v>
      </c>
    </row>
    <row r="28" spans="1:6" ht="15.6">
      <c r="A28" s="547" t="s">
        <v>3370</v>
      </c>
      <c r="B28" s="548"/>
      <c r="C28" s="549" t="s">
        <v>3376</v>
      </c>
      <c r="D28" s="550"/>
      <c r="E28" s="550"/>
      <c r="F28" s="551" t="s">
        <v>3376</v>
      </c>
    </row>
    <row r="29" spans="1:6" ht="15.6">
      <c r="A29" s="547" t="s">
        <v>3377</v>
      </c>
      <c r="B29" s="548"/>
      <c r="C29" s="549" t="s">
        <v>3378</v>
      </c>
      <c r="D29" s="550"/>
      <c r="E29" s="550"/>
      <c r="F29" s="551" t="s">
        <v>3378</v>
      </c>
    </row>
    <row r="30" spans="1:6" ht="15.6">
      <c r="A30" s="547" t="s">
        <v>3377</v>
      </c>
      <c r="B30" s="548"/>
      <c r="C30" s="549" t="s">
        <v>3379</v>
      </c>
      <c r="D30" s="550"/>
      <c r="E30" s="550"/>
      <c r="F30" s="551" t="s">
        <v>3379</v>
      </c>
    </row>
    <row r="31" spans="1:6" ht="15.6">
      <c r="A31" s="547" t="s">
        <v>3377</v>
      </c>
      <c r="B31" s="548"/>
      <c r="C31" s="549" t="s">
        <v>3380</v>
      </c>
      <c r="D31" s="550"/>
      <c r="E31" s="550"/>
      <c r="F31" s="551" t="s">
        <v>3380</v>
      </c>
    </row>
    <row r="32" spans="1:6" ht="15.6">
      <c r="A32" s="547" t="s">
        <v>3377</v>
      </c>
      <c r="B32" s="548"/>
      <c r="C32" s="549" t="s">
        <v>3381</v>
      </c>
      <c r="D32" s="550"/>
      <c r="E32" s="550"/>
      <c r="F32" s="551" t="s">
        <v>3381</v>
      </c>
    </row>
    <row r="33" spans="1:6" ht="15.6">
      <c r="A33" s="547" t="s">
        <v>3377</v>
      </c>
      <c r="B33" s="548"/>
      <c r="C33" s="549" t="s">
        <v>3382</v>
      </c>
      <c r="D33" s="550"/>
      <c r="E33" s="550"/>
      <c r="F33" s="551" t="s">
        <v>3382</v>
      </c>
    </row>
    <row r="34" spans="1:6" ht="15.6">
      <c r="A34" s="547" t="s">
        <v>3377</v>
      </c>
      <c r="B34" s="548"/>
      <c r="C34" s="549" t="s">
        <v>3383</v>
      </c>
      <c r="D34" s="550"/>
      <c r="E34" s="550"/>
      <c r="F34" s="551" t="s">
        <v>3383</v>
      </c>
    </row>
    <row r="35" spans="1:6" ht="15.6">
      <c r="A35" s="547" t="s">
        <v>3377</v>
      </c>
      <c r="B35" s="548"/>
      <c r="C35" s="549" t="s">
        <v>3384</v>
      </c>
      <c r="D35" s="550"/>
      <c r="E35" s="550"/>
      <c r="F35" s="551" t="s">
        <v>3384</v>
      </c>
    </row>
    <row r="36" spans="1:6" ht="15.6">
      <c r="A36" s="547" t="s">
        <v>3377</v>
      </c>
      <c r="B36" s="548"/>
      <c r="C36" s="549" t="s">
        <v>3385</v>
      </c>
      <c r="D36" s="550"/>
      <c r="E36" s="550"/>
      <c r="F36" s="551" t="s">
        <v>3385</v>
      </c>
    </row>
    <row r="37" spans="1:6" ht="15.6">
      <c r="A37" s="547" t="s">
        <v>3377</v>
      </c>
      <c r="B37" s="548"/>
      <c r="C37" s="549" t="s">
        <v>3386</v>
      </c>
      <c r="D37" s="550"/>
      <c r="E37" s="550"/>
      <c r="F37" s="551" t="s">
        <v>3386</v>
      </c>
    </row>
    <row r="38" spans="1:6" ht="15.6">
      <c r="A38" s="547" t="s">
        <v>3377</v>
      </c>
      <c r="B38" s="548"/>
      <c r="C38" s="549" t="s">
        <v>3387</v>
      </c>
      <c r="D38" s="550"/>
      <c r="E38" s="550"/>
      <c r="F38" s="551" t="s">
        <v>3387</v>
      </c>
    </row>
    <row r="39" spans="1:6" ht="15.6">
      <c r="A39" s="547" t="s">
        <v>3377</v>
      </c>
      <c r="B39" s="548"/>
      <c r="C39" s="549" t="s">
        <v>3388</v>
      </c>
      <c r="D39" s="550"/>
      <c r="E39" s="550"/>
      <c r="F39" s="551" t="s">
        <v>3388</v>
      </c>
    </row>
    <row r="40" spans="1:6" ht="15.6">
      <c r="A40" s="547" t="s">
        <v>3377</v>
      </c>
      <c r="B40" s="548"/>
      <c r="C40" s="549" t="s">
        <v>3389</v>
      </c>
      <c r="D40" s="550"/>
      <c r="E40" s="550"/>
      <c r="F40" s="551" t="s">
        <v>3389</v>
      </c>
    </row>
    <row r="41" spans="1:6" ht="15.6">
      <c r="A41" s="547" t="s">
        <v>3377</v>
      </c>
      <c r="B41" s="548"/>
      <c r="C41" s="549" t="s">
        <v>3390</v>
      </c>
      <c r="D41" s="550"/>
      <c r="E41" s="550"/>
      <c r="F41" s="551" t="s">
        <v>3390</v>
      </c>
    </row>
    <row r="42" spans="1:6" ht="15.6">
      <c r="A42" s="547" t="s">
        <v>3377</v>
      </c>
      <c r="B42" s="548"/>
      <c r="C42" s="549" t="s">
        <v>3391</v>
      </c>
      <c r="D42" s="550"/>
      <c r="E42" s="550"/>
      <c r="F42" s="551" t="s">
        <v>3391</v>
      </c>
    </row>
    <row r="43" spans="1:6" ht="15.6">
      <c r="A43" s="547" t="s">
        <v>3377</v>
      </c>
      <c r="B43" s="548"/>
      <c r="C43" s="549" t="s">
        <v>3392</v>
      </c>
      <c r="D43" s="550"/>
      <c r="E43" s="550"/>
      <c r="F43" s="551" t="s">
        <v>3392</v>
      </c>
    </row>
    <row r="44" spans="1:6" ht="15.6">
      <c r="A44" s="547" t="s">
        <v>3377</v>
      </c>
      <c r="B44" s="548"/>
      <c r="C44" s="549" t="s">
        <v>3393</v>
      </c>
      <c r="D44" s="550"/>
      <c r="E44" s="550"/>
      <c r="F44" s="551" t="s">
        <v>3393</v>
      </c>
    </row>
    <row r="45" spans="1:6" ht="15.6">
      <c r="A45" s="547" t="s">
        <v>3377</v>
      </c>
      <c r="B45" s="548"/>
      <c r="C45" s="549" t="s">
        <v>3394</v>
      </c>
      <c r="D45" s="550"/>
      <c r="E45" s="550"/>
      <c r="F45" s="551" t="s">
        <v>3394</v>
      </c>
    </row>
    <row r="46" spans="1:6" ht="15.6">
      <c r="A46" s="547" t="s">
        <v>3395</v>
      </c>
      <c r="B46" s="548"/>
      <c r="C46" s="549" t="s">
        <v>3396</v>
      </c>
      <c r="D46" s="550"/>
      <c r="E46" s="550"/>
      <c r="F46" s="551" t="s">
        <v>3396</v>
      </c>
    </row>
    <row r="47" spans="1:6" ht="15.6">
      <c r="A47" s="547" t="s">
        <v>3395</v>
      </c>
      <c r="B47" s="548"/>
      <c r="C47" s="549" t="s">
        <v>3397</v>
      </c>
      <c r="D47" s="550"/>
      <c r="E47" s="550"/>
      <c r="F47" s="551" t="s">
        <v>3397</v>
      </c>
    </row>
    <row r="48" spans="1:6" ht="15.6">
      <c r="A48" s="547" t="s">
        <v>3398</v>
      </c>
      <c r="B48" s="548"/>
      <c r="C48" s="549" t="s">
        <v>3399</v>
      </c>
      <c r="D48" s="550"/>
      <c r="E48" s="550"/>
      <c r="F48" s="551" t="s">
        <v>3399</v>
      </c>
    </row>
    <row r="49" spans="1:6" ht="15.6">
      <c r="A49" s="547" t="s">
        <v>3398</v>
      </c>
      <c r="B49" s="548"/>
      <c r="C49" s="549" t="s">
        <v>3400</v>
      </c>
      <c r="D49" s="550"/>
      <c r="E49" s="550"/>
      <c r="F49" s="551" t="s">
        <v>3400</v>
      </c>
    </row>
    <row r="50" spans="1:6" ht="15.6">
      <c r="A50" s="547" t="s">
        <v>3401</v>
      </c>
      <c r="B50" s="548"/>
      <c r="C50" s="549" t="s">
        <v>3402</v>
      </c>
      <c r="D50" s="550"/>
      <c r="E50" s="550"/>
      <c r="F50" s="551" t="s">
        <v>3402</v>
      </c>
    </row>
    <row r="51" spans="1:6" ht="15.6">
      <c r="A51" s="547" t="s">
        <v>3403</v>
      </c>
      <c r="B51" s="548"/>
      <c r="C51" s="549" t="s">
        <v>3404</v>
      </c>
      <c r="D51" s="550"/>
      <c r="E51" s="550"/>
      <c r="F51" s="551" t="s">
        <v>3404</v>
      </c>
    </row>
    <row r="52" spans="1:6" ht="15.6">
      <c r="A52" s="547" t="s">
        <v>3403</v>
      </c>
      <c r="B52" s="548"/>
      <c r="C52" s="549" t="s">
        <v>3406</v>
      </c>
      <c r="D52" s="550"/>
      <c r="E52" s="550"/>
      <c r="F52" s="551" t="s">
        <v>3406</v>
      </c>
    </row>
    <row r="53" spans="1:6" ht="15.6">
      <c r="A53" s="547" t="s">
        <v>3403</v>
      </c>
      <c r="B53" s="548"/>
      <c r="C53" s="549" t="s">
        <v>3405</v>
      </c>
      <c r="D53" s="550"/>
      <c r="E53" s="550"/>
      <c r="F53" s="551" t="s">
        <v>3405</v>
      </c>
    </row>
    <row r="54" spans="1:6" ht="15.6">
      <c r="A54" s="547" t="s">
        <v>3403</v>
      </c>
      <c r="B54" s="548"/>
      <c r="C54" s="549" t="s">
        <v>3407</v>
      </c>
      <c r="D54" s="550"/>
      <c r="E54" s="550"/>
      <c r="F54" s="551" t="s">
        <v>3407</v>
      </c>
    </row>
    <row r="55" spans="1:6" ht="15.6">
      <c r="A55" s="547" t="s">
        <v>3403</v>
      </c>
      <c r="B55" s="548"/>
      <c r="C55" s="549" t="s">
        <v>3408</v>
      </c>
      <c r="D55" s="550"/>
      <c r="E55" s="550"/>
      <c r="F55" s="551" t="s">
        <v>3408</v>
      </c>
    </row>
    <row r="56" spans="1:6" ht="15.6">
      <c r="A56" s="547" t="s">
        <v>3403</v>
      </c>
      <c r="B56" s="548"/>
      <c r="C56" s="549" t="s">
        <v>3409</v>
      </c>
      <c r="D56" s="550"/>
      <c r="E56" s="550"/>
      <c r="F56" s="551" t="s">
        <v>3409</v>
      </c>
    </row>
    <row r="57" spans="1:6" ht="15.6">
      <c r="A57" s="547" t="s">
        <v>3403</v>
      </c>
      <c r="B57" s="548"/>
      <c r="C57" s="549" t="s">
        <v>3410</v>
      </c>
      <c r="D57" s="550"/>
      <c r="E57" s="550"/>
      <c r="F57" s="551" t="s">
        <v>3410</v>
      </c>
    </row>
    <row r="58" spans="1:6" ht="15.6">
      <c r="A58" s="547" t="s">
        <v>3411</v>
      </c>
      <c r="B58" s="548"/>
      <c r="C58" s="549" t="s">
        <v>3412</v>
      </c>
      <c r="D58" s="550"/>
      <c r="E58" s="550"/>
      <c r="F58" s="551" t="s">
        <v>3412</v>
      </c>
    </row>
    <row r="59" spans="1:6" ht="15.6">
      <c r="A59" s="547" t="s">
        <v>3411</v>
      </c>
      <c r="B59" s="548"/>
      <c r="C59" s="549" t="s">
        <v>3413</v>
      </c>
      <c r="D59" s="550"/>
      <c r="E59" s="550"/>
      <c r="F59" s="551" t="s">
        <v>3413</v>
      </c>
    </row>
    <row r="60" spans="1:6" ht="15.6">
      <c r="A60" s="547" t="s">
        <v>3414</v>
      </c>
      <c r="B60" s="548"/>
      <c r="C60" s="549" t="s">
        <v>3415</v>
      </c>
      <c r="D60" s="550"/>
      <c r="E60" s="550"/>
      <c r="F60" s="551" t="s">
        <v>3415</v>
      </c>
    </row>
    <row r="61" spans="1:6" ht="15.6">
      <c r="A61" s="547" t="s">
        <v>3416</v>
      </c>
      <c r="B61" s="548"/>
      <c r="C61" s="549" t="s">
        <v>3417</v>
      </c>
      <c r="D61" s="550"/>
      <c r="E61" s="550"/>
      <c r="F61" s="551" t="s">
        <v>3417</v>
      </c>
    </row>
    <row r="62" spans="1:6" ht="15.6">
      <c r="A62" s="547" t="s">
        <v>3418</v>
      </c>
      <c r="B62" s="548"/>
      <c r="C62" s="549" t="s">
        <v>3419</v>
      </c>
      <c r="D62" s="550"/>
      <c r="E62" s="550"/>
      <c r="F62" s="551" t="s">
        <v>3419</v>
      </c>
    </row>
    <row r="63" spans="1:6" ht="15.6">
      <c r="A63" s="547" t="s">
        <v>3418</v>
      </c>
      <c r="B63" s="548"/>
      <c r="C63" s="549" t="s">
        <v>3420</v>
      </c>
      <c r="D63" s="550"/>
      <c r="E63" s="550"/>
      <c r="F63" s="551" t="s">
        <v>3420</v>
      </c>
    </row>
    <row r="64" spans="1:6" ht="15.6">
      <c r="A64" s="547" t="s">
        <v>3418</v>
      </c>
      <c r="B64" s="548"/>
      <c r="C64" s="549" t="s">
        <v>3421</v>
      </c>
      <c r="D64" s="550"/>
      <c r="E64" s="550"/>
      <c r="F64" s="551" t="s">
        <v>3421</v>
      </c>
    </row>
    <row r="65" spans="1:6" ht="15.6">
      <c r="A65" s="547" t="s">
        <v>3418</v>
      </c>
      <c r="B65" s="548"/>
      <c r="C65" s="549" t="s">
        <v>3422</v>
      </c>
      <c r="D65" s="550"/>
      <c r="E65" s="550"/>
      <c r="F65" s="551" t="s">
        <v>3422</v>
      </c>
    </row>
    <row r="66" spans="1:6" ht="15.6">
      <c r="A66" s="547" t="s">
        <v>3418</v>
      </c>
      <c r="B66" s="548"/>
      <c r="C66" s="549" t="s">
        <v>3483</v>
      </c>
      <c r="D66" s="550"/>
      <c r="E66" s="550"/>
      <c r="F66" s="551" t="s">
        <v>3423</v>
      </c>
    </row>
    <row r="67" spans="1:6" ht="15.6">
      <c r="A67" s="547" t="s">
        <v>3424</v>
      </c>
      <c r="B67" s="548"/>
      <c r="C67" s="549" t="s">
        <v>3425</v>
      </c>
      <c r="D67" s="550"/>
      <c r="E67" s="550"/>
      <c r="F67" s="551" t="s">
        <v>3425</v>
      </c>
    </row>
    <row r="68" spans="1:6" ht="15.6">
      <c r="A68" s="547" t="s">
        <v>3426</v>
      </c>
      <c r="B68" s="548"/>
      <c r="C68" s="549" t="s">
        <v>3427</v>
      </c>
      <c r="D68" s="550"/>
      <c r="E68" s="550"/>
      <c r="F68" s="551" t="s">
        <v>3427</v>
      </c>
    </row>
    <row r="69" spans="1:6" ht="15.6">
      <c r="A69" s="547" t="s">
        <v>3426</v>
      </c>
      <c r="B69" s="548"/>
      <c r="C69" s="549" t="s">
        <v>3428</v>
      </c>
      <c r="D69" s="550"/>
      <c r="E69" s="550"/>
      <c r="F69" s="551" t="s">
        <v>3428</v>
      </c>
    </row>
    <row r="70" spans="1:6" ht="15.6">
      <c r="A70" s="547" t="s">
        <v>3426</v>
      </c>
      <c r="B70" s="548"/>
      <c r="C70" s="549" t="s">
        <v>3429</v>
      </c>
      <c r="D70" s="550"/>
      <c r="E70" s="550"/>
      <c r="F70" s="551" t="s">
        <v>3429</v>
      </c>
    </row>
    <row r="71" spans="1:6" ht="15.6">
      <c r="A71" s="547" t="s">
        <v>3430</v>
      </c>
      <c r="B71" s="548"/>
      <c r="C71" s="549" t="s">
        <v>3431</v>
      </c>
      <c r="D71" s="550"/>
      <c r="E71" s="550"/>
      <c r="F71" s="551" t="s">
        <v>3431</v>
      </c>
    </row>
    <row r="72" spans="1:6" ht="15.6">
      <c r="A72" s="547" t="s">
        <v>3430</v>
      </c>
      <c r="B72" s="548"/>
      <c r="C72" s="549" t="s">
        <v>3432</v>
      </c>
      <c r="D72" s="550"/>
      <c r="E72" s="550"/>
      <c r="F72" s="551" t="s">
        <v>3432</v>
      </c>
    </row>
    <row r="73" spans="1:6" ht="15.6">
      <c r="A73" s="547" t="s">
        <v>3433</v>
      </c>
      <c r="B73" s="548"/>
      <c r="C73" s="549" t="s">
        <v>3434</v>
      </c>
      <c r="D73" s="550"/>
      <c r="E73" s="550"/>
      <c r="F73" s="551" t="s">
        <v>3434</v>
      </c>
    </row>
    <row r="74" spans="1:6" ht="15.6">
      <c r="A74" s="547" t="s">
        <v>3433</v>
      </c>
      <c r="B74" s="548"/>
      <c r="C74" s="549" t="s">
        <v>3435</v>
      </c>
      <c r="D74" s="550"/>
      <c r="E74" s="550"/>
      <c r="F74" s="551" t="s">
        <v>3435</v>
      </c>
    </row>
    <row r="75" spans="1:6" ht="15.6">
      <c r="A75" s="547" t="s">
        <v>3437</v>
      </c>
      <c r="B75" s="548"/>
      <c r="C75" s="549" t="s">
        <v>3436</v>
      </c>
      <c r="D75" s="550"/>
      <c r="E75" s="550"/>
      <c r="F75" s="551" t="s">
        <v>3436</v>
      </c>
    </row>
    <row r="76" spans="1:6" ht="15.6">
      <c r="A76" s="547" t="s">
        <v>2913</v>
      </c>
      <c r="B76" s="548"/>
      <c r="C76" s="549" t="s">
        <v>2879</v>
      </c>
      <c r="D76" s="550"/>
      <c r="E76" s="550"/>
      <c r="F76" s="551" t="s">
        <v>2879</v>
      </c>
    </row>
    <row r="77" spans="1:6" ht="15.6">
      <c r="A77" s="547" t="s">
        <v>2914</v>
      </c>
      <c r="B77" s="548"/>
      <c r="C77" s="549" t="s">
        <v>2880</v>
      </c>
      <c r="D77" s="550"/>
      <c r="E77" s="550"/>
      <c r="F77" s="551" t="s">
        <v>2880</v>
      </c>
    </row>
    <row r="78" spans="1:6" ht="15.6">
      <c r="A78" s="547" t="s">
        <v>2915</v>
      </c>
      <c r="B78" s="548"/>
      <c r="C78" s="549" t="s">
        <v>3439</v>
      </c>
      <c r="D78" s="550"/>
      <c r="E78" s="550"/>
      <c r="F78" s="551" t="s">
        <v>3439</v>
      </c>
    </row>
    <row r="79" spans="1:6" ht="15.6">
      <c r="A79" s="547" t="s">
        <v>2916</v>
      </c>
      <c r="B79" s="548"/>
      <c r="C79" s="549" t="s">
        <v>2612</v>
      </c>
      <c r="D79" s="550"/>
      <c r="E79" s="550"/>
      <c r="F79" s="551" t="s">
        <v>2612</v>
      </c>
    </row>
    <row r="80" spans="1:6" ht="15.6">
      <c r="A80" s="547" t="s">
        <v>2917</v>
      </c>
      <c r="B80" s="548"/>
      <c r="C80" s="549" t="s">
        <v>3440</v>
      </c>
      <c r="D80" s="550"/>
      <c r="E80" s="550"/>
      <c r="F80" s="551" t="s">
        <v>3440</v>
      </c>
    </row>
    <row r="81" spans="1:6" ht="15.6">
      <c r="A81" s="547" t="s">
        <v>2918</v>
      </c>
      <c r="B81" s="548"/>
      <c r="C81" s="549" t="s">
        <v>2613</v>
      </c>
      <c r="D81" s="550"/>
      <c r="E81" s="550"/>
      <c r="F81" s="551" t="s">
        <v>2613</v>
      </c>
    </row>
    <row r="82" spans="1:6" ht="15.6">
      <c r="A82" s="547" t="s">
        <v>2919</v>
      </c>
      <c r="B82" s="548"/>
      <c r="C82" s="549" t="s">
        <v>2614</v>
      </c>
      <c r="D82" s="550"/>
      <c r="E82" s="550"/>
      <c r="F82" s="551" t="s">
        <v>2614</v>
      </c>
    </row>
    <row r="83" spans="1:6" ht="15.6">
      <c r="A83" s="547" t="s">
        <v>2920</v>
      </c>
      <c r="B83" s="548"/>
      <c r="C83" s="549" t="s">
        <v>2881</v>
      </c>
      <c r="D83" s="550"/>
      <c r="E83" s="550"/>
      <c r="F83" s="551" t="s">
        <v>2881</v>
      </c>
    </row>
    <row r="84" spans="1:6" ht="15.6">
      <c r="A84" s="547" t="s">
        <v>2840</v>
      </c>
      <c r="B84" s="548"/>
      <c r="C84" s="549" t="s">
        <v>2615</v>
      </c>
      <c r="D84" s="550"/>
      <c r="E84" s="550"/>
      <c r="F84" s="551" t="s">
        <v>2615</v>
      </c>
    </row>
    <row r="85" spans="1:6" ht="15.6">
      <c r="A85" s="547" t="s">
        <v>2921</v>
      </c>
      <c r="B85" s="548"/>
      <c r="C85" s="549" t="s">
        <v>2616</v>
      </c>
      <c r="D85" s="550"/>
      <c r="E85" s="550"/>
      <c r="F85" s="551" t="s">
        <v>2616</v>
      </c>
    </row>
    <row r="86" spans="1:6" ht="15.6">
      <c r="A86" s="547" t="s">
        <v>2922</v>
      </c>
      <c r="B86" s="548"/>
      <c r="C86" s="549" t="s">
        <v>2617</v>
      </c>
      <c r="D86" s="550"/>
      <c r="E86" s="550"/>
      <c r="F86" s="551" t="s">
        <v>2617</v>
      </c>
    </row>
    <row r="87" spans="1:6" ht="15.6">
      <c r="A87" s="547" t="s">
        <v>2923</v>
      </c>
      <c r="B87" s="548"/>
      <c r="C87" s="549" t="s">
        <v>2882</v>
      </c>
      <c r="D87" s="550"/>
      <c r="E87" s="550"/>
      <c r="F87" s="551" t="s">
        <v>2882</v>
      </c>
    </row>
    <row r="88" spans="1:6" ht="15.6">
      <c r="A88" s="547" t="s">
        <v>2924</v>
      </c>
      <c r="B88" s="548"/>
      <c r="C88" s="549" t="s">
        <v>2883</v>
      </c>
      <c r="D88" s="550"/>
      <c r="E88" s="550"/>
      <c r="F88" s="551" t="s">
        <v>2883</v>
      </c>
    </row>
    <row r="89" spans="1:6" ht="15.6">
      <c r="A89" s="547" t="s">
        <v>2925</v>
      </c>
      <c r="B89" s="548"/>
      <c r="C89" s="549" t="s">
        <v>2884</v>
      </c>
      <c r="D89" s="550"/>
      <c r="E89" s="550"/>
      <c r="F89" s="551" t="s">
        <v>2884</v>
      </c>
    </row>
    <row r="90" spans="1:6" ht="15.6">
      <c r="A90" s="547" t="s">
        <v>2926</v>
      </c>
      <c r="B90" s="548"/>
      <c r="C90" s="549" t="s">
        <v>2618</v>
      </c>
      <c r="D90" s="550"/>
      <c r="E90" s="550"/>
      <c r="F90" s="551" t="s">
        <v>2618</v>
      </c>
    </row>
    <row r="91" spans="1:6" ht="15.6">
      <c r="A91" s="547" t="s">
        <v>2927</v>
      </c>
      <c r="B91" s="548"/>
      <c r="C91" s="549" t="s">
        <v>2619</v>
      </c>
      <c r="D91" s="550"/>
      <c r="E91" s="550"/>
      <c r="F91" s="551" t="s">
        <v>2619</v>
      </c>
    </row>
    <row r="92" spans="1:6" ht="15.6">
      <c r="A92" s="547" t="s">
        <v>2928</v>
      </c>
      <c r="B92" s="548"/>
      <c r="C92" s="549" t="s">
        <v>2885</v>
      </c>
      <c r="D92" s="550"/>
      <c r="E92" s="550"/>
      <c r="F92" s="551" t="s">
        <v>2885</v>
      </c>
    </row>
    <row r="93" spans="1:6" ht="15.6">
      <c r="A93" s="547" t="s">
        <v>2929</v>
      </c>
      <c r="B93" s="548"/>
      <c r="C93" s="549" t="s">
        <v>2886</v>
      </c>
      <c r="D93" s="550"/>
      <c r="E93" s="550"/>
      <c r="F93" s="551" t="s">
        <v>2886</v>
      </c>
    </row>
    <row r="94" spans="1:6" ht="15.6">
      <c r="A94" s="547" t="s">
        <v>2930</v>
      </c>
      <c r="B94" s="548"/>
      <c r="C94" s="549" t="s">
        <v>2887</v>
      </c>
      <c r="D94" s="550"/>
      <c r="E94" s="550"/>
      <c r="F94" s="551" t="s">
        <v>2887</v>
      </c>
    </row>
    <row r="95" spans="1:6" ht="15.6">
      <c r="A95" s="547" t="s">
        <v>2931</v>
      </c>
      <c r="B95" s="548"/>
      <c r="C95" s="549" t="s">
        <v>2888</v>
      </c>
      <c r="D95" s="550"/>
      <c r="E95" s="550"/>
      <c r="F95" s="551" t="s">
        <v>2888</v>
      </c>
    </row>
    <row r="96" spans="1:6" ht="15.6">
      <c r="A96" s="547" t="s">
        <v>2932</v>
      </c>
      <c r="B96" s="548"/>
      <c r="C96" s="549" t="s">
        <v>2620</v>
      </c>
      <c r="D96" s="550"/>
      <c r="E96" s="550"/>
      <c r="F96" s="551" t="s">
        <v>2620</v>
      </c>
    </row>
    <row r="97" spans="1:6" ht="15.6">
      <c r="A97" s="547" t="s">
        <v>2933</v>
      </c>
      <c r="B97" s="548"/>
      <c r="C97" s="549" t="s">
        <v>2621</v>
      </c>
      <c r="D97" s="550"/>
      <c r="E97" s="550"/>
      <c r="F97" s="551" t="s">
        <v>2621</v>
      </c>
    </row>
    <row r="98" spans="1:6" ht="15.6">
      <c r="A98" s="547" t="s">
        <v>2934</v>
      </c>
      <c r="B98" s="548"/>
      <c r="C98" s="549" t="s">
        <v>2889</v>
      </c>
      <c r="D98" s="550"/>
      <c r="E98" s="550"/>
      <c r="F98" s="551" t="s">
        <v>2889</v>
      </c>
    </row>
    <row r="99" spans="1:6" ht="15.6">
      <c r="A99" s="547" t="s">
        <v>2935</v>
      </c>
      <c r="B99" s="548"/>
      <c r="C99" s="549" t="s">
        <v>2622</v>
      </c>
      <c r="D99" s="550"/>
      <c r="E99" s="550"/>
      <c r="F99" s="551" t="s">
        <v>2622</v>
      </c>
    </row>
    <row r="100" spans="1:6" ht="15.6">
      <c r="A100" s="547" t="s">
        <v>2841</v>
      </c>
      <c r="B100" s="548"/>
      <c r="C100" s="549" t="s">
        <v>3441</v>
      </c>
      <c r="D100" s="550"/>
      <c r="E100" s="550"/>
      <c r="F100" s="551" t="s">
        <v>3441</v>
      </c>
    </row>
    <row r="101" spans="1:6" ht="15.6">
      <c r="A101" s="547" t="s">
        <v>2936</v>
      </c>
      <c r="B101" s="548"/>
      <c r="C101" s="549" t="s">
        <v>3442</v>
      </c>
      <c r="D101" s="550"/>
      <c r="E101" s="550"/>
      <c r="F101" s="551" t="s">
        <v>3442</v>
      </c>
    </row>
    <row r="102" spans="1:6" ht="15.6">
      <c r="A102" s="547" t="s">
        <v>2842</v>
      </c>
      <c r="B102" s="548"/>
      <c r="C102" s="549" t="s">
        <v>2623</v>
      </c>
      <c r="D102" s="550"/>
      <c r="E102" s="550"/>
      <c r="F102" s="551" t="s">
        <v>2623</v>
      </c>
    </row>
    <row r="103" spans="1:6" ht="15.6">
      <c r="A103" s="547" t="s">
        <v>2937</v>
      </c>
      <c r="B103" s="548"/>
      <c r="C103" s="549" t="s">
        <v>2624</v>
      </c>
      <c r="D103" s="550"/>
      <c r="E103" s="550"/>
      <c r="F103" s="551" t="s">
        <v>2624</v>
      </c>
    </row>
    <row r="104" spans="1:6" ht="15.6">
      <c r="A104" s="547" t="s">
        <v>2938</v>
      </c>
      <c r="B104" s="548"/>
      <c r="C104" s="549" t="s">
        <v>2625</v>
      </c>
      <c r="D104" s="550"/>
      <c r="E104" s="550"/>
      <c r="F104" s="551" t="s">
        <v>2625</v>
      </c>
    </row>
    <row r="105" spans="1:6" ht="15.6">
      <c r="A105" s="547" t="s">
        <v>2939</v>
      </c>
      <c r="B105" s="548"/>
      <c r="C105" s="549" t="s">
        <v>3443</v>
      </c>
      <c r="D105" s="550"/>
      <c r="E105" s="550"/>
      <c r="F105" s="551" t="s">
        <v>3443</v>
      </c>
    </row>
    <row r="106" spans="1:6" ht="15.6">
      <c r="A106" s="547" t="s">
        <v>2940</v>
      </c>
      <c r="B106" s="548"/>
      <c r="C106" s="549" t="s">
        <v>2890</v>
      </c>
      <c r="D106" s="550"/>
      <c r="E106" s="550"/>
      <c r="F106" s="551" t="s">
        <v>2890</v>
      </c>
    </row>
    <row r="107" spans="1:6" ht="15.6">
      <c r="A107" s="547" t="s">
        <v>2941</v>
      </c>
      <c r="B107" s="548"/>
      <c r="C107" s="549" t="s">
        <v>2626</v>
      </c>
      <c r="D107" s="550"/>
      <c r="E107" s="550"/>
      <c r="F107" s="551" t="s">
        <v>2626</v>
      </c>
    </row>
    <row r="108" spans="1:6" ht="15.6">
      <c r="A108" s="547" t="s">
        <v>2942</v>
      </c>
      <c r="B108" s="548"/>
      <c r="C108" s="549" t="s">
        <v>3444</v>
      </c>
      <c r="D108" s="550"/>
      <c r="E108" s="550"/>
      <c r="F108" s="551" t="s">
        <v>3444</v>
      </c>
    </row>
    <row r="109" spans="1:6" ht="15.6">
      <c r="A109" s="547" t="s">
        <v>2943</v>
      </c>
      <c r="B109" s="548"/>
      <c r="C109" s="549" t="s">
        <v>3445</v>
      </c>
      <c r="D109" s="550"/>
      <c r="E109" s="550"/>
      <c r="F109" s="551" t="s">
        <v>3445</v>
      </c>
    </row>
    <row r="110" spans="1:6" ht="15.6">
      <c r="A110" s="547" t="s">
        <v>2944</v>
      </c>
      <c r="B110" s="548"/>
      <c r="C110" s="549" t="s">
        <v>3446</v>
      </c>
      <c r="D110" s="550"/>
      <c r="E110" s="550"/>
      <c r="F110" s="551" t="s">
        <v>3446</v>
      </c>
    </row>
    <row r="111" spans="1:6" ht="15.6">
      <c r="A111" s="547" t="s">
        <v>2945</v>
      </c>
      <c r="B111" s="548"/>
      <c r="C111" s="549" t="s">
        <v>3447</v>
      </c>
      <c r="D111" s="550"/>
      <c r="E111" s="550"/>
      <c r="F111" s="551" t="s">
        <v>3447</v>
      </c>
    </row>
    <row r="112" spans="1:6" ht="15.6">
      <c r="A112" s="547" t="s">
        <v>2946</v>
      </c>
      <c r="B112" s="548"/>
      <c r="C112" s="549" t="s">
        <v>2630</v>
      </c>
      <c r="D112" s="550"/>
      <c r="E112" s="550"/>
      <c r="F112" s="551" t="s">
        <v>2630</v>
      </c>
    </row>
    <row r="113" spans="1:6" ht="15.6">
      <c r="A113" s="547" t="s">
        <v>2947</v>
      </c>
      <c r="B113" s="548"/>
      <c r="C113" s="549" t="s">
        <v>2631</v>
      </c>
      <c r="D113" s="550"/>
      <c r="E113" s="550"/>
      <c r="F113" s="551" t="s">
        <v>2631</v>
      </c>
    </row>
    <row r="114" spans="1:6" ht="15.6">
      <c r="A114" s="547" t="s">
        <v>2948</v>
      </c>
      <c r="B114" s="548"/>
      <c r="C114" s="549" t="s">
        <v>2891</v>
      </c>
      <c r="D114" s="550"/>
      <c r="E114" s="550"/>
      <c r="F114" s="551" t="s">
        <v>2891</v>
      </c>
    </row>
    <row r="115" spans="1:6" ht="15.6">
      <c r="A115" s="547" t="s">
        <v>2949</v>
      </c>
      <c r="B115" s="548"/>
      <c r="C115" s="549" t="s">
        <v>2632</v>
      </c>
      <c r="D115" s="550"/>
      <c r="E115" s="550"/>
      <c r="F115" s="551" t="s">
        <v>2632</v>
      </c>
    </row>
    <row r="116" spans="1:6" ht="15.6">
      <c r="A116" s="547" t="s">
        <v>2950</v>
      </c>
      <c r="B116" s="548"/>
      <c r="C116" s="549" t="s">
        <v>2892</v>
      </c>
      <c r="D116" s="550"/>
      <c r="E116" s="550"/>
      <c r="F116" s="551" t="s">
        <v>2892</v>
      </c>
    </row>
    <row r="117" spans="1:6" ht="15.6">
      <c r="A117" s="547" t="s">
        <v>2951</v>
      </c>
      <c r="B117" s="548"/>
      <c r="C117" s="549" t="s">
        <v>2912</v>
      </c>
      <c r="D117" s="550"/>
      <c r="E117" s="550"/>
      <c r="F117" s="551" t="s">
        <v>2912</v>
      </c>
    </row>
    <row r="118" spans="1:6" ht="15.6">
      <c r="A118" s="547" t="s">
        <v>2952</v>
      </c>
      <c r="B118" s="548"/>
      <c r="C118" s="549" t="s">
        <v>3448</v>
      </c>
      <c r="D118" s="550"/>
      <c r="E118" s="550"/>
      <c r="F118" s="551" t="s">
        <v>3448</v>
      </c>
    </row>
    <row r="119" spans="1:6" ht="15.6">
      <c r="A119" s="547" t="s">
        <v>2953</v>
      </c>
      <c r="B119" s="548"/>
      <c r="C119" s="549" t="s">
        <v>2633</v>
      </c>
      <c r="D119" s="550"/>
      <c r="E119" s="550"/>
      <c r="F119" s="551" t="s">
        <v>2633</v>
      </c>
    </row>
    <row r="120" spans="1:6" ht="15.6">
      <c r="A120" s="547" t="s">
        <v>2954</v>
      </c>
      <c r="B120" s="548"/>
      <c r="C120" s="549" t="s">
        <v>3449</v>
      </c>
      <c r="D120" s="550"/>
      <c r="E120" s="550"/>
      <c r="F120" s="551" t="s">
        <v>3449</v>
      </c>
    </row>
    <row r="121" spans="1:6" ht="15.6">
      <c r="A121" s="547" t="s">
        <v>2955</v>
      </c>
      <c r="B121" s="548"/>
      <c r="C121" s="549" t="s">
        <v>2634</v>
      </c>
      <c r="D121" s="550"/>
      <c r="E121" s="550"/>
      <c r="F121" s="551" t="s">
        <v>2634</v>
      </c>
    </row>
    <row r="122" spans="1:6" ht="15.6">
      <c r="A122" s="547" t="s">
        <v>2956</v>
      </c>
      <c r="B122" s="548"/>
      <c r="C122" s="549" t="s">
        <v>3450</v>
      </c>
      <c r="D122" s="550"/>
      <c r="E122" s="550"/>
      <c r="F122" s="551" t="s">
        <v>3450</v>
      </c>
    </row>
    <row r="123" spans="1:6" ht="15.6">
      <c r="A123" s="547" t="s">
        <v>2843</v>
      </c>
      <c r="B123" s="548"/>
      <c r="C123" s="549" t="s">
        <v>2635</v>
      </c>
      <c r="D123" s="550"/>
      <c r="E123" s="550"/>
      <c r="F123" s="551" t="s">
        <v>2635</v>
      </c>
    </row>
    <row r="124" spans="1:6" ht="15.6">
      <c r="A124" s="547" t="s">
        <v>2957</v>
      </c>
      <c r="B124" s="548"/>
      <c r="C124" s="549" t="s">
        <v>3451</v>
      </c>
      <c r="D124" s="550"/>
      <c r="E124" s="550"/>
      <c r="F124" s="551" t="s">
        <v>3451</v>
      </c>
    </row>
    <row r="125" spans="1:6" ht="15.6">
      <c r="A125" s="547" t="s">
        <v>2958</v>
      </c>
      <c r="B125" s="548"/>
      <c r="C125" s="549" t="s">
        <v>2636</v>
      </c>
      <c r="D125" s="550"/>
      <c r="E125" s="550"/>
      <c r="F125" s="551" t="s">
        <v>2636</v>
      </c>
    </row>
    <row r="126" spans="1:6" ht="15.6">
      <c r="A126" s="547" t="s">
        <v>2959</v>
      </c>
      <c r="B126" s="548"/>
      <c r="C126" s="549" t="s">
        <v>3452</v>
      </c>
      <c r="D126" s="550"/>
      <c r="E126" s="550"/>
      <c r="F126" s="551" t="s">
        <v>3452</v>
      </c>
    </row>
    <row r="127" spans="1:6" ht="15.6">
      <c r="A127" s="547" t="s">
        <v>2959</v>
      </c>
      <c r="B127" s="548"/>
      <c r="C127" s="549" t="s">
        <v>3453</v>
      </c>
      <c r="D127" s="550"/>
      <c r="E127" s="550"/>
      <c r="F127" s="551" t="s">
        <v>3453</v>
      </c>
    </row>
    <row r="128" spans="1:6" ht="15.6">
      <c r="A128" s="547" t="s">
        <v>2960</v>
      </c>
      <c r="B128" s="548"/>
      <c r="C128" s="549" t="s">
        <v>3454</v>
      </c>
      <c r="D128" s="550"/>
      <c r="E128" s="550"/>
      <c r="F128" s="551" t="s">
        <v>3454</v>
      </c>
    </row>
    <row r="129" spans="1:6" ht="15.6">
      <c r="A129" s="547" t="s">
        <v>2961</v>
      </c>
      <c r="B129" s="548"/>
      <c r="C129" s="549" t="s">
        <v>3455</v>
      </c>
      <c r="D129" s="550"/>
      <c r="E129" s="550"/>
      <c r="F129" s="551" t="s">
        <v>3455</v>
      </c>
    </row>
    <row r="130" spans="1:6" ht="15.6">
      <c r="A130" s="547" t="s">
        <v>2962</v>
      </c>
      <c r="B130" s="548"/>
      <c r="C130" s="549" t="s">
        <v>2637</v>
      </c>
      <c r="D130" s="550"/>
      <c r="E130" s="550"/>
      <c r="F130" s="551" t="s">
        <v>2637</v>
      </c>
    </row>
    <row r="131" spans="1:6" ht="15.6">
      <c r="A131" s="547" t="s">
        <v>2963</v>
      </c>
      <c r="B131" s="548"/>
      <c r="C131" s="549" t="s">
        <v>2638</v>
      </c>
      <c r="D131" s="550"/>
      <c r="E131" s="550"/>
      <c r="F131" s="551" t="s">
        <v>2638</v>
      </c>
    </row>
    <row r="132" spans="1:6" ht="15.6">
      <c r="A132" s="547" t="s">
        <v>2964</v>
      </c>
      <c r="B132" s="548"/>
      <c r="C132" s="549" t="s">
        <v>3456</v>
      </c>
      <c r="D132" s="550"/>
      <c r="E132" s="550"/>
      <c r="F132" s="551" t="s">
        <v>3456</v>
      </c>
    </row>
    <row r="133" spans="1:6" ht="15.6">
      <c r="A133" s="547" t="s">
        <v>2965</v>
      </c>
      <c r="B133" s="548"/>
      <c r="C133" s="549" t="s">
        <v>2844</v>
      </c>
      <c r="D133" s="550"/>
      <c r="E133" s="550"/>
      <c r="F133" s="551" t="s">
        <v>2844</v>
      </c>
    </row>
    <row r="134" spans="1:6" ht="15.6">
      <c r="A134" s="547" t="s">
        <v>2966</v>
      </c>
      <c r="B134" s="548"/>
      <c r="C134" s="549" t="s">
        <v>2639</v>
      </c>
      <c r="D134" s="550"/>
      <c r="E134" s="550"/>
      <c r="F134" s="551" t="s">
        <v>2639</v>
      </c>
    </row>
    <row r="135" spans="1:6" ht="15.6">
      <c r="A135" s="547" t="s">
        <v>2967</v>
      </c>
      <c r="B135" s="548"/>
      <c r="C135" s="549" t="s">
        <v>2640</v>
      </c>
      <c r="D135" s="550"/>
      <c r="E135" s="550"/>
      <c r="F135" s="551" t="s">
        <v>2640</v>
      </c>
    </row>
    <row r="136" spans="1:6" ht="15.6">
      <c r="A136" s="547" t="s">
        <v>2968</v>
      </c>
      <c r="B136" s="548"/>
      <c r="C136" s="549" t="s">
        <v>2641</v>
      </c>
      <c r="D136" s="550"/>
      <c r="E136" s="550"/>
      <c r="F136" s="551" t="s">
        <v>2641</v>
      </c>
    </row>
    <row r="137" spans="1:6" ht="15.6">
      <c r="A137" s="547" t="s">
        <v>2969</v>
      </c>
      <c r="B137" s="548"/>
      <c r="C137" s="549" t="s">
        <v>2845</v>
      </c>
      <c r="D137" s="550"/>
      <c r="E137" s="550"/>
      <c r="F137" s="551" t="s">
        <v>2845</v>
      </c>
    </row>
    <row r="138" spans="1:6" ht="15.6">
      <c r="A138" s="547" t="s">
        <v>2970</v>
      </c>
      <c r="B138" s="548"/>
      <c r="C138" s="549" t="s">
        <v>2642</v>
      </c>
      <c r="D138" s="550"/>
      <c r="E138" s="550"/>
      <c r="F138" s="551" t="s">
        <v>2642</v>
      </c>
    </row>
    <row r="139" spans="1:6" ht="15.6">
      <c r="A139" s="547" t="s">
        <v>2971</v>
      </c>
      <c r="B139" s="548"/>
      <c r="C139" s="549" t="s">
        <v>2846</v>
      </c>
      <c r="D139" s="550"/>
      <c r="E139" s="550"/>
      <c r="F139" s="551" t="s">
        <v>2846</v>
      </c>
    </row>
    <row r="140" spans="1:6" ht="15.6">
      <c r="A140" s="547" t="s">
        <v>2972</v>
      </c>
      <c r="B140" s="548"/>
      <c r="C140" s="549" t="s">
        <v>2643</v>
      </c>
      <c r="D140" s="550"/>
      <c r="E140" s="550"/>
      <c r="F140" s="551" t="s">
        <v>2643</v>
      </c>
    </row>
    <row r="141" spans="1:6" ht="15.6">
      <c r="A141" s="547" t="s">
        <v>2973</v>
      </c>
      <c r="B141" s="548"/>
      <c r="C141" s="549" t="s">
        <v>2847</v>
      </c>
      <c r="D141" s="550"/>
      <c r="E141" s="550"/>
      <c r="F141" s="551" t="s">
        <v>2847</v>
      </c>
    </row>
    <row r="142" spans="1:6" ht="15.6">
      <c r="A142" s="547" t="s">
        <v>2974</v>
      </c>
      <c r="B142" s="548"/>
      <c r="C142" s="549" t="s">
        <v>2893</v>
      </c>
      <c r="D142" s="550"/>
      <c r="E142" s="550"/>
      <c r="F142" s="551" t="s">
        <v>2893</v>
      </c>
    </row>
    <row r="143" spans="1:6" ht="15.6">
      <c r="A143" s="547" t="s">
        <v>2975</v>
      </c>
      <c r="B143" s="548"/>
      <c r="C143" s="549" t="s">
        <v>2848</v>
      </c>
      <c r="D143" s="550"/>
      <c r="E143" s="550"/>
      <c r="F143" s="551" t="s">
        <v>2848</v>
      </c>
    </row>
    <row r="144" spans="1:6" ht="15.6">
      <c r="A144" s="547" t="s">
        <v>2976</v>
      </c>
      <c r="B144" s="548"/>
      <c r="C144" s="549" t="s">
        <v>2644</v>
      </c>
      <c r="D144" s="550"/>
      <c r="E144" s="550"/>
      <c r="F144" s="551" t="s">
        <v>2644</v>
      </c>
    </row>
    <row r="145" spans="1:6" ht="15.6">
      <c r="A145" s="547" t="s">
        <v>2977</v>
      </c>
      <c r="B145" s="548"/>
      <c r="C145" s="549" t="s">
        <v>2645</v>
      </c>
      <c r="D145" s="550"/>
      <c r="E145" s="550"/>
      <c r="F145" s="551" t="s">
        <v>2645</v>
      </c>
    </row>
    <row r="146" spans="1:6" ht="15.6">
      <c r="A146" s="547" t="s">
        <v>2978</v>
      </c>
      <c r="B146" s="548"/>
      <c r="C146" s="549" t="s">
        <v>2894</v>
      </c>
      <c r="D146" s="550"/>
      <c r="E146" s="550"/>
      <c r="F146" s="551" t="s">
        <v>2894</v>
      </c>
    </row>
    <row r="147" spans="1:6" ht="15.6">
      <c r="A147" s="547" t="s">
        <v>2979</v>
      </c>
      <c r="B147" s="548"/>
      <c r="C147" s="549" t="s">
        <v>3457</v>
      </c>
      <c r="D147" s="550"/>
      <c r="E147" s="550"/>
      <c r="F147" s="551" t="s">
        <v>3457</v>
      </c>
    </row>
    <row r="148" spans="1:6" ht="15.6">
      <c r="A148" s="547" t="s">
        <v>2980</v>
      </c>
      <c r="B148" s="548"/>
      <c r="C148" s="549" t="s">
        <v>2646</v>
      </c>
      <c r="D148" s="550"/>
      <c r="E148" s="550"/>
      <c r="F148" s="551" t="s">
        <v>2646</v>
      </c>
    </row>
    <row r="149" spans="1:6" ht="15.6">
      <c r="A149" s="547" t="s">
        <v>2981</v>
      </c>
      <c r="B149" s="548"/>
      <c r="C149" s="549" t="s">
        <v>2647</v>
      </c>
      <c r="D149" s="550"/>
      <c r="E149" s="550"/>
      <c r="F149" s="551" t="s">
        <v>2647</v>
      </c>
    </row>
    <row r="150" spans="1:6" ht="15.6">
      <c r="A150" s="547" t="s">
        <v>2982</v>
      </c>
      <c r="B150" s="548"/>
      <c r="C150" s="549" t="s">
        <v>2648</v>
      </c>
      <c r="D150" s="550"/>
      <c r="E150" s="550"/>
      <c r="F150" s="551" t="s">
        <v>2648</v>
      </c>
    </row>
    <row r="151" spans="1:6" ht="15.6">
      <c r="A151" s="547" t="s">
        <v>2983</v>
      </c>
      <c r="B151" s="548"/>
      <c r="C151" s="549" t="s">
        <v>2649</v>
      </c>
      <c r="D151" s="550"/>
      <c r="E151" s="550"/>
      <c r="F151" s="551" t="s">
        <v>2649</v>
      </c>
    </row>
    <row r="152" spans="1:6" ht="15.6">
      <c r="A152" s="547" t="s">
        <v>2984</v>
      </c>
      <c r="B152" s="548"/>
      <c r="C152" s="549" t="s">
        <v>2895</v>
      </c>
      <c r="D152" s="550"/>
      <c r="E152" s="550"/>
      <c r="F152" s="551" t="s">
        <v>2895</v>
      </c>
    </row>
    <row r="153" spans="1:6" ht="15.6">
      <c r="A153" s="547" t="s">
        <v>2985</v>
      </c>
      <c r="B153" s="548"/>
      <c r="C153" s="549" t="s">
        <v>2896</v>
      </c>
      <c r="D153" s="550"/>
      <c r="E153" s="550"/>
      <c r="F153" s="551" t="s">
        <v>2896</v>
      </c>
    </row>
    <row r="154" spans="1:6" ht="15.6">
      <c r="A154" s="547" t="s">
        <v>2986</v>
      </c>
      <c r="B154" s="548"/>
      <c r="C154" s="549" t="s">
        <v>2897</v>
      </c>
      <c r="D154" s="550"/>
      <c r="E154" s="550"/>
      <c r="F154" s="551" t="s">
        <v>2897</v>
      </c>
    </row>
    <row r="155" spans="1:6" ht="15.6">
      <c r="A155" s="547" t="s">
        <v>2987</v>
      </c>
      <c r="B155" s="548"/>
      <c r="C155" s="549" t="s">
        <v>3458</v>
      </c>
      <c r="D155" s="550"/>
      <c r="E155" s="550"/>
      <c r="F155" s="551" t="s">
        <v>3458</v>
      </c>
    </row>
    <row r="156" spans="1:6" ht="15.6">
      <c r="A156" s="547" t="s">
        <v>2988</v>
      </c>
      <c r="B156" s="548"/>
      <c r="C156" s="549" t="s">
        <v>2650</v>
      </c>
      <c r="D156" s="550"/>
      <c r="E156" s="550"/>
      <c r="F156" s="551" t="s">
        <v>2650</v>
      </c>
    </row>
    <row r="157" spans="1:6" ht="15.6">
      <c r="A157" s="547" t="s">
        <v>2989</v>
      </c>
      <c r="B157" s="548"/>
      <c r="C157" s="549" t="s">
        <v>2898</v>
      </c>
      <c r="D157" s="550"/>
      <c r="E157" s="550"/>
      <c r="F157" s="551" t="s">
        <v>2898</v>
      </c>
    </row>
    <row r="158" spans="1:6" ht="15.6">
      <c r="A158" s="547" t="s">
        <v>2990</v>
      </c>
      <c r="B158" s="548"/>
      <c r="C158" s="549" t="s">
        <v>2899</v>
      </c>
      <c r="D158" s="550"/>
      <c r="E158" s="550"/>
      <c r="F158" s="551" t="s">
        <v>2899</v>
      </c>
    </row>
    <row r="159" spans="1:6" ht="15.6">
      <c r="A159" s="547" t="s">
        <v>2991</v>
      </c>
      <c r="B159" s="548"/>
      <c r="C159" s="549" t="s">
        <v>3459</v>
      </c>
      <c r="D159" s="550"/>
      <c r="E159" s="550"/>
      <c r="F159" s="551" t="s">
        <v>3459</v>
      </c>
    </row>
    <row r="160" spans="1:6" ht="15.6">
      <c r="A160" s="547" t="s">
        <v>2992</v>
      </c>
      <c r="B160" s="548"/>
      <c r="C160" s="549" t="s">
        <v>2900</v>
      </c>
      <c r="D160" s="550"/>
      <c r="E160" s="550"/>
      <c r="F160" s="551" t="s">
        <v>2900</v>
      </c>
    </row>
    <row r="161" spans="1:6" ht="15.6">
      <c r="A161" s="547" t="s">
        <v>2993</v>
      </c>
      <c r="B161" s="548"/>
      <c r="C161" s="549" t="s">
        <v>3460</v>
      </c>
      <c r="D161" s="550"/>
      <c r="E161" s="550"/>
      <c r="F161" s="551" t="s">
        <v>3460</v>
      </c>
    </row>
    <row r="162" spans="1:6" ht="15.6">
      <c r="A162" s="547" t="s">
        <v>2994</v>
      </c>
      <c r="B162" s="548"/>
      <c r="C162" s="549" t="s">
        <v>2651</v>
      </c>
      <c r="D162" s="550"/>
      <c r="E162" s="550"/>
      <c r="F162" s="551" t="s">
        <v>2651</v>
      </c>
    </row>
    <row r="163" spans="1:6" ht="15.6">
      <c r="A163" s="547" t="s">
        <v>2995</v>
      </c>
      <c r="B163" s="548"/>
      <c r="C163" s="549" t="s">
        <v>2652</v>
      </c>
      <c r="D163" s="550"/>
      <c r="E163" s="550"/>
      <c r="F163" s="551" t="s">
        <v>2652</v>
      </c>
    </row>
    <row r="164" spans="1:6" ht="15.6">
      <c r="A164" s="547" t="s">
        <v>2996</v>
      </c>
      <c r="B164" s="548"/>
      <c r="C164" s="549" t="s">
        <v>2653</v>
      </c>
      <c r="D164" s="550"/>
      <c r="E164" s="550"/>
      <c r="F164" s="551" t="s">
        <v>2653</v>
      </c>
    </row>
    <row r="165" spans="1:6" ht="15.6">
      <c r="A165" s="547" t="s">
        <v>2997</v>
      </c>
      <c r="B165" s="548"/>
      <c r="C165" s="549" t="s">
        <v>2654</v>
      </c>
      <c r="D165" s="550"/>
      <c r="E165" s="550"/>
      <c r="F165" s="551" t="s">
        <v>2654</v>
      </c>
    </row>
    <row r="166" spans="1:6" ht="15.6">
      <c r="A166" s="547" t="s">
        <v>2998</v>
      </c>
      <c r="B166" s="548"/>
      <c r="C166" s="549" t="s">
        <v>3461</v>
      </c>
      <c r="D166" s="550"/>
      <c r="E166" s="550"/>
      <c r="F166" s="551" t="s">
        <v>3461</v>
      </c>
    </row>
    <row r="167" spans="1:6" ht="15.6">
      <c r="A167" s="547" t="s">
        <v>2999</v>
      </c>
      <c r="B167" s="548"/>
      <c r="C167" s="549" t="s">
        <v>3462</v>
      </c>
      <c r="D167" s="550"/>
      <c r="E167" s="550"/>
      <c r="F167" s="551" t="s">
        <v>3462</v>
      </c>
    </row>
    <row r="168" spans="1:6" ht="15.6">
      <c r="A168" s="547" t="s">
        <v>3000</v>
      </c>
      <c r="B168" s="548"/>
      <c r="C168" s="549" t="s">
        <v>3463</v>
      </c>
      <c r="D168" s="550"/>
      <c r="E168" s="550"/>
      <c r="F168" s="551" t="s">
        <v>3463</v>
      </c>
    </row>
    <row r="169" spans="1:6" ht="15.6">
      <c r="A169" s="547" t="s">
        <v>3001</v>
      </c>
      <c r="B169" s="548"/>
      <c r="C169" s="549" t="s">
        <v>2655</v>
      </c>
      <c r="D169" s="550"/>
      <c r="E169" s="550"/>
      <c r="F169" s="551" t="s">
        <v>2655</v>
      </c>
    </row>
    <row r="170" spans="1:6" ht="15.6">
      <c r="A170" s="547" t="s">
        <v>3002</v>
      </c>
      <c r="B170" s="548"/>
      <c r="C170" s="549" t="s">
        <v>3464</v>
      </c>
      <c r="D170" s="550"/>
      <c r="E170" s="550"/>
      <c r="F170" s="551" t="s">
        <v>3464</v>
      </c>
    </row>
    <row r="171" spans="1:6" ht="15.6">
      <c r="A171" s="547" t="s">
        <v>3003</v>
      </c>
      <c r="B171" s="548"/>
      <c r="C171" s="549" t="s">
        <v>2901</v>
      </c>
      <c r="D171" s="550"/>
      <c r="E171" s="550"/>
      <c r="F171" s="551" t="s">
        <v>2901</v>
      </c>
    </row>
    <row r="172" spans="1:6" ht="15.6">
      <c r="A172" s="547" t="s">
        <v>3004</v>
      </c>
      <c r="B172" s="548"/>
      <c r="C172" s="549" t="s">
        <v>3465</v>
      </c>
      <c r="D172" s="550"/>
      <c r="E172" s="550"/>
      <c r="F172" s="551" t="s">
        <v>3465</v>
      </c>
    </row>
    <row r="173" spans="1:6" ht="15.6">
      <c r="A173" s="547" t="s">
        <v>3005</v>
      </c>
      <c r="B173" s="548"/>
      <c r="C173" s="549" t="s">
        <v>3466</v>
      </c>
      <c r="D173" s="550"/>
      <c r="E173" s="550"/>
      <c r="F173" s="551" t="s">
        <v>3466</v>
      </c>
    </row>
    <row r="174" spans="1:6" ht="15.6">
      <c r="A174" s="547" t="s">
        <v>3006</v>
      </c>
      <c r="B174" s="548"/>
      <c r="C174" s="549" t="s">
        <v>3467</v>
      </c>
      <c r="D174" s="550"/>
      <c r="E174" s="550"/>
      <c r="F174" s="551" t="s">
        <v>3467</v>
      </c>
    </row>
    <row r="175" spans="1:6" ht="15.6">
      <c r="A175" s="547" t="s">
        <v>3007</v>
      </c>
      <c r="B175" s="548"/>
      <c r="C175" s="549" t="s">
        <v>3468</v>
      </c>
      <c r="D175" s="550"/>
      <c r="E175" s="550"/>
      <c r="F175" s="551" t="s">
        <v>3468</v>
      </c>
    </row>
    <row r="176" spans="1:6" ht="15.6">
      <c r="A176" s="547" t="s">
        <v>3438</v>
      </c>
      <c r="B176" s="548"/>
      <c r="C176" s="549" t="s">
        <v>3469</v>
      </c>
      <c r="D176" s="550"/>
      <c r="E176" s="550"/>
      <c r="F176" s="551" t="s">
        <v>3469</v>
      </c>
    </row>
    <row r="177" spans="1:6" ht="15.6">
      <c r="A177" s="547" t="s">
        <v>3008</v>
      </c>
      <c r="B177" s="548"/>
      <c r="C177" s="549" t="s">
        <v>2656</v>
      </c>
      <c r="D177" s="550"/>
      <c r="E177" s="550"/>
      <c r="F177" s="551" t="s">
        <v>2656</v>
      </c>
    </row>
    <row r="178" spans="1:6" ht="15.6">
      <c r="A178" s="547" t="s">
        <v>3009</v>
      </c>
      <c r="B178" s="548"/>
      <c r="C178" s="549" t="s">
        <v>3470</v>
      </c>
      <c r="D178" s="550"/>
      <c r="E178" s="550"/>
      <c r="F178" s="551" t="s">
        <v>3470</v>
      </c>
    </row>
    <row r="179" spans="1:6" ht="15.6">
      <c r="A179" s="547" t="s">
        <v>3010</v>
      </c>
      <c r="B179" s="548"/>
      <c r="C179" s="549" t="s">
        <v>2657</v>
      </c>
      <c r="D179" s="550"/>
      <c r="E179" s="550"/>
      <c r="F179" s="551" t="s">
        <v>2657</v>
      </c>
    </row>
    <row r="180" spans="1:6" ht="15.6">
      <c r="A180" s="547" t="s">
        <v>3011</v>
      </c>
      <c r="B180" s="548"/>
      <c r="C180" s="549" t="s">
        <v>3482</v>
      </c>
      <c r="D180" s="550"/>
      <c r="E180" s="550"/>
      <c r="F180" s="551" t="s">
        <v>3482</v>
      </c>
    </row>
    <row r="181" spans="1:6" ht="15.6">
      <c r="A181" s="547" t="s">
        <v>3012</v>
      </c>
      <c r="B181" s="548"/>
      <c r="C181" s="549" t="s">
        <v>2658</v>
      </c>
      <c r="D181" s="550"/>
      <c r="E181" s="550"/>
      <c r="F181" s="551" t="s">
        <v>2658</v>
      </c>
    </row>
    <row r="182" spans="1:6" ht="15.6">
      <c r="A182" s="547" t="s">
        <v>3013</v>
      </c>
      <c r="B182" s="548"/>
      <c r="C182" s="549" t="s">
        <v>3471</v>
      </c>
      <c r="D182" s="550"/>
      <c r="E182" s="550"/>
      <c r="F182" s="551" t="s">
        <v>3471</v>
      </c>
    </row>
    <row r="183" spans="1:6" ht="15.6">
      <c r="A183" s="547" t="s">
        <v>3014</v>
      </c>
      <c r="B183" s="548"/>
      <c r="C183" s="549" t="s">
        <v>3472</v>
      </c>
      <c r="D183" s="550"/>
      <c r="E183" s="550"/>
      <c r="F183" s="551" t="s">
        <v>3472</v>
      </c>
    </row>
    <row r="184" spans="1:6" ht="15.6">
      <c r="A184" s="547" t="s">
        <v>3015</v>
      </c>
      <c r="B184" s="548"/>
      <c r="C184" s="549" t="s">
        <v>2659</v>
      </c>
      <c r="D184" s="550"/>
      <c r="E184" s="550"/>
      <c r="F184" s="551" t="s">
        <v>2659</v>
      </c>
    </row>
    <row r="185" spans="1:6" ht="15.6">
      <c r="A185" s="547" t="s">
        <v>3016</v>
      </c>
      <c r="B185" s="548"/>
      <c r="C185" s="549" t="s">
        <v>2849</v>
      </c>
      <c r="D185" s="550"/>
      <c r="E185" s="550"/>
      <c r="F185" s="551" t="s">
        <v>2849</v>
      </c>
    </row>
    <row r="186" spans="1:6" ht="15.6">
      <c r="A186" s="547" t="s">
        <v>3017</v>
      </c>
      <c r="B186" s="548"/>
      <c r="C186" s="549" t="s">
        <v>3473</v>
      </c>
      <c r="D186" s="550"/>
      <c r="E186" s="550"/>
      <c r="F186" s="551" t="s">
        <v>3473</v>
      </c>
    </row>
    <row r="187" spans="1:6" ht="15.6">
      <c r="A187" s="547" t="s">
        <v>3018</v>
      </c>
      <c r="B187" s="548"/>
      <c r="C187" s="549" t="s">
        <v>3474</v>
      </c>
      <c r="D187" s="550"/>
      <c r="E187" s="550"/>
      <c r="F187" s="551" t="s">
        <v>3474</v>
      </c>
    </row>
    <row r="188" spans="1:6" ht="15.6">
      <c r="A188" s="547" t="s">
        <v>3019</v>
      </c>
      <c r="B188" s="548"/>
      <c r="C188" s="549" t="s">
        <v>2660</v>
      </c>
      <c r="D188" s="550"/>
      <c r="E188" s="550"/>
      <c r="F188" s="551" t="s">
        <v>2660</v>
      </c>
    </row>
    <row r="189" spans="1:6" ht="15.6">
      <c r="A189" s="547" t="s">
        <v>3020</v>
      </c>
      <c r="B189" s="548"/>
      <c r="C189" s="549" t="s">
        <v>3475</v>
      </c>
      <c r="D189" s="550"/>
      <c r="E189" s="550"/>
      <c r="F189" s="551" t="s">
        <v>3475</v>
      </c>
    </row>
    <row r="190" spans="1:6" ht="15.6">
      <c r="A190" s="547" t="s">
        <v>3021</v>
      </c>
      <c r="B190" s="548"/>
      <c r="C190" s="549" t="s">
        <v>2903</v>
      </c>
      <c r="D190" s="550"/>
      <c r="E190" s="550"/>
      <c r="F190" s="551" t="s">
        <v>2903</v>
      </c>
    </row>
    <row r="191" spans="1:6" ht="15.6">
      <c r="A191" s="547" t="s">
        <v>3022</v>
      </c>
      <c r="B191" s="548"/>
      <c r="C191" s="549" t="s">
        <v>3476</v>
      </c>
      <c r="D191" s="550"/>
      <c r="E191" s="550"/>
      <c r="F191" s="551" t="s">
        <v>3476</v>
      </c>
    </row>
    <row r="192" spans="1:6" ht="15.6">
      <c r="A192" s="547" t="s">
        <v>3023</v>
      </c>
      <c r="B192" s="548"/>
      <c r="C192" s="549" t="s">
        <v>2661</v>
      </c>
      <c r="D192" s="550"/>
      <c r="E192" s="550"/>
      <c r="F192" s="551" t="s">
        <v>2661</v>
      </c>
    </row>
    <row r="193" spans="1:6" ht="15.6">
      <c r="A193" s="547" t="s">
        <v>3024</v>
      </c>
      <c r="B193" s="548"/>
      <c r="C193" s="549" t="s">
        <v>3477</v>
      </c>
      <c r="D193" s="550"/>
      <c r="E193" s="550"/>
      <c r="F193" s="551" t="s">
        <v>3477</v>
      </c>
    </row>
    <row r="194" spans="1:6" ht="15.6">
      <c r="A194" s="547" t="s">
        <v>3025</v>
      </c>
      <c r="B194" s="548"/>
      <c r="C194" s="549" t="s">
        <v>3478</v>
      </c>
      <c r="D194" s="550"/>
      <c r="E194" s="550"/>
      <c r="F194" s="551" t="s">
        <v>3478</v>
      </c>
    </row>
    <row r="195" spans="1:6" ht="15.6">
      <c r="A195" s="547" t="s">
        <v>3026</v>
      </c>
      <c r="B195" s="548"/>
      <c r="C195" s="549" t="s">
        <v>3479</v>
      </c>
      <c r="D195" s="550"/>
      <c r="E195" s="550"/>
      <c r="F195" s="551" t="s">
        <v>3479</v>
      </c>
    </row>
    <row r="196" spans="1:6" ht="15.6">
      <c r="A196" s="547" t="s">
        <v>3027</v>
      </c>
      <c r="B196" s="548"/>
      <c r="C196" s="549" t="s">
        <v>3480</v>
      </c>
      <c r="D196" s="550"/>
      <c r="E196" s="550"/>
      <c r="F196" s="551" t="s">
        <v>3480</v>
      </c>
    </row>
    <row r="197" spans="1:6" ht="15.6">
      <c r="A197" s="547" t="s">
        <v>3028</v>
      </c>
      <c r="B197" s="548"/>
      <c r="C197" s="549" t="s">
        <v>3481</v>
      </c>
      <c r="D197" s="550"/>
      <c r="E197" s="550"/>
      <c r="F197" s="551" t="s">
        <v>3481</v>
      </c>
    </row>
  </sheetData>
  <sheetProtection algorithmName="SHA-512" hashValue="GTkGBt/+Gkz3eTux7+3AcusHP1s0Y7eJOETSFVYFuF77niCONzH5omEZb0rRCt8eqLtNzDPpOteVzLi3vu2QTw==" saltValue="LfEj1OOW6tgCn7oWFqfHrg==" spinCount="100000" sheet="1" objects="1" scenarios="1"/>
  <autoFilter ref="A1:F75" xr:uid="{00000000-0009-0000-0000-000001000000}"/>
  <mergeCells count="392">
    <mergeCell ref="A2:B2"/>
    <mergeCell ref="C2:F2"/>
    <mergeCell ref="A3:B3"/>
    <mergeCell ref="C3:F3"/>
    <mergeCell ref="A4:B4"/>
    <mergeCell ref="C4:F4"/>
    <mergeCell ref="A5:B5"/>
    <mergeCell ref="C5:F5"/>
    <mergeCell ref="A167:B167"/>
    <mergeCell ref="A115:B115"/>
    <mergeCell ref="A119:B119"/>
    <mergeCell ref="A123:B123"/>
    <mergeCell ref="A127:B127"/>
    <mergeCell ref="A6:B6"/>
    <mergeCell ref="A10:B10"/>
    <mergeCell ref="A14:B14"/>
    <mergeCell ref="A18:B18"/>
    <mergeCell ref="C10:F10"/>
    <mergeCell ref="A11:B11"/>
    <mergeCell ref="C11:F11"/>
    <mergeCell ref="A12:B12"/>
    <mergeCell ref="C12:F12"/>
    <mergeCell ref="A13:B13"/>
    <mergeCell ref="C13:F13"/>
    <mergeCell ref="C6:F6"/>
    <mergeCell ref="A7:B7"/>
    <mergeCell ref="C7:F7"/>
    <mergeCell ref="A8:B8"/>
    <mergeCell ref="C8:F8"/>
    <mergeCell ref="A9:B9"/>
    <mergeCell ref="C9:F9"/>
    <mergeCell ref="C18:F18"/>
    <mergeCell ref="A19:B19"/>
    <mergeCell ref="C19:F19"/>
    <mergeCell ref="A20:B20"/>
    <mergeCell ref="C20:F20"/>
    <mergeCell ref="A21:B21"/>
    <mergeCell ref="C21:F21"/>
    <mergeCell ref="C14:F14"/>
    <mergeCell ref="A15:B15"/>
    <mergeCell ref="C15:F15"/>
    <mergeCell ref="A16:B16"/>
    <mergeCell ref="C16:F16"/>
    <mergeCell ref="A17:B17"/>
    <mergeCell ref="C17:F17"/>
    <mergeCell ref="A25:B25"/>
    <mergeCell ref="C25:F25"/>
    <mergeCell ref="A26:B26"/>
    <mergeCell ref="C26:F26"/>
    <mergeCell ref="A27:B27"/>
    <mergeCell ref="C27:F27"/>
    <mergeCell ref="A22:B22"/>
    <mergeCell ref="C22:F22"/>
    <mergeCell ref="A23:B23"/>
    <mergeCell ref="C23:F23"/>
    <mergeCell ref="A24:B24"/>
    <mergeCell ref="C24:F24"/>
    <mergeCell ref="A31:B31"/>
    <mergeCell ref="C31:F31"/>
    <mergeCell ref="A32:B32"/>
    <mergeCell ref="C32:F32"/>
    <mergeCell ref="A33:B33"/>
    <mergeCell ref="C33:F33"/>
    <mergeCell ref="A28:B28"/>
    <mergeCell ref="C28:F28"/>
    <mergeCell ref="A29:B29"/>
    <mergeCell ref="C29:F29"/>
    <mergeCell ref="A30:B30"/>
    <mergeCell ref="C30:F30"/>
    <mergeCell ref="A37:B37"/>
    <mergeCell ref="C37:F37"/>
    <mergeCell ref="A38:B38"/>
    <mergeCell ref="C38:F38"/>
    <mergeCell ref="A39:B39"/>
    <mergeCell ref="C39:F39"/>
    <mergeCell ref="A34:B34"/>
    <mergeCell ref="C34:F34"/>
    <mergeCell ref="A35:B35"/>
    <mergeCell ref="C35:F35"/>
    <mergeCell ref="A36:B36"/>
    <mergeCell ref="C36:F36"/>
    <mergeCell ref="A43:B43"/>
    <mergeCell ref="C43:F43"/>
    <mergeCell ref="A44:B44"/>
    <mergeCell ref="C44:F44"/>
    <mergeCell ref="A45:B45"/>
    <mergeCell ref="C45:F45"/>
    <mergeCell ref="A40:B40"/>
    <mergeCell ref="C40:F40"/>
    <mergeCell ref="A41:B41"/>
    <mergeCell ref="C41:F41"/>
    <mergeCell ref="A42:B42"/>
    <mergeCell ref="C42:F42"/>
    <mergeCell ref="A49:B49"/>
    <mergeCell ref="C49:F49"/>
    <mergeCell ref="A50:B50"/>
    <mergeCell ref="C50:F50"/>
    <mergeCell ref="A51:B51"/>
    <mergeCell ref="C51:F51"/>
    <mergeCell ref="A46:B46"/>
    <mergeCell ref="C46:F46"/>
    <mergeCell ref="A47:B47"/>
    <mergeCell ref="C47:F47"/>
    <mergeCell ref="A48:B48"/>
    <mergeCell ref="C48:F48"/>
    <mergeCell ref="A55:B55"/>
    <mergeCell ref="C55:F55"/>
    <mergeCell ref="A56:B56"/>
    <mergeCell ref="C56:F56"/>
    <mergeCell ref="A57:B57"/>
    <mergeCell ref="C57:F57"/>
    <mergeCell ref="A52:B52"/>
    <mergeCell ref="C52:F52"/>
    <mergeCell ref="A53:B53"/>
    <mergeCell ref="C53:F53"/>
    <mergeCell ref="A54:B54"/>
    <mergeCell ref="C54:F54"/>
    <mergeCell ref="A61:B61"/>
    <mergeCell ref="C61:F61"/>
    <mergeCell ref="A62:B62"/>
    <mergeCell ref="C62:F62"/>
    <mergeCell ref="A63:B63"/>
    <mergeCell ref="C63:F63"/>
    <mergeCell ref="A58:B58"/>
    <mergeCell ref="C58:F58"/>
    <mergeCell ref="A59:B59"/>
    <mergeCell ref="C59:F59"/>
    <mergeCell ref="A60:B60"/>
    <mergeCell ref="C60:F60"/>
    <mergeCell ref="A67:B67"/>
    <mergeCell ref="C67:F67"/>
    <mergeCell ref="A68:B68"/>
    <mergeCell ref="C68:F68"/>
    <mergeCell ref="A69:B69"/>
    <mergeCell ref="C69:F69"/>
    <mergeCell ref="A64:B64"/>
    <mergeCell ref="C64:F64"/>
    <mergeCell ref="A65:B65"/>
    <mergeCell ref="C65:F65"/>
    <mergeCell ref="A66:B66"/>
    <mergeCell ref="C66:F66"/>
    <mergeCell ref="A73:B73"/>
    <mergeCell ref="C73:F73"/>
    <mergeCell ref="A74:B74"/>
    <mergeCell ref="C74:F74"/>
    <mergeCell ref="A75:B75"/>
    <mergeCell ref="C75:F75"/>
    <mergeCell ref="A70:B70"/>
    <mergeCell ref="C70:F70"/>
    <mergeCell ref="A71:B71"/>
    <mergeCell ref="C71:F71"/>
    <mergeCell ref="A72:B72"/>
    <mergeCell ref="C72:F72"/>
    <mergeCell ref="A79:B79"/>
    <mergeCell ref="C79:F79"/>
    <mergeCell ref="A80:B80"/>
    <mergeCell ref="C80:F80"/>
    <mergeCell ref="A81:B81"/>
    <mergeCell ref="C81:F81"/>
    <mergeCell ref="A76:B76"/>
    <mergeCell ref="C76:F76"/>
    <mergeCell ref="A77:B77"/>
    <mergeCell ref="C77:F77"/>
    <mergeCell ref="A78:B78"/>
    <mergeCell ref="C78:F78"/>
    <mergeCell ref="A85:B85"/>
    <mergeCell ref="C85:F85"/>
    <mergeCell ref="A86:B86"/>
    <mergeCell ref="C86:F86"/>
    <mergeCell ref="A87:B87"/>
    <mergeCell ref="C87:F87"/>
    <mergeCell ref="A82:B82"/>
    <mergeCell ref="C82:F82"/>
    <mergeCell ref="A83:B83"/>
    <mergeCell ref="C83:F83"/>
    <mergeCell ref="A84:B84"/>
    <mergeCell ref="C84:F84"/>
    <mergeCell ref="A91:B91"/>
    <mergeCell ref="C91:F91"/>
    <mergeCell ref="A92:B92"/>
    <mergeCell ref="C92:F92"/>
    <mergeCell ref="A93:B93"/>
    <mergeCell ref="C93:F93"/>
    <mergeCell ref="A88:B88"/>
    <mergeCell ref="C88:F88"/>
    <mergeCell ref="A89:B89"/>
    <mergeCell ref="C89:F89"/>
    <mergeCell ref="A90:B90"/>
    <mergeCell ref="C90:F90"/>
    <mergeCell ref="A97:B97"/>
    <mergeCell ref="C97:F97"/>
    <mergeCell ref="A98:B98"/>
    <mergeCell ref="C98:F98"/>
    <mergeCell ref="A99:B99"/>
    <mergeCell ref="C99:F99"/>
    <mergeCell ref="A94:B94"/>
    <mergeCell ref="C94:F94"/>
    <mergeCell ref="A95:B95"/>
    <mergeCell ref="C95:F95"/>
    <mergeCell ref="A96:B96"/>
    <mergeCell ref="C96:F96"/>
    <mergeCell ref="A103:B103"/>
    <mergeCell ref="C103:F103"/>
    <mergeCell ref="A104:B104"/>
    <mergeCell ref="C104:F104"/>
    <mergeCell ref="A105:B105"/>
    <mergeCell ref="C105:F105"/>
    <mergeCell ref="A100:B100"/>
    <mergeCell ref="C100:F100"/>
    <mergeCell ref="A101:B101"/>
    <mergeCell ref="C101:F101"/>
    <mergeCell ref="A102:B102"/>
    <mergeCell ref="C102:F102"/>
    <mergeCell ref="A109:B109"/>
    <mergeCell ref="C109:F109"/>
    <mergeCell ref="A110:B110"/>
    <mergeCell ref="C110:F110"/>
    <mergeCell ref="A111:B111"/>
    <mergeCell ref="C111:F111"/>
    <mergeCell ref="A106:B106"/>
    <mergeCell ref="C106:F106"/>
    <mergeCell ref="A107:B107"/>
    <mergeCell ref="C107:F107"/>
    <mergeCell ref="A108:B108"/>
    <mergeCell ref="C108:F108"/>
    <mergeCell ref="C115:F115"/>
    <mergeCell ref="A116:B116"/>
    <mergeCell ref="C116:F116"/>
    <mergeCell ref="A117:B117"/>
    <mergeCell ref="C117:F117"/>
    <mergeCell ref="A118:B118"/>
    <mergeCell ref="C118:F118"/>
    <mergeCell ref="A112:B112"/>
    <mergeCell ref="C112:F112"/>
    <mergeCell ref="A113:B113"/>
    <mergeCell ref="C113:F113"/>
    <mergeCell ref="A114:B114"/>
    <mergeCell ref="C114:F114"/>
    <mergeCell ref="C123:F123"/>
    <mergeCell ref="A124:B124"/>
    <mergeCell ref="C124:F124"/>
    <mergeCell ref="A125:B125"/>
    <mergeCell ref="C125:F125"/>
    <mergeCell ref="A126:B126"/>
    <mergeCell ref="C126:F126"/>
    <mergeCell ref="C119:F119"/>
    <mergeCell ref="A120:B120"/>
    <mergeCell ref="C120:F120"/>
    <mergeCell ref="A121:B121"/>
    <mergeCell ref="C121:F121"/>
    <mergeCell ref="A122:B122"/>
    <mergeCell ref="C122:F122"/>
    <mergeCell ref="A131:B131"/>
    <mergeCell ref="C131:F131"/>
    <mergeCell ref="A132:B132"/>
    <mergeCell ref="C132:F132"/>
    <mergeCell ref="A133:B133"/>
    <mergeCell ref="C133:F133"/>
    <mergeCell ref="C127:F127"/>
    <mergeCell ref="A128:B128"/>
    <mergeCell ref="C128:F128"/>
    <mergeCell ref="A129:B129"/>
    <mergeCell ref="C129:F129"/>
    <mergeCell ref="A130:B130"/>
    <mergeCell ref="C130:F130"/>
    <mergeCell ref="A137:B137"/>
    <mergeCell ref="C137:F137"/>
    <mergeCell ref="A138:B138"/>
    <mergeCell ref="C138:F138"/>
    <mergeCell ref="A139:B139"/>
    <mergeCell ref="C139:F139"/>
    <mergeCell ref="A134:B134"/>
    <mergeCell ref="C134:F134"/>
    <mergeCell ref="A135:B135"/>
    <mergeCell ref="C135:F135"/>
    <mergeCell ref="A136:B136"/>
    <mergeCell ref="C136:F136"/>
    <mergeCell ref="A143:B143"/>
    <mergeCell ref="C143:F143"/>
    <mergeCell ref="A144:B144"/>
    <mergeCell ref="C144:F144"/>
    <mergeCell ref="A145:B145"/>
    <mergeCell ref="C145:F145"/>
    <mergeCell ref="A140:B140"/>
    <mergeCell ref="C140:F140"/>
    <mergeCell ref="A141:B141"/>
    <mergeCell ref="C141:F141"/>
    <mergeCell ref="A142:B142"/>
    <mergeCell ref="C142:F142"/>
    <mergeCell ref="A149:B149"/>
    <mergeCell ref="C149:F149"/>
    <mergeCell ref="A150:B150"/>
    <mergeCell ref="C150:F150"/>
    <mergeCell ref="A151:B151"/>
    <mergeCell ref="C151:F151"/>
    <mergeCell ref="A146:B146"/>
    <mergeCell ref="C146:F146"/>
    <mergeCell ref="A147:B147"/>
    <mergeCell ref="C147:F147"/>
    <mergeCell ref="A148:B148"/>
    <mergeCell ref="C148:F148"/>
    <mergeCell ref="A155:B155"/>
    <mergeCell ref="C155:F155"/>
    <mergeCell ref="A156:B156"/>
    <mergeCell ref="C156:F156"/>
    <mergeCell ref="A157:B157"/>
    <mergeCell ref="C157:F157"/>
    <mergeCell ref="A152:B152"/>
    <mergeCell ref="C152:F152"/>
    <mergeCell ref="A153:B153"/>
    <mergeCell ref="C153:F153"/>
    <mergeCell ref="A154:B154"/>
    <mergeCell ref="C154:F154"/>
    <mergeCell ref="A161:B161"/>
    <mergeCell ref="C161:F161"/>
    <mergeCell ref="A162:B162"/>
    <mergeCell ref="C162:F162"/>
    <mergeCell ref="A163:B163"/>
    <mergeCell ref="C163:F163"/>
    <mergeCell ref="A158:B158"/>
    <mergeCell ref="C158:F158"/>
    <mergeCell ref="A159:B159"/>
    <mergeCell ref="C159:F159"/>
    <mergeCell ref="A160:B160"/>
    <mergeCell ref="C160:F160"/>
    <mergeCell ref="C167:F167"/>
    <mergeCell ref="A168:B168"/>
    <mergeCell ref="C168:F168"/>
    <mergeCell ref="A169:B169"/>
    <mergeCell ref="C169:F169"/>
    <mergeCell ref="A170:B170"/>
    <mergeCell ref="C170:F170"/>
    <mergeCell ref="A164:B164"/>
    <mergeCell ref="C164:F164"/>
    <mergeCell ref="A165:B165"/>
    <mergeCell ref="C165:F165"/>
    <mergeCell ref="A166:B166"/>
    <mergeCell ref="C166:F166"/>
    <mergeCell ref="C175:F175"/>
    <mergeCell ref="A176:B176"/>
    <mergeCell ref="C176:F176"/>
    <mergeCell ref="A177:B177"/>
    <mergeCell ref="C177:F177"/>
    <mergeCell ref="A178:B178"/>
    <mergeCell ref="C178:F178"/>
    <mergeCell ref="C171:F171"/>
    <mergeCell ref="A172:B172"/>
    <mergeCell ref="C172:F172"/>
    <mergeCell ref="A173:B173"/>
    <mergeCell ref="C173:F173"/>
    <mergeCell ref="A174:B174"/>
    <mergeCell ref="C174:F174"/>
    <mergeCell ref="A171:B171"/>
    <mergeCell ref="A175:B175"/>
    <mergeCell ref="A183:B183"/>
    <mergeCell ref="C183:F183"/>
    <mergeCell ref="A184:B184"/>
    <mergeCell ref="C184:F184"/>
    <mergeCell ref="A185:B185"/>
    <mergeCell ref="C185:F185"/>
    <mergeCell ref="C179:F179"/>
    <mergeCell ref="A180:B180"/>
    <mergeCell ref="C180:F180"/>
    <mergeCell ref="A181:B181"/>
    <mergeCell ref="C181:F181"/>
    <mergeCell ref="A182:B182"/>
    <mergeCell ref="C182:F182"/>
    <mergeCell ref="A179:B179"/>
    <mergeCell ref="A189:B189"/>
    <mergeCell ref="C189:F189"/>
    <mergeCell ref="A190:B190"/>
    <mergeCell ref="C190:F190"/>
    <mergeCell ref="A191:B191"/>
    <mergeCell ref="C191:F191"/>
    <mergeCell ref="A186:B186"/>
    <mergeCell ref="C186:F186"/>
    <mergeCell ref="A187:B187"/>
    <mergeCell ref="C187:F187"/>
    <mergeCell ref="A188:B188"/>
    <mergeCell ref="C188:F188"/>
    <mergeCell ref="A195:B195"/>
    <mergeCell ref="C195:F195"/>
    <mergeCell ref="A196:B196"/>
    <mergeCell ref="C196:F196"/>
    <mergeCell ref="A197:B197"/>
    <mergeCell ref="C197:F197"/>
    <mergeCell ref="A192:B192"/>
    <mergeCell ref="C192:F192"/>
    <mergeCell ref="A193:B193"/>
    <mergeCell ref="C193:F193"/>
    <mergeCell ref="A194:B194"/>
    <mergeCell ref="C194:F19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AH594"/>
  <sheetViews>
    <sheetView workbookViewId="0">
      <selection activeCell="B193" sqref="B193"/>
    </sheetView>
  </sheetViews>
  <sheetFormatPr baseColWidth="10" defaultColWidth="11.44140625" defaultRowHeight="14.4"/>
  <cols>
    <col min="1" max="1" width="12.109375" style="15" bestFit="1" customWidth="1"/>
    <col min="2" max="2" width="13.88671875" style="15" bestFit="1" customWidth="1"/>
    <col min="3" max="3" width="15.5546875" style="15" bestFit="1" customWidth="1"/>
    <col min="5" max="5" width="10.33203125" style="15" bestFit="1" customWidth="1"/>
    <col min="6" max="6" width="9.109375" style="15" bestFit="1" customWidth="1"/>
    <col min="7" max="7" width="8.44140625" style="2" customWidth="1"/>
    <col min="8" max="8" width="17.33203125" style="2" customWidth="1"/>
    <col min="9" max="9" width="20.6640625" style="17" customWidth="1"/>
    <col min="10" max="10" width="14.88671875" style="15" bestFit="1" customWidth="1"/>
    <col min="11" max="11" width="17.33203125" style="15" customWidth="1"/>
    <col min="12" max="12" width="10.109375" style="15" customWidth="1"/>
    <col min="13" max="14" width="7.6640625" style="2" bestFit="1" customWidth="1"/>
    <col min="15" max="15" width="23.109375" style="2" customWidth="1"/>
    <col min="16" max="16" width="22.33203125" style="2" customWidth="1"/>
    <col min="17" max="17" width="25.109375" style="2" customWidth="1"/>
    <col min="18" max="18" width="23.33203125" style="2" customWidth="1"/>
    <col min="19" max="19" width="14.44140625" style="15" customWidth="1"/>
    <col min="20" max="20" width="17.44140625" style="15" customWidth="1"/>
    <col min="21" max="23" width="14.5546875" style="15" bestFit="1" customWidth="1"/>
    <col min="24" max="24" width="15.6640625" style="15" bestFit="1" customWidth="1"/>
    <col min="25" max="25" width="39.6640625" style="15" bestFit="1" customWidth="1"/>
    <col min="26" max="26" width="15.44140625" style="15" bestFit="1" customWidth="1"/>
    <col min="27" max="27" width="23.6640625" style="15" customWidth="1"/>
    <col min="28" max="28" width="11.44140625" style="19"/>
    <col min="29" max="29" width="23.88671875" style="19" customWidth="1"/>
    <col min="30" max="33" width="11.44140625" style="15"/>
    <col min="34" max="34" width="36.109375" style="19" customWidth="1"/>
    <col min="35" max="16384" width="11.44140625" style="15"/>
  </cols>
  <sheetData>
    <row r="1" spans="1:34" ht="15" thickBot="1">
      <c r="A1" s="40">
        <v>1</v>
      </c>
      <c r="B1" s="40">
        <v>2</v>
      </c>
      <c r="C1" s="40">
        <v>3</v>
      </c>
      <c r="D1" s="40">
        <v>4</v>
      </c>
      <c r="E1" s="40">
        <v>5</v>
      </c>
      <c r="F1" s="40">
        <v>6</v>
      </c>
      <c r="G1" s="40">
        <v>7</v>
      </c>
      <c r="H1" s="41">
        <v>8</v>
      </c>
      <c r="I1" s="40">
        <v>9</v>
      </c>
      <c r="J1" s="40">
        <v>10</v>
      </c>
      <c r="K1" s="40">
        <v>11</v>
      </c>
      <c r="L1" s="40">
        <v>12</v>
      </c>
      <c r="M1" s="40">
        <v>13</v>
      </c>
      <c r="N1" s="40">
        <v>14</v>
      </c>
      <c r="O1" s="40">
        <v>15</v>
      </c>
      <c r="P1" s="40">
        <v>16</v>
      </c>
      <c r="Q1" s="40">
        <v>17</v>
      </c>
      <c r="R1" s="40">
        <v>18</v>
      </c>
      <c r="S1" s="40">
        <v>19</v>
      </c>
      <c r="T1" s="40">
        <v>20</v>
      </c>
      <c r="U1" s="40">
        <v>21</v>
      </c>
      <c r="V1" s="40">
        <v>22</v>
      </c>
      <c r="W1" s="40">
        <v>23</v>
      </c>
      <c r="X1" s="40">
        <v>24</v>
      </c>
      <c r="Y1" s="40">
        <v>25</v>
      </c>
      <c r="Z1" s="40">
        <v>26</v>
      </c>
      <c r="AA1" s="40">
        <v>27</v>
      </c>
      <c r="AB1" s="40">
        <v>28</v>
      </c>
      <c r="AC1" s="40">
        <v>29</v>
      </c>
      <c r="AD1" s="40">
        <v>30</v>
      </c>
      <c r="AE1" s="40">
        <v>31</v>
      </c>
      <c r="AF1" s="40">
        <v>32</v>
      </c>
      <c r="AG1" s="40">
        <v>33</v>
      </c>
      <c r="AH1" s="370">
        <v>34</v>
      </c>
    </row>
    <row r="2" spans="1:34" s="52" customFormat="1" ht="58.2">
      <c r="A2" s="42" t="s">
        <v>65</v>
      </c>
      <c r="B2" s="43" t="s">
        <v>50</v>
      </c>
      <c r="C2" s="42" t="s">
        <v>2608</v>
      </c>
      <c r="D2" s="42" t="s">
        <v>35</v>
      </c>
      <c r="E2" s="42" t="s">
        <v>66</v>
      </c>
      <c r="F2" s="44" t="s">
        <v>67</v>
      </c>
      <c r="G2" s="44" t="s">
        <v>68</v>
      </c>
      <c r="H2" s="45" t="s">
        <v>69</v>
      </c>
      <c r="I2" s="45" t="s">
        <v>70</v>
      </c>
      <c r="J2" s="45" t="s">
        <v>51</v>
      </c>
      <c r="K2" s="46" t="s">
        <v>71</v>
      </c>
      <c r="L2" s="46" t="s">
        <v>72</v>
      </c>
      <c r="M2" s="46" t="s">
        <v>73</v>
      </c>
      <c r="N2" s="47" t="s">
        <v>74</v>
      </c>
      <c r="O2" s="47" t="s">
        <v>75</v>
      </c>
      <c r="P2" s="47" t="s">
        <v>76</v>
      </c>
      <c r="Q2" s="47" t="s">
        <v>77</v>
      </c>
      <c r="R2" s="47" t="s">
        <v>78</v>
      </c>
      <c r="S2" s="47" t="s">
        <v>79</v>
      </c>
      <c r="T2" s="48" t="s">
        <v>80</v>
      </c>
      <c r="U2" s="48" t="s">
        <v>81</v>
      </c>
      <c r="V2" s="48" t="s">
        <v>82</v>
      </c>
      <c r="W2" s="47" t="s">
        <v>2857</v>
      </c>
      <c r="X2" s="47" t="s">
        <v>2858</v>
      </c>
      <c r="Y2" s="49" t="s">
        <v>2859</v>
      </c>
      <c r="Z2" s="48" t="s">
        <v>83</v>
      </c>
      <c r="AA2" s="48" t="s">
        <v>84</v>
      </c>
      <c r="AB2" s="48" t="s">
        <v>85</v>
      </c>
      <c r="AC2" s="50" t="s">
        <v>2860</v>
      </c>
      <c r="AD2" s="50" t="s">
        <v>2861</v>
      </c>
      <c r="AE2" s="51" t="s">
        <v>2862</v>
      </c>
      <c r="AF2" s="50" t="s">
        <v>86</v>
      </c>
      <c r="AG2" s="50" t="s">
        <v>87</v>
      </c>
      <c r="AH2" s="51" t="s">
        <v>4</v>
      </c>
    </row>
    <row r="3" spans="1:34" s="18" customFormat="1" ht="34.200000000000003" hidden="1">
      <c r="A3" s="53">
        <v>1001</v>
      </c>
      <c r="B3" s="54" t="s">
        <v>2609</v>
      </c>
      <c r="C3" s="54" t="s">
        <v>2863</v>
      </c>
      <c r="D3" s="54" t="s">
        <v>2864</v>
      </c>
      <c r="E3" s="53">
        <v>1</v>
      </c>
      <c r="F3" s="55">
        <v>1</v>
      </c>
      <c r="G3" s="56">
        <v>1</v>
      </c>
      <c r="H3" s="57" t="s">
        <v>88</v>
      </c>
      <c r="I3" s="57" t="s">
        <v>88</v>
      </c>
      <c r="J3" s="58">
        <v>10500102667101</v>
      </c>
      <c r="K3" s="59" t="s">
        <v>89</v>
      </c>
      <c r="L3" s="59"/>
      <c r="M3" s="59">
        <v>1</v>
      </c>
      <c r="N3" s="57" t="s">
        <v>90</v>
      </c>
      <c r="O3" s="57" t="s">
        <v>91</v>
      </c>
      <c r="P3" s="60" t="s">
        <v>92</v>
      </c>
      <c r="Q3" s="57" t="s">
        <v>93</v>
      </c>
      <c r="R3" s="57" t="s">
        <v>94</v>
      </c>
      <c r="S3" s="61" t="s">
        <v>95</v>
      </c>
      <c r="T3" s="62">
        <v>214</v>
      </c>
      <c r="U3" s="63">
        <v>259</v>
      </c>
      <c r="V3" s="63">
        <v>77</v>
      </c>
      <c r="W3" s="64" t="s">
        <v>2864</v>
      </c>
      <c r="X3" s="64" t="s">
        <v>2609</v>
      </c>
      <c r="Y3" s="65">
        <v>550</v>
      </c>
      <c r="Z3" s="62">
        <v>0</v>
      </c>
      <c r="AA3" s="63">
        <v>0</v>
      </c>
      <c r="AB3" s="63">
        <v>0</v>
      </c>
      <c r="AC3" s="64"/>
      <c r="AD3" s="64"/>
      <c r="AE3" s="65">
        <v>0</v>
      </c>
      <c r="AF3" s="66">
        <f t="shared" ref="AF3:AF66" si="0">+Y3+AE3</f>
        <v>550</v>
      </c>
      <c r="AG3" s="67"/>
      <c r="AH3" s="68"/>
    </row>
    <row r="4" spans="1:34" s="18" customFormat="1" ht="45.6" hidden="1">
      <c r="A4" s="53">
        <v>1002</v>
      </c>
      <c r="B4" s="54" t="s">
        <v>2609</v>
      </c>
      <c r="C4" s="54" t="s">
        <v>2863</v>
      </c>
      <c r="D4" s="54" t="s">
        <v>2864</v>
      </c>
      <c r="E4" s="53">
        <v>1</v>
      </c>
      <c r="F4" s="69">
        <v>1</v>
      </c>
      <c r="G4" s="70">
        <v>2</v>
      </c>
      <c r="H4" s="71" t="s">
        <v>96</v>
      </c>
      <c r="I4" s="72" t="s">
        <v>96</v>
      </c>
      <c r="J4" s="73">
        <v>10500102584402</v>
      </c>
      <c r="K4" s="70" t="s">
        <v>89</v>
      </c>
      <c r="L4" s="74"/>
      <c r="M4" s="70">
        <v>1</v>
      </c>
      <c r="N4" s="72" t="s">
        <v>97</v>
      </c>
      <c r="O4" s="72" t="s">
        <v>98</v>
      </c>
      <c r="P4" s="75" t="s">
        <v>99</v>
      </c>
      <c r="Q4" s="72" t="s">
        <v>100</v>
      </c>
      <c r="R4" s="72" t="s">
        <v>101</v>
      </c>
      <c r="S4" s="76" t="s">
        <v>102</v>
      </c>
      <c r="T4" s="77">
        <v>300</v>
      </c>
      <c r="U4" s="78">
        <v>150</v>
      </c>
      <c r="V4" s="78">
        <v>0</v>
      </c>
      <c r="W4" s="64" t="s">
        <v>2864</v>
      </c>
      <c r="X4" s="64" t="s">
        <v>2609</v>
      </c>
      <c r="Y4" s="79">
        <v>450</v>
      </c>
      <c r="Z4" s="77">
        <v>0</v>
      </c>
      <c r="AA4" s="78">
        <v>0</v>
      </c>
      <c r="AB4" s="78">
        <v>0</v>
      </c>
      <c r="AC4" s="64"/>
      <c r="AD4" s="64"/>
      <c r="AE4" s="79">
        <v>0</v>
      </c>
      <c r="AF4" s="80">
        <f t="shared" si="0"/>
        <v>450</v>
      </c>
      <c r="AG4" s="81"/>
      <c r="AH4" s="82" t="s">
        <v>103</v>
      </c>
    </row>
    <row r="5" spans="1:34" s="18" customFormat="1" ht="115.2" hidden="1">
      <c r="A5" s="53">
        <v>1003</v>
      </c>
      <c r="B5" s="54" t="s">
        <v>2907</v>
      </c>
      <c r="C5" s="54" t="s">
        <v>2863</v>
      </c>
      <c r="D5" s="54" t="s">
        <v>2865</v>
      </c>
      <c r="E5" s="53">
        <v>1</v>
      </c>
      <c r="F5" s="55">
        <v>1</v>
      </c>
      <c r="G5" s="56">
        <v>3</v>
      </c>
      <c r="H5" s="57" t="s">
        <v>104</v>
      </c>
      <c r="I5" s="57" t="s">
        <v>104</v>
      </c>
      <c r="J5" s="58">
        <v>10500101258101</v>
      </c>
      <c r="K5" s="59" t="s">
        <v>89</v>
      </c>
      <c r="L5" s="59"/>
      <c r="M5" s="59">
        <v>1</v>
      </c>
      <c r="N5" s="57" t="s">
        <v>105</v>
      </c>
      <c r="O5" s="57" t="s">
        <v>106</v>
      </c>
      <c r="P5" s="60" t="s">
        <v>107</v>
      </c>
      <c r="Q5" s="57" t="s">
        <v>108</v>
      </c>
      <c r="R5" s="57" t="s">
        <v>109</v>
      </c>
      <c r="S5" s="83" t="s">
        <v>110</v>
      </c>
      <c r="T5" s="84">
        <v>265</v>
      </c>
      <c r="U5" s="85">
        <v>75</v>
      </c>
      <c r="V5" s="85">
        <v>110</v>
      </c>
      <c r="W5" s="64" t="s">
        <v>2864</v>
      </c>
      <c r="X5" s="64" t="s">
        <v>2609</v>
      </c>
      <c r="Y5" s="65">
        <v>450</v>
      </c>
      <c r="Z5" s="84">
        <v>100</v>
      </c>
      <c r="AA5" s="85">
        <v>300</v>
      </c>
      <c r="AB5" s="85">
        <v>0</v>
      </c>
      <c r="AC5" s="64" t="s">
        <v>2866</v>
      </c>
      <c r="AD5" s="64" t="s">
        <v>2867</v>
      </c>
      <c r="AE5" s="65">
        <v>400</v>
      </c>
      <c r="AF5" s="66">
        <f t="shared" si="0"/>
        <v>850</v>
      </c>
      <c r="AG5" s="67"/>
      <c r="AH5" s="68"/>
    </row>
    <row r="6" spans="1:34" s="18" customFormat="1" ht="115.2" hidden="1">
      <c r="A6" s="53">
        <v>1004</v>
      </c>
      <c r="B6" s="54" t="s">
        <v>2907</v>
      </c>
      <c r="C6" s="54" t="s">
        <v>2863</v>
      </c>
      <c r="D6" s="54" t="s">
        <v>2865</v>
      </c>
      <c r="E6" s="53">
        <v>1</v>
      </c>
      <c r="F6" s="55">
        <v>1</v>
      </c>
      <c r="G6" s="56">
        <v>4</v>
      </c>
      <c r="H6" s="57" t="s">
        <v>111</v>
      </c>
      <c r="I6" s="57" t="s">
        <v>111</v>
      </c>
      <c r="J6" s="58">
        <v>10500101270002</v>
      </c>
      <c r="K6" s="59" t="s">
        <v>89</v>
      </c>
      <c r="L6" s="59"/>
      <c r="M6" s="59">
        <v>1</v>
      </c>
      <c r="N6" s="57" t="s">
        <v>112</v>
      </c>
      <c r="O6" s="57" t="s">
        <v>113</v>
      </c>
      <c r="P6" s="60">
        <v>2363305</v>
      </c>
      <c r="Q6" s="57" t="s">
        <v>114</v>
      </c>
      <c r="R6" s="57" t="s">
        <v>115</v>
      </c>
      <c r="S6" s="61" t="s">
        <v>116</v>
      </c>
      <c r="T6" s="86">
        <v>126</v>
      </c>
      <c r="U6" s="87">
        <v>214</v>
      </c>
      <c r="V6" s="87">
        <v>0</v>
      </c>
      <c r="W6" s="64" t="s">
        <v>2864</v>
      </c>
      <c r="X6" s="64" t="s">
        <v>2609</v>
      </c>
      <c r="Y6" s="65">
        <v>340</v>
      </c>
      <c r="Z6" s="86">
        <v>148</v>
      </c>
      <c r="AA6" s="87">
        <v>252</v>
      </c>
      <c r="AB6" s="87">
        <v>0</v>
      </c>
      <c r="AC6" s="64" t="s">
        <v>2866</v>
      </c>
      <c r="AD6" s="64" t="s">
        <v>2867</v>
      </c>
      <c r="AE6" s="65">
        <v>400</v>
      </c>
      <c r="AF6" s="66">
        <f t="shared" si="0"/>
        <v>740</v>
      </c>
      <c r="AG6" s="67"/>
      <c r="AH6" s="68"/>
    </row>
    <row r="7" spans="1:34" s="18" customFormat="1" ht="45.6" hidden="1">
      <c r="A7" s="53">
        <v>1005</v>
      </c>
      <c r="B7" s="54" t="s">
        <v>2609</v>
      </c>
      <c r="C7" s="54" t="s">
        <v>2863</v>
      </c>
      <c r="D7" s="54" t="s">
        <v>2864</v>
      </c>
      <c r="E7" s="53">
        <v>1</v>
      </c>
      <c r="F7" s="55">
        <v>1</v>
      </c>
      <c r="G7" s="56">
        <v>5</v>
      </c>
      <c r="H7" s="57" t="s">
        <v>117</v>
      </c>
      <c r="I7" s="57" t="s">
        <v>117</v>
      </c>
      <c r="J7" s="58">
        <v>10500100182102</v>
      </c>
      <c r="K7" s="59" t="s">
        <v>89</v>
      </c>
      <c r="L7" s="59"/>
      <c r="M7" s="59">
        <v>1</v>
      </c>
      <c r="N7" s="57" t="s">
        <v>118</v>
      </c>
      <c r="O7" s="57" t="s">
        <v>119</v>
      </c>
      <c r="P7" s="60">
        <v>5284658</v>
      </c>
      <c r="Q7" s="57" t="s">
        <v>120</v>
      </c>
      <c r="R7" s="57" t="s">
        <v>121</v>
      </c>
      <c r="S7" s="61" t="s">
        <v>122</v>
      </c>
      <c r="T7" s="62">
        <v>324</v>
      </c>
      <c r="U7" s="63">
        <v>76</v>
      </c>
      <c r="V7" s="63">
        <v>0</v>
      </c>
      <c r="W7" s="64" t="s">
        <v>2864</v>
      </c>
      <c r="X7" s="64" t="s">
        <v>2609</v>
      </c>
      <c r="Y7" s="65">
        <v>400</v>
      </c>
      <c r="Z7" s="62">
        <v>0</v>
      </c>
      <c r="AA7" s="63">
        <v>0</v>
      </c>
      <c r="AB7" s="63">
        <v>0</v>
      </c>
      <c r="AC7" s="64"/>
      <c r="AD7" s="64"/>
      <c r="AE7" s="65">
        <v>0</v>
      </c>
      <c r="AF7" s="66">
        <f t="shared" si="0"/>
        <v>400</v>
      </c>
      <c r="AG7" s="67"/>
      <c r="AH7" s="68"/>
    </row>
    <row r="8" spans="1:34" s="18" customFormat="1" ht="115.2" hidden="1">
      <c r="A8" s="53">
        <v>1006</v>
      </c>
      <c r="B8" s="54" t="s">
        <v>2907</v>
      </c>
      <c r="C8" s="54" t="s">
        <v>2863</v>
      </c>
      <c r="D8" s="54" t="s">
        <v>2865</v>
      </c>
      <c r="E8" s="53">
        <v>1</v>
      </c>
      <c r="F8" s="55">
        <v>1</v>
      </c>
      <c r="G8" s="56">
        <v>6</v>
      </c>
      <c r="H8" s="57" t="s">
        <v>123</v>
      </c>
      <c r="I8" s="57" t="s">
        <v>123</v>
      </c>
      <c r="J8" s="58">
        <v>10500100182101</v>
      </c>
      <c r="K8" s="59" t="s">
        <v>89</v>
      </c>
      <c r="L8" s="59"/>
      <c r="M8" s="59">
        <v>1</v>
      </c>
      <c r="N8" s="57" t="s">
        <v>124</v>
      </c>
      <c r="O8" s="57" t="s">
        <v>125</v>
      </c>
      <c r="P8" s="60" t="s">
        <v>126</v>
      </c>
      <c r="Q8" s="57" t="s">
        <v>127</v>
      </c>
      <c r="R8" s="57" t="s">
        <v>128</v>
      </c>
      <c r="S8" s="61" t="s">
        <v>129</v>
      </c>
      <c r="T8" s="62">
        <v>0</v>
      </c>
      <c r="U8" s="63">
        <v>200</v>
      </c>
      <c r="V8" s="63">
        <v>100</v>
      </c>
      <c r="W8" s="64" t="s">
        <v>2864</v>
      </c>
      <c r="X8" s="64" t="s">
        <v>2609</v>
      </c>
      <c r="Y8" s="65">
        <v>300</v>
      </c>
      <c r="Z8" s="62">
        <v>58</v>
      </c>
      <c r="AA8" s="63">
        <v>342</v>
      </c>
      <c r="AB8" s="63">
        <v>100</v>
      </c>
      <c r="AC8" s="64" t="s">
        <v>2866</v>
      </c>
      <c r="AD8" s="64" t="s">
        <v>2867</v>
      </c>
      <c r="AE8" s="65">
        <v>500</v>
      </c>
      <c r="AF8" s="66">
        <f t="shared" si="0"/>
        <v>800</v>
      </c>
      <c r="AG8" s="67"/>
      <c r="AH8" s="68"/>
    </row>
    <row r="9" spans="1:34" s="18" customFormat="1" ht="102.6" hidden="1">
      <c r="A9" s="53">
        <v>1007</v>
      </c>
      <c r="B9" s="54" t="s">
        <v>2609</v>
      </c>
      <c r="C9" s="54" t="s">
        <v>2863</v>
      </c>
      <c r="D9" s="54" t="s">
        <v>2864</v>
      </c>
      <c r="E9" s="53">
        <v>1</v>
      </c>
      <c r="F9" s="55">
        <v>1</v>
      </c>
      <c r="G9" s="56">
        <v>7</v>
      </c>
      <c r="H9" s="57" t="s">
        <v>130</v>
      </c>
      <c r="I9" s="57" t="s">
        <v>130</v>
      </c>
      <c r="J9" s="58">
        <v>10500101216501</v>
      </c>
      <c r="K9" s="59" t="s">
        <v>89</v>
      </c>
      <c r="L9" s="59"/>
      <c r="M9" s="59">
        <v>1</v>
      </c>
      <c r="N9" s="57" t="s">
        <v>90</v>
      </c>
      <c r="O9" s="57" t="s">
        <v>131</v>
      </c>
      <c r="P9" s="60">
        <v>5211353</v>
      </c>
      <c r="Q9" s="57" t="s">
        <v>132</v>
      </c>
      <c r="R9" s="57" t="s">
        <v>133</v>
      </c>
      <c r="S9" s="61" t="s">
        <v>134</v>
      </c>
      <c r="T9" s="62">
        <v>0</v>
      </c>
      <c r="U9" s="63">
        <v>93</v>
      </c>
      <c r="V9" s="63">
        <v>87</v>
      </c>
      <c r="W9" s="64" t="s">
        <v>2864</v>
      </c>
      <c r="X9" s="64" t="s">
        <v>2609</v>
      </c>
      <c r="Y9" s="65">
        <v>180</v>
      </c>
      <c r="Z9" s="62">
        <v>0</v>
      </c>
      <c r="AA9" s="63">
        <v>0</v>
      </c>
      <c r="AB9" s="63">
        <v>0</v>
      </c>
      <c r="AC9" s="64"/>
      <c r="AD9" s="64"/>
      <c r="AE9" s="65">
        <v>0</v>
      </c>
      <c r="AF9" s="66">
        <f t="shared" si="0"/>
        <v>180</v>
      </c>
      <c r="AG9" s="67"/>
      <c r="AH9" s="68"/>
    </row>
    <row r="10" spans="1:34" s="18" customFormat="1" ht="91.2" hidden="1">
      <c r="A10" s="53">
        <v>1008</v>
      </c>
      <c r="B10" s="54" t="s">
        <v>2609</v>
      </c>
      <c r="C10" s="54" t="s">
        <v>2863</v>
      </c>
      <c r="D10" s="54" t="s">
        <v>2864</v>
      </c>
      <c r="E10" s="53">
        <v>1</v>
      </c>
      <c r="F10" s="55">
        <v>1</v>
      </c>
      <c r="G10" s="56">
        <v>8</v>
      </c>
      <c r="H10" s="57" t="s">
        <v>135</v>
      </c>
      <c r="I10" s="57" t="s">
        <v>135</v>
      </c>
      <c r="J10" s="58">
        <v>10500101216503</v>
      </c>
      <c r="K10" s="59" t="s">
        <v>89</v>
      </c>
      <c r="L10" s="59"/>
      <c r="M10" s="59">
        <v>1</v>
      </c>
      <c r="N10" s="57" t="s">
        <v>136</v>
      </c>
      <c r="O10" s="57" t="s">
        <v>137</v>
      </c>
      <c r="P10" s="60">
        <v>5211438</v>
      </c>
      <c r="Q10" s="57" t="s">
        <v>132</v>
      </c>
      <c r="R10" s="57" t="s">
        <v>138</v>
      </c>
      <c r="S10" s="61" t="s">
        <v>139</v>
      </c>
      <c r="T10" s="62">
        <v>139</v>
      </c>
      <c r="U10" s="63">
        <v>361</v>
      </c>
      <c r="V10" s="63">
        <v>50</v>
      </c>
      <c r="W10" s="64" t="s">
        <v>2864</v>
      </c>
      <c r="X10" s="64" t="s">
        <v>2609</v>
      </c>
      <c r="Y10" s="65">
        <v>550</v>
      </c>
      <c r="Z10" s="62">
        <v>0</v>
      </c>
      <c r="AA10" s="63">
        <v>0</v>
      </c>
      <c r="AB10" s="63">
        <v>0</v>
      </c>
      <c r="AC10" s="64"/>
      <c r="AD10" s="64"/>
      <c r="AE10" s="65">
        <v>0</v>
      </c>
      <c r="AF10" s="66">
        <f t="shared" si="0"/>
        <v>550</v>
      </c>
      <c r="AG10" s="59" t="s">
        <v>140</v>
      </c>
      <c r="AH10" s="68"/>
    </row>
    <row r="11" spans="1:34" s="18" customFormat="1" ht="115.2" hidden="1">
      <c r="A11" s="53">
        <v>1009</v>
      </c>
      <c r="B11" s="54" t="s">
        <v>2907</v>
      </c>
      <c r="C11" s="54" t="s">
        <v>2863</v>
      </c>
      <c r="D11" s="54" t="s">
        <v>2865</v>
      </c>
      <c r="E11" s="53">
        <v>1</v>
      </c>
      <c r="F11" s="55">
        <v>1</v>
      </c>
      <c r="G11" s="56">
        <v>9</v>
      </c>
      <c r="H11" s="57" t="s">
        <v>141</v>
      </c>
      <c r="I11" s="57" t="s">
        <v>141</v>
      </c>
      <c r="J11" s="58">
        <v>10500101169001</v>
      </c>
      <c r="K11" s="59" t="s">
        <v>89</v>
      </c>
      <c r="L11" s="59"/>
      <c r="M11" s="59">
        <v>1</v>
      </c>
      <c r="N11" s="57" t="s">
        <v>124</v>
      </c>
      <c r="O11" s="57" t="s">
        <v>142</v>
      </c>
      <c r="P11" s="60" t="s">
        <v>143</v>
      </c>
      <c r="Q11" s="57" t="s">
        <v>144</v>
      </c>
      <c r="R11" s="57" t="s">
        <v>145</v>
      </c>
      <c r="S11" s="61" t="s">
        <v>146</v>
      </c>
      <c r="T11" s="62">
        <v>0</v>
      </c>
      <c r="U11" s="63">
        <v>160</v>
      </c>
      <c r="V11" s="63">
        <v>110</v>
      </c>
      <c r="W11" s="64" t="s">
        <v>2864</v>
      </c>
      <c r="X11" s="64" t="s">
        <v>2609</v>
      </c>
      <c r="Y11" s="65">
        <v>270</v>
      </c>
      <c r="Z11" s="62">
        <v>0</v>
      </c>
      <c r="AA11" s="63">
        <v>173</v>
      </c>
      <c r="AB11" s="63">
        <v>77</v>
      </c>
      <c r="AC11" s="64" t="s">
        <v>2866</v>
      </c>
      <c r="AD11" s="64" t="s">
        <v>2867</v>
      </c>
      <c r="AE11" s="65">
        <v>250</v>
      </c>
      <c r="AF11" s="66">
        <f t="shared" si="0"/>
        <v>520</v>
      </c>
      <c r="AG11" s="67"/>
      <c r="AH11" s="68"/>
    </row>
    <row r="12" spans="1:34" s="18" customFormat="1" ht="115.2" hidden="1">
      <c r="A12" s="53">
        <v>1010</v>
      </c>
      <c r="B12" s="54" t="s">
        <v>2907</v>
      </c>
      <c r="C12" s="54" t="s">
        <v>2863</v>
      </c>
      <c r="D12" s="54" t="s">
        <v>2865</v>
      </c>
      <c r="E12" s="53">
        <v>1</v>
      </c>
      <c r="F12" s="69">
        <v>1</v>
      </c>
      <c r="G12" s="70">
        <v>10</v>
      </c>
      <c r="H12" s="88" t="s">
        <v>147</v>
      </c>
      <c r="I12" s="88" t="s">
        <v>148</v>
      </c>
      <c r="J12" s="89">
        <v>10500101509102</v>
      </c>
      <c r="K12" s="90" t="s">
        <v>89</v>
      </c>
      <c r="L12" s="91"/>
      <c r="M12" s="90">
        <v>1</v>
      </c>
      <c r="N12" s="88" t="s">
        <v>149</v>
      </c>
      <c r="O12" s="88" t="s">
        <v>150</v>
      </c>
      <c r="P12" s="92" t="s">
        <v>151</v>
      </c>
      <c r="Q12" s="88" t="s">
        <v>152</v>
      </c>
      <c r="R12" s="88" t="s">
        <v>153</v>
      </c>
      <c r="S12" s="93" t="s">
        <v>154</v>
      </c>
      <c r="T12" s="94">
        <v>190</v>
      </c>
      <c r="U12" s="95">
        <v>199</v>
      </c>
      <c r="V12" s="95">
        <v>0</v>
      </c>
      <c r="W12" s="64" t="s">
        <v>2864</v>
      </c>
      <c r="X12" s="64" t="s">
        <v>2609</v>
      </c>
      <c r="Y12" s="65">
        <v>389</v>
      </c>
      <c r="Z12" s="94">
        <v>80</v>
      </c>
      <c r="AA12" s="95">
        <v>0</v>
      </c>
      <c r="AB12" s="95">
        <v>0</v>
      </c>
      <c r="AC12" s="64" t="s">
        <v>2866</v>
      </c>
      <c r="AD12" s="64" t="s">
        <v>2867</v>
      </c>
      <c r="AE12" s="65">
        <v>80</v>
      </c>
      <c r="AF12" s="66">
        <f t="shared" si="0"/>
        <v>469</v>
      </c>
      <c r="AG12" s="96"/>
      <c r="AH12" s="97" t="s">
        <v>155</v>
      </c>
    </row>
    <row r="13" spans="1:34" s="18" customFormat="1" ht="115.2" hidden="1">
      <c r="A13" s="53">
        <v>1011</v>
      </c>
      <c r="B13" s="54" t="s">
        <v>2907</v>
      </c>
      <c r="C13" s="54" t="s">
        <v>2863</v>
      </c>
      <c r="D13" s="54" t="s">
        <v>2865</v>
      </c>
      <c r="E13" s="53">
        <v>1</v>
      </c>
      <c r="F13" s="69">
        <v>1</v>
      </c>
      <c r="G13" s="70">
        <v>11</v>
      </c>
      <c r="H13" s="88" t="s">
        <v>147</v>
      </c>
      <c r="I13" s="88" t="s">
        <v>147</v>
      </c>
      <c r="J13" s="89">
        <v>10500101509101</v>
      </c>
      <c r="K13" s="90" t="s">
        <v>89</v>
      </c>
      <c r="L13" s="91"/>
      <c r="M13" s="90">
        <v>1</v>
      </c>
      <c r="N13" s="88" t="s">
        <v>149</v>
      </c>
      <c r="O13" s="88" t="s">
        <v>150</v>
      </c>
      <c r="P13" s="92" t="s">
        <v>151</v>
      </c>
      <c r="Q13" s="88" t="s">
        <v>152</v>
      </c>
      <c r="R13" s="88" t="s">
        <v>153</v>
      </c>
      <c r="S13" s="93" t="s">
        <v>156</v>
      </c>
      <c r="T13" s="94">
        <v>50</v>
      </c>
      <c r="U13" s="95">
        <v>200</v>
      </c>
      <c r="V13" s="95">
        <v>70</v>
      </c>
      <c r="W13" s="64" t="s">
        <v>2864</v>
      </c>
      <c r="X13" s="64" t="s">
        <v>2609</v>
      </c>
      <c r="Y13" s="65">
        <v>320</v>
      </c>
      <c r="Z13" s="94">
        <v>0</v>
      </c>
      <c r="AA13" s="95">
        <v>0</v>
      </c>
      <c r="AB13" s="95">
        <v>120</v>
      </c>
      <c r="AC13" s="64" t="s">
        <v>2866</v>
      </c>
      <c r="AD13" s="64" t="s">
        <v>2867</v>
      </c>
      <c r="AE13" s="65">
        <v>120</v>
      </c>
      <c r="AF13" s="66">
        <f t="shared" si="0"/>
        <v>440</v>
      </c>
      <c r="AG13" s="96"/>
      <c r="AH13" s="98"/>
    </row>
    <row r="14" spans="1:34" s="18" customFormat="1" ht="115.2" hidden="1">
      <c r="A14" s="53">
        <v>1012</v>
      </c>
      <c r="B14" s="54" t="s">
        <v>2907</v>
      </c>
      <c r="C14" s="54" t="s">
        <v>2863</v>
      </c>
      <c r="D14" s="54" t="s">
        <v>2865</v>
      </c>
      <c r="E14" s="53">
        <v>1</v>
      </c>
      <c r="F14" s="55">
        <v>1</v>
      </c>
      <c r="G14" s="56">
        <v>12</v>
      </c>
      <c r="H14" s="57" t="s">
        <v>157</v>
      </c>
      <c r="I14" s="57" t="s">
        <v>157</v>
      </c>
      <c r="J14" s="58">
        <v>10500100180501</v>
      </c>
      <c r="K14" s="59" t="s">
        <v>89</v>
      </c>
      <c r="L14" s="59"/>
      <c r="M14" s="59">
        <v>1</v>
      </c>
      <c r="N14" s="57" t="s">
        <v>124</v>
      </c>
      <c r="O14" s="57" t="s">
        <v>158</v>
      </c>
      <c r="P14" s="60">
        <v>5286518</v>
      </c>
      <c r="Q14" s="57" t="s">
        <v>159</v>
      </c>
      <c r="R14" s="57" t="s">
        <v>160</v>
      </c>
      <c r="S14" s="61" t="s">
        <v>161</v>
      </c>
      <c r="T14" s="84">
        <v>60</v>
      </c>
      <c r="U14" s="85">
        <v>300</v>
      </c>
      <c r="V14" s="85">
        <v>80</v>
      </c>
      <c r="W14" s="64" t="s">
        <v>2864</v>
      </c>
      <c r="X14" s="64" t="s">
        <v>2609</v>
      </c>
      <c r="Y14" s="65">
        <v>440</v>
      </c>
      <c r="Z14" s="84">
        <v>380</v>
      </c>
      <c r="AA14" s="85">
        <v>90</v>
      </c>
      <c r="AB14" s="85">
        <v>0</v>
      </c>
      <c r="AC14" s="64" t="s">
        <v>2866</v>
      </c>
      <c r="AD14" s="64" t="s">
        <v>2867</v>
      </c>
      <c r="AE14" s="65">
        <v>470</v>
      </c>
      <c r="AF14" s="66">
        <f t="shared" si="0"/>
        <v>910</v>
      </c>
      <c r="AG14" s="67"/>
      <c r="AH14" s="68"/>
    </row>
    <row r="15" spans="1:34" s="18" customFormat="1" ht="115.2" hidden="1">
      <c r="A15" s="53">
        <v>1013</v>
      </c>
      <c r="B15" s="54" t="s">
        <v>2907</v>
      </c>
      <c r="C15" s="54" t="s">
        <v>2863</v>
      </c>
      <c r="D15" s="54" t="s">
        <v>2865</v>
      </c>
      <c r="E15" s="53">
        <v>1</v>
      </c>
      <c r="F15" s="55">
        <v>1</v>
      </c>
      <c r="G15" s="56">
        <v>13</v>
      </c>
      <c r="H15" s="57" t="s">
        <v>162</v>
      </c>
      <c r="I15" s="57" t="s">
        <v>162</v>
      </c>
      <c r="J15" s="58">
        <v>10500100180502</v>
      </c>
      <c r="K15" s="59" t="s">
        <v>89</v>
      </c>
      <c r="L15" s="59"/>
      <c r="M15" s="59">
        <v>1</v>
      </c>
      <c r="N15" s="57" t="s">
        <v>124</v>
      </c>
      <c r="O15" s="57" t="s">
        <v>163</v>
      </c>
      <c r="P15" s="60">
        <v>2369838</v>
      </c>
      <c r="Q15" s="57" t="s">
        <v>159</v>
      </c>
      <c r="R15" s="57" t="s">
        <v>164</v>
      </c>
      <c r="S15" s="61" t="s">
        <v>165</v>
      </c>
      <c r="T15" s="84">
        <v>50</v>
      </c>
      <c r="U15" s="85">
        <v>210</v>
      </c>
      <c r="V15" s="85">
        <v>155</v>
      </c>
      <c r="W15" s="64" t="s">
        <v>2864</v>
      </c>
      <c r="X15" s="64" t="s">
        <v>2609</v>
      </c>
      <c r="Y15" s="65">
        <v>415</v>
      </c>
      <c r="Z15" s="84">
        <v>165</v>
      </c>
      <c r="AA15" s="85">
        <v>175</v>
      </c>
      <c r="AB15" s="85">
        <v>0</v>
      </c>
      <c r="AC15" s="64" t="s">
        <v>2866</v>
      </c>
      <c r="AD15" s="64" t="s">
        <v>2867</v>
      </c>
      <c r="AE15" s="65">
        <v>340</v>
      </c>
      <c r="AF15" s="66">
        <f t="shared" si="0"/>
        <v>755</v>
      </c>
      <c r="AG15" s="67"/>
      <c r="AH15" s="68"/>
    </row>
    <row r="16" spans="1:34" s="18" customFormat="1" ht="57" hidden="1">
      <c r="A16" s="53">
        <v>1014</v>
      </c>
      <c r="B16" s="54" t="s">
        <v>2609</v>
      </c>
      <c r="C16" s="54" t="s">
        <v>2863</v>
      </c>
      <c r="D16" s="54" t="s">
        <v>2864</v>
      </c>
      <c r="E16" s="53">
        <v>1</v>
      </c>
      <c r="F16" s="55">
        <v>1</v>
      </c>
      <c r="G16" s="56">
        <v>14</v>
      </c>
      <c r="H16" s="57" t="s">
        <v>166</v>
      </c>
      <c r="I16" s="57" t="s">
        <v>166</v>
      </c>
      <c r="J16" s="58">
        <v>30500102009401</v>
      </c>
      <c r="K16" s="59" t="s">
        <v>167</v>
      </c>
      <c r="L16" s="59"/>
      <c r="M16" s="59">
        <v>1</v>
      </c>
      <c r="N16" s="57" t="s">
        <v>90</v>
      </c>
      <c r="O16" s="57" t="s">
        <v>168</v>
      </c>
      <c r="P16" s="60" t="s">
        <v>169</v>
      </c>
      <c r="Q16" s="57" t="s">
        <v>170</v>
      </c>
      <c r="R16" s="57" t="s">
        <v>171</v>
      </c>
      <c r="S16" s="61" t="s">
        <v>172</v>
      </c>
      <c r="T16" s="62">
        <v>68</v>
      </c>
      <c r="U16" s="63">
        <v>104</v>
      </c>
      <c r="V16" s="63">
        <v>83</v>
      </c>
      <c r="W16" s="64" t="s">
        <v>2864</v>
      </c>
      <c r="X16" s="64" t="s">
        <v>2609</v>
      </c>
      <c r="Y16" s="65">
        <v>255</v>
      </c>
      <c r="Z16" s="62">
        <v>0</v>
      </c>
      <c r="AA16" s="63">
        <v>0</v>
      </c>
      <c r="AB16" s="63">
        <v>0</v>
      </c>
      <c r="AC16" s="64"/>
      <c r="AD16" s="64"/>
      <c r="AE16" s="65">
        <v>0</v>
      </c>
      <c r="AF16" s="66">
        <f t="shared" si="0"/>
        <v>255</v>
      </c>
      <c r="AG16" s="67"/>
      <c r="AH16" s="68"/>
    </row>
    <row r="17" spans="1:34" s="18" customFormat="1" ht="100.8" hidden="1">
      <c r="A17" s="53">
        <v>1015</v>
      </c>
      <c r="B17" s="54" t="s">
        <v>2609</v>
      </c>
      <c r="C17" s="54" t="s">
        <v>2863</v>
      </c>
      <c r="D17" s="54" t="s">
        <v>2864</v>
      </c>
      <c r="E17" s="53">
        <v>1</v>
      </c>
      <c r="F17" s="69">
        <v>1</v>
      </c>
      <c r="G17" s="70">
        <v>15</v>
      </c>
      <c r="H17" s="88" t="s">
        <v>173</v>
      </c>
      <c r="I17" s="88" t="s">
        <v>173</v>
      </c>
      <c r="J17" s="89">
        <v>10500100671801</v>
      </c>
      <c r="K17" s="90" t="s">
        <v>89</v>
      </c>
      <c r="L17" s="90"/>
      <c r="M17" s="90">
        <v>2</v>
      </c>
      <c r="N17" s="88" t="s">
        <v>174</v>
      </c>
      <c r="O17" s="88" t="s">
        <v>175</v>
      </c>
      <c r="P17" s="92" t="s">
        <v>176</v>
      </c>
      <c r="Q17" s="88" t="s">
        <v>177</v>
      </c>
      <c r="R17" s="88" t="s">
        <v>178</v>
      </c>
      <c r="S17" s="93" t="s">
        <v>179</v>
      </c>
      <c r="T17" s="94">
        <v>0</v>
      </c>
      <c r="U17" s="95">
        <v>200</v>
      </c>
      <c r="V17" s="95">
        <v>200</v>
      </c>
      <c r="W17" s="64" t="s">
        <v>2864</v>
      </c>
      <c r="X17" s="64" t="s">
        <v>2609</v>
      </c>
      <c r="Y17" s="65">
        <v>400</v>
      </c>
      <c r="Z17" s="94">
        <v>0</v>
      </c>
      <c r="AA17" s="95">
        <v>0</v>
      </c>
      <c r="AB17" s="95">
        <v>0</v>
      </c>
      <c r="AC17" s="64"/>
      <c r="AD17" s="64"/>
      <c r="AE17" s="65">
        <v>0</v>
      </c>
      <c r="AF17" s="66">
        <f t="shared" si="0"/>
        <v>400</v>
      </c>
      <c r="AG17" s="96"/>
      <c r="AH17" s="91" t="s">
        <v>180</v>
      </c>
    </row>
    <row r="18" spans="1:34" s="18" customFormat="1" ht="100.8" hidden="1">
      <c r="A18" s="53">
        <v>1016</v>
      </c>
      <c r="B18" s="54" t="s">
        <v>2609</v>
      </c>
      <c r="C18" s="54" t="s">
        <v>2863</v>
      </c>
      <c r="D18" s="54" t="s">
        <v>2864</v>
      </c>
      <c r="E18" s="53">
        <v>1</v>
      </c>
      <c r="F18" s="99">
        <v>1</v>
      </c>
      <c r="G18" s="70">
        <v>16</v>
      </c>
      <c r="H18" s="88" t="s">
        <v>173</v>
      </c>
      <c r="I18" s="88" t="s">
        <v>181</v>
      </c>
      <c r="J18" s="89">
        <v>10500100671803</v>
      </c>
      <c r="K18" s="90" t="s">
        <v>89</v>
      </c>
      <c r="L18" s="91"/>
      <c r="M18" s="90">
        <v>2</v>
      </c>
      <c r="N18" s="88" t="s">
        <v>174</v>
      </c>
      <c r="O18" s="88" t="s">
        <v>175</v>
      </c>
      <c r="P18" s="92" t="s">
        <v>176</v>
      </c>
      <c r="Q18" s="88" t="s">
        <v>177</v>
      </c>
      <c r="R18" s="88" t="s">
        <v>178</v>
      </c>
      <c r="S18" s="93" t="s">
        <v>179</v>
      </c>
      <c r="T18" s="94">
        <v>200</v>
      </c>
      <c r="U18" s="95">
        <v>0</v>
      </c>
      <c r="V18" s="95">
        <v>0</v>
      </c>
      <c r="W18" s="64" t="s">
        <v>2864</v>
      </c>
      <c r="X18" s="64" t="s">
        <v>2609</v>
      </c>
      <c r="Y18" s="65">
        <v>200</v>
      </c>
      <c r="Z18" s="94">
        <v>0</v>
      </c>
      <c r="AA18" s="95">
        <v>0</v>
      </c>
      <c r="AB18" s="95">
        <v>0</v>
      </c>
      <c r="AC18" s="64"/>
      <c r="AD18" s="64"/>
      <c r="AE18" s="65">
        <v>0</v>
      </c>
      <c r="AF18" s="66">
        <f t="shared" si="0"/>
        <v>200</v>
      </c>
      <c r="AG18" s="96"/>
      <c r="AH18" s="91" t="s">
        <v>180</v>
      </c>
    </row>
    <row r="19" spans="1:34" s="18" customFormat="1" ht="115.2" hidden="1">
      <c r="A19" s="53">
        <v>1017</v>
      </c>
      <c r="B19" s="54" t="s">
        <v>2907</v>
      </c>
      <c r="C19" s="54" t="s">
        <v>2863</v>
      </c>
      <c r="D19" s="54" t="s">
        <v>2865</v>
      </c>
      <c r="E19" s="53">
        <v>1</v>
      </c>
      <c r="F19" s="55">
        <v>1</v>
      </c>
      <c r="G19" s="56">
        <v>17</v>
      </c>
      <c r="H19" s="57" t="s">
        <v>182</v>
      </c>
      <c r="I19" s="57" t="s">
        <v>182</v>
      </c>
      <c r="J19" s="58">
        <v>10500100671802</v>
      </c>
      <c r="K19" s="59" t="s">
        <v>89</v>
      </c>
      <c r="L19" s="59"/>
      <c r="M19" s="59">
        <v>2</v>
      </c>
      <c r="N19" s="57" t="s">
        <v>174</v>
      </c>
      <c r="O19" s="57" t="s">
        <v>183</v>
      </c>
      <c r="P19" s="60" t="s">
        <v>184</v>
      </c>
      <c r="Q19" s="68"/>
      <c r="R19" s="68"/>
      <c r="S19" s="100"/>
      <c r="T19" s="62">
        <v>235</v>
      </c>
      <c r="U19" s="63">
        <v>130</v>
      </c>
      <c r="V19" s="63">
        <v>0</v>
      </c>
      <c r="W19" s="64" t="s">
        <v>2864</v>
      </c>
      <c r="X19" s="64" t="s">
        <v>2609</v>
      </c>
      <c r="Y19" s="65">
        <v>365</v>
      </c>
      <c r="Z19" s="62">
        <v>130</v>
      </c>
      <c r="AA19" s="63">
        <v>35</v>
      </c>
      <c r="AB19" s="63">
        <v>0</v>
      </c>
      <c r="AC19" s="64" t="s">
        <v>2866</v>
      </c>
      <c r="AD19" s="64" t="s">
        <v>2867</v>
      </c>
      <c r="AE19" s="65">
        <v>165</v>
      </c>
      <c r="AF19" s="66">
        <f t="shared" si="0"/>
        <v>530</v>
      </c>
      <c r="AG19" s="67"/>
      <c r="AH19" s="68"/>
    </row>
    <row r="20" spans="1:34" s="18" customFormat="1" ht="115.2" hidden="1">
      <c r="A20" s="53">
        <v>1018</v>
      </c>
      <c r="B20" s="54" t="s">
        <v>2907</v>
      </c>
      <c r="C20" s="54" t="s">
        <v>2863</v>
      </c>
      <c r="D20" s="54" t="s">
        <v>2865</v>
      </c>
      <c r="E20" s="53">
        <v>1</v>
      </c>
      <c r="F20" s="55">
        <v>1</v>
      </c>
      <c r="G20" s="56">
        <v>18</v>
      </c>
      <c r="H20" s="57" t="s">
        <v>185</v>
      </c>
      <c r="I20" s="57" t="s">
        <v>185</v>
      </c>
      <c r="J20" s="58">
        <v>10500101945302</v>
      </c>
      <c r="K20" s="59" t="s">
        <v>89</v>
      </c>
      <c r="L20" s="59"/>
      <c r="M20" s="59">
        <v>2</v>
      </c>
      <c r="N20" s="57" t="s">
        <v>186</v>
      </c>
      <c r="O20" s="57" t="s">
        <v>187</v>
      </c>
      <c r="P20" s="60" t="s">
        <v>188</v>
      </c>
      <c r="Q20" s="57" t="s">
        <v>189</v>
      </c>
      <c r="R20" s="57" t="s">
        <v>190</v>
      </c>
      <c r="S20" s="61" t="s">
        <v>191</v>
      </c>
      <c r="T20" s="84">
        <v>379</v>
      </c>
      <c r="U20" s="85">
        <v>341</v>
      </c>
      <c r="V20" s="85">
        <v>0</v>
      </c>
      <c r="W20" s="64" t="s">
        <v>2864</v>
      </c>
      <c r="X20" s="64" t="s">
        <v>2609</v>
      </c>
      <c r="Y20" s="65">
        <v>720</v>
      </c>
      <c r="Z20" s="84">
        <v>393</v>
      </c>
      <c r="AA20" s="85">
        <v>487</v>
      </c>
      <c r="AB20" s="85">
        <v>0</v>
      </c>
      <c r="AC20" s="64" t="s">
        <v>2866</v>
      </c>
      <c r="AD20" s="64" t="s">
        <v>2867</v>
      </c>
      <c r="AE20" s="65">
        <v>880</v>
      </c>
      <c r="AF20" s="66">
        <f t="shared" si="0"/>
        <v>1600</v>
      </c>
      <c r="AG20" s="101"/>
      <c r="AH20" s="68"/>
    </row>
    <row r="21" spans="1:34" s="18" customFormat="1" ht="115.2" hidden="1">
      <c r="A21" s="53">
        <v>1019</v>
      </c>
      <c r="B21" s="54" t="s">
        <v>2907</v>
      </c>
      <c r="C21" s="54" t="s">
        <v>2863</v>
      </c>
      <c r="D21" s="54" t="s">
        <v>2865</v>
      </c>
      <c r="E21" s="53">
        <v>1</v>
      </c>
      <c r="F21" s="55">
        <v>1</v>
      </c>
      <c r="G21" s="56">
        <v>19</v>
      </c>
      <c r="H21" s="57" t="s">
        <v>192</v>
      </c>
      <c r="I21" s="102" t="s">
        <v>193</v>
      </c>
      <c r="J21" s="58">
        <v>10500101945304</v>
      </c>
      <c r="K21" s="59" t="s">
        <v>89</v>
      </c>
      <c r="L21" s="59"/>
      <c r="M21" s="59">
        <v>2</v>
      </c>
      <c r="N21" s="57" t="s">
        <v>194</v>
      </c>
      <c r="O21" s="57" t="s">
        <v>195</v>
      </c>
      <c r="P21" s="60" t="s">
        <v>196</v>
      </c>
      <c r="Q21" s="57" t="s">
        <v>189</v>
      </c>
      <c r="R21" s="57" t="s">
        <v>197</v>
      </c>
      <c r="S21" s="61" t="s">
        <v>198</v>
      </c>
      <c r="T21" s="84">
        <v>298</v>
      </c>
      <c r="U21" s="85">
        <v>102</v>
      </c>
      <c r="V21" s="85">
        <v>0</v>
      </c>
      <c r="W21" s="64" t="s">
        <v>2864</v>
      </c>
      <c r="X21" s="64" t="s">
        <v>2609</v>
      </c>
      <c r="Y21" s="65">
        <v>400</v>
      </c>
      <c r="Z21" s="84">
        <v>59</v>
      </c>
      <c r="AA21" s="85">
        <v>381</v>
      </c>
      <c r="AB21" s="85">
        <v>0</v>
      </c>
      <c r="AC21" s="64" t="s">
        <v>2866</v>
      </c>
      <c r="AD21" s="64" t="s">
        <v>2867</v>
      </c>
      <c r="AE21" s="65">
        <v>440</v>
      </c>
      <c r="AF21" s="66">
        <f t="shared" si="0"/>
        <v>840</v>
      </c>
      <c r="AG21" s="67"/>
      <c r="AH21" s="68"/>
    </row>
    <row r="22" spans="1:34" s="18" customFormat="1" ht="115.2" hidden="1">
      <c r="A22" s="53">
        <v>1020</v>
      </c>
      <c r="B22" s="54" t="s">
        <v>2907</v>
      </c>
      <c r="C22" s="54" t="s">
        <v>2863</v>
      </c>
      <c r="D22" s="54" t="s">
        <v>2865</v>
      </c>
      <c r="E22" s="53">
        <v>1</v>
      </c>
      <c r="F22" s="55">
        <v>1</v>
      </c>
      <c r="G22" s="56">
        <v>20</v>
      </c>
      <c r="H22" s="57" t="s">
        <v>199</v>
      </c>
      <c r="I22" s="57" t="s">
        <v>199</v>
      </c>
      <c r="J22" s="58">
        <v>10500100127901</v>
      </c>
      <c r="K22" s="59" t="s">
        <v>89</v>
      </c>
      <c r="L22" s="59"/>
      <c r="M22" s="59">
        <v>2</v>
      </c>
      <c r="N22" s="57" t="s">
        <v>200</v>
      </c>
      <c r="O22" s="57" t="s">
        <v>201</v>
      </c>
      <c r="P22" s="60" t="s">
        <v>202</v>
      </c>
      <c r="Q22" s="57" t="s">
        <v>203</v>
      </c>
      <c r="R22" s="57" t="s">
        <v>204</v>
      </c>
      <c r="S22" s="61" t="s">
        <v>205</v>
      </c>
      <c r="T22" s="103">
        <v>0</v>
      </c>
      <c r="U22" s="104">
        <v>190</v>
      </c>
      <c r="V22" s="104">
        <v>130</v>
      </c>
      <c r="W22" s="64" t="s">
        <v>2864</v>
      </c>
      <c r="X22" s="64" t="s">
        <v>2609</v>
      </c>
      <c r="Y22" s="65">
        <v>320</v>
      </c>
      <c r="Z22" s="103">
        <v>0</v>
      </c>
      <c r="AA22" s="104">
        <v>220</v>
      </c>
      <c r="AB22" s="104">
        <v>100</v>
      </c>
      <c r="AC22" s="64" t="s">
        <v>2866</v>
      </c>
      <c r="AD22" s="64" t="s">
        <v>2867</v>
      </c>
      <c r="AE22" s="65">
        <v>320</v>
      </c>
      <c r="AF22" s="66">
        <f t="shared" si="0"/>
        <v>640</v>
      </c>
      <c r="AG22" s="67"/>
      <c r="AH22" s="68"/>
    </row>
    <row r="23" spans="1:34" s="18" customFormat="1" ht="115.2" hidden="1">
      <c r="A23" s="53">
        <v>1021</v>
      </c>
      <c r="B23" s="54" t="s">
        <v>2907</v>
      </c>
      <c r="C23" s="54" t="s">
        <v>2863</v>
      </c>
      <c r="D23" s="54" t="s">
        <v>2865</v>
      </c>
      <c r="E23" s="53">
        <v>1</v>
      </c>
      <c r="F23" s="55">
        <v>1</v>
      </c>
      <c r="G23" s="56">
        <v>21</v>
      </c>
      <c r="H23" s="57" t="s">
        <v>206</v>
      </c>
      <c r="I23" s="57" t="s">
        <v>206</v>
      </c>
      <c r="J23" s="58">
        <v>10500100797801</v>
      </c>
      <c r="K23" s="59" t="s">
        <v>89</v>
      </c>
      <c r="L23" s="59"/>
      <c r="M23" s="59">
        <v>2</v>
      </c>
      <c r="N23" s="57" t="s">
        <v>207</v>
      </c>
      <c r="O23" s="57" t="s">
        <v>208</v>
      </c>
      <c r="P23" s="60" t="s">
        <v>209</v>
      </c>
      <c r="Q23" s="57" t="s">
        <v>210</v>
      </c>
      <c r="R23" s="57" t="s">
        <v>211</v>
      </c>
      <c r="S23" s="61" t="s">
        <v>212</v>
      </c>
      <c r="T23" s="62">
        <v>134</v>
      </c>
      <c r="U23" s="63">
        <v>269</v>
      </c>
      <c r="V23" s="63">
        <v>67</v>
      </c>
      <c r="W23" s="64" t="s">
        <v>2864</v>
      </c>
      <c r="X23" s="64" t="s">
        <v>2609</v>
      </c>
      <c r="Y23" s="65">
        <v>470</v>
      </c>
      <c r="Z23" s="62">
        <v>0</v>
      </c>
      <c r="AA23" s="63">
        <v>147</v>
      </c>
      <c r="AB23" s="63">
        <v>53</v>
      </c>
      <c r="AC23" s="64" t="s">
        <v>2866</v>
      </c>
      <c r="AD23" s="64" t="s">
        <v>2867</v>
      </c>
      <c r="AE23" s="65">
        <v>200</v>
      </c>
      <c r="AF23" s="66">
        <f t="shared" si="0"/>
        <v>670</v>
      </c>
      <c r="AG23" s="67"/>
      <c r="AH23" s="68"/>
    </row>
    <row r="24" spans="1:34" s="18" customFormat="1" ht="45.6" hidden="1">
      <c r="A24" s="53">
        <v>1022</v>
      </c>
      <c r="B24" s="54" t="s">
        <v>2609</v>
      </c>
      <c r="C24" s="54" t="s">
        <v>2863</v>
      </c>
      <c r="D24" s="54" t="s">
        <v>2864</v>
      </c>
      <c r="E24" s="53">
        <v>1</v>
      </c>
      <c r="F24" s="55">
        <v>1</v>
      </c>
      <c r="G24" s="56">
        <v>22</v>
      </c>
      <c r="H24" s="57" t="s">
        <v>213</v>
      </c>
      <c r="I24" s="102" t="s">
        <v>213</v>
      </c>
      <c r="J24" s="58">
        <v>10500100313102</v>
      </c>
      <c r="K24" s="59" t="s">
        <v>89</v>
      </c>
      <c r="L24" s="59"/>
      <c r="M24" s="59">
        <v>2</v>
      </c>
      <c r="N24" s="57" t="s">
        <v>200</v>
      </c>
      <c r="O24" s="57" t="s">
        <v>214</v>
      </c>
      <c r="P24" s="60">
        <v>5214683</v>
      </c>
      <c r="Q24" s="57" t="s">
        <v>215</v>
      </c>
      <c r="R24" s="57" t="s">
        <v>216</v>
      </c>
      <c r="S24" s="61" t="s">
        <v>217</v>
      </c>
      <c r="T24" s="84">
        <v>205</v>
      </c>
      <c r="U24" s="85">
        <v>125</v>
      </c>
      <c r="V24" s="85">
        <v>0</v>
      </c>
      <c r="W24" s="64" t="s">
        <v>2864</v>
      </c>
      <c r="X24" s="64" t="s">
        <v>2609</v>
      </c>
      <c r="Y24" s="65">
        <v>330</v>
      </c>
      <c r="Z24" s="62">
        <v>0</v>
      </c>
      <c r="AA24" s="63">
        <v>0</v>
      </c>
      <c r="AB24" s="63">
        <v>0</v>
      </c>
      <c r="AC24" s="64"/>
      <c r="AD24" s="64"/>
      <c r="AE24" s="65">
        <v>0</v>
      </c>
      <c r="AF24" s="66">
        <f t="shared" si="0"/>
        <v>330</v>
      </c>
      <c r="AG24" s="101"/>
      <c r="AH24" s="68"/>
    </row>
    <row r="25" spans="1:34" s="18" customFormat="1" ht="45.6" hidden="1">
      <c r="A25" s="53">
        <v>1023</v>
      </c>
      <c r="B25" s="54" t="s">
        <v>2609</v>
      </c>
      <c r="C25" s="54" t="s">
        <v>2863</v>
      </c>
      <c r="D25" s="54" t="s">
        <v>2864</v>
      </c>
      <c r="E25" s="53">
        <v>1</v>
      </c>
      <c r="F25" s="55">
        <v>1</v>
      </c>
      <c r="G25" s="56">
        <v>23</v>
      </c>
      <c r="H25" s="57" t="s">
        <v>218</v>
      </c>
      <c r="I25" s="57" t="s">
        <v>218</v>
      </c>
      <c r="J25" s="58">
        <v>10500100004301</v>
      </c>
      <c r="K25" s="59" t="s">
        <v>89</v>
      </c>
      <c r="L25" s="59"/>
      <c r="M25" s="59">
        <v>2</v>
      </c>
      <c r="N25" s="57" t="s">
        <v>219</v>
      </c>
      <c r="O25" s="57" t="s">
        <v>220</v>
      </c>
      <c r="P25" s="60">
        <v>5294058</v>
      </c>
      <c r="Q25" s="57" t="s">
        <v>221</v>
      </c>
      <c r="R25" s="57" t="s">
        <v>222</v>
      </c>
      <c r="S25" s="61" t="s">
        <v>223</v>
      </c>
      <c r="T25" s="62">
        <v>0</v>
      </c>
      <c r="U25" s="63">
        <v>227</v>
      </c>
      <c r="V25" s="63">
        <v>183</v>
      </c>
      <c r="W25" s="64" t="s">
        <v>2864</v>
      </c>
      <c r="X25" s="64" t="s">
        <v>2609</v>
      </c>
      <c r="Y25" s="65">
        <v>410</v>
      </c>
      <c r="Z25" s="62">
        <v>0</v>
      </c>
      <c r="AA25" s="63">
        <v>0</v>
      </c>
      <c r="AB25" s="63">
        <v>0</v>
      </c>
      <c r="AC25" s="64"/>
      <c r="AD25" s="64"/>
      <c r="AE25" s="65">
        <v>0</v>
      </c>
      <c r="AF25" s="66">
        <f t="shared" si="0"/>
        <v>410</v>
      </c>
      <c r="AG25" s="101"/>
      <c r="AH25" s="68"/>
    </row>
    <row r="26" spans="1:34" s="18" customFormat="1" ht="79.8" hidden="1">
      <c r="A26" s="53">
        <v>1024</v>
      </c>
      <c r="B26" s="54" t="s">
        <v>2609</v>
      </c>
      <c r="C26" s="54" t="s">
        <v>2863</v>
      </c>
      <c r="D26" s="54" t="s">
        <v>2864</v>
      </c>
      <c r="E26" s="53">
        <v>1</v>
      </c>
      <c r="F26" s="55">
        <v>1</v>
      </c>
      <c r="G26" s="56">
        <v>24</v>
      </c>
      <c r="H26" s="57" t="s">
        <v>224</v>
      </c>
      <c r="I26" s="57" t="s">
        <v>224</v>
      </c>
      <c r="J26" s="58">
        <v>10500102396502</v>
      </c>
      <c r="K26" s="59" t="s">
        <v>89</v>
      </c>
      <c r="L26" s="59"/>
      <c r="M26" s="59">
        <v>2</v>
      </c>
      <c r="N26" s="57" t="s">
        <v>225</v>
      </c>
      <c r="O26" s="57" t="s">
        <v>226</v>
      </c>
      <c r="P26" s="60">
        <v>2369693</v>
      </c>
      <c r="Q26" s="57" t="s">
        <v>227</v>
      </c>
      <c r="R26" s="57" t="s">
        <v>228</v>
      </c>
      <c r="S26" s="61" t="s">
        <v>229</v>
      </c>
      <c r="T26" s="62">
        <v>20</v>
      </c>
      <c r="U26" s="63">
        <v>140</v>
      </c>
      <c r="V26" s="63">
        <v>0</v>
      </c>
      <c r="W26" s="64" t="s">
        <v>2864</v>
      </c>
      <c r="X26" s="64" t="s">
        <v>2609</v>
      </c>
      <c r="Y26" s="65">
        <v>160</v>
      </c>
      <c r="Z26" s="62">
        <v>0</v>
      </c>
      <c r="AA26" s="63">
        <v>0</v>
      </c>
      <c r="AB26" s="63">
        <v>0</v>
      </c>
      <c r="AC26" s="64"/>
      <c r="AD26" s="64"/>
      <c r="AE26" s="65">
        <v>0</v>
      </c>
      <c r="AF26" s="66">
        <f t="shared" si="0"/>
        <v>160</v>
      </c>
      <c r="AG26" s="67"/>
      <c r="AH26" s="68"/>
    </row>
    <row r="27" spans="1:34" s="18" customFormat="1" ht="79.8" hidden="1">
      <c r="A27" s="53">
        <v>1025</v>
      </c>
      <c r="B27" s="54" t="s">
        <v>2609</v>
      </c>
      <c r="C27" s="54" t="s">
        <v>2863</v>
      </c>
      <c r="D27" s="54" t="s">
        <v>2864</v>
      </c>
      <c r="E27" s="53">
        <v>1</v>
      </c>
      <c r="F27" s="55">
        <v>1</v>
      </c>
      <c r="G27" s="56">
        <v>25</v>
      </c>
      <c r="H27" s="57" t="s">
        <v>230</v>
      </c>
      <c r="I27" s="57" t="s">
        <v>230</v>
      </c>
      <c r="J27" s="58">
        <v>10500100538001</v>
      </c>
      <c r="K27" s="59" t="s">
        <v>89</v>
      </c>
      <c r="L27" s="59"/>
      <c r="M27" s="59">
        <v>2</v>
      </c>
      <c r="N27" s="57" t="s">
        <v>231</v>
      </c>
      <c r="O27" s="57" t="s">
        <v>232</v>
      </c>
      <c r="P27" s="60">
        <v>2581854</v>
      </c>
      <c r="Q27" s="57" t="s">
        <v>233</v>
      </c>
      <c r="R27" s="57" t="s">
        <v>234</v>
      </c>
      <c r="S27" s="61" t="s">
        <v>235</v>
      </c>
      <c r="T27" s="84">
        <v>377</v>
      </c>
      <c r="U27" s="85">
        <v>124</v>
      </c>
      <c r="V27" s="85">
        <v>39</v>
      </c>
      <c r="W27" s="64" t="s">
        <v>2864</v>
      </c>
      <c r="X27" s="64" t="s">
        <v>2609</v>
      </c>
      <c r="Y27" s="65">
        <v>540</v>
      </c>
      <c r="Z27" s="62">
        <v>0</v>
      </c>
      <c r="AA27" s="63">
        <v>0</v>
      </c>
      <c r="AB27" s="63">
        <v>0</v>
      </c>
      <c r="AC27" s="64"/>
      <c r="AD27" s="64"/>
      <c r="AE27" s="65">
        <v>0</v>
      </c>
      <c r="AF27" s="66">
        <f t="shared" si="0"/>
        <v>540</v>
      </c>
      <c r="AG27" s="67"/>
      <c r="AH27" s="68"/>
    </row>
    <row r="28" spans="1:34" s="18" customFormat="1" ht="68.400000000000006" hidden="1">
      <c r="A28" s="53">
        <v>1026</v>
      </c>
      <c r="B28" s="54" t="s">
        <v>2609</v>
      </c>
      <c r="C28" s="54" t="s">
        <v>2863</v>
      </c>
      <c r="D28" s="54" t="s">
        <v>2864</v>
      </c>
      <c r="E28" s="53">
        <v>1</v>
      </c>
      <c r="F28" s="55">
        <v>1</v>
      </c>
      <c r="G28" s="56">
        <v>26</v>
      </c>
      <c r="H28" s="57" t="s">
        <v>236</v>
      </c>
      <c r="I28" s="57" t="s">
        <v>236</v>
      </c>
      <c r="J28" s="58">
        <v>10500100538002</v>
      </c>
      <c r="K28" s="59" t="s">
        <v>89</v>
      </c>
      <c r="L28" s="59"/>
      <c r="M28" s="59">
        <v>2</v>
      </c>
      <c r="N28" s="57" t="s">
        <v>225</v>
      </c>
      <c r="O28" s="57" t="s">
        <v>237</v>
      </c>
      <c r="P28" s="60">
        <v>5213916</v>
      </c>
      <c r="Q28" s="57" t="s">
        <v>238</v>
      </c>
      <c r="R28" s="57" t="s">
        <v>239</v>
      </c>
      <c r="S28" s="61" t="s">
        <v>240</v>
      </c>
      <c r="T28" s="84">
        <v>150</v>
      </c>
      <c r="U28" s="85">
        <v>100</v>
      </c>
      <c r="V28" s="85">
        <v>0</v>
      </c>
      <c r="W28" s="64" t="s">
        <v>2864</v>
      </c>
      <c r="X28" s="64" t="s">
        <v>2609</v>
      </c>
      <c r="Y28" s="65">
        <v>250</v>
      </c>
      <c r="Z28" s="62">
        <v>0</v>
      </c>
      <c r="AA28" s="63">
        <v>0</v>
      </c>
      <c r="AB28" s="63">
        <v>0</v>
      </c>
      <c r="AC28" s="64"/>
      <c r="AD28" s="64"/>
      <c r="AE28" s="65">
        <v>0</v>
      </c>
      <c r="AF28" s="66">
        <f t="shared" si="0"/>
        <v>250</v>
      </c>
      <c r="AG28" s="67"/>
      <c r="AH28" s="68"/>
    </row>
    <row r="29" spans="1:34" s="18" customFormat="1" ht="68.400000000000006" hidden="1">
      <c r="A29" s="53">
        <v>1027</v>
      </c>
      <c r="B29" s="54" t="s">
        <v>2609</v>
      </c>
      <c r="C29" s="54" t="s">
        <v>2863</v>
      </c>
      <c r="D29" s="54" t="s">
        <v>2864</v>
      </c>
      <c r="E29" s="53">
        <v>1</v>
      </c>
      <c r="F29" s="55">
        <v>1</v>
      </c>
      <c r="G29" s="56">
        <v>27</v>
      </c>
      <c r="H29" s="57" t="s">
        <v>241</v>
      </c>
      <c r="I29" s="102" t="s">
        <v>241</v>
      </c>
      <c r="J29" s="58">
        <v>10500102654902</v>
      </c>
      <c r="K29" s="59" t="s">
        <v>89</v>
      </c>
      <c r="L29" s="59"/>
      <c r="M29" s="59">
        <v>3</v>
      </c>
      <c r="N29" s="57" t="s">
        <v>242</v>
      </c>
      <c r="O29" s="57" t="s">
        <v>243</v>
      </c>
      <c r="P29" s="60">
        <v>5290858</v>
      </c>
      <c r="Q29" s="57" t="s">
        <v>244</v>
      </c>
      <c r="R29" s="57" t="s">
        <v>245</v>
      </c>
      <c r="S29" s="61" t="s">
        <v>246</v>
      </c>
      <c r="T29" s="84">
        <v>114</v>
      </c>
      <c r="U29" s="85">
        <v>61</v>
      </c>
      <c r="V29" s="85">
        <v>0</v>
      </c>
      <c r="W29" s="64" t="s">
        <v>2864</v>
      </c>
      <c r="X29" s="64" t="s">
        <v>2609</v>
      </c>
      <c r="Y29" s="65">
        <v>175</v>
      </c>
      <c r="Z29" s="62">
        <v>0</v>
      </c>
      <c r="AA29" s="63">
        <v>0</v>
      </c>
      <c r="AB29" s="63">
        <v>0</v>
      </c>
      <c r="AC29" s="64"/>
      <c r="AD29" s="64"/>
      <c r="AE29" s="65">
        <v>0</v>
      </c>
      <c r="AF29" s="66">
        <f t="shared" si="0"/>
        <v>175</v>
      </c>
      <c r="AG29" s="67"/>
      <c r="AH29" s="68"/>
    </row>
    <row r="30" spans="1:34" s="18" customFormat="1" ht="68.400000000000006" hidden="1">
      <c r="A30" s="53">
        <v>1028</v>
      </c>
      <c r="B30" s="54" t="s">
        <v>2609</v>
      </c>
      <c r="C30" s="54" t="s">
        <v>2863</v>
      </c>
      <c r="D30" s="54" t="s">
        <v>2864</v>
      </c>
      <c r="E30" s="53">
        <v>1</v>
      </c>
      <c r="F30" s="55">
        <v>1</v>
      </c>
      <c r="G30" s="56">
        <v>28</v>
      </c>
      <c r="H30" s="57" t="s">
        <v>247</v>
      </c>
      <c r="I30" s="57" t="s">
        <v>247</v>
      </c>
      <c r="J30" s="58">
        <v>10500100147301</v>
      </c>
      <c r="K30" s="59" t="s">
        <v>89</v>
      </c>
      <c r="L30" s="59"/>
      <c r="M30" s="59">
        <v>3</v>
      </c>
      <c r="N30" s="57" t="s">
        <v>248</v>
      </c>
      <c r="O30" s="57" t="s">
        <v>249</v>
      </c>
      <c r="P30" s="60" t="s">
        <v>250</v>
      </c>
      <c r="Q30" s="57" t="s">
        <v>251</v>
      </c>
      <c r="R30" s="57" t="s">
        <v>252</v>
      </c>
      <c r="S30" s="61" t="s">
        <v>253</v>
      </c>
      <c r="T30" s="62">
        <v>0</v>
      </c>
      <c r="U30" s="63">
        <v>220</v>
      </c>
      <c r="V30" s="63">
        <v>110</v>
      </c>
      <c r="W30" s="64" t="s">
        <v>2864</v>
      </c>
      <c r="X30" s="64" t="s">
        <v>2609</v>
      </c>
      <c r="Y30" s="65">
        <v>330</v>
      </c>
      <c r="Z30" s="62">
        <v>0</v>
      </c>
      <c r="AA30" s="63">
        <v>0</v>
      </c>
      <c r="AB30" s="63">
        <v>0</v>
      </c>
      <c r="AC30" s="64"/>
      <c r="AD30" s="64"/>
      <c r="AE30" s="65">
        <v>0</v>
      </c>
      <c r="AF30" s="66">
        <f t="shared" si="0"/>
        <v>330</v>
      </c>
      <c r="AG30" s="67"/>
      <c r="AH30" s="68"/>
    </row>
    <row r="31" spans="1:34" s="18" customFormat="1" ht="45.6" hidden="1">
      <c r="A31" s="53">
        <v>1029</v>
      </c>
      <c r="B31" s="54" t="s">
        <v>2609</v>
      </c>
      <c r="C31" s="54" t="s">
        <v>2863</v>
      </c>
      <c r="D31" s="54" t="s">
        <v>2864</v>
      </c>
      <c r="E31" s="53">
        <v>1</v>
      </c>
      <c r="F31" s="55">
        <v>1</v>
      </c>
      <c r="G31" s="56">
        <v>29</v>
      </c>
      <c r="H31" s="57" t="s">
        <v>254</v>
      </c>
      <c r="I31" s="57" t="s">
        <v>254</v>
      </c>
      <c r="J31" s="58">
        <v>10500100248803</v>
      </c>
      <c r="K31" s="59" t="s">
        <v>89</v>
      </c>
      <c r="L31" s="59"/>
      <c r="M31" s="59">
        <v>3</v>
      </c>
      <c r="N31" s="57" t="s">
        <v>255</v>
      </c>
      <c r="O31" s="57" t="s">
        <v>256</v>
      </c>
      <c r="P31" s="60">
        <v>2843485</v>
      </c>
      <c r="Q31" s="57" t="s">
        <v>257</v>
      </c>
      <c r="R31" s="57" t="s">
        <v>258</v>
      </c>
      <c r="S31" s="61" t="s">
        <v>259</v>
      </c>
      <c r="T31" s="105">
        <v>368</v>
      </c>
      <c r="U31" s="106">
        <v>232</v>
      </c>
      <c r="V31" s="107">
        <v>0</v>
      </c>
      <c r="W31" s="64" t="s">
        <v>2864</v>
      </c>
      <c r="X31" s="64" t="s">
        <v>2609</v>
      </c>
      <c r="Y31" s="65">
        <v>600</v>
      </c>
      <c r="Z31" s="62">
        <v>0</v>
      </c>
      <c r="AA31" s="63">
        <v>0</v>
      </c>
      <c r="AB31" s="63">
        <v>0</v>
      </c>
      <c r="AC31" s="64"/>
      <c r="AD31" s="64"/>
      <c r="AE31" s="65">
        <v>0</v>
      </c>
      <c r="AF31" s="66">
        <f t="shared" si="0"/>
        <v>600</v>
      </c>
      <c r="AG31" s="101"/>
      <c r="AH31" s="68"/>
    </row>
    <row r="32" spans="1:34" s="18" customFormat="1" ht="115.2" hidden="1">
      <c r="A32" s="53">
        <v>1030</v>
      </c>
      <c r="B32" s="54" t="s">
        <v>2907</v>
      </c>
      <c r="C32" s="54" t="s">
        <v>2863</v>
      </c>
      <c r="D32" s="54" t="s">
        <v>2865</v>
      </c>
      <c r="E32" s="53">
        <v>1</v>
      </c>
      <c r="F32" s="55">
        <v>1</v>
      </c>
      <c r="G32" s="56">
        <v>30</v>
      </c>
      <c r="H32" s="57" t="s">
        <v>260</v>
      </c>
      <c r="I32" s="57" t="s">
        <v>260</v>
      </c>
      <c r="J32" s="58">
        <v>10500100552501</v>
      </c>
      <c r="K32" s="59" t="s">
        <v>89</v>
      </c>
      <c r="L32" s="59"/>
      <c r="M32" s="59">
        <v>3</v>
      </c>
      <c r="N32" s="57" t="s">
        <v>255</v>
      </c>
      <c r="O32" s="57" t="s">
        <v>261</v>
      </c>
      <c r="P32" s="60" t="s">
        <v>262</v>
      </c>
      <c r="Q32" s="57" t="s">
        <v>263</v>
      </c>
      <c r="R32" s="57" t="s">
        <v>264</v>
      </c>
      <c r="S32" s="61" t="s">
        <v>265</v>
      </c>
      <c r="T32" s="62">
        <v>68</v>
      </c>
      <c r="U32" s="63">
        <v>170</v>
      </c>
      <c r="V32" s="63">
        <v>82</v>
      </c>
      <c r="W32" s="64" t="s">
        <v>2864</v>
      </c>
      <c r="X32" s="64" t="s">
        <v>2609</v>
      </c>
      <c r="Y32" s="65">
        <v>320</v>
      </c>
      <c r="Z32" s="62">
        <v>215</v>
      </c>
      <c r="AA32" s="63">
        <v>290</v>
      </c>
      <c r="AB32" s="63">
        <v>95</v>
      </c>
      <c r="AC32" s="64" t="s">
        <v>2866</v>
      </c>
      <c r="AD32" s="64" t="s">
        <v>2867</v>
      </c>
      <c r="AE32" s="65">
        <v>600</v>
      </c>
      <c r="AF32" s="66">
        <f t="shared" si="0"/>
        <v>920</v>
      </c>
      <c r="AG32" s="67"/>
      <c r="AH32" s="68"/>
    </row>
    <row r="33" spans="1:34" s="18" customFormat="1" ht="115.2" hidden="1">
      <c r="A33" s="53">
        <v>1031</v>
      </c>
      <c r="B33" s="54" t="s">
        <v>2907</v>
      </c>
      <c r="C33" s="54" t="s">
        <v>2863</v>
      </c>
      <c r="D33" s="54" t="s">
        <v>2865</v>
      </c>
      <c r="E33" s="53">
        <v>1</v>
      </c>
      <c r="F33" s="55">
        <v>1</v>
      </c>
      <c r="G33" s="56">
        <v>31</v>
      </c>
      <c r="H33" s="57" t="s">
        <v>266</v>
      </c>
      <c r="I33" s="57" t="s">
        <v>266</v>
      </c>
      <c r="J33" s="58">
        <v>10500100965201</v>
      </c>
      <c r="K33" s="59" t="s">
        <v>89</v>
      </c>
      <c r="L33" s="59"/>
      <c r="M33" s="59">
        <v>3</v>
      </c>
      <c r="N33" s="57" t="s">
        <v>267</v>
      </c>
      <c r="O33" s="57" t="s">
        <v>268</v>
      </c>
      <c r="P33" s="60" t="s">
        <v>269</v>
      </c>
      <c r="Q33" s="57" t="s">
        <v>270</v>
      </c>
      <c r="R33" s="57" t="s">
        <v>271</v>
      </c>
      <c r="S33" s="61" t="s">
        <v>272</v>
      </c>
      <c r="T33" s="62">
        <v>69</v>
      </c>
      <c r="U33" s="63">
        <v>167</v>
      </c>
      <c r="V33" s="63">
        <v>164</v>
      </c>
      <c r="W33" s="64" t="s">
        <v>2864</v>
      </c>
      <c r="X33" s="64" t="s">
        <v>2609</v>
      </c>
      <c r="Y33" s="65">
        <v>400</v>
      </c>
      <c r="Z33" s="62">
        <v>0</v>
      </c>
      <c r="AA33" s="63">
        <v>130</v>
      </c>
      <c r="AB33" s="63">
        <v>70</v>
      </c>
      <c r="AC33" s="64" t="s">
        <v>2866</v>
      </c>
      <c r="AD33" s="64" t="s">
        <v>2867</v>
      </c>
      <c r="AE33" s="65">
        <v>200</v>
      </c>
      <c r="AF33" s="66">
        <f t="shared" si="0"/>
        <v>600</v>
      </c>
      <c r="AG33" s="67"/>
      <c r="AH33" s="68"/>
    </row>
    <row r="34" spans="1:34" s="18" customFormat="1" ht="115.2" hidden="1">
      <c r="A34" s="53">
        <v>1032</v>
      </c>
      <c r="B34" s="54" t="s">
        <v>2907</v>
      </c>
      <c r="C34" s="54" t="s">
        <v>2863</v>
      </c>
      <c r="D34" s="54" t="s">
        <v>2865</v>
      </c>
      <c r="E34" s="53">
        <v>1</v>
      </c>
      <c r="F34" s="55">
        <v>1</v>
      </c>
      <c r="G34" s="56">
        <v>32</v>
      </c>
      <c r="H34" s="88" t="s">
        <v>273</v>
      </c>
      <c r="I34" s="88" t="s">
        <v>273</v>
      </c>
      <c r="J34" s="89">
        <v>10500101058801</v>
      </c>
      <c r="K34" s="90" t="s">
        <v>89</v>
      </c>
      <c r="L34" s="90"/>
      <c r="M34" s="90">
        <v>3</v>
      </c>
      <c r="N34" s="88" t="s">
        <v>274</v>
      </c>
      <c r="O34" s="88" t="s">
        <v>275</v>
      </c>
      <c r="P34" s="92">
        <v>2631727</v>
      </c>
      <c r="Q34" s="88" t="s">
        <v>276</v>
      </c>
      <c r="R34" s="88" t="s">
        <v>277</v>
      </c>
      <c r="S34" s="93" t="s">
        <v>278</v>
      </c>
      <c r="T34" s="94">
        <v>0</v>
      </c>
      <c r="U34" s="95">
        <v>200</v>
      </c>
      <c r="V34" s="95">
        <v>200</v>
      </c>
      <c r="W34" s="64" t="s">
        <v>2864</v>
      </c>
      <c r="X34" s="64" t="s">
        <v>2609</v>
      </c>
      <c r="Y34" s="65">
        <v>400</v>
      </c>
      <c r="Z34" s="94">
        <v>0</v>
      </c>
      <c r="AA34" s="95">
        <v>200</v>
      </c>
      <c r="AB34" s="95">
        <v>200</v>
      </c>
      <c r="AC34" s="64" t="s">
        <v>2866</v>
      </c>
      <c r="AD34" s="64" t="s">
        <v>2867</v>
      </c>
      <c r="AE34" s="65">
        <v>400</v>
      </c>
      <c r="AF34" s="66">
        <f t="shared" si="0"/>
        <v>800</v>
      </c>
      <c r="AG34" s="96"/>
      <c r="AH34" s="97" t="s">
        <v>279</v>
      </c>
    </row>
    <row r="35" spans="1:34" s="18" customFormat="1" ht="115.2" hidden="1">
      <c r="A35" s="53">
        <v>1033</v>
      </c>
      <c r="B35" s="54" t="s">
        <v>2907</v>
      </c>
      <c r="C35" s="54" t="s">
        <v>2863</v>
      </c>
      <c r="D35" s="54" t="s">
        <v>2865</v>
      </c>
      <c r="E35" s="53">
        <v>1</v>
      </c>
      <c r="F35" s="108">
        <v>1</v>
      </c>
      <c r="G35" s="56">
        <v>33</v>
      </c>
      <c r="H35" s="88" t="s">
        <v>273</v>
      </c>
      <c r="I35" s="88" t="s">
        <v>280</v>
      </c>
      <c r="J35" s="89">
        <v>10500101058802</v>
      </c>
      <c r="K35" s="90" t="s">
        <v>89</v>
      </c>
      <c r="L35" s="91"/>
      <c r="M35" s="90">
        <v>3</v>
      </c>
      <c r="N35" s="88" t="s">
        <v>274</v>
      </c>
      <c r="O35" s="88" t="s">
        <v>275</v>
      </c>
      <c r="P35" s="92">
        <v>2631727</v>
      </c>
      <c r="Q35" s="88" t="s">
        <v>276</v>
      </c>
      <c r="R35" s="88" t="s">
        <v>277</v>
      </c>
      <c r="S35" s="93" t="s">
        <v>278</v>
      </c>
      <c r="T35" s="94">
        <v>0</v>
      </c>
      <c r="U35" s="95">
        <v>200</v>
      </c>
      <c r="V35" s="95">
        <v>0</v>
      </c>
      <c r="W35" s="64" t="s">
        <v>2864</v>
      </c>
      <c r="X35" s="64" t="s">
        <v>2609</v>
      </c>
      <c r="Y35" s="65">
        <v>200</v>
      </c>
      <c r="Z35" s="94">
        <v>400</v>
      </c>
      <c r="AA35" s="95">
        <v>200</v>
      </c>
      <c r="AB35" s="95">
        <v>0</v>
      </c>
      <c r="AC35" s="64" t="s">
        <v>2866</v>
      </c>
      <c r="AD35" s="64" t="s">
        <v>2867</v>
      </c>
      <c r="AE35" s="65">
        <v>600</v>
      </c>
      <c r="AF35" s="66">
        <f t="shared" si="0"/>
        <v>800</v>
      </c>
      <c r="AG35" s="96"/>
      <c r="AH35" s="98"/>
    </row>
    <row r="36" spans="1:34" s="18" customFormat="1" ht="79.8" hidden="1">
      <c r="A36" s="53">
        <v>1034</v>
      </c>
      <c r="B36" s="54" t="s">
        <v>2609</v>
      </c>
      <c r="C36" s="54" t="s">
        <v>2863</v>
      </c>
      <c r="D36" s="54" t="s">
        <v>2864</v>
      </c>
      <c r="E36" s="53">
        <v>1</v>
      </c>
      <c r="F36" s="55">
        <v>1</v>
      </c>
      <c r="G36" s="56">
        <v>34</v>
      </c>
      <c r="H36" s="57" t="s">
        <v>281</v>
      </c>
      <c r="I36" s="57" t="s">
        <v>281</v>
      </c>
      <c r="J36" s="58">
        <v>10500100115501</v>
      </c>
      <c r="K36" s="59" t="s">
        <v>89</v>
      </c>
      <c r="L36" s="59"/>
      <c r="M36" s="59">
        <v>3</v>
      </c>
      <c r="N36" s="57" t="s">
        <v>282</v>
      </c>
      <c r="O36" s="57" t="s">
        <v>283</v>
      </c>
      <c r="P36" s="60" t="s">
        <v>284</v>
      </c>
      <c r="Q36" s="57" t="s">
        <v>285</v>
      </c>
      <c r="R36" s="57" t="s">
        <v>286</v>
      </c>
      <c r="S36" s="61" t="s">
        <v>287</v>
      </c>
      <c r="T36" s="62">
        <v>206</v>
      </c>
      <c r="U36" s="63">
        <v>311</v>
      </c>
      <c r="V36" s="63">
        <v>83</v>
      </c>
      <c r="W36" s="64" t="s">
        <v>2864</v>
      </c>
      <c r="X36" s="64" t="s">
        <v>2609</v>
      </c>
      <c r="Y36" s="65">
        <v>600</v>
      </c>
      <c r="Z36" s="62">
        <v>0</v>
      </c>
      <c r="AA36" s="63">
        <v>0</v>
      </c>
      <c r="AB36" s="63">
        <v>0</v>
      </c>
      <c r="AC36" s="64"/>
      <c r="AD36" s="64"/>
      <c r="AE36" s="65">
        <v>0</v>
      </c>
      <c r="AF36" s="66">
        <f t="shared" si="0"/>
        <v>600</v>
      </c>
      <c r="AG36" s="67"/>
      <c r="AH36" s="68"/>
    </row>
    <row r="37" spans="1:34" s="18" customFormat="1" ht="115.2" hidden="1">
      <c r="A37" s="53">
        <v>1035</v>
      </c>
      <c r="B37" s="54" t="s">
        <v>2907</v>
      </c>
      <c r="C37" s="54" t="s">
        <v>2863</v>
      </c>
      <c r="D37" s="54" t="s">
        <v>2865</v>
      </c>
      <c r="E37" s="53">
        <v>1</v>
      </c>
      <c r="F37" s="55">
        <v>1</v>
      </c>
      <c r="G37" s="56">
        <v>35</v>
      </c>
      <c r="H37" s="57" t="s">
        <v>288</v>
      </c>
      <c r="I37" s="57" t="s">
        <v>288</v>
      </c>
      <c r="J37" s="58">
        <v>10500100166001</v>
      </c>
      <c r="K37" s="59" t="s">
        <v>89</v>
      </c>
      <c r="L37" s="59"/>
      <c r="M37" s="59">
        <v>3</v>
      </c>
      <c r="N37" s="57" t="s">
        <v>282</v>
      </c>
      <c r="O37" s="57" t="s">
        <v>289</v>
      </c>
      <c r="P37" s="60">
        <v>2363000</v>
      </c>
      <c r="Q37" s="57" t="s">
        <v>290</v>
      </c>
      <c r="R37" s="57" t="s">
        <v>291</v>
      </c>
      <c r="S37" s="61" t="s">
        <v>292</v>
      </c>
      <c r="T37" s="84">
        <v>0</v>
      </c>
      <c r="U37" s="85">
        <v>140</v>
      </c>
      <c r="V37" s="85">
        <v>110</v>
      </c>
      <c r="W37" s="64" t="s">
        <v>2864</v>
      </c>
      <c r="X37" s="64" t="s">
        <v>2609</v>
      </c>
      <c r="Y37" s="65">
        <v>250</v>
      </c>
      <c r="Z37" s="84">
        <v>228</v>
      </c>
      <c r="AA37" s="85">
        <v>352</v>
      </c>
      <c r="AB37" s="85">
        <v>70</v>
      </c>
      <c r="AC37" s="64" t="s">
        <v>2866</v>
      </c>
      <c r="AD37" s="64" t="s">
        <v>2867</v>
      </c>
      <c r="AE37" s="65">
        <v>650</v>
      </c>
      <c r="AF37" s="66">
        <f t="shared" si="0"/>
        <v>900</v>
      </c>
      <c r="AG37" s="67"/>
      <c r="AH37" s="68"/>
    </row>
    <row r="38" spans="1:34" s="18" customFormat="1" ht="68.400000000000006" hidden="1">
      <c r="A38" s="53">
        <v>1036</v>
      </c>
      <c r="B38" s="54" t="s">
        <v>2609</v>
      </c>
      <c r="C38" s="54" t="s">
        <v>2863</v>
      </c>
      <c r="D38" s="54" t="s">
        <v>2864</v>
      </c>
      <c r="E38" s="53">
        <v>1</v>
      </c>
      <c r="F38" s="55">
        <v>1</v>
      </c>
      <c r="G38" s="56">
        <v>36</v>
      </c>
      <c r="H38" s="57" t="s">
        <v>293</v>
      </c>
      <c r="I38" s="57" t="s">
        <v>293</v>
      </c>
      <c r="J38" s="58">
        <v>10500100986501</v>
      </c>
      <c r="K38" s="59" t="s">
        <v>89</v>
      </c>
      <c r="L38" s="59"/>
      <c r="M38" s="59">
        <v>3</v>
      </c>
      <c r="N38" s="57" t="s">
        <v>294</v>
      </c>
      <c r="O38" s="57" t="s">
        <v>295</v>
      </c>
      <c r="P38" s="60"/>
      <c r="Q38" s="57" t="s">
        <v>296</v>
      </c>
      <c r="R38" s="57" t="s">
        <v>297</v>
      </c>
      <c r="S38" s="61" t="s">
        <v>298</v>
      </c>
      <c r="T38" s="62">
        <v>0</v>
      </c>
      <c r="U38" s="63">
        <v>228</v>
      </c>
      <c r="V38" s="63">
        <v>72</v>
      </c>
      <c r="W38" s="64" t="s">
        <v>2864</v>
      </c>
      <c r="X38" s="64" t="s">
        <v>2609</v>
      </c>
      <c r="Y38" s="65">
        <v>300</v>
      </c>
      <c r="Z38" s="62">
        <v>0</v>
      </c>
      <c r="AA38" s="63">
        <v>0</v>
      </c>
      <c r="AB38" s="63">
        <v>0</v>
      </c>
      <c r="AC38" s="64"/>
      <c r="AD38" s="64"/>
      <c r="AE38" s="65">
        <v>0</v>
      </c>
      <c r="AF38" s="66">
        <f t="shared" si="0"/>
        <v>300</v>
      </c>
      <c r="AG38" s="67"/>
      <c r="AH38" s="68"/>
    </row>
    <row r="39" spans="1:34" s="18" customFormat="1" ht="136.80000000000001" hidden="1">
      <c r="A39" s="53">
        <v>1037</v>
      </c>
      <c r="B39" s="54" t="s">
        <v>2907</v>
      </c>
      <c r="C39" s="54" t="s">
        <v>2863</v>
      </c>
      <c r="D39" s="54" t="s">
        <v>2865</v>
      </c>
      <c r="E39" s="53">
        <v>1</v>
      </c>
      <c r="F39" s="55">
        <v>1</v>
      </c>
      <c r="G39" s="56">
        <v>37</v>
      </c>
      <c r="H39" s="57" t="s">
        <v>299</v>
      </c>
      <c r="I39" s="57" t="s">
        <v>299</v>
      </c>
      <c r="J39" s="58">
        <v>10500102210101</v>
      </c>
      <c r="K39" s="59" t="s">
        <v>89</v>
      </c>
      <c r="L39" s="59"/>
      <c r="M39" s="59">
        <v>3</v>
      </c>
      <c r="N39" s="57" t="s">
        <v>267</v>
      </c>
      <c r="O39" s="57" t="s">
        <v>300</v>
      </c>
      <c r="P39" s="60">
        <v>5710070</v>
      </c>
      <c r="Q39" s="57" t="s">
        <v>301</v>
      </c>
      <c r="R39" s="57" t="s">
        <v>302</v>
      </c>
      <c r="S39" s="61" t="s">
        <v>303</v>
      </c>
      <c r="T39" s="62">
        <v>183</v>
      </c>
      <c r="U39" s="63">
        <v>119</v>
      </c>
      <c r="V39" s="63">
        <v>58</v>
      </c>
      <c r="W39" s="64" t="s">
        <v>2864</v>
      </c>
      <c r="X39" s="64" t="s">
        <v>2609</v>
      </c>
      <c r="Y39" s="65">
        <v>360</v>
      </c>
      <c r="Z39" s="62">
        <v>43</v>
      </c>
      <c r="AA39" s="63">
        <v>215</v>
      </c>
      <c r="AB39" s="63">
        <v>67</v>
      </c>
      <c r="AC39" s="64" t="s">
        <v>2866</v>
      </c>
      <c r="AD39" s="64" t="s">
        <v>2867</v>
      </c>
      <c r="AE39" s="65">
        <v>325</v>
      </c>
      <c r="AF39" s="66">
        <f t="shared" si="0"/>
        <v>685</v>
      </c>
      <c r="AG39" s="67"/>
      <c r="AH39" s="68"/>
    </row>
    <row r="40" spans="1:34" s="18" customFormat="1" ht="115.2" hidden="1">
      <c r="A40" s="53">
        <v>1038</v>
      </c>
      <c r="B40" s="54" t="s">
        <v>2907</v>
      </c>
      <c r="C40" s="54" t="s">
        <v>2863</v>
      </c>
      <c r="D40" s="54" t="s">
        <v>2865</v>
      </c>
      <c r="E40" s="53">
        <v>1</v>
      </c>
      <c r="F40" s="55">
        <v>1</v>
      </c>
      <c r="G40" s="56">
        <v>38</v>
      </c>
      <c r="H40" s="57" t="s">
        <v>304</v>
      </c>
      <c r="I40" s="57" t="s">
        <v>304</v>
      </c>
      <c r="J40" s="58">
        <v>10500100213501</v>
      </c>
      <c r="K40" s="59" t="s">
        <v>89</v>
      </c>
      <c r="L40" s="59"/>
      <c r="M40" s="59">
        <v>3</v>
      </c>
      <c r="N40" s="57" t="s">
        <v>305</v>
      </c>
      <c r="O40" s="57" t="s">
        <v>306</v>
      </c>
      <c r="P40" s="60">
        <v>2636985</v>
      </c>
      <c r="Q40" s="57" t="s">
        <v>244</v>
      </c>
      <c r="R40" s="57" t="s">
        <v>307</v>
      </c>
      <c r="S40" s="61" t="s">
        <v>308</v>
      </c>
      <c r="T40" s="84">
        <v>200</v>
      </c>
      <c r="U40" s="85">
        <v>200</v>
      </c>
      <c r="V40" s="85">
        <v>0</v>
      </c>
      <c r="W40" s="64" t="s">
        <v>2864</v>
      </c>
      <c r="X40" s="64" t="s">
        <v>2609</v>
      </c>
      <c r="Y40" s="65">
        <v>400</v>
      </c>
      <c r="Z40" s="84">
        <v>145</v>
      </c>
      <c r="AA40" s="85">
        <v>373</v>
      </c>
      <c r="AB40" s="85">
        <v>107</v>
      </c>
      <c r="AC40" s="64" t="s">
        <v>2866</v>
      </c>
      <c r="AD40" s="64" t="s">
        <v>2867</v>
      </c>
      <c r="AE40" s="65">
        <v>625</v>
      </c>
      <c r="AF40" s="66">
        <f t="shared" si="0"/>
        <v>1025</v>
      </c>
      <c r="AG40" s="67"/>
      <c r="AH40" s="68"/>
    </row>
    <row r="41" spans="1:34" s="18" customFormat="1" ht="68.400000000000006" hidden="1">
      <c r="A41" s="53">
        <v>1039</v>
      </c>
      <c r="B41" s="54" t="s">
        <v>2609</v>
      </c>
      <c r="C41" s="54" t="s">
        <v>2863</v>
      </c>
      <c r="D41" s="54" t="s">
        <v>2864</v>
      </c>
      <c r="E41" s="53">
        <v>1</v>
      </c>
      <c r="F41" s="55">
        <v>1</v>
      </c>
      <c r="G41" s="56">
        <v>39</v>
      </c>
      <c r="H41" s="57" t="s">
        <v>309</v>
      </c>
      <c r="I41" s="57" t="s">
        <v>309</v>
      </c>
      <c r="J41" s="58">
        <v>10500100213503</v>
      </c>
      <c r="K41" s="59" t="s">
        <v>89</v>
      </c>
      <c r="L41" s="59"/>
      <c r="M41" s="59">
        <v>3</v>
      </c>
      <c r="N41" s="57" t="s">
        <v>310</v>
      </c>
      <c r="O41" s="57" t="s">
        <v>311</v>
      </c>
      <c r="P41" s="60" t="s">
        <v>312</v>
      </c>
      <c r="Q41" s="57" t="s">
        <v>244</v>
      </c>
      <c r="R41" s="57" t="s">
        <v>313</v>
      </c>
      <c r="S41" s="61" t="s">
        <v>314</v>
      </c>
      <c r="T41" s="84">
        <v>290</v>
      </c>
      <c r="U41" s="85">
        <v>110</v>
      </c>
      <c r="V41" s="85">
        <v>0</v>
      </c>
      <c r="W41" s="64" t="s">
        <v>2864</v>
      </c>
      <c r="X41" s="64" t="s">
        <v>2609</v>
      </c>
      <c r="Y41" s="65">
        <v>400</v>
      </c>
      <c r="Z41" s="62">
        <v>0</v>
      </c>
      <c r="AA41" s="63">
        <v>0</v>
      </c>
      <c r="AB41" s="63">
        <v>0</v>
      </c>
      <c r="AC41" s="64"/>
      <c r="AD41" s="64"/>
      <c r="AE41" s="65">
        <v>0</v>
      </c>
      <c r="AF41" s="66">
        <f t="shared" si="0"/>
        <v>400</v>
      </c>
      <c r="AG41" s="67"/>
      <c r="AH41" s="68"/>
    </row>
    <row r="42" spans="1:34" s="18" customFormat="1" ht="115.2" hidden="1">
      <c r="A42" s="53">
        <v>1040</v>
      </c>
      <c r="B42" s="54" t="s">
        <v>2907</v>
      </c>
      <c r="C42" s="54" t="s">
        <v>2863</v>
      </c>
      <c r="D42" s="54" t="s">
        <v>2865</v>
      </c>
      <c r="E42" s="53">
        <v>1</v>
      </c>
      <c r="F42" s="55">
        <v>1</v>
      </c>
      <c r="G42" s="56">
        <v>40</v>
      </c>
      <c r="H42" s="57" t="s">
        <v>315</v>
      </c>
      <c r="I42" s="57" t="s">
        <v>315</v>
      </c>
      <c r="J42" s="58">
        <v>10500100087601</v>
      </c>
      <c r="K42" s="59" t="s">
        <v>89</v>
      </c>
      <c r="L42" s="59"/>
      <c r="M42" s="59">
        <v>4</v>
      </c>
      <c r="N42" s="57" t="s">
        <v>316</v>
      </c>
      <c r="O42" s="57" t="s">
        <v>317</v>
      </c>
      <c r="P42" s="60" t="s">
        <v>318</v>
      </c>
      <c r="Q42" s="57" t="s">
        <v>319</v>
      </c>
      <c r="R42" s="57" t="s">
        <v>320</v>
      </c>
      <c r="S42" s="61" t="s">
        <v>321</v>
      </c>
      <c r="T42" s="62">
        <v>220</v>
      </c>
      <c r="U42" s="63">
        <v>120</v>
      </c>
      <c r="V42" s="63">
        <v>60</v>
      </c>
      <c r="W42" s="64" t="s">
        <v>2864</v>
      </c>
      <c r="X42" s="64" t="s">
        <v>2609</v>
      </c>
      <c r="Y42" s="65">
        <v>400</v>
      </c>
      <c r="Z42" s="62">
        <v>20</v>
      </c>
      <c r="AA42" s="63">
        <v>249</v>
      </c>
      <c r="AB42" s="63">
        <v>91</v>
      </c>
      <c r="AC42" s="64" t="s">
        <v>2866</v>
      </c>
      <c r="AD42" s="64" t="s">
        <v>2867</v>
      </c>
      <c r="AE42" s="65">
        <v>360</v>
      </c>
      <c r="AF42" s="66">
        <f t="shared" si="0"/>
        <v>760</v>
      </c>
      <c r="AG42" s="67"/>
      <c r="AH42" s="68"/>
    </row>
    <row r="43" spans="1:34" s="18" customFormat="1" ht="115.2" hidden="1">
      <c r="A43" s="53">
        <v>1041</v>
      </c>
      <c r="B43" s="54" t="s">
        <v>2907</v>
      </c>
      <c r="C43" s="54" t="s">
        <v>2863</v>
      </c>
      <c r="D43" s="54" t="s">
        <v>2865</v>
      </c>
      <c r="E43" s="53">
        <v>1</v>
      </c>
      <c r="F43" s="55">
        <v>1</v>
      </c>
      <c r="G43" s="56">
        <v>41</v>
      </c>
      <c r="H43" s="57" t="s">
        <v>322</v>
      </c>
      <c r="I43" s="57" t="s">
        <v>322</v>
      </c>
      <c r="J43" s="58">
        <v>10500101906201</v>
      </c>
      <c r="K43" s="59" t="s">
        <v>89</v>
      </c>
      <c r="L43" s="59"/>
      <c r="M43" s="59">
        <v>4</v>
      </c>
      <c r="N43" s="57" t="s">
        <v>323</v>
      </c>
      <c r="O43" s="57" t="s">
        <v>324</v>
      </c>
      <c r="P43" s="60" t="s">
        <v>325</v>
      </c>
      <c r="Q43" s="57" t="s">
        <v>326</v>
      </c>
      <c r="R43" s="57" t="s">
        <v>327</v>
      </c>
      <c r="S43" s="61" t="s">
        <v>328</v>
      </c>
      <c r="T43" s="84">
        <v>0</v>
      </c>
      <c r="U43" s="85">
        <v>97</v>
      </c>
      <c r="V43" s="85">
        <v>73</v>
      </c>
      <c r="W43" s="64" t="s">
        <v>2864</v>
      </c>
      <c r="X43" s="64" t="s">
        <v>2609</v>
      </c>
      <c r="Y43" s="65">
        <v>170</v>
      </c>
      <c r="Z43" s="84">
        <v>0</v>
      </c>
      <c r="AA43" s="85">
        <v>81</v>
      </c>
      <c r="AB43" s="85">
        <v>54</v>
      </c>
      <c r="AC43" s="64" t="s">
        <v>2866</v>
      </c>
      <c r="AD43" s="64" t="s">
        <v>2867</v>
      </c>
      <c r="AE43" s="65">
        <v>135</v>
      </c>
      <c r="AF43" s="66">
        <f t="shared" si="0"/>
        <v>305</v>
      </c>
      <c r="AG43" s="67"/>
      <c r="AH43" s="68"/>
    </row>
    <row r="44" spans="1:34" s="18" customFormat="1" ht="45.6" hidden="1">
      <c r="A44" s="53">
        <v>1042</v>
      </c>
      <c r="B44" s="54" t="s">
        <v>2609</v>
      </c>
      <c r="C44" s="54" t="s">
        <v>2863</v>
      </c>
      <c r="D44" s="54" t="s">
        <v>2864</v>
      </c>
      <c r="E44" s="53">
        <v>1</v>
      </c>
      <c r="F44" s="55">
        <v>1</v>
      </c>
      <c r="G44" s="56">
        <v>42</v>
      </c>
      <c r="H44" s="57" t="s">
        <v>329</v>
      </c>
      <c r="I44" s="57" t="s">
        <v>329</v>
      </c>
      <c r="J44" s="58">
        <v>10500101906202</v>
      </c>
      <c r="K44" s="59" t="s">
        <v>89</v>
      </c>
      <c r="L44" s="59"/>
      <c r="M44" s="59">
        <v>4</v>
      </c>
      <c r="N44" s="57" t="s">
        <v>330</v>
      </c>
      <c r="O44" s="57" t="s">
        <v>331</v>
      </c>
      <c r="P44" s="60">
        <v>2334295</v>
      </c>
      <c r="Q44" s="57" t="s">
        <v>326</v>
      </c>
      <c r="R44" s="57" t="s">
        <v>332</v>
      </c>
      <c r="S44" s="61" t="s">
        <v>333</v>
      </c>
      <c r="T44" s="84">
        <v>133</v>
      </c>
      <c r="U44" s="85">
        <v>67</v>
      </c>
      <c r="V44" s="85">
        <v>0</v>
      </c>
      <c r="W44" s="64" t="s">
        <v>2864</v>
      </c>
      <c r="X44" s="64" t="s">
        <v>2609</v>
      </c>
      <c r="Y44" s="65">
        <v>200</v>
      </c>
      <c r="Z44" s="62">
        <v>0</v>
      </c>
      <c r="AA44" s="63">
        <v>0</v>
      </c>
      <c r="AB44" s="63">
        <v>0</v>
      </c>
      <c r="AC44" s="64"/>
      <c r="AD44" s="64"/>
      <c r="AE44" s="65">
        <v>0</v>
      </c>
      <c r="AF44" s="66">
        <f t="shared" si="0"/>
        <v>200</v>
      </c>
      <c r="AG44" s="101"/>
      <c r="AH44" s="68"/>
    </row>
    <row r="45" spans="1:34" s="18" customFormat="1" ht="57" hidden="1">
      <c r="A45" s="53">
        <v>1043</v>
      </c>
      <c r="B45" s="54" t="s">
        <v>2609</v>
      </c>
      <c r="C45" s="54" t="s">
        <v>2863</v>
      </c>
      <c r="D45" s="54" t="s">
        <v>2864</v>
      </c>
      <c r="E45" s="53">
        <v>1</v>
      </c>
      <c r="F45" s="55">
        <v>1</v>
      </c>
      <c r="G45" s="56">
        <v>43</v>
      </c>
      <c r="H45" s="57" t="s">
        <v>334</v>
      </c>
      <c r="I45" s="57" t="s">
        <v>334</v>
      </c>
      <c r="J45" s="58">
        <v>10500100529101</v>
      </c>
      <c r="K45" s="59" t="s">
        <v>89</v>
      </c>
      <c r="L45" s="59"/>
      <c r="M45" s="59">
        <v>4</v>
      </c>
      <c r="N45" s="57" t="s">
        <v>323</v>
      </c>
      <c r="O45" s="57" t="s">
        <v>335</v>
      </c>
      <c r="P45" s="60" t="s">
        <v>336</v>
      </c>
      <c r="Q45" s="57" t="s">
        <v>337</v>
      </c>
      <c r="R45" s="57" t="s">
        <v>338</v>
      </c>
      <c r="S45" s="61" t="s">
        <v>339</v>
      </c>
      <c r="T45" s="84">
        <v>86</v>
      </c>
      <c r="U45" s="85">
        <v>163</v>
      </c>
      <c r="V45" s="85">
        <v>71</v>
      </c>
      <c r="W45" s="64" t="s">
        <v>2864</v>
      </c>
      <c r="X45" s="64" t="s">
        <v>2609</v>
      </c>
      <c r="Y45" s="65">
        <v>320</v>
      </c>
      <c r="Z45" s="62">
        <v>0</v>
      </c>
      <c r="AA45" s="63">
        <v>0</v>
      </c>
      <c r="AB45" s="63">
        <v>0</v>
      </c>
      <c r="AC45" s="64"/>
      <c r="AD45" s="64"/>
      <c r="AE45" s="65">
        <v>0</v>
      </c>
      <c r="AF45" s="66">
        <f t="shared" si="0"/>
        <v>320</v>
      </c>
      <c r="AG45" s="67"/>
      <c r="AH45" s="68"/>
    </row>
    <row r="46" spans="1:34" s="18" customFormat="1" ht="115.2" hidden="1">
      <c r="A46" s="53">
        <v>1044</v>
      </c>
      <c r="B46" s="54" t="s">
        <v>2907</v>
      </c>
      <c r="C46" s="54" t="s">
        <v>2863</v>
      </c>
      <c r="D46" s="54" t="s">
        <v>2865</v>
      </c>
      <c r="E46" s="53">
        <v>1</v>
      </c>
      <c r="F46" s="55">
        <v>1</v>
      </c>
      <c r="G46" s="56">
        <v>44</v>
      </c>
      <c r="H46" s="57" t="s">
        <v>340</v>
      </c>
      <c r="I46" s="57" t="s">
        <v>340</v>
      </c>
      <c r="J46" s="58">
        <v>10500100587801</v>
      </c>
      <c r="K46" s="59" t="s">
        <v>89</v>
      </c>
      <c r="L46" s="59"/>
      <c r="M46" s="59">
        <v>4</v>
      </c>
      <c r="N46" s="57" t="s">
        <v>341</v>
      </c>
      <c r="O46" s="57" t="s">
        <v>342</v>
      </c>
      <c r="P46" s="60" t="s">
        <v>343</v>
      </c>
      <c r="Q46" s="57" t="s">
        <v>344</v>
      </c>
      <c r="R46" s="57" t="s">
        <v>345</v>
      </c>
      <c r="S46" s="61" t="s">
        <v>346</v>
      </c>
      <c r="T46" s="62">
        <v>0</v>
      </c>
      <c r="U46" s="63">
        <v>282</v>
      </c>
      <c r="V46" s="63">
        <v>78</v>
      </c>
      <c r="W46" s="64" t="s">
        <v>2864</v>
      </c>
      <c r="X46" s="64" t="s">
        <v>2609</v>
      </c>
      <c r="Y46" s="65">
        <v>360</v>
      </c>
      <c r="Z46" s="62">
        <v>0</v>
      </c>
      <c r="AA46" s="63">
        <v>350</v>
      </c>
      <c r="AB46" s="63">
        <v>100</v>
      </c>
      <c r="AC46" s="64" t="s">
        <v>2866</v>
      </c>
      <c r="AD46" s="64" t="s">
        <v>2867</v>
      </c>
      <c r="AE46" s="65">
        <v>450</v>
      </c>
      <c r="AF46" s="66">
        <f t="shared" si="0"/>
        <v>810</v>
      </c>
      <c r="AG46" s="67"/>
      <c r="AH46" s="68"/>
    </row>
    <row r="47" spans="1:34" s="18" customFormat="1" ht="115.2" hidden="1">
      <c r="A47" s="53">
        <v>1045</v>
      </c>
      <c r="B47" s="54" t="s">
        <v>2907</v>
      </c>
      <c r="C47" s="54" t="s">
        <v>2863</v>
      </c>
      <c r="D47" s="54" t="s">
        <v>2865</v>
      </c>
      <c r="E47" s="53">
        <v>1</v>
      </c>
      <c r="F47" s="55">
        <v>1</v>
      </c>
      <c r="G47" s="56">
        <v>45</v>
      </c>
      <c r="H47" s="57" t="s">
        <v>347</v>
      </c>
      <c r="I47" s="57" t="s">
        <v>347</v>
      </c>
      <c r="J47" s="58">
        <v>10500100587802</v>
      </c>
      <c r="K47" s="59" t="s">
        <v>89</v>
      </c>
      <c r="L47" s="59"/>
      <c r="M47" s="59">
        <v>4</v>
      </c>
      <c r="N47" s="57" t="s">
        <v>341</v>
      </c>
      <c r="O47" s="57" t="s">
        <v>348</v>
      </c>
      <c r="P47" s="60">
        <v>2333510</v>
      </c>
      <c r="Q47" s="57" t="s">
        <v>344</v>
      </c>
      <c r="R47" s="57" t="s">
        <v>349</v>
      </c>
      <c r="S47" s="61" t="s">
        <v>350</v>
      </c>
      <c r="T47" s="62">
        <v>225</v>
      </c>
      <c r="U47" s="63">
        <v>0</v>
      </c>
      <c r="V47" s="63">
        <v>0</v>
      </c>
      <c r="W47" s="64" t="s">
        <v>2864</v>
      </c>
      <c r="X47" s="64" t="s">
        <v>2609</v>
      </c>
      <c r="Y47" s="65">
        <v>225</v>
      </c>
      <c r="Z47" s="62">
        <v>340</v>
      </c>
      <c r="AA47" s="63">
        <v>0</v>
      </c>
      <c r="AB47" s="63">
        <v>0</v>
      </c>
      <c r="AC47" s="64" t="s">
        <v>2866</v>
      </c>
      <c r="AD47" s="64" t="s">
        <v>2867</v>
      </c>
      <c r="AE47" s="65">
        <v>340</v>
      </c>
      <c r="AF47" s="66">
        <f t="shared" si="0"/>
        <v>565</v>
      </c>
      <c r="AG47" s="67"/>
      <c r="AH47" s="68"/>
    </row>
    <row r="48" spans="1:34" s="18" customFormat="1" ht="34.200000000000003" hidden="1">
      <c r="A48" s="53">
        <v>1046</v>
      </c>
      <c r="B48" s="54" t="s">
        <v>2609</v>
      </c>
      <c r="C48" s="54" t="s">
        <v>2863</v>
      </c>
      <c r="D48" s="54" t="s">
        <v>2864</v>
      </c>
      <c r="E48" s="53">
        <v>1</v>
      </c>
      <c r="F48" s="55">
        <v>1</v>
      </c>
      <c r="G48" s="56">
        <v>46</v>
      </c>
      <c r="H48" s="57" t="s">
        <v>351</v>
      </c>
      <c r="I48" s="57" t="s">
        <v>351</v>
      </c>
      <c r="J48" s="58">
        <v>10500100210101</v>
      </c>
      <c r="K48" s="59" t="s">
        <v>89</v>
      </c>
      <c r="L48" s="59"/>
      <c r="M48" s="59">
        <v>4</v>
      </c>
      <c r="N48" s="57" t="s">
        <v>352</v>
      </c>
      <c r="O48" s="57" t="s">
        <v>353</v>
      </c>
      <c r="P48" s="60" t="s">
        <v>354</v>
      </c>
      <c r="Q48" s="57" t="s">
        <v>355</v>
      </c>
      <c r="R48" s="57" t="s">
        <v>356</v>
      </c>
      <c r="S48" s="61" t="s">
        <v>357</v>
      </c>
      <c r="T48" s="62">
        <v>100</v>
      </c>
      <c r="U48" s="63">
        <v>100</v>
      </c>
      <c r="V48" s="63">
        <v>100</v>
      </c>
      <c r="W48" s="64" t="s">
        <v>2864</v>
      </c>
      <c r="X48" s="64" t="s">
        <v>2609</v>
      </c>
      <c r="Y48" s="65">
        <v>300</v>
      </c>
      <c r="Z48" s="62">
        <v>0</v>
      </c>
      <c r="AA48" s="63">
        <v>0</v>
      </c>
      <c r="AB48" s="63">
        <v>0</v>
      </c>
      <c r="AC48" s="64"/>
      <c r="AD48" s="64"/>
      <c r="AE48" s="65">
        <v>0</v>
      </c>
      <c r="AF48" s="66">
        <f t="shared" si="0"/>
        <v>300</v>
      </c>
      <c r="AG48" s="67"/>
      <c r="AH48" s="68"/>
    </row>
    <row r="49" spans="1:34" s="18" customFormat="1" ht="68.400000000000006" hidden="1">
      <c r="A49" s="53">
        <v>1047</v>
      </c>
      <c r="B49" s="54" t="s">
        <v>2609</v>
      </c>
      <c r="C49" s="54" t="s">
        <v>2863</v>
      </c>
      <c r="D49" s="54" t="s">
        <v>2864</v>
      </c>
      <c r="E49" s="53">
        <v>1</v>
      </c>
      <c r="F49" s="55">
        <v>1</v>
      </c>
      <c r="G49" s="56">
        <v>47</v>
      </c>
      <c r="H49" s="57" t="s">
        <v>358</v>
      </c>
      <c r="I49" s="57" t="s">
        <v>358</v>
      </c>
      <c r="J49" s="58">
        <v>10500100014101</v>
      </c>
      <c r="K49" s="59" t="s">
        <v>89</v>
      </c>
      <c r="L49" s="59"/>
      <c r="M49" s="59">
        <v>4</v>
      </c>
      <c r="N49" s="57" t="s">
        <v>323</v>
      </c>
      <c r="O49" s="57" t="s">
        <v>359</v>
      </c>
      <c r="P49" s="60">
        <v>2338044</v>
      </c>
      <c r="Q49" s="57" t="s">
        <v>360</v>
      </c>
      <c r="R49" s="57" t="s">
        <v>361</v>
      </c>
      <c r="S49" s="61" t="s">
        <v>362</v>
      </c>
      <c r="T49" s="84">
        <v>60</v>
      </c>
      <c r="U49" s="85">
        <v>81</v>
      </c>
      <c r="V49" s="85">
        <v>59</v>
      </c>
      <c r="W49" s="64" t="s">
        <v>2864</v>
      </c>
      <c r="X49" s="64" t="s">
        <v>2609</v>
      </c>
      <c r="Y49" s="65">
        <v>200</v>
      </c>
      <c r="Z49" s="62">
        <v>0</v>
      </c>
      <c r="AA49" s="63">
        <v>0</v>
      </c>
      <c r="AB49" s="63">
        <v>0</v>
      </c>
      <c r="AC49" s="64"/>
      <c r="AD49" s="64"/>
      <c r="AE49" s="65">
        <v>0</v>
      </c>
      <c r="AF49" s="66">
        <f t="shared" si="0"/>
        <v>200</v>
      </c>
      <c r="AG49" s="101"/>
      <c r="AH49" s="68"/>
    </row>
    <row r="50" spans="1:34" s="18" customFormat="1" ht="115.2" hidden="1">
      <c r="A50" s="53">
        <v>1048</v>
      </c>
      <c r="B50" s="54" t="s">
        <v>2907</v>
      </c>
      <c r="C50" s="54" t="s">
        <v>2863</v>
      </c>
      <c r="D50" s="54" t="s">
        <v>2865</v>
      </c>
      <c r="E50" s="53">
        <v>1</v>
      </c>
      <c r="F50" s="55">
        <v>1</v>
      </c>
      <c r="G50" s="56">
        <v>48</v>
      </c>
      <c r="H50" s="57" t="s">
        <v>363</v>
      </c>
      <c r="I50" s="57" t="s">
        <v>363</v>
      </c>
      <c r="J50" s="58">
        <v>10500101787601</v>
      </c>
      <c r="K50" s="59" t="s">
        <v>89</v>
      </c>
      <c r="L50" s="59"/>
      <c r="M50" s="59">
        <v>4</v>
      </c>
      <c r="N50" s="57" t="s">
        <v>364</v>
      </c>
      <c r="O50" s="57" t="s">
        <v>365</v>
      </c>
      <c r="P50" s="60" t="s">
        <v>366</v>
      </c>
      <c r="Q50" s="57" t="s">
        <v>367</v>
      </c>
      <c r="R50" s="57" t="s">
        <v>368</v>
      </c>
      <c r="S50" s="61" t="s">
        <v>369</v>
      </c>
      <c r="T50" s="84">
        <v>90</v>
      </c>
      <c r="U50" s="85">
        <v>280</v>
      </c>
      <c r="V50" s="85">
        <v>130</v>
      </c>
      <c r="W50" s="64" t="s">
        <v>2864</v>
      </c>
      <c r="X50" s="64" t="s">
        <v>2609</v>
      </c>
      <c r="Y50" s="65">
        <v>500</v>
      </c>
      <c r="Z50" s="84">
        <v>49</v>
      </c>
      <c r="AA50" s="85">
        <v>121</v>
      </c>
      <c r="AB50" s="85">
        <v>80</v>
      </c>
      <c r="AC50" s="64" t="s">
        <v>2866</v>
      </c>
      <c r="AD50" s="64" t="s">
        <v>2867</v>
      </c>
      <c r="AE50" s="65">
        <v>250</v>
      </c>
      <c r="AF50" s="66">
        <f t="shared" si="0"/>
        <v>750</v>
      </c>
      <c r="AG50" s="67"/>
      <c r="AH50" s="68"/>
    </row>
    <row r="51" spans="1:34" s="18" customFormat="1" ht="28.8" hidden="1">
      <c r="A51" s="53">
        <v>1049</v>
      </c>
      <c r="B51" s="54" t="s">
        <v>2609</v>
      </c>
      <c r="C51" s="54" t="s">
        <v>2863</v>
      </c>
      <c r="D51" s="54" t="s">
        <v>2864</v>
      </c>
      <c r="E51" s="53">
        <v>1</v>
      </c>
      <c r="F51" s="55">
        <v>1</v>
      </c>
      <c r="G51" s="56">
        <v>49</v>
      </c>
      <c r="H51" s="57" t="s">
        <v>370</v>
      </c>
      <c r="I51" s="57" t="s">
        <v>370</v>
      </c>
      <c r="J51" s="58">
        <v>10500100098105</v>
      </c>
      <c r="K51" s="59" t="s">
        <v>89</v>
      </c>
      <c r="L51" s="59"/>
      <c r="M51" s="59">
        <v>4</v>
      </c>
      <c r="N51" s="57" t="s">
        <v>371</v>
      </c>
      <c r="O51" s="57" t="s">
        <v>372</v>
      </c>
      <c r="P51" s="60">
        <v>3668358</v>
      </c>
      <c r="Q51" s="57" t="s">
        <v>373</v>
      </c>
      <c r="R51" s="57" t="s">
        <v>374</v>
      </c>
      <c r="S51" s="61" t="s">
        <v>375</v>
      </c>
      <c r="T51" s="84">
        <v>100</v>
      </c>
      <c r="U51" s="85">
        <v>100</v>
      </c>
      <c r="V51" s="85">
        <v>0</v>
      </c>
      <c r="W51" s="64" t="s">
        <v>2864</v>
      </c>
      <c r="X51" s="64" t="s">
        <v>2609</v>
      </c>
      <c r="Y51" s="65">
        <v>200</v>
      </c>
      <c r="Z51" s="62">
        <v>0</v>
      </c>
      <c r="AA51" s="63">
        <v>0</v>
      </c>
      <c r="AB51" s="63">
        <v>0</v>
      </c>
      <c r="AC51" s="64"/>
      <c r="AD51" s="64"/>
      <c r="AE51" s="65">
        <v>0</v>
      </c>
      <c r="AF51" s="66">
        <f t="shared" si="0"/>
        <v>200</v>
      </c>
      <c r="AG51" s="67"/>
      <c r="AH51" s="68"/>
    </row>
    <row r="52" spans="1:34" s="18" customFormat="1" ht="45.6" hidden="1">
      <c r="A52" s="53">
        <v>1050</v>
      </c>
      <c r="B52" s="54" t="s">
        <v>2609</v>
      </c>
      <c r="C52" s="54" t="s">
        <v>2863</v>
      </c>
      <c r="D52" s="54" t="s">
        <v>2864</v>
      </c>
      <c r="E52" s="53">
        <v>1</v>
      </c>
      <c r="F52" s="55">
        <v>1</v>
      </c>
      <c r="G52" s="56">
        <v>50</v>
      </c>
      <c r="H52" s="57" t="s">
        <v>376</v>
      </c>
      <c r="I52" s="57" t="s">
        <v>376</v>
      </c>
      <c r="J52" s="58">
        <v>10500100098103</v>
      </c>
      <c r="K52" s="59" t="s">
        <v>89</v>
      </c>
      <c r="L52" s="59"/>
      <c r="M52" s="59">
        <v>4</v>
      </c>
      <c r="N52" s="57" t="s">
        <v>377</v>
      </c>
      <c r="O52" s="57" t="s">
        <v>378</v>
      </c>
      <c r="P52" s="60">
        <v>2367667</v>
      </c>
      <c r="Q52" s="57" t="s">
        <v>373</v>
      </c>
      <c r="R52" s="57" t="s">
        <v>379</v>
      </c>
      <c r="S52" s="61" t="s">
        <v>380</v>
      </c>
      <c r="T52" s="84">
        <v>122</v>
      </c>
      <c r="U52" s="85">
        <v>63</v>
      </c>
      <c r="V52" s="85">
        <v>0</v>
      </c>
      <c r="W52" s="64" t="s">
        <v>2864</v>
      </c>
      <c r="X52" s="64" t="s">
        <v>2609</v>
      </c>
      <c r="Y52" s="65">
        <v>185</v>
      </c>
      <c r="Z52" s="62">
        <v>0</v>
      </c>
      <c r="AA52" s="63">
        <v>0</v>
      </c>
      <c r="AB52" s="63">
        <v>0</v>
      </c>
      <c r="AC52" s="64"/>
      <c r="AD52" s="64"/>
      <c r="AE52" s="65">
        <v>0</v>
      </c>
      <c r="AF52" s="66">
        <f t="shared" si="0"/>
        <v>185</v>
      </c>
      <c r="AG52" s="67"/>
      <c r="AH52" s="68"/>
    </row>
    <row r="53" spans="1:34" s="18" customFormat="1" ht="115.2" hidden="1">
      <c r="A53" s="53">
        <v>1051</v>
      </c>
      <c r="B53" s="54" t="s">
        <v>2907</v>
      </c>
      <c r="C53" s="54" t="s">
        <v>2863</v>
      </c>
      <c r="D53" s="54" t="s">
        <v>2865</v>
      </c>
      <c r="E53" s="53">
        <v>1</v>
      </c>
      <c r="F53" s="55">
        <v>1</v>
      </c>
      <c r="G53" s="56">
        <v>51</v>
      </c>
      <c r="H53" s="57" t="s">
        <v>381</v>
      </c>
      <c r="I53" s="57" t="s">
        <v>381</v>
      </c>
      <c r="J53" s="58">
        <v>10500100020501</v>
      </c>
      <c r="K53" s="59" t="s">
        <v>89</v>
      </c>
      <c r="L53" s="59"/>
      <c r="M53" s="59">
        <v>4</v>
      </c>
      <c r="N53" s="57" t="s">
        <v>364</v>
      </c>
      <c r="O53" s="57" t="s">
        <v>382</v>
      </c>
      <c r="P53" s="60">
        <v>2630607</v>
      </c>
      <c r="Q53" s="57" t="s">
        <v>383</v>
      </c>
      <c r="R53" s="57" t="s">
        <v>384</v>
      </c>
      <c r="S53" s="61" t="s">
        <v>385</v>
      </c>
      <c r="T53" s="84">
        <v>90</v>
      </c>
      <c r="U53" s="85">
        <v>225</v>
      </c>
      <c r="V53" s="85">
        <v>85</v>
      </c>
      <c r="W53" s="64" t="s">
        <v>2864</v>
      </c>
      <c r="X53" s="64" t="s">
        <v>2609</v>
      </c>
      <c r="Y53" s="65">
        <v>400</v>
      </c>
      <c r="Z53" s="84">
        <v>179</v>
      </c>
      <c r="AA53" s="85">
        <v>118</v>
      </c>
      <c r="AB53" s="85">
        <v>63</v>
      </c>
      <c r="AC53" s="64" t="s">
        <v>2866</v>
      </c>
      <c r="AD53" s="64" t="s">
        <v>2867</v>
      </c>
      <c r="AE53" s="65">
        <v>360</v>
      </c>
      <c r="AF53" s="66">
        <f t="shared" si="0"/>
        <v>760</v>
      </c>
      <c r="AG53" s="67"/>
      <c r="AH53" s="68"/>
    </row>
    <row r="54" spans="1:34" s="18" customFormat="1" ht="115.2" hidden="1">
      <c r="A54" s="53">
        <v>1052</v>
      </c>
      <c r="B54" s="54" t="s">
        <v>2907</v>
      </c>
      <c r="C54" s="54" t="s">
        <v>2863</v>
      </c>
      <c r="D54" s="54" t="s">
        <v>2865</v>
      </c>
      <c r="E54" s="53">
        <v>1</v>
      </c>
      <c r="F54" s="55">
        <v>1</v>
      </c>
      <c r="G54" s="56">
        <v>52</v>
      </c>
      <c r="H54" s="57" t="s">
        <v>386</v>
      </c>
      <c r="I54" s="57" t="s">
        <v>386</v>
      </c>
      <c r="J54" s="58">
        <v>10500100329802</v>
      </c>
      <c r="K54" s="59" t="s">
        <v>89</v>
      </c>
      <c r="L54" s="59"/>
      <c r="M54" s="59">
        <v>4</v>
      </c>
      <c r="N54" s="57" t="s">
        <v>387</v>
      </c>
      <c r="O54" s="57" t="s">
        <v>388</v>
      </c>
      <c r="P54" s="60">
        <v>2360023</v>
      </c>
      <c r="Q54" s="57" t="s">
        <v>389</v>
      </c>
      <c r="R54" s="57" t="s">
        <v>390</v>
      </c>
      <c r="S54" s="61" t="s">
        <v>391</v>
      </c>
      <c r="T54" s="84">
        <v>104</v>
      </c>
      <c r="U54" s="85">
        <v>106</v>
      </c>
      <c r="V54" s="85">
        <v>0</v>
      </c>
      <c r="W54" s="64" t="s">
        <v>2864</v>
      </c>
      <c r="X54" s="64" t="s">
        <v>2609</v>
      </c>
      <c r="Y54" s="65">
        <v>210</v>
      </c>
      <c r="Z54" s="84">
        <v>81</v>
      </c>
      <c r="AA54" s="85">
        <v>44</v>
      </c>
      <c r="AB54" s="85">
        <v>0</v>
      </c>
      <c r="AC54" s="64" t="s">
        <v>2866</v>
      </c>
      <c r="AD54" s="64" t="s">
        <v>2867</v>
      </c>
      <c r="AE54" s="65">
        <v>125</v>
      </c>
      <c r="AF54" s="66">
        <f t="shared" si="0"/>
        <v>335</v>
      </c>
      <c r="AG54" s="67"/>
      <c r="AH54" s="68"/>
    </row>
    <row r="55" spans="1:34" s="18" customFormat="1" ht="115.2" hidden="1">
      <c r="A55" s="53">
        <v>1053</v>
      </c>
      <c r="B55" s="54" t="s">
        <v>2907</v>
      </c>
      <c r="C55" s="54" t="s">
        <v>2863</v>
      </c>
      <c r="D55" s="54" t="s">
        <v>2865</v>
      </c>
      <c r="E55" s="53">
        <v>1</v>
      </c>
      <c r="F55" s="55">
        <v>1</v>
      </c>
      <c r="G55" s="56">
        <v>53</v>
      </c>
      <c r="H55" s="57" t="s">
        <v>392</v>
      </c>
      <c r="I55" s="57" t="s">
        <v>392</v>
      </c>
      <c r="J55" s="58">
        <v>10500100329803</v>
      </c>
      <c r="K55" s="59" t="s">
        <v>89</v>
      </c>
      <c r="L55" s="59"/>
      <c r="M55" s="59">
        <v>4</v>
      </c>
      <c r="N55" s="57" t="s">
        <v>377</v>
      </c>
      <c r="O55" s="57" t="s">
        <v>393</v>
      </c>
      <c r="P55" s="60">
        <v>2365847</v>
      </c>
      <c r="Q55" s="57" t="s">
        <v>389</v>
      </c>
      <c r="R55" s="57" t="s">
        <v>390</v>
      </c>
      <c r="S55" s="61" t="s">
        <v>394</v>
      </c>
      <c r="T55" s="84">
        <v>115</v>
      </c>
      <c r="U55" s="85">
        <v>115</v>
      </c>
      <c r="V55" s="85">
        <v>0</v>
      </c>
      <c r="W55" s="64" t="s">
        <v>2864</v>
      </c>
      <c r="X55" s="64" t="s">
        <v>2609</v>
      </c>
      <c r="Y55" s="65">
        <v>230</v>
      </c>
      <c r="Z55" s="84">
        <v>54</v>
      </c>
      <c r="AA55" s="85">
        <v>66</v>
      </c>
      <c r="AB55" s="85">
        <v>0</v>
      </c>
      <c r="AC55" s="64" t="s">
        <v>2866</v>
      </c>
      <c r="AD55" s="64" t="s">
        <v>2867</v>
      </c>
      <c r="AE55" s="65">
        <v>120</v>
      </c>
      <c r="AF55" s="66">
        <f t="shared" si="0"/>
        <v>350</v>
      </c>
      <c r="AG55" s="67"/>
      <c r="AH55" s="68"/>
    </row>
    <row r="56" spans="1:34" s="18" customFormat="1" ht="115.2" hidden="1">
      <c r="A56" s="53">
        <v>1054</v>
      </c>
      <c r="B56" s="54" t="s">
        <v>2907</v>
      </c>
      <c r="C56" s="54" t="s">
        <v>2863</v>
      </c>
      <c r="D56" s="54" t="s">
        <v>2865</v>
      </c>
      <c r="E56" s="53">
        <v>1</v>
      </c>
      <c r="F56" s="55">
        <v>1</v>
      </c>
      <c r="G56" s="56">
        <v>54</v>
      </c>
      <c r="H56" s="57" t="s">
        <v>395</v>
      </c>
      <c r="I56" s="57" t="s">
        <v>395</v>
      </c>
      <c r="J56" s="58">
        <v>10500100533901</v>
      </c>
      <c r="K56" s="59" t="s">
        <v>89</v>
      </c>
      <c r="L56" s="59"/>
      <c r="M56" s="59">
        <v>4</v>
      </c>
      <c r="N56" s="57" t="s">
        <v>364</v>
      </c>
      <c r="O56" s="57" t="s">
        <v>396</v>
      </c>
      <c r="P56" s="60" t="s">
        <v>397</v>
      </c>
      <c r="Q56" s="57" t="s">
        <v>398</v>
      </c>
      <c r="R56" s="57" t="s">
        <v>399</v>
      </c>
      <c r="S56" s="61" t="s">
        <v>400</v>
      </c>
      <c r="T56" s="84">
        <v>0</v>
      </c>
      <c r="U56" s="85">
        <v>160</v>
      </c>
      <c r="V56" s="85">
        <v>120</v>
      </c>
      <c r="W56" s="64" t="s">
        <v>2864</v>
      </c>
      <c r="X56" s="64" t="s">
        <v>2609</v>
      </c>
      <c r="Y56" s="109">
        <v>280</v>
      </c>
      <c r="Z56" s="84">
        <v>0</v>
      </c>
      <c r="AA56" s="85">
        <v>209</v>
      </c>
      <c r="AB56" s="85">
        <v>191</v>
      </c>
      <c r="AC56" s="64" t="s">
        <v>2866</v>
      </c>
      <c r="AD56" s="64" t="s">
        <v>2867</v>
      </c>
      <c r="AE56" s="109">
        <v>400</v>
      </c>
      <c r="AF56" s="66">
        <f t="shared" si="0"/>
        <v>680</v>
      </c>
      <c r="AG56" s="67"/>
      <c r="AH56" s="68"/>
    </row>
    <row r="57" spans="1:34" s="18" customFormat="1" ht="115.2" hidden="1">
      <c r="A57" s="53">
        <v>1055</v>
      </c>
      <c r="B57" s="54" t="s">
        <v>2907</v>
      </c>
      <c r="C57" s="54" t="s">
        <v>2863</v>
      </c>
      <c r="D57" s="54" t="s">
        <v>2865</v>
      </c>
      <c r="E57" s="53">
        <v>1</v>
      </c>
      <c r="F57" s="55">
        <v>1</v>
      </c>
      <c r="G57" s="56">
        <v>55</v>
      </c>
      <c r="H57" s="57" t="s">
        <v>401</v>
      </c>
      <c r="I57" s="57" t="s">
        <v>401</v>
      </c>
      <c r="J57" s="58">
        <v>10500100203801</v>
      </c>
      <c r="K57" s="59" t="s">
        <v>89</v>
      </c>
      <c r="L57" s="59"/>
      <c r="M57" s="59">
        <v>4</v>
      </c>
      <c r="N57" s="57" t="s">
        <v>377</v>
      </c>
      <c r="O57" s="57" t="s">
        <v>402</v>
      </c>
      <c r="P57" s="60" t="s">
        <v>403</v>
      </c>
      <c r="Q57" s="57" t="s">
        <v>404</v>
      </c>
      <c r="R57" s="57" t="s">
        <v>405</v>
      </c>
      <c r="S57" s="61" t="s">
        <v>406</v>
      </c>
      <c r="T57" s="84">
        <v>164</v>
      </c>
      <c r="U57" s="85">
        <v>165</v>
      </c>
      <c r="V57" s="85">
        <v>71</v>
      </c>
      <c r="W57" s="64" t="s">
        <v>2864</v>
      </c>
      <c r="X57" s="64" t="s">
        <v>2609</v>
      </c>
      <c r="Y57" s="109">
        <v>400</v>
      </c>
      <c r="Z57" s="84">
        <v>193</v>
      </c>
      <c r="AA57" s="85">
        <v>279</v>
      </c>
      <c r="AB57" s="85">
        <v>88</v>
      </c>
      <c r="AC57" s="64" t="s">
        <v>2866</v>
      </c>
      <c r="AD57" s="64" t="s">
        <v>2867</v>
      </c>
      <c r="AE57" s="109">
        <v>560</v>
      </c>
      <c r="AF57" s="66">
        <f t="shared" si="0"/>
        <v>960</v>
      </c>
      <c r="AG57" s="67"/>
      <c r="AH57" s="68"/>
    </row>
    <row r="58" spans="1:34" s="18" customFormat="1" ht="115.2" hidden="1">
      <c r="A58" s="53">
        <v>1056</v>
      </c>
      <c r="B58" s="54" t="s">
        <v>2907</v>
      </c>
      <c r="C58" s="54" t="s">
        <v>2863</v>
      </c>
      <c r="D58" s="54" t="s">
        <v>2865</v>
      </c>
      <c r="E58" s="53">
        <v>1</v>
      </c>
      <c r="F58" s="110">
        <v>2</v>
      </c>
      <c r="G58" s="56">
        <v>56</v>
      </c>
      <c r="H58" s="111" t="s">
        <v>407</v>
      </c>
      <c r="I58" s="112" t="s">
        <v>407</v>
      </c>
      <c r="J58" s="113">
        <v>10500100093101</v>
      </c>
      <c r="K58" s="114" t="s">
        <v>89</v>
      </c>
      <c r="L58" s="115"/>
      <c r="M58" s="114">
        <v>5</v>
      </c>
      <c r="N58" s="116" t="s">
        <v>408</v>
      </c>
      <c r="O58" s="117" t="s">
        <v>409</v>
      </c>
      <c r="P58" s="116" t="s">
        <v>410</v>
      </c>
      <c r="Q58" s="117" t="s">
        <v>411</v>
      </c>
      <c r="R58" s="117" t="s">
        <v>412</v>
      </c>
      <c r="S58" s="118" t="s">
        <v>413</v>
      </c>
      <c r="T58" s="119">
        <v>0</v>
      </c>
      <c r="U58" s="120">
        <v>150</v>
      </c>
      <c r="V58" s="120">
        <v>50</v>
      </c>
      <c r="W58" s="64" t="s">
        <v>2864</v>
      </c>
      <c r="X58" s="64" t="s">
        <v>2609</v>
      </c>
      <c r="Y58" s="121">
        <v>200</v>
      </c>
      <c r="Z58" s="119">
        <v>0</v>
      </c>
      <c r="AA58" s="120">
        <v>405</v>
      </c>
      <c r="AB58" s="120">
        <v>245</v>
      </c>
      <c r="AC58" s="64" t="s">
        <v>2866</v>
      </c>
      <c r="AD58" s="64" t="s">
        <v>2867</v>
      </c>
      <c r="AE58" s="121">
        <v>650</v>
      </c>
      <c r="AF58" s="122">
        <f t="shared" si="0"/>
        <v>850</v>
      </c>
      <c r="AG58" s="123"/>
      <c r="AH58" s="250"/>
    </row>
    <row r="59" spans="1:34" s="18" customFormat="1" ht="115.2" hidden="1">
      <c r="A59" s="53">
        <v>1057</v>
      </c>
      <c r="B59" s="54" t="s">
        <v>2907</v>
      </c>
      <c r="C59" s="54" t="s">
        <v>2863</v>
      </c>
      <c r="D59" s="54" t="s">
        <v>2865</v>
      </c>
      <c r="E59" s="53">
        <v>1</v>
      </c>
      <c r="F59" s="110">
        <v>2</v>
      </c>
      <c r="G59" s="56">
        <v>57</v>
      </c>
      <c r="H59" s="111" t="s">
        <v>414</v>
      </c>
      <c r="I59" s="112" t="s">
        <v>414</v>
      </c>
      <c r="J59" s="113">
        <v>10500100093102</v>
      </c>
      <c r="K59" s="114" t="s">
        <v>89</v>
      </c>
      <c r="L59" s="115"/>
      <c r="M59" s="114">
        <v>5</v>
      </c>
      <c r="N59" s="116" t="s">
        <v>415</v>
      </c>
      <c r="O59" s="117" t="s">
        <v>416</v>
      </c>
      <c r="P59" s="116" t="s">
        <v>417</v>
      </c>
      <c r="Q59" s="117" t="s">
        <v>411</v>
      </c>
      <c r="R59" s="117" t="s">
        <v>418</v>
      </c>
      <c r="S59" s="118" t="s">
        <v>419</v>
      </c>
      <c r="T59" s="119">
        <v>120</v>
      </c>
      <c r="U59" s="120">
        <v>60</v>
      </c>
      <c r="V59" s="120">
        <v>0</v>
      </c>
      <c r="W59" s="64" t="s">
        <v>2864</v>
      </c>
      <c r="X59" s="64" t="s">
        <v>2609</v>
      </c>
      <c r="Y59" s="121">
        <v>180</v>
      </c>
      <c r="Z59" s="119">
        <v>360</v>
      </c>
      <c r="AA59" s="120">
        <v>240</v>
      </c>
      <c r="AB59" s="120">
        <v>0</v>
      </c>
      <c r="AC59" s="64" t="s">
        <v>2866</v>
      </c>
      <c r="AD59" s="64" t="s">
        <v>2867</v>
      </c>
      <c r="AE59" s="121">
        <v>600</v>
      </c>
      <c r="AF59" s="122">
        <f t="shared" si="0"/>
        <v>780</v>
      </c>
      <c r="AG59" s="123"/>
      <c r="AH59" s="250"/>
    </row>
    <row r="60" spans="1:34" s="18" customFormat="1" ht="28.8" hidden="1">
      <c r="A60" s="53">
        <v>1058</v>
      </c>
      <c r="B60" s="54" t="s">
        <v>2609</v>
      </c>
      <c r="C60" s="54" t="s">
        <v>2863</v>
      </c>
      <c r="D60" s="54" t="s">
        <v>2864</v>
      </c>
      <c r="E60" s="53">
        <v>1</v>
      </c>
      <c r="F60" s="125">
        <v>2</v>
      </c>
      <c r="G60" s="70">
        <v>58</v>
      </c>
      <c r="H60" s="126" t="s">
        <v>420</v>
      </c>
      <c r="I60" s="127" t="s">
        <v>420</v>
      </c>
      <c r="J60" s="128">
        <v>10500101979801</v>
      </c>
      <c r="K60" s="129" t="s">
        <v>89</v>
      </c>
      <c r="L60" s="130"/>
      <c r="M60" s="129">
        <v>5</v>
      </c>
      <c r="N60" s="131" t="s">
        <v>421</v>
      </c>
      <c r="O60" s="132" t="s">
        <v>422</v>
      </c>
      <c r="P60" s="131" t="s">
        <v>423</v>
      </c>
      <c r="Q60" s="132" t="s">
        <v>424</v>
      </c>
      <c r="R60" s="132" t="s">
        <v>425</v>
      </c>
      <c r="S60" s="133" t="s">
        <v>426</v>
      </c>
      <c r="T60" s="134">
        <v>0</v>
      </c>
      <c r="U60" s="135">
        <v>150</v>
      </c>
      <c r="V60" s="135">
        <v>0</v>
      </c>
      <c r="W60" s="64" t="s">
        <v>2864</v>
      </c>
      <c r="X60" s="64" t="s">
        <v>2609</v>
      </c>
      <c r="Y60" s="121">
        <v>150</v>
      </c>
      <c r="Z60" s="134">
        <v>0</v>
      </c>
      <c r="AA60" s="135">
        <v>0</v>
      </c>
      <c r="AB60" s="135">
        <v>0</v>
      </c>
      <c r="AC60" s="64"/>
      <c r="AD60" s="64"/>
      <c r="AE60" s="121">
        <v>0</v>
      </c>
      <c r="AF60" s="122">
        <f t="shared" si="0"/>
        <v>150</v>
      </c>
      <c r="AG60" s="136"/>
      <c r="AH60" s="250"/>
    </row>
    <row r="61" spans="1:34" s="18" customFormat="1" ht="28.8" hidden="1">
      <c r="A61" s="53">
        <v>1059</v>
      </c>
      <c r="B61" s="54" t="s">
        <v>2609</v>
      </c>
      <c r="C61" s="54" t="s">
        <v>2863</v>
      </c>
      <c r="D61" s="54" t="s">
        <v>2864</v>
      </c>
      <c r="E61" s="53">
        <v>1</v>
      </c>
      <c r="F61" s="110">
        <v>2</v>
      </c>
      <c r="G61" s="56">
        <v>59</v>
      </c>
      <c r="H61" s="111" t="s">
        <v>427</v>
      </c>
      <c r="I61" s="112" t="s">
        <v>427</v>
      </c>
      <c r="J61" s="113">
        <v>10500101979802</v>
      </c>
      <c r="K61" s="114" t="s">
        <v>89</v>
      </c>
      <c r="L61" s="115"/>
      <c r="M61" s="114">
        <v>5</v>
      </c>
      <c r="N61" s="116" t="s">
        <v>421</v>
      </c>
      <c r="O61" s="117" t="s">
        <v>428</v>
      </c>
      <c r="P61" s="116" t="s">
        <v>429</v>
      </c>
      <c r="Q61" s="117" t="s">
        <v>424</v>
      </c>
      <c r="R61" s="117" t="s">
        <v>430</v>
      </c>
      <c r="S61" s="118" t="s">
        <v>426</v>
      </c>
      <c r="T61" s="119">
        <v>174</v>
      </c>
      <c r="U61" s="120">
        <v>126</v>
      </c>
      <c r="V61" s="120">
        <v>0</v>
      </c>
      <c r="W61" s="64" t="s">
        <v>2864</v>
      </c>
      <c r="X61" s="64" t="s">
        <v>2609</v>
      </c>
      <c r="Y61" s="121">
        <v>300</v>
      </c>
      <c r="Z61" s="119">
        <v>0</v>
      </c>
      <c r="AA61" s="120">
        <v>0</v>
      </c>
      <c r="AB61" s="120">
        <v>0</v>
      </c>
      <c r="AC61" s="64"/>
      <c r="AD61" s="64"/>
      <c r="AE61" s="121">
        <v>0</v>
      </c>
      <c r="AF61" s="122">
        <f t="shared" si="0"/>
        <v>300</v>
      </c>
      <c r="AG61" s="123"/>
      <c r="AH61" s="250"/>
    </row>
    <row r="62" spans="1:34" s="18" customFormat="1" ht="28.8" hidden="1">
      <c r="A62" s="53">
        <v>1060</v>
      </c>
      <c r="B62" s="54" t="s">
        <v>2609</v>
      </c>
      <c r="C62" s="54" t="s">
        <v>2863</v>
      </c>
      <c r="D62" s="54" t="s">
        <v>2864</v>
      </c>
      <c r="E62" s="53">
        <v>1</v>
      </c>
      <c r="F62" s="110">
        <v>2</v>
      </c>
      <c r="G62" s="56">
        <v>60</v>
      </c>
      <c r="H62" s="111" t="s">
        <v>431</v>
      </c>
      <c r="I62" s="112" t="s">
        <v>431</v>
      </c>
      <c r="J62" s="113">
        <v>10500100606802</v>
      </c>
      <c r="K62" s="114" t="s">
        <v>89</v>
      </c>
      <c r="L62" s="115"/>
      <c r="M62" s="114">
        <v>5</v>
      </c>
      <c r="N62" s="116" t="s">
        <v>432</v>
      </c>
      <c r="O62" s="117" t="s">
        <v>433</v>
      </c>
      <c r="P62" s="116" t="s">
        <v>434</v>
      </c>
      <c r="Q62" s="117" t="s">
        <v>435</v>
      </c>
      <c r="R62" s="117" t="s">
        <v>436</v>
      </c>
      <c r="S62" s="118" t="s">
        <v>437</v>
      </c>
      <c r="T62" s="137">
        <v>21</v>
      </c>
      <c r="U62" s="138">
        <v>88</v>
      </c>
      <c r="V62" s="138">
        <v>63</v>
      </c>
      <c r="W62" s="64" t="s">
        <v>2864</v>
      </c>
      <c r="X62" s="64" t="s">
        <v>2609</v>
      </c>
      <c r="Y62" s="121">
        <v>172</v>
      </c>
      <c r="Z62" s="137">
        <v>0</v>
      </c>
      <c r="AA62" s="138">
        <v>0</v>
      </c>
      <c r="AB62" s="120">
        <v>0</v>
      </c>
      <c r="AC62" s="64"/>
      <c r="AD62" s="64"/>
      <c r="AE62" s="121">
        <v>0</v>
      </c>
      <c r="AF62" s="122">
        <f t="shared" si="0"/>
        <v>172</v>
      </c>
      <c r="AG62" s="123"/>
      <c r="AH62" s="250"/>
    </row>
    <row r="63" spans="1:34" s="18" customFormat="1" ht="28.8" hidden="1">
      <c r="A63" s="53">
        <v>1061</v>
      </c>
      <c r="B63" s="54" t="s">
        <v>2609</v>
      </c>
      <c r="C63" s="54" t="s">
        <v>2863</v>
      </c>
      <c r="D63" s="54" t="s">
        <v>2864</v>
      </c>
      <c r="E63" s="53">
        <v>1</v>
      </c>
      <c r="F63" s="110">
        <v>2</v>
      </c>
      <c r="G63" s="56">
        <v>61</v>
      </c>
      <c r="H63" s="111" t="s">
        <v>438</v>
      </c>
      <c r="I63" s="112" t="s">
        <v>438</v>
      </c>
      <c r="J63" s="113">
        <v>10500101307201</v>
      </c>
      <c r="K63" s="114" t="s">
        <v>89</v>
      </c>
      <c r="L63" s="115"/>
      <c r="M63" s="114">
        <v>5</v>
      </c>
      <c r="N63" s="116" t="s">
        <v>408</v>
      </c>
      <c r="O63" s="117" t="s">
        <v>439</v>
      </c>
      <c r="P63" s="116" t="s">
        <v>440</v>
      </c>
      <c r="Q63" s="117" t="s">
        <v>441</v>
      </c>
      <c r="R63" s="117" t="s">
        <v>442</v>
      </c>
      <c r="S63" s="118" t="s">
        <v>443</v>
      </c>
      <c r="T63" s="137">
        <v>0</v>
      </c>
      <c r="U63" s="138">
        <v>140</v>
      </c>
      <c r="V63" s="138">
        <v>60</v>
      </c>
      <c r="W63" s="64" t="s">
        <v>2864</v>
      </c>
      <c r="X63" s="64" t="s">
        <v>2609</v>
      </c>
      <c r="Y63" s="121">
        <v>200</v>
      </c>
      <c r="Z63" s="137">
        <v>0</v>
      </c>
      <c r="AA63" s="138">
        <v>0</v>
      </c>
      <c r="AB63" s="120">
        <v>0</v>
      </c>
      <c r="AC63" s="64"/>
      <c r="AD63" s="64"/>
      <c r="AE63" s="121">
        <v>0</v>
      </c>
      <c r="AF63" s="122">
        <f t="shared" si="0"/>
        <v>200</v>
      </c>
      <c r="AG63" s="123"/>
      <c r="AH63" s="250"/>
    </row>
    <row r="64" spans="1:34" s="18" customFormat="1" ht="115.2" hidden="1">
      <c r="A64" s="53">
        <v>1062</v>
      </c>
      <c r="B64" s="54" t="s">
        <v>2907</v>
      </c>
      <c r="C64" s="54" t="s">
        <v>2863</v>
      </c>
      <c r="D64" s="54" t="s">
        <v>2865</v>
      </c>
      <c r="E64" s="53">
        <v>1</v>
      </c>
      <c r="F64" s="110">
        <v>2</v>
      </c>
      <c r="G64" s="56">
        <v>62</v>
      </c>
      <c r="H64" s="111" t="s">
        <v>444</v>
      </c>
      <c r="I64" s="112" t="s">
        <v>444</v>
      </c>
      <c r="J64" s="113">
        <v>10500101307202</v>
      </c>
      <c r="K64" s="114" t="s">
        <v>89</v>
      </c>
      <c r="L64" s="115"/>
      <c r="M64" s="114">
        <v>5</v>
      </c>
      <c r="N64" s="116" t="s">
        <v>408</v>
      </c>
      <c r="O64" s="117" t="s">
        <v>445</v>
      </c>
      <c r="P64" s="116">
        <v>2730379</v>
      </c>
      <c r="Q64" s="117" t="s">
        <v>446</v>
      </c>
      <c r="R64" s="117" t="s">
        <v>447</v>
      </c>
      <c r="S64" s="118" t="s">
        <v>448</v>
      </c>
      <c r="T64" s="139">
        <v>260</v>
      </c>
      <c r="U64" s="140">
        <v>30</v>
      </c>
      <c r="V64" s="138">
        <v>0</v>
      </c>
      <c r="W64" s="64" t="s">
        <v>2864</v>
      </c>
      <c r="X64" s="64" t="s">
        <v>2609</v>
      </c>
      <c r="Y64" s="121">
        <v>290</v>
      </c>
      <c r="Z64" s="139">
        <v>84</v>
      </c>
      <c r="AA64" s="140">
        <v>166</v>
      </c>
      <c r="AB64" s="120">
        <v>0</v>
      </c>
      <c r="AC64" s="64" t="s">
        <v>2866</v>
      </c>
      <c r="AD64" s="64" t="s">
        <v>2867</v>
      </c>
      <c r="AE64" s="121">
        <v>250</v>
      </c>
      <c r="AF64" s="122">
        <f t="shared" si="0"/>
        <v>540</v>
      </c>
      <c r="AG64" s="123"/>
      <c r="AH64" s="250"/>
    </row>
    <row r="65" spans="1:34" s="18" customFormat="1" ht="115.2" hidden="1">
      <c r="A65" s="53">
        <v>1063</v>
      </c>
      <c r="B65" s="54" t="s">
        <v>2907</v>
      </c>
      <c r="C65" s="54" t="s">
        <v>2863</v>
      </c>
      <c r="D65" s="54" t="s">
        <v>2865</v>
      </c>
      <c r="E65" s="53">
        <v>1</v>
      </c>
      <c r="F65" s="110">
        <v>2</v>
      </c>
      <c r="G65" s="56">
        <v>63</v>
      </c>
      <c r="H65" s="111" t="s">
        <v>449</v>
      </c>
      <c r="I65" s="112" t="s">
        <v>449</v>
      </c>
      <c r="J65" s="113">
        <v>10500102578002</v>
      </c>
      <c r="K65" s="114" t="s">
        <v>89</v>
      </c>
      <c r="L65" s="115"/>
      <c r="M65" s="114">
        <v>5</v>
      </c>
      <c r="N65" s="116" t="s">
        <v>450</v>
      </c>
      <c r="O65" s="117" t="s">
        <v>451</v>
      </c>
      <c r="P65" s="116">
        <v>2730920</v>
      </c>
      <c r="Q65" s="117" t="s">
        <v>452</v>
      </c>
      <c r="R65" s="117" t="s">
        <v>453</v>
      </c>
      <c r="S65" s="118" t="s">
        <v>454</v>
      </c>
      <c r="T65" s="119">
        <v>90</v>
      </c>
      <c r="U65" s="120">
        <v>140</v>
      </c>
      <c r="V65" s="120">
        <v>0</v>
      </c>
      <c r="W65" s="64" t="s">
        <v>2864</v>
      </c>
      <c r="X65" s="64" t="s">
        <v>2609</v>
      </c>
      <c r="Y65" s="121">
        <v>230</v>
      </c>
      <c r="Z65" s="119">
        <v>80</v>
      </c>
      <c r="AA65" s="120">
        <v>110</v>
      </c>
      <c r="AB65" s="120">
        <v>0</v>
      </c>
      <c r="AC65" s="64" t="s">
        <v>2866</v>
      </c>
      <c r="AD65" s="64" t="s">
        <v>2867</v>
      </c>
      <c r="AE65" s="121">
        <v>190</v>
      </c>
      <c r="AF65" s="122">
        <f t="shared" si="0"/>
        <v>420</v>
      </c>
      <c r="AG65" s="123"/>
      <c r="AH65" s="250"/>
    </row>
    <row r="66" spans="1:34" s="18" customFormat="1" ht="115.2" hidden="1">
      <c r="A66" s="53">
        <v>1064</v>
      </c>
      <c r="B66" s="54" t="s">
        <v>2907</v>
      </c>
      <c r="C66" s="54" t="s">
        <v>2863</v>
      </c>
      <c r="D66" s="54" t="s">
        <v>2865</v>
      </c>
      <c r="E66" s="53">
        <v>1</v>
      </c>
      <c r="F66" s="110">
        <v>2</v>
      </c>
      <c r="G66" s="56">
        <v>64</v>
      </c>
      <c r="H66" s="111" t="s">
        <v>455</v>
      </c>
      <c r="I66" s="112" t="s">
        <v>455</v>
      </c>
      <c r="J66" s="113">
        <v>10500101642001</v>
      </c>
      <c r="K66" s="114" t="s">
        <v>89</v>
      </c>
      <c r="L66" s="115"/>
      <c r="M66" s="114">
        <v>5</v>
      </c>
      <c r="N66" s="116" t="s">
        <v>456</v>
      </c>
      <c r="O66" s="117" t="s">
        <v>457</v>
      </c>
      <c r="P66" s="116" t="s">
        <v>458</v>
      </c>
      <c r="Q66" s="117" t="s">
        <v>459</v>
      </c>
      <c r="R66" s="117" t="s">
        <v>460</v>
      </c>
      <c r="S66" s="118" t="s">
        <v>461</v>
      </c>
      <c r="T66" s="119">
        <v>0</v>
      </c>
      <c r="U66" s="120">
        <v>75</v>
      </c>
      <c r="V66" s="120">
        <v>75</v>
      </c>
      <c r="W66" s="64" t="s">
        <v>2864</v>
      </c>
      <c r="X66" s="64" t="s">
        <v>2609</v>
      </c>
      <c r="Y66" s="121">
        <v>150</v>
      </c>
      <c r="Z66" s="119">
        <v>0</v>
      </c>
      <c r="AA66" s="120">
        <v>183</v>
      </c>
      <c r="AB66" s="120">
        <v>111</v>
      </c>
      <c r="AC66" s="64" t="s">
        <v>2866</v>
      </c>
      <c r="AD66" s="64" t="s">
        <v>2867</v>
      </c>
      <c r="AE66" s="121">
        <v>294</v>
      </c>
      <c r="AF66" s="122">
        <f t="shared" si="0"/>
        <v>444</v>
      </c>
      <c r="AG66" s="123"/>
      <c r="AH66" s="250"/>
    </row>
    <row r="67" spans="1:34" s="18" customFormat="1" ht="115.2" hidden="1">
      <c r="A67" s="53">
        <v>1065</v>
      </c>
      <c r="B67" s="54" t="s">
        <v>2907</v>
      </c>
      <c r="C67" s="54" t="s">
        <v>2863</v>
      </c>
      <c r="D67" s="54" t="s">
        <v>2865</v>
      </c>
      <c r="E67" s="53">
        <v>1</v>
      </c>
      <c r="F67" s="110">
        <v>2</v>
      </c>
      <c r="G67" s="56">
        <v>65</v>
      </c>
      <c r="H67" s="111" t="s">
        <v>462</v>
      </c>
      <c r="I67" s="112" t="s">
        <v>462</v>
      </c>
      <c r="J67" s="113">
        <v>10500101642002</v>
      </c>
      <c r="K67" s="114" t="s">
        <v>89</v>
      </c>
      <c r="L67" s="115"/>
      <c r="M67" s="114">
        <v>5</v>
      </c>
      <c r="N67" s="116" t="s">
        <v>456</v>
      </c>
      <c r="O67" s="117" t="s">
        <v>463</v>
      </c>
      <c r="P67" s="116">
        <v>2671734</v>
      </c>
      <c r="Q67" s="117" t="s">
        <v>464</v>
      </c>
      <c r="R67" s="117" t="s">
        <v>465</v>
      </c>
      <c r="S67" s="118" t="s">
        <v>466</v>
      </c>
      <c r="T67" s="119">
        <v>155</v>
      </c>
      <c r="U67" s="120">
        <v>75</v>
      </c>
      <c r="V67" s="120">
        <v>0</v>
      </c>
      <c r="W67" s="64" t="s">
        <v>2864</v>
      </c>
      <c r="X67" s="64" t="s">
        <v>2609</v>
      </c>
      <c r="Y67" s="121">
        <v>230</v>
      </c>
      <c r="Z67" s="119">
        <v>90</v>
      </c>
      <c r="AA67" s="120">
        <v>50</v>
      </c>
      <c r="AB67" s="120">
        <v>0</v>
      </c>
      <c r="AC67" s="64" t="s">
        <v>2866</v>
      </c>
      <c r="AD67" s="64" t="s">
        <v>2867</v>
      </c>
      <c r="AE67" s="121">
        <v>140</v>
      </c>
      <c r="AF67" s="122">
        <f t="shared" ref="AF67:AF130" si="1">+Y67+AE67</f>
        <v>370</v>
      </c>
      <c r="AG67" s="141"/>
      <c r="AH67" s="250"/>
    </row>
    <row r="68" spans="1:34" s="18" customFormat="1" ht="115.2" hidden="1">
      <c r="A68" s="53">
        <v>1066</v>
      </c>
      <c r="B68" s="54" t="s">
        <v>2907</v>
      </c>
      <c r="C68" s="54" t="s">
        <v>2863</v>
      </c>
      <c r="D68" s="54" t="s">
        <v>2865</v>
      </c>
      <c r="E68" s="53">
        <v>1</v>
      </c>
      <c r="F68" s="110">
        <v>2</v>
      </c>
      <c r="G68" s="56">
        <v>66</v>
      </c>
      <c r="H68" s="111" t="s">
        <v>467</v>
      </c>
      <c r="I68" s="112" t="s">
        <v>467</v>
      </c>
      <c r="J68" s="113">
        <v>10500100606801</v>
      </c>
      <c r="K68" s="114" t="s">
        <v>89</v>
      </c>
      <c r="L68" s="115"/>
      <c r="M68" s="114">
        <v>5</v>
      </c>
      <c r="N68" s="116" t="s">
        <v>468</v>
      </c>
      <c r="O68" s="117" t="s">
        <v>469</v>
      </c>
      <c r="P68" s="116">
        <v>2573923</v>
      </c>
      <c r="Q68" s="117" t="s">
        <v>470</v>
      </c>
      <c r="R68" s="117" t="s">
        <v>471</v>
      </c>
      <c r="S68" s="118" t="s">
        <v>472</v>
      </c>
      <c r="T68" s="119">
        <v>140</v>
      </c>
      <c r="U68" s="120">
        <v>180</v>
      </c>
      <c r="V68" s="120">
        <v>80</v>
      </c>
      <c r="W68" s="64" t="s">
        <v>2864</v>
      </c>
      <c r="X68" s="64" t="s">
        <v>2609</v>
      </c>
      <c r="Y68" s="121">
        <v>400</v>
      </c>
      <c r="Z68" s="119">
        <v>280</v>
      </c>
      <c r="AA68" s="120">
        <v>280</v>
      </c>
      <c r="AB68" s="120">
        <v>140</v>
      </c>
      <c r="AC68" s="64" t="s">
        <v>2866</v>
      </c>
      <c r="AD68" s="64" t="s">
        <v>2867</v>
      </c>
      <c r="AE68" s="121">
        <v>700</v>
      </c>
      <c r="AF68" s="122">
        <f t="shared" si="1"/>
        <v>1100</v>
      </c>
      <c r="AG68" s="123"/>
      <c r="AH68" s="250"/>
    </row>
    <row r="69" spans="1:34" s="18" customFormat="1" ht="115.2" hidden="1">
      <c r="A69" s="53">
        <v>1067</v>
      </c>
      <c r="B69" s="54" t="s">
        <v>2907</v>
      </c>
      <c r="C69" s="54" t="s">
        <v>2863</v>
      </c>
      <c r="D69" s="54" t="s">
        <v>2865</v>
      </c>
      <c r="E69" s="53">
        <v>1</v>
      </c>
      <c r="F69" s="110">
        <v>2</v>
      </c>
      <c r="G69" s="56">
        <v>67</v>
      </c>
      <c r="H69" s="111" t="s">
        <v>473</v>
      </c>
      <c r="I69" s="112" t="s">
        <v>473</v>
      </c>
      <c r="J69" s="113">
        <v>10500100648301</v>
      </c>
      <c r="K69" s="114" t="s">
        <v>89</v>
      </c>
      <c r="L69" s="115"/>
      <c r="M69" s="114">
        <v>5</v>
      </c>
      <c r="N69" s="116" t="s">
        <v>474</v>
      </c>
      <c r="O69" s="117" t="s">
        <v>475</v>
      </c>
      <c r="P69" s="116">
        <v>2677445</v>
      </c>
      <c r="Q69" s="117" t="s">
        <v>476</v>
      </c>
      <c r="R69" s="117" t="s">
        <v>477</v>
      </c>
      <c r="S69" s="118" t="s">
        <v>478</v>
      </c>
      <c r="T69" s="137">
        <v>110</v>
      </c>
      <c r="U69" s="138">
        <v>70</v>
      </c>
      <c r="V69" s="138">
        <v>20</v>
      </c>
      <c r="W69" s="64" t="s">
        <v>2864</v>
      </c>
      <c r="X69" s="64" t="s">
        <v>2609</v>
      </c>
      <c r="Y69" s="142">
        <v>200</v>
      </c>
      <c r="Z69" s="137">
        <v>0</v>
      </c>
      <c r="AA69" s="138">
        <v>100</v>
      </c>
      <c r="AB69" s="138">
        <v>50</v>
      </c>
      <c r="AC69" s="64" t="s">
        <v>2866</v>
      </c>
      <c r="AD69" s="64" t="s">
        <v>2867</v>
      </c>
      <c r="AE69" s="121">
        <v>150</v>
      </c>
      <c r="AF69" s="122">
        <f t="shared" si="1"/>
        <v>350</v>
      </c>
      <c r="AG69" s="123"/>
      <c r="AH69" s="250"/>
    </row>
    <row r="70" spans="1:34" s="18" customFormat="1" ht="28.8" hidden="1">
      <c r="A70" s="53">
        <v>1068</v>
      </c>
      <c r="B70" s="54" t="s">
        <v>2609</v>
      </c>
      <c r="C70" s="54" t="s">
        <v>2863</v>
      </c>
      <c r="D70" s="54" t="s">
        <v>2864</v>
      </c>
      <c r="E70" s="53">
        <v>1</v>
      </c>
      <c r="F70" s="143">
        <v>2</v>
      </c>
      <c r="G70" s="70">
        <v>68</v>
      </c>
      <c r="H70" s="144" t="s">
        <v>479</v>
      </c>
      <c r="I70" s="145" t="s">
        <v>480</v>
      </c>
      <c r="J70" s="146">
        <v>30500101568601</v>
      </c>
      <c r="K70" s="147" t="s">
        <v>89</v>
      </c>
      <c r="L70" s="148"/>
      <c r="M70" s="147">
        <v>5</v>
      </c>
      <c r="N70" s="149" t="s">
        <v>474</v>
      </c>
      <c r="O70" s="150" t="s">
        <v>481</v>
      </c>
      <c r="P70" s="149">
        <v>4719328</v>
      </c>
      <c r="Q70" s="150" t="s">
        <v>482</v>
      </c>
      <c r="R70" s="151" t="s">
        <v>483</v>
      </c>
      <c r="S70" s="152" t="s">
        <v>484</v>
      </c>
      <c r="T70" s="153">
        <v>180</v>
      </c>
      <c r="U70" s="154">
        <v>20</v>
      </c>
      <c r="V70" s="154">
        <v>0</v>
      </c>
      <c r="W70" s="64" t="s">
        <v>2864</v>
      </c>
      <c r="X70" s="64" t="s">
        <v>2609</v>
      </c>
      <c r="Y70" s="142">
        <v>200</v>
      </c>
      <c r="Z70" s="153">
        <v>0</v>
      </c>
      <c r="AA70" s="154">
        <v>0</v>
      </c>
      <c r="AB70" s="154">
        <v>0</v>
      </c>
      <c r="AC70" s="64"/>
      <c r="AD70" s="64"/>
      <c r="AE70" s="142">
        <v>0</v>
      </c>
      <c r="AF70" s="155">
        <f t="shared" si="1"/>
        <v>200</v>
      </c>
      <c r="AG70" s="136"/>
      <c r="AH70" s="250"/>
    </row>
    <row r="71" spans="1:34" s="18" customFormat="1" ht="28.8" hidden="1">
      <c r="A71" s="53">
        <v>1069</v>
      </c>
      <c r="B71" s="54" t="s">
        <v>2609</v>
      </c>
      <c r="C71" s="54" t="s">
        <v>2863</v>
      </c>
      <c r="D71" s="54" t="s">
        <v>2864</v>
      </c>
      <c r="E71" s="53">
        <v>1</v>
      </c>
      <c r="F71" s="143">
        <v>2</v>
      </c>
      <c r="G71" s="70">
        <v>69</v>
      </c>
      <c r="H71" s="144" t="s">
        <v>479</v>
      </c>
      <c r="I71" s="145" t="s">
        <v>479</v>
      </c>
      <c r="J71" s="146">
        <v>30500101568603</v>
      </c>
      <c r="K71" s="147" t="s">
        <v>89</v>
      </c>
      <c r="L71" s="148"/>
      <c r="M71" s="147">
        <v>5</v>
      </c>
      <c r="N71" s="149" t="s">
        <v>474</v>
      </c>
      <c r="O71" s="150" t="s">
        <v>485</v>
      </c>
      <c r="P71" s="149" t="s">
        <v>486</v>
      </c>
      <c r="Q71" s="150" t="s">
        <v>487</v>
      </c>
      <c r="R71" s="151" t="s">
        <v>488</v>
      </c>
      <c r="S71" s="152"/>
      <c r="T71" s="153">
        <v>0</v>
      </c>
      <c r="U71" s="154">
        <v>140</v>
      </c>
      <c r="V71" s="154">
        <v>40</v>
      </c>
      <c r="W71" s="64" t="s">
        <v>2864</v>
      </c>
      <c r="X71" s="64" t="s">
        <v>2609</v>
      </c>
      <c r="Y71" s="142">
        <v>180</v>
      </c>
      <c r="Z71" s="153">
        <v>0</v>
      </c>
      <c r="AA71" s="154">
        <v>0</v>
      </c>
      <c r="AB71" s="154">
        <v>0</v>
      </c>
      <c r="AC71" s="64"/>
      <c r="AD71" s="64"/>
      <c r="AE71" s="142">
        <v>0</v>
      </c>
      <c r="AF71" s="155">
        <f t="shared" si="1"/>
        <v>180</v>
      </c>
      <c r="AG71" s="136"/>
      <c r="AH71" s="250"/>
    </row>
    <row r="72" spans="1:34" s="18" customFormat="1" ht="28.8" hidden="1">
      <c r="A72" s="53">
        <v>1070</v>
      </c>
      <c r="B72" s="54" t="s">
        <v>2609</v>
      </c>
      <c r="C72" s="54" t="s">
        <v>2863</v>
      </c>
      <c r="D72" s="54" t="s">
        <v>2864</v>
      </c>
      <c r="E72" s="53">
        <v>1</v>
      </c>
      <c r="F72" s="143">
        <v>2</v>
      </c>
      <c r="G72" s="70">
        <v>70</v>
      </c>
      <c r="H72" s="144" t="s">
        <v>479</v>
      </c>
      <c r="I72" s="145" t="s">
        <v>489</v>
      </c>
      <c r="J72" s="146">
        <v>30500101568602</v>
      </c>
      <c r="K72" s="147" t="s">
        <v>89</v>
      </c>
      <c r="L72" s="148"/>
      <c r="M72" s="147">
        <v>5</v>
      </c>
      <c r="N72" s="149" t="s">
        <v>474</v>
      </c>
      <c r="O72" s="150" t="s">
        <v>485</v>
      </c>
      <c r="P72" s="149" t="s">
        <v>486</v>
      </c>
      <c r="Q72" s="150" t="s">
        <v>487</v>
      </c>
      <c r="R72" s="151" t="s">
        <v>488</v>
      </c>
      <c r="S72" s="152" t="s">
        <v>490</v>
      </c>
      <c r="T72" s="153">
        <v>0</v>
      </c>
      <c r="U72" s="154">
        <v>120</v>
      </c>
      <c r="V72" s="154">
        <v>20</v>
      </c>
      <c r="W72" s="64" t="s">
        <v>2864</v>
      </c>
      <c r="X72" s="64" t="s">
        <v>2609</v>
      </c>
      <c r="Y72" s="142">
        <v>140</v>
      </c>
      <c r="Z72" s="153">
        <v>0</v>
      </c>
      <c r="AA72" s="154">
        <v>0</v>
      </c>
      <c r="AB72" s="154">
        <v>0</v>
      </c>
      <c r="AC72" s="64"/>
      <c r="AD72" s="64"/>
      <c r="AE72" s="142">
        <v>0</v>
      </c>
      <c r="AF72" s="155">
        <f t="shared" si="1"/>
        <v>140</v>
      </c>
      <c r="AG72" s="136"/>
      <c r="AH72" s="250"/>
    </row>
    <row r="73" spans="1:34" s="18" customFormat="1" ht="115.2" hidden="1">
      <c r="A73" s="53">
        <v>1071</v>
      </c>
      <c r="B73" s="54" t="s">
        <v>2907</v>
      </c>
      <c r="C73" s="54" t="s">
        <v>2863</v>
      </c>
      <c r="D73" s="54" t="s">
        <v>2865</v>
      </c>
      <c r="E73" s="53">
        <v>1</v>
      </c>
      <c r="F73" s="110">
        <v>2</v>
      </c>
      <c r="G73" s="56">
        <v>71</v>
      </c>
      <c r="H73" s="111" t="s">
        <v>491</v>
      </c>
      <c r="I73" s="112" t="s">
        <v>491</v>
      </c>
      <c r="J73" s="113">
        <v>10500101796502</v>
      </c>
      <c r="K73" s="114" t="s">
        <v>89</v>
      </c>
      <c r="L73" s="115"/>
      <c r="M73" s="114">
        <v>5</v>
      </c>
      <c r="N73" s="116" t="s">
        <v>474</v>
      </c>
      <c r="O73" s="117" t="s">
        <v>492</v>
      </c>
      <c r="P73" s="116">
        <v>2371508</v>
      </c>
      <c r="Q73" s="117" t="s">
        <v>493</v>
      </c>
      <c r="R73" s="117" t="s">
        <v>494</v>
      </c>
      <c r="S73" s="118" t="s">
        <v>495</v>
      </c>
      <c r="T73" s="119">
        <v>130</v>
      </c>
      <c r="U73" s="120">
        <v>90</v>
      </c>
      <c r="V73" s="120">
        <v>0</v>
      </c>
      <c r="W73" s="64" t="s">
        <v>2864</v>
      </c>
      <c r="X73" s="64" t="s">
        <v>2609</v>
      </c>
      <c r="Y73" s="121">
        <v>220</v>
      </c>
      <c r="Z73" s="119">
        <v>157</v>
      </c>
      <c r="AA73" s="120">
        <v>103</v>
      </c>
      <c r="AB73" s="120">
        <v>0</v>
      </c>
      <c r="AC73" s="64" t="s">
        <v>2866</v>
      </c>
      <c r="AD73" s="64" t="s">
        <v>2867</v>
      </c>
      <c r="AE73" s="121">
        <v>260</v>
      </c>
      <c r="AF73" s="122">
        <f t="shared" si="1"/>
        <v>480</v>
      </c>
      <c r="AG73" s="123"/>
      <c r="AH73" s="250"/>
    </row>
    <row r="74" spans="1:34" s="18" customFormat="1" ht="115.2" hidden="1">
      <c r="A74" s="53">
        <v>1072</v>
      </c>
      <c r="B74" s="54" t="s">
        <v>2907</v>
      </c>
      <c r="C74" s="54" t="s">
        <v>2863</v>
      </c>
      <c r="D74" s="54" t="s">
        <v>2865</v>
      </c>
      <c r="E74" s="53">
        <v>1</v>
      </c>
      <c r="F74" s="110">
        <v>2</v>
      </c>
      <c r="G74" s="56">
        <v>72</v>
      </c>
      <c r="H74" s="111" t="s">
        <v>496</v>
      </c>
      <c r="I74" s="112" t="s">
        <v>496</v>
      </c>
      <c r="J74" s="113">
        <v>10500100609201</v>
      </c>
      <c r="K74" s="114" t="s">
        <v>89</v>
      </c>
      <c r="L74" s="115"/>
      <c r="M74" s="114">
        <v>5</v>
      </c>
      <c r="N74" s="116" t="s">
        <v>497</v>
      </c>
      <c r="O74" s="117" t="s">
        <v>498</v>
      </c>
      <c r="P74" s="116" t="s">
        <v>499</v>
      </c>
      <c r="Q74" s="117" t="s">
        <v>500</v>
      </c>
      <c r="R74" s="117" t="s">
        <v>501</v>
      </c>
      <c r="S74" s="118" t="s">
        <v>502</v>
      </c>
      <c r="T74" s="119">
        <v>90</v>
      </c>
      <c r="U74" s="120">
        <v>100</v>
      </c>
      <c r="V74" s="120">
        <v>120</v>
      </c>
      <c r="W74" s="64" t="s">
        <v>2864</v>
      </c>
      <c r="X74" s="64" t="s">
        <v>2609</v>
      </c>
      <c r="Y74" s="121">
        <v>310</v>
      </c>
      <c r="Z74" s="119">
        <v>200</v>
      </c>
      <c r="AA74" s="120">
        <v>294</v>
      </c>
      <c r="AB74" s="120">
        <v>116</v>
      </c>
      <c r="AC74" s="64" t="s">
        <v>2866</v>
      </c>
      <c r="AD74" s="64" t="s">
        <v>2867</v>
      </c>
      <c r="AE74" s="121">
        <v>610</v>
      </c>
      <c r="AF74" s="122">
        <f t="shared" si="1"/>
        <v>920</v>
      </c>
      <c r="AG74" s="123"/>
      <c r="AH74" s="250"/>
    </row>
    <row r="75" spans="1:34" s="18" customFormat="1" ht="115.2" hidden="1">
      <c r="A75" s="53">
        <v>1073</v>
      </c>
      <c r="B75" s="54" t="s">
        <v>2907</v>
      </c>
      <c r="C75" s="54" t="s">
        <v>2863</v>
      </c>
      <c r="D75" s="54" t="s">
        <v>2865</v>
      </c>
      <c r="E75" s="53">
        <v>1</v>
      </c>
      <c r="F75" s="110">
        <v>2</v>
      </c>
      <c r="G75" s="56">
        <v>73</v>
      </c>
      <c r="H75" s="111" t="s">
        <v>503</v>
      </c>
      <c r="I75" s="112" t="s">
        <v>503</v>
      </c>
      <c r="J75" s="113">
        <v>10500102163605</v>
      </c>
      <c r="K75" s="114" t="s">
        <v>89</v>
      </c>
      <c r="L75" s="115"/>
      <c r="M75" s="114">
        <v>6</v>
      </c>
      <c r="N75" s="116" t="s">
        <v>504</v>
      </c>
      <c r="O75" s="117" t="s">
        <v>505</v>
      </c>
      <c r="P75" s="116" t="s">
        <v>506</v>
      </c>
      <c r="Q75" s="117" t="s">
        <v>507</v>
      </c>
      <c r="R75" s="117" t="s">
        <v>508</v>
      </c>
      <c r="S75" s="118" t="s">
        <v>509</v>
      </c>
      <c r="T75" s="119">
        <v>180</v>
      </c>
      <c r="U75" s="120">
        <v>120</v>
      </c>
      <c r="V75" s="120">
        <v>0</v>
      </c>
      <c r="W75" s="64" t="s">
        <v>2864</v>
      </c>
      <c r="X75" s="64" t="s">
        <v>2609</v>
      </c>
      <c r="Y75" s="121">
        <v>300</v>
      </c>
      <c r="Z75" s="119">
        <v>142</v>
      </c>
      <c r="AA75" s="120">
        <v>58</v>
      </c>
      <c r="AB75" s="120">
        <v>0</v>
      </c>
      <c r="AC75" s="64" t="s">
        <v>2866</v>
      </c>
      <c r="AD75" s="64" t="s">
        <v>2867</v>
      </c>
      <c r="AE75" s="121">
        <v>200</v>
      </c>
      <c r="AF75" s="122">
        <f t="shared" si="1"/>
        <v>500</v>
      </c>
      <c r="AG75" s="156" t="s">
        <v>140</v>
      </c>
      <c r="AH75" s="250"/>
    </row>
    <row r="76" spans="1:34" s="18" customFormat="1" ht="115.2" hidden="1">
      <c r="A76" s="53">
        <v>1074</v>
      </c>
      <c r="B76" s="54" t="s">
        <v>2907</v>
      </c>
      <c r="C76" s="54" t="s">
        <v>2863</v>
      </c>
      <c r="D76" s="54" t="s">
        <v>2865</v>
      </c>
      <c r="E76" s="53">
        <v>1</v>
      </c>
      <c r="F76" s="110">
        <v>2</v>
      </c>
      <c r="G76" s="56">
        <v>74</v>
      </c>
      <c r="H76" s="111" t="s">
        <v>510</v>
      </c>
      <c r="I76" s="112" t="s">
        <v>510</v>
      </c>
      <c r="J76" s="113">
        <v>10500102163604</v>
      </c>
      <c r="K76" s="114" t="s">
        <v>89</v>
      </c>
      <c r="L76" s="115"/>
      <c r="M76" s="114">
        <v>6</v>
      </c>
      <c r="N76" s="116" t="s">
        <v>511</v>
      </c>
      <c r="O76" s="117" t="s">
        <v>512</v>
      </c>
      <c r="P76" s="116">
        <v>4715003</v>
      </c>
      <c r="Q76" s="117" t="s">
        <v>513</v>
      </c>
      <c r="R76" s="117" t="s">
        <v>514</v>
      </c>
      <c r="S76" s="118" t="s">
        <v>515</v>
      </c>
      <c r="T76" s="119">
        <v>227</v>
      </c>
      <c r="U76" s="120">
        <v>30</v>
      </c>
      <c r="V76" s="120">
        <v>0</v>
      </c>
      <c r="W76" s="64" t="s">
        <v>2864</v>
      </c>
      <c r="X76" s="64" t="s">
        <v>2609</v>
      </c>
      <c r="Y76" s="121">
        <v>257</v>
      </c>
      <c r="Z76" s="119">
        <v>0</v>
      </c>
      <c r="AA76" s="120">
        <v>104</v>
      </c>
      <c r="AB76" s="120">
        <v>0</v>
      </c>
      <c r="AC76" s="64" t="s">
        <v>2866</v>
      </c>
      <c r="AD76" s="64" t="s">
        <v>2867</v>
      </c>
      <c r="AE76" s="121">
        <v>104</v>
      </c>
      <c r="AF76" s="122">
        <f t="shared" si="1"/>
        <v>361</v>
      </c>
      <c r="AG76" s="123"/>
      <c r="AH76" s="250"/>
    </row>
    <row r="77" spans="1:34" s="18" customFormat="1" ht="115.2" hidden="1">
      <c r="A77" s="53">
        <v>1075</v>
      </c>
      <c r="B77" s="54" t="s">
        <v>2907</v>
      </c>
      <c r="C77" s="54" t="s">
        <v>2863</v>
      </c>
      <c r="D77" s="54" t="s">
        <v>2865</v>
      </c>
      <c r="E77" s="53">
        <v>1</v>
      </c>
      <c r="F77" s="110">
        <v>2</v>
      </c>
      <c r="G77" s="56">
        <v>75</v>
      </c>
      <c r="H77" s="111" t="s">
        <v>516</v>
      </c>
      <c r="I77" s="112" t="s">
        <v>516</v>
      </c>
      <c r="J77" s="113">
        <v>10500102163602</v>
      </c>
      <c r="K77" s="114" t="s">
        <v>89</v>
      </c>
      <c r="L77" s="115"/>
      <c r="M77" s="114">
        <v>6</v>
      </c>
      <c r="N77" s="116" t="s">
        <v>504</v>
      </c>
      <c r="O77" s="117" t="s">
        <v>517</v>
      </c>
      <c r="P77" s="116" t="s">
        <v>518</v>
      </c>
      <c r="Q77" s="117" t="s">
        <v>519</v>
      </c>
      <c r="R77" s="117" t="s">
        <v>520</v>
      </c>
      <c r="S77" s="118" t="s">
        <v>515</v>
      </c>
      <c r="T77" s="119">
        <v>190</v>
      </c>
      <c r="U77" s="120">
        <v>80</v>
      </c>
      <c r="V77" s="120">
        <v>0</v>
      </c>
      <c r="W77" s="64" t="s">
        <v>2864</v>
      </c>
      <c r="X77" s="64" t="s">
        <v>2609</v>
      </c>
      <c r="Y77" s="121">
        <v>270</v>
      </c>
      <c r="Z77" s="119">
        <v>0</v>
      </c>
      <c r="AA77" s="120">
        <v>51</v>
      </c>
      <c r="AB77" s="120">
        <v>0</v>
      </c>
      <c r="AC77" s="64" t="s">
        <v>2866</v>
      </c>
      <c r="AD77" s="64" t="s">
        <v>2867</v>
      </c>
      <c r="AE77" s="121">
        <v>51</v>
      </c>
      <c r="AF77" s="122">
        <f t="shared" si="1"/>
        <v>321</v>
      </c>
      <c r="AG77" s="156" t="s">
        <v>140</v>
      </c>
      <c r="AH77" s="250"/>
    </row>
    <row r="78" spans="1:34" s="18" customFormat="1" ht="115.2" hidden="1">
      <c r="A78" s="53">
        <v>1076</v>
      </c>
      <c r="B78" s="54" t="s">
        <v>2907</v>
      </c>
      <c r="C78" s="54" t="s">
        <v>2863</v>
      </c>
      <c r="D78" s="54" t="s">
        <v>2865</v>
      </c>
      <c r="E78" s="53">
        <v>1</v>
      </c>
      <c r="F78" s="110">
        <v>2</v>
      </c>
      <c r="G78" s="56">
        <v>76</v>
      </c>
      <c r="H78" s="111" t="s">
        <v>521</v>
      </c>
      <c r="I78" s="112" t="s">
        <v>521</v>
      </c>
      <c r="J78" s="113">
        <v>10500102163603</v>
      </c>
      <c r="K78" s="114" t="s">
        <v>89</v>
      </c>
      <c r="L78" s="115"/>
      <c r="M78" s="114">
        <v>6</v>
      </c>
      <c r="N78" s="116" t="s">
        <v>504</v>
      </c>
      <c r="O78" s="117" t="s">
        <v>522</v>
      </c>
      <c r="P78" s="116">
        <v>2573224</v>
      </c>
      <c r="Q78" s="117" t="s">
        <v>513</v>
      </c>
      <c r="R78" s="117" t="s">
        <v>523</v>
      </c>
      <c r="S78" s="118" t="s">
        <v>524</v>
      </c>
      <c r="T78" s="119">
        <v>150</v>
      </c>
      <c r="U78" s="120">
        <v>0</v>
      </c>
      <c r="V78" s="120">
        <v>0</v>
      </c>
      <c r="W78" s="64" t="s">
        <v>2864</v>
      </c>
      <c r="X78" s="64" t="s">
        <v>2609</v>
      </c>
      <c r="Y78" s="121">
        <v>150</v>
      </c>
      <c r="Z78" s="119">
        <v>75</v>
      </c>
      <c r="AA78" s="120">
        <v>85</v>
      </c>
      <c r="AB78" s="120">
        <v>0</v>
      </c>
      <c r="AC78" s="64" t="s">
        <v>2866</v>
      </c>
      <c r="AD78" s="64" t="s">
        <v>2867</v>
      </c>
      <c r="AE78" s="121">
        <v>160</v>
      </c>
      <c r="AF78" s="122">
        <f t="shared" si="1"/>
        <v>310</v>
      </c>
      <c r="AG78" s="123"/>
      <c r="AH78" s="250"/>
    </row>
    <row r="79" spans="1:34" s="18" customFormat="1" ht="115.2" hidden="1">
      <c r="A79" s="53">
        <v>1077</v>
      </c>
      <c r="B79" s="54" t="s">
        <v>2907</v>
      </c>
      <c r="C79" s="54" t="s">
        <v>2863</v>
      </c>
      <c r="D79" s="54" t="s">
        <v>2865</v>
      </c>
      <c r="E79" s="53">
        <v>1</v>
      </c>
      <c r="F79" s="110">
        <v>2</v>
      </c>
      <c r="G79" s="56">
        <v>77</v>
      </c>
      <c r="H79" s="111" t="s">
        <v>525</v>
      </c>
      <c r="I79" s="112" t="s">
        <v>525</v>
      </c>
      <c r="J79" s="113">
        <v>10500100079501</v>
      </c>
      <c r="K79" s="114" t="s">
        <v>89</v>
      </c>
      <c r="L79" s="115"/>
      <c r="M79" s="114">
        <v>6</v>
      </c>
      <c r="N79" s="116" t="s">
        <v>474</v>
      </c>
      <c r="O79" s="117" t="s">
        <v>526</v>
      </c>
      <c r="P79" s="116" t="s">
        <v>527</v>
      </c>
      <c r="Q79" s="117" t="s">
        <v>528</v>
      </c>
      <c r="R79" s="117" t="s">
        <v>529</v>
      </c>
      <c r="S79" s="118" t="s">
        <v>530</v>
      </c>
      <c r="T79" s="119">
        <v>160</v>
      </c>
      <c r="U79" s="120">
        <v>150</v>
      </c>
      <c r="V79" s="120">
        <v>50</v>
      </c>
      <c r="W79" s="64" t="s">
        <v>2864</v>
      </c>
      <c r="X79" s="64" t="s">
        <v>2609</v>
      </c>
      <c r="Y79" s="121">
        <v>360</v>
      </c>
      <c r="Z79" s="119">
        <v>26</v>
      </c>
      <c r="AA79" s="120">
        <v>219</v>
      </c>
      <c r="AB79" s="120">
        <v>95</v>
      </c>
      <c r="AC79" s="64" t="s">
        <v>2866</v>
      </c>
      <c r="AD79" s="64" t="s">
        <v>2867</v>
      </c>
      <c r="AE79" s="121">
        <v>340</v>
      </c>
      <c r="AF79" s="122">
        <f t="shared" si="1"/>
        <v>700</v>
      </c>
      <c r="AG79" s="123"/>
      <c r="AH79" s="250"/>
    </row>
    <row r="80" spans="1:34" s="18" customFormat="1" ht="115.2" hidden="1">
      <c r="A80" s="53">
        <v>1078</v>
      </c>
      <c r="B80" s="54" t="s">
        <v>2907</v>
      </c>
      <c r="C80" s="54" t="s">
        <v>2863</v>
      </c>
      <c r="D80" s="54" t="s">
        <v>2865</v>
      </c>
      <c r="E80" s="53">
        <v>1</v>
      </c>
      <c r="F80" s="110">
        <v>2</v>
      </c>
      <c r="G80" s="56">
        <v>78</v>
      </c>
      <c r="H80" s="111" t="s">
        <v>531</v>
      </c>
      <c r="I80" s="112" t="s">
        <v>531</v>
      </c>
      <c r="J80" s="113">
        <v>10500101011101</v>
      </c>
      <c r="K80" s="114" t="s">
        <v>89</v>
      </c>
      <c r="L80" s="115"/>
      <c r="M80" s="114">
        <v>6</v>
      </c>
      <c r="N80" s="116" t="s">
        <v>532</v>
      </c>
      <c r="O80" s="117" t="s">
        <v>533</v>
      </c>
      <c r="P80" s="116" t="s">
        <v>534</v>
      </c>
      <c r="Q80" s="117" t="s">
        <v>535</v>
      </c>
      <c r="R80" s="117" t="s">
        <v>536</v>
      </c>
      <c r="S80" s="118" t="s">
        <v>537</v>
      </c>
      <c r="T80" s="119">
        <v>0</v>
      </c>
      <c r="U80" s="120">
        <v>120</v>
      </c>
      <c r="V80" s="120">
        <v>100</v>
      </c>
      <c r="W80" s="64" t="s">
        <v>2864</v>
      </c>
      <c r="X80" s="64" t="s">
        <v>2609</v>
      </c>
      <c r="Y80" s="121">
        <v>220</v>
      </c>
      <c r="Z80" s="119">
        <v>0</v>
      </c>
      <c r="AA80" s="120">
        <v>130</v>
      </c>
      <c r="AB80" s="120">
        <v>120</v>
      </c>
      <c r="AC80" s="64" t="s">
        <v>2866</v>
      </c>
      <c r="AD80" s="64" t="s">
        <v>2867</v>
      </c>
      <c r="AE80" s="121">
        <v>250</v>
      </c>
      <c r="AF80" s="122">
        <f t="shared" si="1"/>
        <v>470</v>
      </c>
      <c r="AG80" s="123"/>
      <c r="AH80" s="250"/>
    </row>
    <row r="81" spans="1:34" s="18" customFormat="1" ht="115.2" hidden="1">
      <c r="A81" s="53">
        <v>1079</v>
      </c>
      <c r="B81" s="54" t="s">
        <v>2907</v>
      </c>
      <c r="C81" s="54" t="s">
        <v>2863</v>
      </c>
      <c r="D81" s="54" t="s">
        <v>2865</v>
      </c>
      <c r="E81" s="53">
        <v>1</v>
      </c>
      <c r="F81" s="110">
        <v>2</v>
      </c>
      <c r="G81" s="56">
        <v>79</v>
      </c>
      <c r="H81" s="111" t="s">
        <v>538</v>
      </c>
      <c r="I81" s="112" t="s">
        <v>538</v>
      </c>
      <c r="J81" s="113">
        <v>10500101011102</v>
      </c>
      <c r="K81" s="114" t="s">
        <v>89</v>
      </c>
      <c r="L81" s="115"/>
      <c r="M81" s="114">
        <v>6</v>
      </c>
      <c r="N81" s="116" t="s">
        <v>532</v>
      </c>
      <c r="O81" s="117" t="s">
        <v>539</v>
      </c>
      <c r="P81" s="116">
        <v>4761516</v>
      </c>
      <c r="Q81" s="117" t="s">
        <v>535</v>
      </c>
      <c r="R81" s="117" t="s">
        <v>540</v>
      </c>
      <c r="S81" s="118" t="s">
        <v>541</v>
      </c>
      <c r="T81" s="119">
        <v>180</v>
      </c>
      <c r="U81" s="120">
        <v>70</v>
      </c>
      <c r="V81" s="120">
        <v>0</v>
      </c>
      <c r="W81" s="64" t="s">
        <v>2864</v>
      </c>
      <c r="X81" s="64" t="s">
        <v>2609</v>
      </c>
      <c r="Y81" s="121">
        <v>250</v>
      </c>
      <c r="Z81" s="119">
        <v>81</v>
      </c>
      <c r="AA81" s="120">
        <v>79</v>
      </c>
      <c r="AB81" s="120">
        <v>0</v>
      </c>
      <c r="AC81" s="64" t="s">
        <v>2866</v>
      </c>
      <c r="AD81" s="64" t="s">
        <v>2867</v>
      </c>
      <c r="AE81" s="121">
        <v>160</v>
      </c>
      <c r="AF81" s="122">
        <f t="shared" si="1"/>
        <v>410</v>
      </c>
      <c r="AG81" s="123"/>
      <c r="AH81" s="250"/>
    </row>
    <row r="82" spans="1:34" s="18" customFormat="1" ht="115.2" hidden="1">
      <c r="A82" s="53">
        <v>1080</v>
      </c>
      <c r="B82" s="54" t="s">
        <v>2907</v>
      </c>
      <c r="C82" s="54" t="s">
        <v>2863</v>
      </c>
      <c r="D82" s="54" t="s">
        <v>2865</v>
      </c>
      <c r="E82" s="53">
        <v>1</v>
      </c>
      <c r="F82" s="110">
        <v>2</v>
      </c>
      <c r="G82" s="56">
        <v>80</v>
      </c>
      <c r="H82" s="111" t="s">
        <v>542</v>
      </c>
      <c r="I82" s="112" t="s">
        <v>542</v>
      </c>
      <c r="J82" s="113">
        <v>10500101919401</v>
      </c>
      <c r="K82" s="114" t="s">
        <v>89</v>
      </c>
      <c r="L82" s="115"/>
      <c r="M82" s="114">
        <v>6</v>
      </c>
      <c r="N82" s="116" t="s">
        <v>532</v>
      </c>
      <c r="O82" s="117" t="s">
        <v>543</v>
      </c>
      <c r="P82" s="116" t="s">
        <v>544</v>
      </c>
      <c r="Q82" s="117" t="s">
        <v>545</v>
      </c>
      <c r="R82" s="117" t="s">
        <v>546</v>
      </c>
      <c r="S82" s="118" t="s">
        <v>547</v>
      </c>
      <c r="T82" s="119">
        <v>0</v>
      </c>
      <c r="U82" s="120">
        <v>110</v>
      </c>
      <c r="V82" s="120">
        <v>90</v>
      </c>
      <c r="W82" s="64" t="s">
        <v>2864</v>
      </c>
      <c r="X82" s="64" t="s">
        <v>2609</v>
      </c>
      <c r="Y82" s="121">
        <v>200</v>
      </c>
      <c r="Z82" s="119">
        <v>0</v>
      </c>
      <c r="AA82" s="120">
        <v>228</v>
      </c>
      <c r="AB82" s="120">
        <v>122</v>
      </c>
      <c r="AC82" s="64" t="s">
        <v>2866</v>
      </c>
      <c r="AD82" s="64" t="s">
        <v>2867</v>
      </c>
      <c r="AE82" s="121">
        <v>350</v>
      </c>
      <c r="AF82" s="122">
        <f t="shared" si="1"/>
        <v>550</v>
      </c>
      <c r="AG82" s="123"/>
      <c r="AH82" s="250"/>
    </row>
    <row r="83" spans="1:34" s="18" customFormat="1" ht="115.2" hidden="1">
      <c r="A83" s="53">
        <v>1081</v>
      </c>
      <c r="B83" s="54" t="s">
        <v>2907</v>
      </c>
      <c r="C83" s="54" t="s">
        <v>2863</v>
      </c>
      <c r="D83" s="54" t="s">
        <v>2865</v>
      </c>
      <c r="E83" s="53">
        <v>1</v>
      </c>
      <c r="F83" s="110">
        <v>2</v>
      </c>
      <c r="G83" s="56">
        <v>81</v>
      </c>
      <c r="H83" s="111" t="s">
        <v>548</v>
      </c>
      <c r="I83" s="112" t="s">
        <v>548</v>
      </c>
      <c r="J83" s="113">
        <v>10500101919402</v>
      </c>
      <c r="K83" s="114" t="s">
        <v>89</v>
      </c>
      <c r="L83" s="115"/>
      <c r="M83" s="114">
        <v>6</v>
      </c>
      <c r="N83" s="116" t="s">
        <v>532</v>
      </c>
      <c r="O83" s="117" t="s">
        <v>549</v>
      </c>
      <c r="P83" s="116" t="s">
        <v>550</v>
      </c>
      <c r="Q83" s="117" t="s">
        <v>545</v>
      </c>
      <c r="R83" s="117" t="s">
        <v>551</v>
      </c>
      <c r="S83" s="118" t="s">
        <v>552</v>
      </c>
      <c r="T83" s="119">
        <v>260</v>
      </c>
      <c r="U83" s="120">
        <v>130</v>
      </c>
      <c r="V83" s="120">
        <v>0</v>
      </c>
      <c r="W83" s="64" t="s">
        <v>2864</v>
      </c>
      <c r="X83" s="64" t="s">
        <v>2609</v>
      </c>
      <c r="Y83" s="121">
        <v>390</v>
      </c>
      <c r="Z83" s="119">
        <v>100</v>
      </c>
      <c r="AA83" s="120">
        <v>90</v>
      </c>
      <c r="AB83" s="120">
        <v>0</v>
      </c>
      <c r="AC83" s="64" t="s">
        <v>2866</v>
      </c>
      <c r="AD83" s="64" t="s">
        <v>2867</v>
      </c>
      <c r="AE83" s="121">
        <v>190</v>
      </c>
      <c r="AF83" s="122">
        <f t="shared" si="1"/>
        <v>580</v>
      </c>
      <c r="AG83" s="123"/>
      <c r="AH83" s="250"/>
    </row>
    <row r="84" spans="1:34" s="18" customFormat="1" ht="115.2" hidden="1">
      <c r="A84" s="53">
        <v>1082</v>
      </c>
      <c r="B84" s="54" t="s">
        <v>2907</v>
      </c>
      <c r="C84" s="54" t="s">
        <v>2863</v>
      </c>
      <c r="D84" s="54" t="s">
        <v>2865</v>
      </c>
      <c r="E84" s="53">
        <v>1</v>
      </c>
      <c r="F84" s="110">
        <v>2</v>
      </c>
      <c r="G84" s="56">
        <v>82</v>
      </c>
      <c r="H84" s="111" t="s">
        <v>553</v>
      </c>
      <c r="I84" s="112" t="s">
        <v>553</v>
      </c>
      <c r="J84" s="113">
        <v>10500100788901</v>
      </c>
      <c r="K84" s="114" t="s">
        <v>89</v>
      </c>
      <c r="L84" s="115"/>
      <c r="M84" s="114">
        <v>6</v>
      </c>
      <c r="N84" s="116" t="s">
        <v>554</v>
      </c>
      <c r="O84" s="117" t="s">
        <v>555</v>
      </c>
      <c r="P84" s="116">
        <v>2673506</v>
      </c>
      <c r="Q84" s="117" t="s">
        <v>556</v>
      </c>
      <c r="R84" s="117" t="s">
        <v>557</v>
      </c>
      <c r="S84" s="118" t="s">
        <v>558</v>
      </c>
      <c r="T84" s="119">
        <v>120</v>
      </c>
      <c r="U84" s="120">
        <v>110</v>
      </c>
      <c r="V84" s="120">
        <v>120</v>
      </c>
      <c r="W84" s="64" t="s">
        <v>2864</v>
      </c>
      <c r="X84" s="64" t="s">
        <v>2609</v>
      </c>
      <c r="Y84" s="121">
        <v>350</v>
      </c>
      <c r="Z84" s="119">
        <v>130</v>
      </c>
      <c r="AA84" s="120">
        <v>100</v>
      </c>
      <c r="AB84" s="120">
        <v>30</v>
      </c>
      <c r="AC84" s="64" t="s">
        <v>2866</v>
      </c>
      <c r="AD84" s="64" t="s">
        <v>2867</v>
      </c>
      <c r="AE84" s="121">
        <v>260</v>
      </c>
      <c r="AF84" s="122">
        <f t="shared" si="1"/>
        <v>610</v>
      </c>
      <c r="AG84" s="123" t="s">
        <v>140</v>
      </c>
      <c r="AH84" s="250"/>
    </row>
    <row r="85" spans="1:34" s="18" customFormat="1" ht="115.2" hidden="1">
      <c r="A85" s="53">
        <v>1083</v>
      </c>
      <c r="B85" s="54" t="s">
        <v>2907</v>
      </c>
      <c r="C85" s="54" t="s">
        <v>2863</v>
      </c>
      <c r="D85" s="54" t="s">
        <v>2865</v>
      </c>
      <c r="E85" s="53">
        <v>1</v>
      </c>
      <c r="F85" s="110">
        <v>2</v>
      </c>
      <c r="G85" s="56">
        <v>83</v>
      </c>
      <c r="H85" s="111" t="s">
        <v>559</v>
      </c>
      <c r="I85" s="112" t="s">
        <v>559</v>
      </c>
      <c r="J85" s="113">
        <v>30500101654201</v>
      </c>
      <c r="K85" s="114" t="s">
        <v>89</v>
      </c>
      <c r="L85" s="115"/>
      <c r="M85" s="114">
        <v>6</v>
      </c>
      <c r="N85" s="116" t="s">
        <v>560</v>
      </c>
      <c r="O85" s="117" t="s">
        <v>561</v>
      </c>
      <c r="P85" s="116" t="s">
        <v>562</v>
      </c>
      <c r="Q85" s="117" t="s">
        <v>563</v>
      </c>
      <c r="R85" s="117" t="s">
        <v>564</v>
      </c>
      <c r="S85" s="118" t="s">
        <v>565</v>
      </c>
      <c r="T85" s="119">
        <v>99</v>
      </c>
      <c r="U85" s="120">
        <v>364</v>
      </c>
      <c r="V85" s="120">
        <v>112</v>
      </c>
      <c r="W85" s="64" t="s">
        <v>2864</v>
      </c>
      <c r="X85" s="64" t="s">
        <v>2609</v>
      </c>
      <c r="Y85" s="121">
        <v>575</v>
      </c>
      <c r="Z85" s="119">
        <v>111</v>
      </c>
      <c r="AA85" s="120">
        <v>82</v>
      </c>
      <c r="AB85" s="120">
        <v>67</v>
      </c>
      <c r="AC85" s="64" t="s">
        <v>2866</v>
      </c>
      <c r="AD85" s="64" t="s">
        <v>2867</v>
      </c>
      <c r="AE85" s="121">
        <v>260</v>
      </c>
      <c r="AF85" s="122">
        <f t="shared" si="1"/>
        <v>835</v>
      </c>
      <c r="AG85" s="123"/>
      <c r="AH85" s="250"/>
    </row>
    <row r="86" spans="1:34" s="18" customFormat="1" ht="28.8" hidden="1">
      <c r="A86" s="53">
        <v>1084</v>
      </c>
      <c r="B86" s="54" t="s">
        <v>2609</v>
      </c>
      <c r="C86" s="54" t="s">
        <v>2863</v>
      </c>
      <c r="D86" s="54" t="s">
        <v>2864</v>
      </c>
      <c r="E86" s="53">
        <v>1</v>
      </c>
      <c r="F86" s="110">
        <v>2</v>
      </c>
      <c r="G86" s="56">
        <v>84</v>
      </c>
      <c r="H86" s="111" t="s">
        <v>566</v>
      </c>
      <c r="I86" s="112" t="s">
        <v>566</v>
      </c>
      <c r="J86" s="113">
        <v>30500101654202</v>
      </c>
      <c r="K86" s="114" t="s">
        <v>89</v>
      </c>
      <c r="L86" s="115"/>
      <c r="M86" s="114">
        <v>6</v>
      </c>
      <c r="N86" s="116" t="s">
        <v>560</v>
      </c>
      <c r="O86" s="117" t="s">
        <v>567</v>
      </c>
      <c r="P86" s="116">
        <v>4776954</v>
      </c>
      <c r="Q86" s="117" t="s">
        <v>568</v>
      </c>
      <c r="R86" s="117" t="s">
        <v>569</v>
      </c>
      <c r="S86" s="118" t="s">
        <v>570</v>
      </c>
      <c r="T86" s="119">
        <v>132</v>
      </c>
      <c r="U86" s="120">
        <v>78</v>
      </c>
      <c r="V86" s="120">
        <v>0</v>
      </c>
      <c r="W86" s="64" t="s">
        <v>2864</v>
      </c>
      <c r="X86" s="64" t="s">
        <v>2609</v>
      </c>
      <c r="Y86" s="121">
        <v>210</v>
      </c>
      <c r="Z86" s="119">
        <v>0</v>
      </c>
      <c r="AA86" s="120">
        <v>0</v>
      </c>
      <c r="AB86" s="120">
        <v>0</v>
      </c>
      <c r="AC86" s="64"/>
      <c r="AD86" s="64"/>
      <c r="AE86" s="121">
        <v>0</v>
      </c>
      <c r="AF86" s="122">
        <f t="shared" si="1"/>
        <v>210</v>
      </c>
      <c r="AG86" s="123"/>
      <c r="AH86" s="250"/>
    </row>
    <row r="87" spans="1:34" s="18" customFormat="1" ht="72" hidden="1">
      <c r="A87" s="53">
        <v>1085</v>
      </c>
      <c r="B87" s="54" t="s">
        <v>2906</v>
      </c>
      <c r="C87" s="54" t="s">
        <v>2863</v>
      </c>
      <c r="D87" s="54" t="s">
        <v>2865</v>
      </c>
      <c r="E87" s="53">
        <v>1</v>
      </c>
      <c r="F87" s="110">
        <v>2</v>
      </c>
      <c r="G87" s="56">
        <v>85</v>
      </c>
      <c r="H87" s="111" t="s">
        <v>571</v>
      </c>
      <c r="I87" s="112" t="s">
        <v>571</v>
      </c>
      <c r="J87" s="113">
        <v>10500101209201</v>
      </c>
      <c r="K87" s="114" t="s">
        <v>89</v>
      </c>
      <c r="L87" s="115"/>
      <c r="M87" s="114">
        <v>6</v>
      </c>
      <c r="N87" s="116" t="s">
        <v>554</v>
      </c>
      <c r="O87" s="117" t="s">
        <v>572</v>
      </c>
      <c r="P87" s="116" t="s">
        <v>573</v>
      </c>
      <c r="Q87" s="117" t="s">
        <v>574</v>
      </c>
      <c r="R87" s="117" t="s">
        <v>575</v>
      </c>
      <c r="S87" s="118" t="s">
        <v>576</v>
      </c>
      <c r="T87" s="137">
        <v>80</v>
      </c>
      <c r="U87" s="138">
        <v>180</v>
      </c>
      <c r="V87" s="138">
        <v>120</v>
      </c>
      <c r="W87" s="64" t="s">
        <v>2864</v>
      </c>
      <c r="X87" s="64" t="s">
        <v>2867</v>
      </c>
      <c r="Y87" s="121">
        <v>380</v>
      </c>
      <c r="Z87" s="119">
        <v>113</v>
      </c>
      <c r="AA87" s="120">
        <v>267</v>
      </c>
      <c r="AB87" s="120">
        <v>160</v>
      </c>
      <c r="AC87" s="64" t="s">
        <v>2866</v>
      </c>
      <c r="AD87" s="64" t="s">
        <v>2867</v>
      </c>
      <c r="AE87" s="121">
        <v>540</v>
      </c>
      <c r="AF87" s="122">
        <f t="shared" si="1"/>
        <v>920</v>
      </c>
      <c r="AG87" s="123"/>
      <c r="AH87" s="250"/>
    </row>
    <row r="88" spans="1:34" s="18" customFormat="1" ht="115.2" hidden="1">
      <c r="A88" s="53">
        <v>1086</v>
      </c>
      <c r="B88" s="54" t="s">
        <v>2907</v>
      </c>
      <c r="C88" s="54" t="s">
        <v>2863</v>
      </c>
      <c r="D88" s="54" t="s">
        <v>2865</v>
      </c>
      <c r="E88" s="53">
        <v>1</v>
      </c>
      <c r="F88" s="110">
        <v>2</v>
      </c>
      <c r="G88" s="56">
        <v>86</v>
      </c>
      <c r="H88" s="111" t="s">
        <v>577</v>
      </c>
      <c r="I88" s="112" t="s">
        <v>577</v>
      </c>
      <c r="J88" s="113">
        <v>10500102636101</v>
      </c>
      <c r="K88" s="114" t="s">
        <v>89</v>
      </c>
      <c r="L88" s="115"/>
      <c r="M88" s="114">
        <v>6</v>
      </c>
      <c r="N88" s="116" t="s">
        <v>511</v>
      </c>
      <c r="O88" s="117" t="s">
        <v>578</v>
      </c>
      <c r="P88" s="116">
        <v>4771397</v>
      </c>
      <c r="Q88" s="117" t="s">
        <v>579</v>
      </c>
      <c r="R88" s="117" t="s">
        <v>580</v>
      </c>
      <c r="S88" s="118" t="s">
        <v>581</v>
      </c>
      <c r="T88" s="139">
        <v>220</v>
      </c>
      <c r="U88" s="140">
        <v>150</v>
      </c>
      <c r="V88" s="140">
        <v>80</v>
      </c>
      <c r="W88" s="64" t="s">
        <v>2864</v>
      </c>
      <c r="X88" s="64" t="s">
        <v>2609</v>
      </c>
      <c r="Y88" s="121">
        <v>450</v>
      </c>
      <c r="Z88" s="119">
        <v>60</v>
      </c>
      <c r="AA88" s="120">
        <v>200</v>
      </c>
      <c r="AB88" s="120">
        <v>180</v>
      </c>
      <c r="AC88" s="64" t="s">
        <v>2866</v>
      </c>
      <c r="AD88" s="64" t="s">
        <v>2867</v>
      </c>
      <c r="AE88" s="121">
        <v>440</v>
      </c>
      <c r="AF88" s="122">
        <f t="shared" si="1"/>
        <v>890</v>
      </c>
      <c r="AG88" s="123"/>
      <c r="AH88" s="250"/>
    </row>
    <row r="89" spans="1:34" s="18" customFormat="1" ht="72" hidden="1">
      <c r="A89" s="53">
        <v>1087</v>
      </c>
      <c r="B89" s="54" t="s">
        <v>2906</v>
      </c>
      <c r="C89" s="54" t="s">
        <v>2863</v>
      </c>
      <c r="D89" s="54" t="s">
        <v>2865</v>
      </c>
      <c r="E89" s="53">
        <v>1</v>
      </c>
      <c r="F89" s="110">
        <v>2</v>
      </c>
      <c r="G89" s="56">
        <v>87</v>
      </c>
      <c r="H89" s="111" t="s">
        <v>582</v>
      </c>
      <c r="I89" s="112" t="s">
        <v>582</v>
      </c>
      <c r="J89" s="113">
        <v>30500100759401</v>
      </c>
      <c r="K89" s="114" t="s">
        <v>89</v>
      </c>
      <c r="L89" s="115"/>
      <c r="M89" s="114">
        <v>6</v>
      </c>
      <c r="N89" s="116" t="s">
        <v>532</v>
      </c>
      <c r="O89" s="117" t="s">
        <v>583</v>
      </c>
      <c r="P89" s="116" t="s">
        <v>584</v>
      </c>
      <c r="Q89" s="117" t="s">
        <v>585</v>
      </c>
      <c r="R89" s="117" t="s">
        <v>586</v>
      </c>
      <c r="S89" s="118" t="s">
        <v>587</v>
      </c>
      <c r="T89" s="137">
        <v>70</v>
      </c>
      <c r="U89" s="138">
        <v>80</v>
      </c>
      <c r="V89" s="138">
        <v>50</v>
      </c>
      <c r="W89" s="64" t="s">
        <v>2864</v>
      </c>
      <c r="X89" s="64" t="s">
        <v>2867</v>
      </c>
      <c r="Y89" s="121">
        <v>200</v>
      </c>
      <c r="Z89" s="119">
        <v>166</v>
      </c>
      <c r="AA89" s="120">
        <v>258</v>
      </c>
      <c r="AB89" s="120">
        <v>136</v>
      </c>
      <c r="AC89" s="64" t="s">
        <v>2866</v>
      </c>
      <c r="AD89" s="64" t="s">
        <v>2867</v>
      </c>
      <c r="AE89" s="121">
        <v>560</v>
      </c>
      <c r="AF89" s="122">
        <f t="shared" si="1"/>
        <v>760</v>
      </c>
      <c r="AG89" s="123"/>
      <c r="AH89" s="250"/>
    </row>
    <row r="90" spans="1:34" s="18" customFormat="1" ht="115.2" hidden="1">
      <c r="A90" s="53">
        <v>1088</v>
      </c>
      <c r="B90" s="54" t="s">
        <v>2907</v>
      </c>
      <c r="C90" s="54" t="s">
        <v>2863</v>
      </c>
      <c r="D90" s="54" t="s">
        <v>2865</v>
      </c>
      <c r="E90" s="53">
        <v>1</v>
      </c>
      <c r="F90" s="110">
        <v>2</v>
      </c>
      <c r="G90" s="56">
        <v>88</v>
      </c>
      <c r="H90" s="111" t="s">
        <v>588</v>
      </c>
      <c r="I90" s="112" t="s">
        <v>588</v>
      </c>
      <c r="J90" s="113">
        <v>10500102670101</v>
      </c>
      <c r="K90" s="114" t="s">
        <v>89</v>
      </c>
      <c r="L90" s="115"/>
      <c r="M90" s="114">
        <v>6</v>
      </c>
      <c r="N90" s="116" t="s">
        <v>589</v>
      </c>
      <c r="O90" s="117" t="s">
        <v>590</v>
      </c>
      <c r="P90" s="116" t="s">
        <v>591</v>
      </c>
      <c r="Q90" s="117" t="s">
        <v>592</v>
      </c>
      <c r="R90" s="117" t="s">
        <v>593</v>
      </c>
      <c r="S90" s="118" t="s">
        <v>594</v>
      </c>
      <c r="T90" s="119">
        <v>160</v>
      </c>
      <c r="U90" s="120">
        <v>120</v>
      </c>
      <c r="V90" s="120">
        <v>40</v>
      </c>
      <c r="W90" s="64" t="s">
        <v>2864</v>
      </c>
      <c r="X90" s="64" t="s">
        <v>2609</v>
      </c>
      <c r="Y90" s="121">
        <v>320</v>
      </c>
      <c r="Z90" s="119">
        <v>0</v>
      </c>
      <c r="AA90" s="120">
        <v>219</v>
      </c>
      <c r="AB90" s="120">
        <v>96</v>
      </c>
      <c r="AC90" s="64" t="s">
        <v>2866</v>
      </c>
      <c r="AD90" s="64" t="s">
        <v>2867</v>
      </c>
      <c r="AE90" s="121">
        <v>315</v>
      </c>
      <c r="AF90" s="122">
        <f t="shared" si="1"/>
        <v>635</v>
      </c>
      <c r="AG90" s="123"/>
      <c r="AH90" s="250"/>
    </row>
    <row r="91" spans="1:34" s="18" customFormat="1" ht="72" hidden="1">
      <c r="A91" s="53">
        <v>1089</v>
      </c>
      <c r="B91" s="54" t="s">
        <v>2906</v>
      </c>
      <c r="C91" s="54" t="s">
        <v>2863</v>
      </c>
      <c r="D91" s="54" t="s">
        <v>2865</v>
      </c>
      <c r="E91" s="53">
        <v>1</v>
      </c>
      <c r="F91" s="110">
        <v>2</v>
      </c>
      <c r="G91" s="56">
        <v>89</v>
      </c>
      <c r="H91" s="111" t="s">
        <v>595</v>
      </c>
      <c r="I91" s="112" t="s">
        <v>595</v>
      </c>
      <c r="J91" s="113">
        <v>10500101108801</v>
      </c>
      <c r="K91" s="114" t="s">
        <v>89</v>
      </c>
      <c r="L91" s="115"/>
      <c r="M91" s="114">
        <v>6</v>
      </c>
      <c r="N91" s="116" t="s">
        <v>554</v>
      </c>
      <c r="O91" s="117" t="s">
        <v>596</v>
      </c>
      <c r="P91" s="116" t="s">
        <v>597</v>
      </c>
      <c r="Q91" s="117" t="s">
        <v>598</v>
      </c>
      <c r="R91" s="117" t="s">
        <v>599</v>
      </c>
      <c r="S91" s="118" t="s">
        <v>600</v>
      </c>
      <c r="T91" s="119">
        <v>235</v>
      </c>
      <c r="U91" s="120">
        <v>219</v>
      </c>
      <c r="V91" s="120">
        <v>46</v>
      </c>
      <c r="W91" s="64" t="s">
        <v>2864</v>
      </c>
      <c r="X91" s="64" t="s">
        <v>2867</v>
      </c>
      <c r="Y91" s="121">
        <v>500</v>
      </c>
      <c r="Z91" s="119">
        <v>0</v>
      </c>
      <c r="AA91" s="120">
        <v>215</v>
      </c>
      <c r="AB91" s="120">
        <v>135</v>
      </c>
      <c r="AC91" s="64" t="s">
        <v>2866</v>
      </c>
      <c r="AD91" s="64" t="s">
        <v>2867</v>
      </c>
      <c r="AE91" s="121">
        <v>350</v>
      </c>
      <c r="AF91" s="122">
        <f t="shared" si="1"/>
        <v>850</v>
      </c>
      <c r="AG91" s="123"/>
      <c r="AH91" s="250"/>
    </row>
    <row r="92" spans="1:34" s="18" customFormat="1" ht="115.2" hidden="1">
      <c r="A92" s="53">
        <v>1090</v>
      </c>
      <c r="B92" s="54" t="s">
        <v>2907</v>
      </c>
      <c r="C92" s="54" t="s">
        <v>2863</v>
      </c>
      <c r="D92" s="54" t="s">
        <v>2865</v>
      </c>
      <c r="E92" s="53">
        <v>1</v>
      </c>
      <c r="F92" s="110">
        <v>2</v>
      </c>
      <c r="G92" s="56">
        <v>90</v>
      </c>
      <c r="H92" s="111" t="s">
        <v>601</v>
      </c>
      <c r="I92" s="112" t="s">
        <v>601</v>
      </c>
      <c r="J92" s="113">
        <v>10500101136301</v>
      </c>
      <c r="K92" s="114" t="s">
        <v>89</v>
      </c>
      <c r="L92" s="115"/>
      <c r="M92" s="114">
        <v>6</v>
      </c>
      <c r="N92" s="116" t="s">
        <v>602</v>
      </c>
      <c r="O92" s="117" t="s">
        <v>603</v>
      </c>
      <c r="P92" s="116" t="s">
        <v>604</v>
      </c>
      <c r="Q92" s="117" t="s">
        <v>605</v>
      </c>
      <c r="R92" s="117" t="s">
        <v>606</v>
      </c>
      <c r="S92" s="118" t="s">
        <v>607</v>
      </c>
      <c r="T92" s="119">
        <v>0</v>
      </c>
      <c r="U92" s="120">
        <v>142</v>
      </c>
      <c r="V92" s="120">
        <v>128</v>
      </c>
      <c r="W92" s="64" t="s">
        <v>2864</v>
      </c>
      <c r="X92" s="64" t="s">
        <v>2609</v>
      </c>
      <c r="Y92" s="121">
        <v>270</v>
      </c>
      <c r="Z92" s="119">
        <v>0</v>
      </c>
      <c r="AA92" s="120">
        <v>145</v>
      </c>
      <c r="AB92" s="120">
        <v>125</v>
      </c>
      <c r="AC92" s="64" t="s">
        <v>2866</v>
      </c>
      <c r="AD92" s="64" t="s">
        <v>2867</v>
      </c>
      <c r="AE92" s="121">
        <v>270</v>
      </c>
      <c r="AF92" s="122">
        <f t="shared" si="1"/>
        <v>540</v>
      </c>
      <c r="AG92" s="123"/>
      <c r="AH92" s="250"/>
    </row>
    <row r="93" spans="1:34" s="18" customFormat="1" ht="115.2" hidden="1">
      <c r="A93" s="53">
        <v>1091</v>
      </c>
      <c r="B93" s="54" t="s">
        <v>2907</v>
      </c>
      <c r="C93" s="54" t="s">
        <v>2863</v>
      </c>
      <c r="D93" s="54" t="s">
        <v>2865</v>
      </c>
      <c r="E93" s="53">
        <v>1</v>
      </c>
      <c r="F93" s="110">
        <v>2</v>
      </c>
      <c r="G93" s="56">
        <v>91</v>
      </c>
      <c r="H93" s="111" t="s">
        <v>608</v>
      </c>
      <c r="I93" s="112" t="s">
        <v>608</v>
      </c>
      <c r="J93" s="113">
        <v>10500101136302</v>
      </c>
      <c r="K93" s="114" t="s">
        <v>89</v>
      </c>
      <c r="L93" s="115"/>
      <c r="M93" s="114">
        <v>6</v>
      </c>
      <c r="N93" s="116" t="s">
        <v>602</v>
      </c>
      <c r="O93" s="117" t="s">
        <v>609</v>
      </c>
      <c r="P93" s="116" t="s">
        <v>610</v>
      </c>
      <c r="Q93" s="117" t="s">
        <v>611</v>
      </c>
      <c r="R93" s="117" t="s">
        <v>612</v>
      </c>
      <c r="S93" s="118" t="s">
        <v>613</v>
      </c>
      <c r="T93" s="119">
        <v>137</v>
      </c>
      <c r="U93" s="120">
        <v>83</v>
      </c>
      <c r="V93" s="120">
        <v>0</v>
      </c>
      <c r="W93" s="64" t="s">
        <v>2864</v>
      </c>
      <c r="X93" s="64" t="s">
        <v>2609</v>
      </c>
      <c r="Y93" s="121">
        <v>220</v>
      </c>
      <c r="Z93" s="119">
        <v>195</v>
      </c>
      <c r="AA93" s="120">
        <v>75</v>
      </c>
      <c r="AB93" s="120">
        <v>0</v>
      </c>
      <c r="AC93" s="64" t="s">
        <v>2866</v>
      </c>
      <c r="AD93" s="64" t="s">
        <v>2867</v>
      </c>
      <c r="AE93" s="121">
        <v>270</v>
      </c>
      <c r="AF93" s="122">
        <f t="shared" si="1"/>
        <v>490</v>
      </c>
      <c r="AG93" s="123"/>
      <c r="AH93" s="250"/>
    </row>
    <row r="94" spans="1:34" s="18" customFormat="1" ht="115.2" hidden="1">
      <c r="A94" s="53">
        <v>1092</v>
      </c>
      <c r="B94" s="54" t="s">
        <v>2907</v>
      </c>
      <c r="C94" s="54" t="s">
        <v>2863</v>
      </c>
      <c r="D94" s="54" t="s">
        <v>2865</v>
      </c>
      <c r="E94" s="53">
        <v>1</v>
      </c>
      <c r="F94" s="110">
        <v>2</v>
      </c>
      <c r="G94" s="56">
        <v>92</v>
      </c>
      <c r="H94" s="111" t="s">
        <v>614</v>
      </c>
      <c r="I94" s="112" t="s">
        <v>614</v>
      </c>
      <c r="J94" s="113">
        <v>10500100119801</v>
      </c>
      <c r="K94" s="114" t="s">
        <v>89</v>
      </c>
      <c r="L94" s="115"/>
      <c r="M94" s="114">
        <v>7</v>
      </c>
      <c r="N94" s="116" t="s">
        <v>615</v>
      </c>
      <c r="O94" s="117" t="s">
        <v>616</v>
      </c>
      <c r="P94" s="116">
        <v>2640826</v>
      </c>
      <c r="Q94" s="117" t="s">
        <v>617</v>
      </c>
      <c r="R94" s="117" t="s">
        <v>618</v>
      </c>
      <c r="S94" s="118" t="s">
        <v>619</v>
      </c>
      <c r="T94" s="119">
        <v>120</v>
      </c>
      <c r="U94" s="120">
        <v>170</v>
      </c>
      <c r="V94" s="120">
        <v>90</v>
      </c>
      <c r="W94" s="64" t="s">
        <v>2864</v>
      </c>
      <c r="X94" s="64" t="s">
        <v>2609</v>
      </c>
      <c r="Y94" s="121">
        <v>380</v>
      </c>
      <c r="Z94" s="119">
        <v>260</v>
      </c>
      <c r="AA94" s="120">
        <v>270</v>
      </c>
      <c r="AB94" s="120">
        <v>120</v>
      </c>
      <c r="AC94" s="64" t="s">
        <v>2866</v>
      </c>
      <c r="AD94" s="64" t="s">
        <v>2867</v>
      </c>
      <c r="AE94" s="121">
        <v>650</v>
      </c>
      <c r="AF94" s="122">
        <f t="shared" si="1"/>
        <v>1030</v>
      </c>
      <c r="AG94" s="123"/>
      <c r="AH94" s="250"/>
    </row>
    <row r="95" spans="1:34" s="18" customFormat="1" ht="28.8" hidden="1">
      <c r="A95" s="53">
        <v>1093</v>
      </c>
      <c r="B95" s="54" t="s">
        <v>2609</v>
      </c>
      <c r="C95" s="54" t="s">
        <v>2863</v>
      </c>
      <c r="D95" s="54" t="s">
        <v>2864</v>
      </c>
      <c r="E95" s="53">
        <v>1</v>
      </c>
      <c r="F95" s="110">
        <v>2</v>
      </c>
      <c r="G95" s="56">
        <v>93</v>
      </c>
      <c r="H95" s="111" t="s">
        <v>620</v>
      </c>
      <c r="I95" s="112" t="s">
        <v>620</v>
      </c>
      <c r="J95" s="113">
        <v>10500100119802</v>
      </c>
      <c r="K95" s="114" t="s">
        <v>89</v>
      </c>
      <c r="L95" s="115"/>
      <c r="M95" s="114">
        <v>7</v>
      </c>
      <c r="N95" s="116" t="s">
        <v>615</v>
      </c>
      <c r="O95" s="117" t="s">
        <v>621</v>
      </c>
      <c r="P95" s="116">
        <v>4226723</v>
      </c>
      <c r="Q95" s="117" t="s">
        <v>617</v>
      </c>
      <c r="R95" s="117" t="s">
        <v>622</v>
      </c>
      <c r="S95" s="118" t="s">
        <v>623</v>
      </c>
      <c r="T95" s="119">
        <v>110</v>
      </c>
      <c r="U95" s="120">
        <v>150</v>
      </c>
      <c r="V95" s="120">
        <v>40</v>
      </c>
      <c r="W95" s="64" t="s">
        <v>2864</v>
      </c>
      <c r="X95" s="64" t="s">
        <v>2609</v>
      </c>
      <c r="Y95" s="121">
        <v>300</v>
      </c>
      <c r="Z95" s="119">
        <v>0</v>
      </c>
      <c r="AA95" s="120">
        <v>0</v>
      </c>
      <c r="AB95" s="120">
        <v>0</v>
      </c>
      <c r="AC95" s="64"/>
      <c r="AD95" s="64"/>
      <c r="AE95" s="121">
        <v>0</v>
      </c>
      <c r="AF95" s="122">
        <f t="shared" si="1"/>
        <v>300</v>
      </c>
      <c r="AG95" s="123"/>
      <c r="AH95" s="250"/>
    </row>
    <row r="96" spans="1:34" s="18" customFormat="1" ht="115.2" hidden="1">
      <c r="A96" s="53">
        <v>1094</v>
      </c>
      <c r="B96" s="54" t="s">
        <v>2907</v>
      </c>
      <c r="C96" s="54" t="s">
        <v>2863</v>
      </c>
      <c r="D96" s="54" t="s">
        <v>2865</v>
      </c>
      <c r="E96" s="53">
        <v>1</v>
      </c>
      <c r="F96" s="110">
        <v>2</v>
      </c>
      <c r="G96" s="56">
        <v>94</v>
      </c>
      <c r="H96" s="111" t="s">
        <v>624</v>
      </c>
      <c r="I96" s="112" t="s">
        <v>624</v>
      </c>
      <c r="J96" s="113">
        <v>20500101028101</v>
      </c>
      <c r="K96" s="114" t="s">
        <v>89</v>
      </c>
      <c r="L96" s="115"/>
      <c r="M96" s="114">
        <v>7</v>
      </c>
      <c r="N96" s="116" t="s">
        <v>625</v>
      </c>
      <c r="O96" s="117" t="s">
        <v>626</v>
      </c>
      <c r="P96" s="116" t="s">
        <v>627</v>
      </c>
      <c r="Q96" s="117" t="s">
        <v>628</v>
      </c>
      <c r="R96" s="117" t="s">
        <v>629</v>
      </c>
      <c r="S96" s="118" t="s">
        <v>630</v>
      </c>
      <c r="T96" s="119">
        <v>95</v>
      </c>
      <c r="U96" s="120">
        <v>125</v>
      </c>
      <c r="V96" s="120">
        <v>50</v>
      </c>
      <c r="W96" s="64" t="s">
        <v>2864</v>
      </c>
      <c r="X96" s="64" t="s">
        <v>2609</v>
      </c>
      <c r="Y96" s="121">
        <v>270</v>
      </c>
      <c r="Z96" s="119">
        <v>210</v>
      </c>
      <c r="AA96" s="120">
        <v>305</v>
      </c>
      <c r="AB96" s="120">
        <v>115</v>
      </c>
      <c r="AC96" s="64" t="s">
        <v>2866</v>
      </c>
      <c r="AD96" s="64" t="s">
        <v>2867</v>
      </c>
      <c r="AE96" s="121">
        <v>630</v>
      </c>
      <c r="AF96" s="122">
        <f t="shared" si="1"/>
        <v>900</v>
      </c>
      <c r="AG96" s="123"/>
      <c r="AH96" s="250"/>
    </row>
    <row r="97" spans="1:34" s="18" customFormat="1" ht="115.2" hidden="1">
      <c r="A97" s="53">
        <v>1095</v>
      </c>
      <c r="B97" s="54" t="s">
        <v>2907</v>
      </c>
      <c r="C97" s="54" t="s">
        <v>2863</v>
      </c>
      <c r="D97" s="54" t="s">
        <v>2865</v>
      </c>
      <c r="E97" s="53">
        <v>1</v>
      </c>
      <c r="F97" s="110">
        <v>2</v>
      </c>
      <c r="G97" s="56">
        <v>95</v>
      </c>
      <c r="H97" s="111" t="s">
        <v>631</v>
      </c>
      <c r="I97" s="112" t="s">
        <v>632</v>
      </c>
      <c r="J97" s="113">
        <v>10500102599201</v>
      </c>
      <c r="K97" s="114" t="s">
        <v>89</v>
      </c>
      <c r="L97" s="115"/>
      <c r="M97" s="114">
        <v>7</v>
      </c>
      <c r="N97" s="116" t="s">
        <v>625</v>
      </c>
      <c r="O97" s="117" t="s">
        <v>633</v>
      </c>
      <c r="P97" s="116">
        <v>4379554</v>
      </c>
      <c r="Q97" s="117" t="s">
        <v>634</v>
      </c>
      <c r="R97" s="117" t="s">
        <v>635</v>
      </c>
      <c r="S97" s="118" t="s">
        <v>636</v>
      </c>
      <c r="T97" s="119">
        <v>200</v>
      </c>
      <c r="U97" s="120">
        <v>300</v>
      </c>
      <c r="V97" s="120">
        <v>160</v>
      </c>
      <c r="W97" s="64" t="s">
        <v>2864</v>
      </c>
      <c r="X97" s="64" t="s">
        <v>2609</v>
      </c>
      <c r="Y97" s="121">
        <v>660</v>
      </c>
      <c r="Z97" s="119">
        <v>35</v>
      </c>
      <c r="AA97" s="120">
        <v>285</v>
      </c>
      <c r="AB97" s="120">
        <v>80</v>
      </c>
      <c r="AC97" s="64" t="s">
        <v>2866</v>
      </c>
      <c r="AD97" s="64" t="s">
        <v>2867</v>
      </c>
      <c r="AE97" s="121">
        <v>400</v>
      </c>
      <c r="AF97" s="122">
        <f t="shared" si="1"/>
        <v>1060</v>
      </c>
      <c r="AG97" s="123"/>
      <c r="AH97" s="250"/>
    </row>
    <row r="98" spans="1:34" s="18" customFormat="1" ht="115.2" hidden="1">
      <c r="A98" s="53">
        <v>1096</v>
      </c>
      <c r="B98" s="54" t="s">
        <v>2907</v>
      </c>
      <c r="C98" s="54" t="s">
        <v>2863</v>
      </c>
      <c r="D98" s="54" t="s">
        <v>2865</v>
      </c>
      <c r="E98" s="53">
        <v>1</v>
      </c>
      <c r="F98" s="110">
        <v>2</v>
      </c>
      <c r="G98" s="56">
        <v>96</v>
      </c>
      <c r="H98" s="111" t="s">
        <v>637</v>
      </c>
      <c r="I98" s="112" t="s">
        <v>637</v>
      </c>
      <c r="J98" s="113">
        <v>10500102005201</v>
      </c>
      <c r="K98" s="114" t="s">
        <v>89</v>
      </c>
      <c r="L98" s="115"/>
      <c r="M98" s="114">
        <v>7</v>
      </c>
      <c r="N98" s="116" t="s">
        <v>638</v>
      </c>
      <c r="O98" s="117" t="s">
        <v>639</v>
      </c>
      <c r="P98" s="116">
        <v>4263216</v>
      </c>
      <c r="Q98" s="117" t="s">
        <v>640</v>
      </c>
      <c r="R98" s="117" t="s">
        <v>641</v>
      </c>
      <c r="S98" s="118" t="s">
        <v>642</v>
      </c>
      <c r="T98" s="119">
        <v>60</v>
      </c>
      <c r="U98" s="120">
        <v>110</v>
      </c>
      <c r="V98" s="120">
        <v>60</v>
      </c>
      <c r="W98" s="64" t="s">
        <v>2864</v>
      </c>
      <c r="X98" s="64" t="s">
        <v>2609</v>
      </c>
      <c r="Y98" s="121">
        <v>230</v>
      </c>
      <c r="Z98" s="119">
        <v>80</v>
      </c>
      <c r="AA98" s="120">
        <v>90</v>
      </c>
      <c r="AB98" s="120">
        <v>40</v>
      </c>
      <c r="AC98" s="64" t="s">
        <v>2866</v>
      </c>
      <c r="AD98" s="64" t="s">
        <v>2867</v>
      </c>
      <c r="AE98" s="121">
        <v>210</v>
      </c>
      <c r="AF98" s="122">
        <f t="shared" si="1"/>
        <v>440</v>
      </c>
      <c r="AG98" s="123"/>
      <c r="AH98" s="250"/>
    </row>
    <row r="99" spans="1:34" s="18" customFormat="1" ht="115.2" hidden="1">
      <c r="A99" s="53">
        <v>1097</v>
      </c>
      <c r="B99" s="54" t="s">
        <v>2907</v>
      </c>
      <c r="C99" s="54" t="s">
        <v>2863</v>
      </c>
      <c r="D99" s="54" t="s">
        <v>2865</v>
      </c>
      <c r="E99" s="53">
        <v>1</v>
      </c>
      <c r="F99" s="110">
        <v>2</v>
      </c>
      <c r="G99" s="56">
        <v>97</v>
      </c>
      <c r="H99" s="111" t="s">
        <v>643</v>
      </c>
      <c r="I99" s="112" t="s">
        <v>643</v>
      </c>
      <c r="J99" s="113">
        <v>10500101933001</v>
      </c>
      <c r="K99" s="114" t="s">
        <v>89</v>
      </c>
      <c r="L99" s="115"/>
      <c r="M99" s="114">
        <v>7</v>
      </c>
      <c r="N99" s="116" t="s">
        <v>644</v>
      </c>
      <c r="O99" s="117" t="s">
        <v>645</v>
      </c>
      <c r="P99" s="116" t="s">
        <v>646</v>
      </c>
      <c r="Q99" s="117" t="s">
        <v>647</v>
      </c>
      <c r="R99" s="117" t="s">
        <v>648</v>
      </c>
      <c r="S99" s="118" t="s">
        <v>649</v>
      </c>
      <c r="T99" s="119">
        <v>0</v>
      </c>
      <c r="U99" s="120">
        <v>310</v>
      </c>
      <c r="V99" s="120">
        <v>140</v>
      </c>
      <c r="W99" s="64" t="s">
        <v>2864</v>
      </c>
      <c r="X99" s="64" t="s">
        <v>2609</v>
      </c>
      <c r="Y99" s="121">
        <v>450</v>
      </c>
      <c r="Z99" s="119">
        <v>0</v>
      </c>
      <c r="AA99" s="120">
        <v>150</v>
      </c>
      <c r="AB99" s="120">
        <v>50</v>
      </c>
      <c r="AC99" s="64" t="s">
        <v>2866</v>
      </c>
      <c r="AD99" s="64" t="s">
        <v>2867</v>
      </c>
      <c r="AE99" s="121">
        <v>200</v>
      </c>
      <c r="AF99" s="122">
        <f t="shared" si="1"/>
        <v>650</v>
      </c>
      <c r="AG99" s="123"/>
      <c r="AH99" s="250"/>
    </row>
    <row r="100" spans="1:34" s="18" customFormat="1" ht="115.2" hidden="1">
      <c r="A100" s="53">
        <v>1098</v>
      </c>
      <c r="B100" s="54" t="s">
        <v>2907</v>
      </c>
      <c r="C100" s="54" t="s">
        <v>2863</v>
      </c>
      <c r="D100" s="54" t="s">
        <v>2865</v>
      </c>
      <c r="E100" s="53">
        <v>1</v>
      </c>
      <c r="F100" s="110">
        <v>2</v>
      </c>
      <c r="G100" s="56">
        <v>98</v>
      </c>
      <c r="H100" s="111" t="s">
        <v>650</v>
      </c>
      <c r="I100" s="112" t="s">
        <v>650</v>
      </c>
      <c r="J100" s="113">
        <v>10500101933003</v>
      </c>
      <c r="K100" s="114" t="s">
        <v>89</v>
      </c>
      <c r="L100" s="115"/>
      <c r="M100" s="114">
        <v>7</v>
      </c>
      <c r="N100" s="116" t="s">
        <v>644</v>
      </c>
      <c r="O100" s="117" t="s">
        <v>651</v>
      </c>
      <c r="P100" s="116">
        <v>4270846</v>
      </c>
      <c r="Q100" s="117" t="s">
        <v>647</v>
      </c>
      <c r="R100" s="117" t="s">
        <v>652</v>
      </c>
      <c r="S100" s="118" t="s">
        <v>653</v>
      </c>
      <c r="T100" s="119">
        <v>110</v>
      </c>
      <c r="U100" s="120">
        <v>80</v>
      </c>
      <c r="V100" s="120">
        <v>0</v>
      </c>
      <c r="W100" s="64" t="s">
        <v>2864</v>
      </c>
      <c r="X100" s="64" t="s">
        <v>2609</v>
      </c>
      <c r="Y100" s="121">
        <v>190</v>
      </c>
      <c r="Z100" s="119">
        <v>130</v>
      </c>
      <c r="AA100" s="120">
        <v>70</v>
      </c>
      <c r="AB100" s="120">
        <v>0</v>
      </c>
      <c r="AC100" s="64" t="s">
        <v>2866</v>
      </c>
      <c r="AD100" s="64" t="s">
        <v>2867</v>
      </c>
      <c r="AE100" s="121">
        <v>200</v>
      </c>
      <c r="AF100" s="122">
        <f t="shared" si="1"/>
        <v>390</v>
      </c>
      <c r="AG100" s="123"/>
      <c r="AH100" s="250"/>
    </row>
    <row r="101" spans="1:34" s="18" customFormat="1" ht="115.2" hidden="1">
      <c r="A101" s="53">
        <v>1099</v>
      </c>
      <c r="B101" s="54" t="s">
        <v>2907</v>
      </c>
      <c r="C101" s="54" t="s">
        <v>2863</v>
      </c>
      <c r="D101" s="54" t="s">
        <v>2865</v>
      </c>
      <c r="E101" s="53">
        <v>1</v>
      </c>
      <c r="F101" s="110">
        <v>2</v>
      </c>
      <c r="G101" s="56">
        <v>99</v>
      </c>
      <c r="H101" s="111" t="s">
        <v>654</v>
      </c>
      <c r="I101" s="112" t="s">
        <v>654</v>
      </c>
      <c r="J101" s="113">
        <v>10500101933002</v>
      </c>
      <c r="K101" s="114" t="s">
        <v>89</v>
      </c>
      <c r="L101" s="115"/>
      <c r="M101" s="114">
        <v>7</v>
      </c>
      <c r="N101" s="116" t="s">
        <v>644</v>
      </c>
      <c r="O101" s="117" t="s">
        <v>655</v>
      </c>
      <c r="P101" s="116">
        <v>4271134</v>
      </c>
      <c r="Q101" s="117" t="s">
        <v>647</v>
      </c>
      <c r="R101" s="117" t="s">
        <v>656</v>
      </c>
      <c r="S101" s="118" t="s">
        <v>657</v>
      </c>
      <c r="T101" s="119">
        <v>140</v>
      </c>
      <c r="U101" s="120">
        <v>140</v>
      </c>
      <c r="V101" s="120">
        <v>0</v>
      </c>
      <c r="W101" s="64" t="s">
        <v>2864</v>
      </c>
      <c r="X101" s="64" t="s">
        <v>2609</v>
      </c>
      <c r="Y101" s="121">
        <v>280</v>
      </c>
      <c r="Z101" s="119">
        <v>110</v>
      </c>
      <c r="AA101" s="120">
        <v>20</v>
      </c>
      <c r="AB101" s="120">
        <v>0</v>
      </c>
      <c r="AC101" s="64" t="s">
        <v>2866</v>
      </c>
      <c r="AD101" s="64" t="s">
        <v>2867</v>
      </c>
      <c r="AE101" s="121">
        <v>130</v>
      </c>
      <c r="AF101" s="122">
        <f t="shared" si="1"/>
        <v>410</v>
      </c>
      <c r="AG101" s="123"/>
      <c r="AH101" s="250"/>
    </row>
    <row r="102" spans="1:34" s="18" customFormat="1" ht="115.2" hidden="1">
      <c r="A102" s="53">
        <v>1100</v>
      </c>
      <c r="B102" s="54" t="s">
        <v>2907</v>
      </c>
      <c r="C102" s="54" t="s">
        <v>2863</v>
      </c>
      <c r="D102" s="54" t="s">
        <v>2865</v>
      </c>
      <c r="E102" s="53">
        <v>1</v>
      </c>
      <c r="F102" s="110">
        <v>2</v>
      </c>
      <c r="G102" s="56">
        <v>100</v>
      </c>
      <c r="H102" s="111" t="s">
        <v>658</v>
      </c>
      <c r="I102" s="112" t="s">
        <v>658</v>
      </c>
      <c r="J102" s="113">
        <v>10500102600001</v>
      </c>
      <c r="K102" s="114" t="s">
        <v>89</v>
      </c>
      <c r="L102" s="115"/>
      <c r="M102" s="114">
        <v>7</v>
      </c>
      <c r="N102" s="116" t="s">
        <v>625</v>
      </c>
      <c r="O102" s="117" t="s">
        <v>659</v>
      </c>
      <c r="P102" s="116" t="s">
        <v>660</v>
      </c>
      <c r="Q102" s="117" t="s">
        <v>661</v>
      </c>
      <c r="R102" s="117" t="s">
        <v>662</v>
      </c>
      <c r="S102" s="118" t="s">
        <v>663</v>
      </c>
      <c r="T102" s="119">
        <v>430</v>
      </c>
      <c r="U102" s="120">
        <v>160</v>
      </c>
      <c r="V102" s="120">
        <v>130</v>
      </c>
      <c r="W102" s="64" t="s">
        <v>2864</v>
      </c>
      <c r="X102" s="64" t="s">
        <v>2609</v>
      </c>
      <c r="Y102" s="121">
        <v>720</v>
      </c>
      <c r="Z102" s="119">
        <v>150</v>
      </c>
      <c r="AA102" s="120">
        <v>700</v>
      </c>
      <c r="AB102" s="120">
        <v>350</v>
      </c>
      <c r="AC102" s="64" t="s">
        <v>2866</v>
      </c>
      <c r="AD102" s="64" t="s">
        <v>2867</v>
      </c>
      <c r="AE102" s="121">
        <v>1200</v>
      </c>
      <c r="AF102" s="122">
        <f t="shared" si="1"/>
        <v>1920</v>
      </c>
      <c r="AG102" s="123"/>
      <c r="AH102" s="250"/>
    </row>
    <row r="103" spans="1:34" s="18" customFormat="1" ht="115.2" hidden="1">
      <c r="A103" s="53">
        <v>1101</v>
      </c>
      <c r="B103" s="54" t="s">
        <v>2907</v>
      </c>
      <c r="C103" s="54" t="s">
        <v>2863</v>
      </c>
      <c r="D103" s="54" t="s">
        <v>2865</v>
      </c>
      <c r="E103" s="53">
        <v>1</v>
      </c>
      <c r="F103" s="110">
        <v>2</v>
      </c>
      <c r="G103" s="56">
        <v>101</v>
      </c>
      <c r="H103" s="111" t="s">
        <v>664</v>
      </c>
      <c r="I103" s="112" t="s">
        <v>664</v>
      </c>
      <c r="J103" s="113">
        <v>10500100624601</v>
      </c>
      <c r="K103" s="114" t="s">
        <v>89</v>
      </c>
      <c r="L103" s="115"/>
      <c r="M103" s="114">
        <v>7</v>
      </c>
      <c r="N103" s="116" t="s">
        <v>665</v>
      </c>
      <c r="O103" s="117" t="s">
        <v>666</v>
      </c>
      <c r="P103" s="116" t="s">
        <v>667</v>
      </c>
      <c r="Q103" s="117" t="s">
        <v>668</v>
      </c>
      <c r="R103" s="117" t="s">
        <v>669</v>
      </c>
      <c r="S103" s="118" t="s">
        <v>670</v>
      </c>
      <c r="T103" s="119">
        <v>140</v>
      </c>
      <c r="U103" s="120">
        <v>170</v>
      </c>
      <c r="V103" s="120">
        <v>90</v>
      </c>
      <c r="W103" s="64" t="s">
        <v>2864</v>
      </c>
      <c r="X103" s="64" t="s">
        <v>2609</v>
      </c>
      <c r="Y103" s="121">
        <v>400</v>
      </c>
      <c r="Z103" s="119">
        <v>115</v>
      </c>
      <c r="AA103" s="120">
        <v>295</v>
      </c>
      <c r="AB103" s="120">
        <v>160</v>
      </c>
      <c r="AC103" s="64" t="s">
        <v>2866</v>
      </c>
      <c r="AD103" s="64" t="s">
        <v>2867</v>
      </c>
      <c r="AE103" s="121">
        <v>570</v>
      </c>
      <c r="AF103" s="122">
        <f t="shared" si="1"/>
        <v>970</v>
      </c>
      <c r="AG103" s="123"/>
      <c r="AH103" s="250"/>
    </row>
    <row r="104" spans="1:34" s="18" customFormat="1" ht="115.2" hidden="1">
      <c r="A104" s="53">
        <v>1102</v>
      </c>
      <c r="B104" s="54" t="s">
        <v>2907</v>
      </c>
      <c r="C104" s="54" t="s">
        <v>2863</v>
      </c>
      <c r="D104" s="54" t="s">
        <v>2865</v>
      </c>
      <c r="E104" s="53">
        <v>1</v>
      </c>
      <c r="F104" s="110">
        <v>2</v>
      </c>
      <c r="G104" s="56">
        <v>102</v>
      </c>
      <c r="H104" s="111" t="s">
        <v>671</v>
      </c>
      <c r="I104" s="112" t="s">
        <v>671</v>
      </c>
      <c r="J104" s="113">
        <v>10500102154701</v>
      </c>
      <c r="K104" s="114" t="s">
        <v>89</v>
      </c>
      <c r="L104" s="115"/>
      <c r="M104" s="114">
        <v>7</v>
      </c>
      <c r="N104" s="116" t="s">
        <v>672</v>
      </c>
      <c r="O104" s="117" t="s">
        <v>673</v>
      </c>
      <c r="P104" s="116" t="s">
        <v>674</v>
      </c>
      <c r="Q104" s="117" t="s">
        <v>675</v>
      </c>
      <c r="R104" s="117" t="s">
        <v>676</v>
      </c>
      <c r="S104" s="118" t="s">
        <v>677</v>
      </c>
      <c r="T104" s="119">
        <v>80</v>
      </c>
      <c r="U104" s="120">
        <v>90</v>
      </c>
      <c r="V104" s="120">
        <v>100</v>
      </c>
      <c r="W104" s="64" t="s">
        <v>2864</v>
      </c>
      <c r="X104" s="64" t="s">
        <v>2609</v>
      </c>
      <c r="Y104" s="121">
        <v>270</v>
      </c>
      <c r="Z104" s="119">
        <v>110</v>
      </c>
      <c r="AA104" s="120">
        <v>110</v>
      </c>
      <c r="AB104" s="120">
        <v>50</v>
      </c>
      <c r="AC104" s="64" t="s">
        <v>2866</v>
      </c>
      <c r="AD104" s="64" t="s">
        <v>2867</v>
      </c>
      <c r="AE104" s="121">
        <v>270</v>
      </c>
      <c r="AF104" s="122">
        <f t="shared" si="1"/>
        <v>540</v>
      </c>
      <c r="AG104" s="123"/>
      <c r="AH104" s="250"/>
    </row>
    <row r="105" spans="1:34" s="18" customFormat="1" ht="115.2" hidden="1">
      <c r="A105" s="53">
        <v>1103</v>
      </c>
      <c r="B105" s="54" t="s">
        <v>2907</v>
      </c>
      <c r="C105" s="54" t="s">
        <v>2863</v>
      </c>
      <c r="D105" s="54" t="s">
        <v>2865</v>
      </c>
      <c r="E105" s="53">
        <v>1</v>
      </c>
      <c r="F105" s="110">
        <v>2</v>
      </c>
      <c r="G105" s="56">
        <v>103</v>
      </c>
      <c r="H105" s="111" t="s">
        <v>678</v>
      </c>
      <c r="I105" s="112" t="s">
        <v>678</v>
      </c>
      <c r="J105" s="113">
        <v>10500100230501</v>
      </c>
      <c r="K105" s="114" t="s">
        <v>89</v>
      </c>
      <c r="L105" s="115"/>
      <c r="M105" s="114">
        <v>7</v>
      </c>
      <c r="N105" s="116" t="s">
        <v>665</v>
      </c>
      <c r="O105" s="117" t="s">
        <v>679</v>
      </c>
      <c r="P105" s="116" t="s">
        <v>680</v>
      </c>
      <c r="Q105" s="117" t="s">
        <v>681</v>
      </c>
      <c r="R105" s="117" t="s">
        <v>682</v>
      </c>
      <c r="S105" s="118" t="s">
        <v>683</v>
      </c>
      <c r="T105" s="119">
        <v>50</v>
      </c>
      <c r="U105" s="120">
        <v>150</v>
      </c>
      <c r="V105" s="120">
        <v>130</v>
      </c>
      <c r="W105" s="64" t="s">
        <v>2864</v>
      </c>
      <c r="X105" s="64" t="s">
        <v>2609</v>
      </c>
      <c r="Y105" s="121">
        <v>330</v>
      </c>
      <c r="Z105" s="119">
        <v>0</v>
      </c>
      <c r="AA105" s="120">
        <v>100</v>
      </c>
      <c r="AB105" s="120">
        <v>60</v>
      </c>
      <c r="AC105" s="64" t="s">
        <v>2866</v>
      </c>
      <c r="AD105" s="64" t="s">
        <v>2867</v>
      </c>
      <c r="AE105" s="121">
        <v>160</v>
      </c>
      <c r="AF105" s="122">
        <f t="shared" si="1"/>
        <v>490</v>
      </c>
      <c r="AG105" s="123"/>
      <c r="AH105" s="250"/>
    </row>
    <row r="106" spans="1:34" s="18" customFormat="1" ht="115.2" hidden="1">
      <c r="A106" s="53">
        <v>1104</v>
      </c>
      <c r="B106" s="54" t="s">
        <v>2907</v>
      </c>
      <c r="C106" s="54" t="s">
        <v>2863</v>
      </c>
      <c r="D106" s="54" t="s">
        <v>2865</v>
      </c>
      <c r="E106" s="53">
        <v>1</v>
      </c>
      <c r="F106" s="110">
        <v>2</v>
      </c>
      <c r="G106" s="56">
        <v>104</v>
      </c>
      <c r="H106" s="111" t="s">
        <v>684</v>
      </c>
      <c r="I106" s="112" t="s">
        <v>684</v>
      </c>
      <c r="J106" s="113">
        <v>10500101514801</v>
      </c>
      <c r="K106" s="114" t="s">
        <v>89</v>
      </c>
      <c r="L106" s="115"/>
      <c r="M106" s="114">
        <v>7</v>
      </c>
      <c r="N106" s="116" t="s">
        <v>685</v>
      </c>
      <c r="O106" s="117" t="s">
        <v>686</v>
      </c>
      <c r="P106" s="116" t="s">
        <v>687</v>
      </c>
      <c r="Q106" s="117" t="s">
        <v>688</v>
      </c>
      <c r="R106" s="117" t="s">
        <v>689</v>
      </c>
      <c r="S106" s="118" t="s">
        <v>690</v>
      </c>
      <c r="T106" s="119">
        <v>100</v>
      </c>
      <c r="U106" s="120">
        <v>150</v>
      </c>
      <c r="V106" s="120">
        <v>90</v>
      </c>
      <c r="W106" s="64" t="s">
        <v>2864</v>
      </c>
      <c r="X106" s="64" t="s">
        <v>2609</v>
      </c>
      <c r="Y106" s="121">
        <v>340</v>
      </c>
      <c r="Z106" s="119">
        <v>0</v>
      </c>
      <c r="AA106" s="120">
        <v>150</v>
      </c>
      <c r="AB106" s="120">
        <v>100</v>
      </c>
      <c r="AC106" s="64" t="s">
        <v>2866</v>
      </c>
      <c r="AD106" s="64" t="s">
        <v>2867</v>
      </c>
      <c r="AE106" s="121">
        <v>250</v>
      </c>
      <c r="AF106" s="122">
        <f t="shared" si="1"/>
        <v>590</v>
      </c>
      <c r="AG106" s="123" t="s">
        <v>140</v>
      </c>
      <c r="AH106" s="250"/>
    </row>
    <row r="107" spans="1:34" s="18" customFormat="1" ht="115.2" hidden="1">
      <c r="A107" s="53">
        <v>1105</v>
      </c>
      <c r="B107" s="54" t="s">
        <v>2907</v>
      </c>
      <c r="C107" s="54" t="s">
        <v>2863</v>
      </c>
      <c r="D107" s="54" t="s">
        <v>2865</v>
      </c>
      <c r="E107" s="53">
        <v>1</v>
      </c>
      <c r="F107" s="110">
        <v>2</v>
      </c>
      <c r="G107" s="56">
        <v>105</v>
      </c>
      <c r="H107" s="111" t="s">
        <v>691</v>
      </c>
      <c r="I107" s="112" t="s">
        <v>691</v>
      </c>
      <c r="J107" s="113">
        <v>10500101583101</v>
      </c>
      <c r="K107" s="114" t="s">
        <v>89</v>
      </c>
      <c r="L107" s="115"/>
      <c r="M107" s="114">
        <v>7</v>
      </c>
      <c r="N107" s="116" t="s">
        <v>692</v>
      </c>
      <c r="O107" s="117" t="s">
        <v>693</v>
      </c>
      <c r="P107" s="116" t="s">
        <v>694</v>
      </c>
      <c r="Q107" s="117" t="s">
        <v>695</v>
      </c>
      <c r="R107" s="117" t="s">
        <v>696</v>
      </c>
      <c r="S107" s="118" t="s">
        <v>697</v>
      </c>
      <c r="T107" s="119">
        <v>190</v>
      </c>
      <c r="U107" s="120">
        <v>140</v>
      </c>
      <c r="V107" s="120">
        <v>120</v>
      </c>
      <c r="W107" s="64" t="s">
        <v>2864</v>
      </c>
      <c r="X107" s="64" t="s">
        <v>2609</v>
      </c>
      <c r="Y107" s="121">
        <v>450</v>
      </c>
      <c r="Z107" s="119">
        <v>0</v>
      </c>
      <c r="AA107" s="120">
        <v>210</v>
      </c>
      <c r="AB107" s="120">
        <v>50</v>
      </c>
      <c r="AC107" s="64" t="s">
        <v>2866</v>
      </c>
      <c r="AD107" s="64" t="s">
        <v>2867</v>
      </c>
      <c r="AE107" s="121">
        <v>260</v>
      </c>
      <c r="AF107" s="122">
        <f t="shared" si="1"/>
        <v>710</v>
      </c>
      <c r="AG107" s="123"/>
      <c r="AH107" s="250"/>
    </row>
    <row r="108" spans="1:34" s="18" customFormat="1" ht="115.2" hidden="1">
      <c r="A108" s="53">
        <v>1106</v>
      </c>
      <c r="B108" s="54" t="s">
        <v>2907</v>
      </c>
      <c r="C108" s="54" t="s">
        <v>2863</v>
      </c>
      <c r="D108" s="54" t="s">
        <v>2865</v>
      </c>
      <c r="E108" s="53">
        <v>1</v>
      </c>
      <c r="F108" s="110">
        <v>2</v>
      </c>
      <c r="G108" s="56">
        <v>106</v>
      </c>
      <c r="H108" s="111" t="s">
        <v>698</v>
      </c>
      <c r="I108" s="112" t="s">
        <v>698</v>
      </c>
      <c r="J108" s="113">
        <v>10500101171101</v>
      </c>
      <c r="K108" s="114" t="s">
        <v>89</v>
      </c>
      <c r="L108" s="115"/>
      <c r="M108" s="114">
        <v>7</v>
      </c>
      <c r="N108" s="116" t="s">
        <v>615</v>
      </c>
      <c r="O108" s="117" t="s">
        <v>699</v>
      </c>
      <c r="P108" s="116">
        <v>2642310</v>
      </c>
      <c r="Q108" s="117" t="s">
        <v>700</v>
      </c>
      <c r="R108" s="117" t="s">
        <v>701</v>
      </c>
      <c r="S108" s="118" t="s">
        <v>702</v>
      </c>
      <c r="T108" s="119">
        <v>260</v>
      </c>
      <c r="U108" s="120">
        <v>100</v>
      </c>
      <c r="V108" s="120">
        <v>70</v>
      </c>
      <c r="W108" s="64" t="s">
        <v>2864</v>
      </c>
      <c r="X108" s="64" t="s">
        <v>2609</v>
      </c>
      <c r="Y108" s="121">
        <v>430</v>
      </c>
      <c r="Z108" s="119">
        <v>30</v>
      </c>
      <c r="AA108" s="120">
        <v>220</v>
      </c>
      <c r="AB108" s="120">
        <v>70</v>
      </c>
      <c r="AC108" s="64" t="s">
        <v>2866</v>
      </c>
      <c r="AD108" s="64" t="s">
        <v>2867</v>
      </c>
      <c r="AE108" s="121">
        <v>320</v>
      </c>
      <c r="AF108" s="122">
        <f t="shared" si="1"/>
        <v>750</v>
      </c>
      <c r="AG108" s="123"/>
      <c r="AH108" s="250"/>
    </row>
    <row r="109" spans="1:34" s="18" customFormat="1" ht="115.2" hidden="1">
      <c r="A109" s="53">
        <v>1107</v>
      </c>
      <c r="B109" s="54" t="s">
        <v>2907</v>
      </c>
      <c r="C109" s="54" t="s">
        <v>2863</v>
      </c>
      <c r="D109" s="54" t="s">
        <v>2865</v>
      </c>
      <c r="E109" s="53">
        <v>1</v>
      </c>
      <c r="F109" s="110">
        <v>2</v>
      </c>
      <c r="G109" s="56">
        <v>107</v>
      </c>
      <c r="H109" s="111" t="s">
        <v>703</v>
      </c>
      <c r="I109" s="112" t="s">
        <v>703</v>
      </c>
      <c r="J109" s="113">
        <v>10500101146101</v>
      </c>
      <c r="K109" s="114" t="s">
        <v>89</v>
      </c>
      <c r="L109" s="115"/>
      <c r="M109" s="114">
        <v>7</v>
      </c>
      <c r="N109" s="116" t="s">
        <v>704</v>
      </c>
      <c r="O109" s="117" t="s">
        <v>705</v>
      </c>
      <c r="P109" s="116">
        <v>2575489</v>
      </c>
      <c r="Q109" s="117" t="s">
        <v>706</v>
      </c>
      <c r="R109" s="117" t="s">
        <v>707</v>
      </c>
      <c r="S109" s="118" t="s">
        <v>708</v>
      </c>
      <c r="T109" s="137">
        <v>200</v>
      </c>
      <c r="U109" s="138">
        <v>150</v>
      </c>
      <c r="V109" s="138">
        <v>70</v>
      </c>
      <c r="W109" s="64" t="s">
        <v>2864</v>
      </c>
      <c r="X109" s="64" t="s">
        <v>2609</v>
      </c>
      <c r="Y109" s="121">
        <v>420</v>
      </c>
      <c r="Z109" s="119">
        <v>38</v>
      </c>
      <c r="AA109" s="120">
        <v>202</v>
      </c>
      <c r="AB109" s="120">
        <v>100</v>
      </c>
      <c r="AC109" s="64" t="s">
        <v>2866</v>
      </c>
      <c r="AD109" s="64" t="s">
        <v>2867</v>
      </c>
      <c r="AE109" s="121">
        <v>340</v>
      </c>
      <c r="AF109" s="122">
        <f t="shared" si="1"/>
        <v>760</v>
      </c>
      <c r="AG109" s="123"/>
      <c r="AH109" s="250"/>
    </row>
    <row r="110" spans="1:34" s="18" customFormat="1" ht="115.2" hidden="1">
      <c r="A110" s="53">
        <v>1108</v>
      </c>
      <c r="B110" s="54" t="s">
        <v>2907</v>
      </c>
      <c r="C110" s="54" t="s">
        <v>2863</v>
      </c>
      <c r="D110" s="54" t="s">
        <v>2865</v>
      </c>
      <c r="E110" s="53">
        <v>1</v>
      </c>
      <c r="F110" s="110">
        <v>2</v>
      </c>
      <c r="G110" s="56">
        <v>108</v>
      </c>
      <c r="H110" s="111" t="s">
        <v>709</v>
      </c>
      <c r="I110" s="112" t="s">
        <v>709</v>
      </c>
      <c r="J110" s="113">
        <v>30500102217801</v>
      </c>
      <c r="K110" s="114" t="s">
        <v>167</v>
      </c>
      <c r="L110" s="115"/>
      <c r="M110" s="114">
        <v>7</v>
      </c>
      <c r="N110" s="116" t="s">
        <v>665</v>
      </c>
      <c r="O110" s="117" t="s">
        <v>710</v>
      </c>
      <c r="P110" s="116">
        <v>4221790</v>
      </c>
      <c r="Q110" s="117" t="s">
        <v>711</v>
      </c>
      <c r="R110" s="117" t="s">
        <v>712</v>
      </c>
      <c r="S110" s="118" t="s">
        <v>713</v>
      </c>
      <c r="T110" s="137">
        <v>90</v>
      </c>
      <c r="U110" s="138">
        <v>150</v>
      </c>
      <c r="V110" s="138">
        <v>60</v>
      </c>
      <c r="W110" s="64" t="s">
        <v>2864</v>
      </c>
      <c r="X110" s="64" t="s">
        <v>2609</v>
      </c>
      <c r="Y110" s="121">
        <v>300</v>
      </c>
      <c r="Z110" s="119">
        <v>0</v>
      </c>
      <c r="AA110" s="120">
        <v>100</v>
      </c>
      <c r="AB110" s="120">
        <v>50</v>
      </c>
      <c r="AC110" s="64" t="s">
        <v>2866</v>
      </c>
      <c r="AD110" s="64" t="s">
        <v>2867</v>
      </c>
      <c r="AE110" s="121">
        <v>150</v>
      </c>
      <c r="AF110" s="122">
        <f t="shared" si="1"/>
        <v>450</v>
      </c>
      <c r="AG110" s="123"/>
      <c r="AH110" s="250"/>
    </row>
    <row r="111" spans="1:34" s="18" customFormat="1" ht="115.2" hidden="1">
      <c r="A111" s="53">
        <v>1109</v>
      </c>
      <c r="B111" s="54" t="s">
        <v>2907</v>
      </c>
      <c r="C111" s="54" t="s">
        <v>2863</v>
      </c>
      <c r="D111" s="54" t="s">
        <v>2865</v>
      </c>
      <c r="E111" s="53">
        <v>1</v>
      </c>
      <c r="F111" s="110">
        <v>2</v>
      </c>
      <c r="G111" s="56">
        <v>109</v>
      </c>
      <c r="H111" s="111" t="s">
        <v>714</v>
      </c>
      <c r="I111" s="112" t="s">
        <v>714</v>
      </c>
      <c r="J111" s="113">
        <v>10500101713201</v>
      </c>
      <c r="K111" s="114" t="s">
        <v>89</v>
      </c>
      <c r="L111" s="115"/>
      <c r="M111" s="114">
        <v>7</v>
      </c>
      <c r="N111" s="116" t="s">
        <v>715</v>
      </c>
      <c r="O111" s="117" t="s">
        <v>716</v>
      </c>
      <c r="P111" s="116">
        <v>4414908</v>
      </c>
      <c r="Q111" s="117" t="s">
        <v>717</v>
      </c>
      <c r="R111" s="117" t="s">
        <v>718</v>
      </c>
      <c r="S111" s="118" t="s">
        <v>719</v>
      </c>
      <c r="T111" s="157">
        <v>135</v>
      </c>
      <c r="U111" s="158">
        <v>175</v>
      </c>
      <c r="V111" s="158">
        <v>140</v>
      </c>
      <c r="W111" s="64" t="s">
        <v>2864</v>
      </c>
      <c r="X111" s="64" t="s">
        <v>2609</v>
      </c>
      <c r="Y111" s="121">
        <v>450</v>
      </c>
      <c r="Z111" s="159">
        <v>130</v>
      </c>
      <c r="AA111" s="160">
        <v>180</v>
      </c>
      <c r="AB111" s="160">
        <v>60</v>
      </c>
      <c r="AC111" s="64" t="s">
        <v>2866</v>
      </c>
      <c r="AD111" s="64" t="s">
        <v>2867</v>
      </c>
      <c r="AE111" s="121">
        <v>370</v>
      </c>
      <c r="AF111" s="122">
        <f t="shared" si="1"/>
        <v>820</v>
      </c>
      <c r="AG111" s="123"/>
      <c r="AH111" s="250"/>
    </row>
    <row r="112" spans="1:34" s="18" customFormat="1" ht="115.2" hidden="1">
      <c r="A112" s="53">
        <v>1110</v>
      </c>
      <c r="B112" s="54" t="s">
        <v>2907</v>
      </c>
      <c r="C112" s="54" t="s">
        <v>2863</v>
      </c>
      <c r="D112" s="54" t="s">
        <v>2865</v>
      </c>
      <c r="E112" s="53">
        <v>1</v>
      </c>
      <c r="F112" s="110">
        <v>2</v>
      </c>
      <c r="G112" s="56">
        <v>110</v>
      </c>
      <c r="H112" s="111" t="s">
        <v>720</v>
      </c>
      <c r="I112" s="112" t="s">
        <v>720</v>
      </c>
      <c r="J112" s="113">
        <v>30500102223201</v>
      </c>
      <c r="K112" s="114" t="s">
        <v>89</v>
      </c>
      <c r="L112" s="115"/>
      <c r="M112" s="114">
        <v>7</v>
      </c>
      <c r="N112" s="116" t="s">
        <v>721</v>
      </c>
      <c r="O112" s="117" t="s">
        <v>722</v>
      </c>
      <c r="P112" s="116" t="s">
        <v>723</v>
      </c>
      <c r="Q112" s="117" t="s">
        <v>724</v>
      </c>
      <c r="R112" s="117" t="s">
        <v>725</v>
      </c>
      <c r="S112" s="118" t="s">
        <v>726</v>
      </c>
      <c r="T112" s="119">
        <v>314</v>
      </c>
      <c r="U112" s="120">
        <v>183</v>
      </c>
      <c r="V112" s="120">
        <v>73</v>
      </c>
      <c r="W112" s="64" t="s">
        <v>2864</v>
      </c>
      <c r="X112" s="64" t="s">
        <v>2609</v>
      </c>
      <c r="Y112" s="121">
        <v>570</v>
      </c>
      <c r="Z112" s="119">
        <v>145</v>
      </c>
      <c r="AA112" s="120">
        <v>415</v>
      </c>
      <c r="AB112" s="120">
        <v>40</v>
      </c>
      <c r="AC112" s="64" t="s">
        <v>2866</v>
      </c>
      <c r="AD112" s="64" t="s">
        <v>2867</v>
      </c>
      <c r="AE112" s="121">
        <v>600</v>
      </c>
      <c r="AF112" s="122">
        <f t="shared" si="1"/>
        <v>1170</v>
      </c>
      <c r="AG112" s="123"/>
      <c r="AH112" s="250"/>
    </row>
    <row r="113" spans="1:34" s="18" customFormat="1" ht="115.2" hidden="1">
      <c r="A113" s="53">
        <v>1111</v>
      </c>
      <c r="B113" s="54" t="s">
        <v>2907</v>
      </c>
      <c r="C113" s="54" t="s">
        <v>2863</v>
      </c>
      <c r="D113" s="54" t="s">
        <v>2865</v>
      </c>
      <c r="E113" s="53">
        <v>1</v>
      </c>
      <c r="F113" s="110">
        <v>2</v>
      </c>
      <c r="G113" s="56">
        <v>111</v>
      </c>
      <c r="H113" s="111" t="s">
        <v>727</v>
      </c>
      <c r="I113" s="112" t="s">
        <v>727</v>
      </c>
      <c r="J113" s="113">
        <v>10500101914301</v>
      </c>
      <c r="K113" s="114" t="s">
        <v>89</v>
      </c>
      <c r="L113" s="115"/>
      <c r="M113" s="114">
        <v>7</v>
      </c>
      <c r="N113" s="116" t="s">
        <v>602</v>
      </c>
      <c r="O113" s="117" t="s">
        <v>728</v>
      </c>
      <c r="P113" s="116">
        <v>2578292</v>
      </c>
      <c r="Q113" s="117" t="s">
        <v>729</v>
      </c>
      <c r="R113" s="117" t="s">
        <v>730</v>
      </c>
      <c r="S113" s="118" t="s">
        <v>731</v>
      </c>
      <c r="T113" s="119">
        <v>100</v>
      </c>
      <c r="U113" s="120">
        <v>150</v>
      </c>
      <c r="V113" s="120">
        <v>100</v>
      </c>
      <c r="W113" s="64" t="s">
        <v>2864</v>
      </c>
      <c r="X113" s="64" t="s">
        <v>2609</v>
      </c>
      <c r="Y113" s="121">
        <v>350</v>
      </c>
      <c r="Z113" s="119">
        <v>180</v>
      </c>
      <c r="AA113" s="120">
        <v>240</v>
      </c>
      <c r="AB113" s="120">
        <v>60</v>
      </c>
      <c r="AC113" s="64" t="s">
        <v>2866</v>
      </c>
      <c r="AD113" s="64" t="s">
        <v>2867</v>
      </c>
      <c r="AE113" s="121">
        <v>480</v>
      </c>
      <c r="AF113" s="122">
        <f t="shared" si="1"/>
        <v>830</v>
      </c>
      <c r="AG113" s="123"/>
      <c r="AH113" s="250"/>
    </row>
    <row r="114" spans="1:34" s="18" customFormat="1" ht="115.2" hidden="1">
      <c r="A114" s="53">
        <v>1112</v>
      </c>
      <c r="B114" s="54" t="s">
        <v>2907</v>
      </c>
      <c r="C114" s="54" t="s">
        <v>2863</v>
      </c>
      <c r="D114" s="54" t="s">
        <v>2865</v>
      </c>
      <c r="E114" s="53">
        <v>1</v>
      </c>
      <c r="F114" s="110">
        <v>2</v>
      </c>
      <c r="G114" s="56">
        <v>112</v>
      </c>
      <c r="H114" s="111" t="s">
        <v>732</v>
      </c>
      <c r="I114" s="112" t="s">
        <v>732</v>
      </c>
      <c r="J114" s="113">
        <v>10500100247001</v>
      </c>
      <c r="K114" s="114" t="s">
        <v>89</v>
      </c>
      <c r="L114" s="115"/>
      <c r="M114" s="114">
        <v>7</v>
      </c>
      <c r="N114" s="116" t="s">
        <v>733</v>
      </c>
      <c r="O114" s="117" t="s">
        <v>734</v>
      </c>
      <c r="P114" s="116" t="s">
        <v>735</v>
      </c>
      <c r="Q114" s="117" t="s">
        <v>736</v>
      </c>
      <c r="R114" s="117" t="s">
        <v>737</v>
      </c>
      <c r="S114" s="118" t="s">
        <v>738</v>
      </c>
      <c r="T114" s="119">
        <v>54</v>
      </c>
      <c r="U114" s="120">
        <v>94</v>
      </c>
      <c r="V114" s="120">
        <v>142</v>
      </c>
      <c r="W114" s="64" t="s">
        <v>2864</v>
      </c>
      <c r="X114" s="64" t="s">
        <v>2609</v>
      </c>
      <c r="Y114" s="121">
        <v>290</v>
      </c>
      <c r="Z114" s="119">
        <v>0</v>
      </c>
      <c r="AA114" s="120">
        <v>191</v>
      </c>
      <c r="AB114" s="120">
        <v>99</v>
      </c>
      <c r="AC114" s="64" t="s">
        <v>2866</v>
      </c>
      <c r="AD114" s="64" t="s">
        <v>2867</v>
      </c>
      <c r="AE114" s="121">
        <v>290</v>
      </c>
      <c r="AF114" s="122">
        <f t="shared" si="1"/>
        <v>580</v>
      </c>
      <c r="AG114" s="123"/>
      <c r="AH114" s="250"/>
    </row>
    <row r="115" spans="1:34" s="18" customFormat="1" ht="115.2" hidden="1">
      <c r="A115" s="53">
        <v>1113</v>
      </c>
      <c r="B115" s="54" t="s">
        <v>2907</v>
      </c>
      <c r="C115" s="54" t="s">
        <v>2863</v>
      </c>
      <c r="D115" s="54" t="s">
        <v>2865</v>
      </c>
      <c r="E115" s="53">
        <v>1</v>
      </c>
      <c r="F115" s="110">
        <v>2</v>
      </c>
      <c r="G115" s="56">
        <v>113</v>
      </c>
      <c r="H115" s="111" t="s">
        <v>739</v>
      </c>
      <c r="I115" s="112" t="s">
        <v>739</v>
      </c>
      <c r="J115" s="113">
        <v>10500180011202</v>
      </c>
      <c r="K115" s="114" t="s">
        <v>89</v>
      </c>
      <c r="L115" s="115"/>
      <c r="M115" s="114">
        <v>7</v>
      </c>
      <c r="N115" s="116" t="s">
        <v>740</v>
      </c>
      <c r="O115" s="117" t="s">
        <v>741</v>
      </c>
      <c r="P115" s="116">
        <v>2570003</v>
      </c>
      <c r="Q115" s="117" t="s">
        <v>742</v>
      </c>
      <c r="R115" s="117" t="s">
        <v>743</v>
      </c>
      <c r="S115" s="118" t="s">
        <v>744</v>
      </c>
      <c r="T115" s="119">
        <v>280</v>
      </c>
      <c r="U115" s="120">
        <v>119</v>
      </c>
      <c r="V115" s="120">
        <v>0</v>
      </c>
      <c r="W115" s="64" t="s">
        <v>2864</v>
      </c>
      <c r="X115" s="64" t="s">
        <v>2609</v>
      </c>
      <c r="Y115" s="121">
        <v>399</v>
      </c>
      <c r="Z115" s="119">
        <v>131</v>
      </c>
      <c r="AA115" s="120">
        <v>69</v>
      </c>
      <c r="AB115" s="120">
        <v>0</v>
      </c>
      <c r="AC115" s="64" t="s">
        <v>2866</v>
      </c>
      <c r="AD115" s="64" t="s">
        <v>2867</v>
      </c>
      <c r="AE115" s="121">
        <v>200</v>
      </c>
      <c r="AF115" s="122">
        <f t="shared" si="1"/>
        <v>599</v>
      </c>
      <c r="AG115" s="123"/>
      <c r="AH115" s="250"/>
    </row>
    <row r="116" spans="1:34" s="18" customFormat="1" ht="115.2" hidden="1">
      <c r="A116" s="53">
        <v>1114</v>
      </c>
      <c r="B116" s="54" t="s">
        <v>2907</v>
      </c>
      <c r="C116" s="54" t="s">
        <v>2863</v>
      </c>
      <c r="D116" s="54" t="s">
        <v>2865</v>
      </c>
      <c r="E116" s="53">
        <v>1</v>
      </c>
      <c r="F116" s="110">
        <v>2</v>
      </c>
      <c r="G116" s="56">
        <v>114</v>
      </c>
      <c r="H116" s="111" t="s">
        <v>745</v>
      </c>
      <c r="I116" s="112" t="s">
        <v>745</v>
      </c>
      <c r="J116" s="113">
        <v>10500100179102</v>
      </c>
      <c r="K116" s="114" t="s">
        <v>89</v>
      </c>
      <c r="L116" s="115"/>
      <c r="M116" s="114">
        <v>7</v>
      </c>
      <c r="N116" s="116" t="s">
        <v>715</v>
      </c>
      <c r="O116" s="117" t="s">
        <v>746</v>
      </c>
      <c r="P116" s="116">
        <v>2570719</v>
      </c>
      <c r="Q116" s="117" t="s">
        <v>747</v>
      </c>
      <c r="R116" s="117" t="s">
        <v>748</v>
      </c>
      <c r="S116" s="118" t="s">
        <v>749</v>
      </c>
      <c r="T116" s="119">
        <v>150</v>
      </c>
      <c r="U116" s="120">
        <v>20</v>
      </c>
      <c r="V116" s="120">
        <v>0</v>
      </c>
      <c r="W116" s="64" t="s">
        <v>2864</v>
      </c>
      <c r="X116" s="64" t="s">
        <v>2609</v>
      </c>
      <c r="Y116" s="121">
        <v>170</v>
      </c>
      <c r="Z116" s="119">
        <v>40</v>
      </c>
      <c r="AA116" s="120">
        <v>100</v>
      </c>
      <c r="AB116" s="120">
        <v>0</v>
      </c>
      <c r="AC116" s="64" t="s">
        <v>2866</v>
      </c>
      <c r="AD116" s="64" t="s">
        <v>2867</v>
      </c>
      <c r="AE116" s="121">
        <v>140</v>
      </c>
      <c r="AF116" s="122">
        <f t="shared" si="1"/>
        <v>310</v>
      </c>
      <c r="AG116" s="123"/>
      <c r="AH116" s="250"/>
    </row>
    <row r="117" spans="1:34" s="18" customFormat="1" ht="115.2" hidden="1">
      <c r="A117" s="53">
        <v>1115</v>
      </c>
      <c r="B117" s="54" t="s">
        <v>2907</v>
      </c>
      <c r="C117" s="54" t="s">
        <v>2863</v>
      </c>
      <c r="D117" s="54" t="s">
        <v>2865</v>
      </c>
      <c r="E117" s="53">
        <v>1</v>
      </c>
      <c r="F117" s="110">
        <v>2</v>
      </c>
      <c r="G117" s="56">
        <v>115</v>
      </c>
      <c r="H117" s="111" t="s">
        <v>750</v>
      </c>
      <c r="I117" s="112" t="s">
        <v>750</v>
      </c>
      <c r="J117" s="113">
        <v>10500101101101</v>
      </c>
      <c r="K117" s="114" t="s">
        <v>89</v>
      </c>
      <c r="L117" s="115"/>
      <c r="M117" s="114">
        <v>7</v>
      </c>
      <c r="N117" s="116" t="s">
        <v>751</v>
      </c>
      <c r="O117" s="117" t="s">
        <v>752</v>
      </c>
      <c r="P117" s="116" t="s">
        <v>753</v>
      </c>
      <c r="Q117" s="117" t="s">
        <v>754</v>
      </c>
      <c r="R117" s="117" t="s">
        <v>755</v>
      </c>
      <c r="S117" s="118" t="s">
        <v>756</v>
      </c>
      <c r="T117" s="119">
        <v>130</v>
      </c>
      <c r="U117" s="120">
        <v>160</v>
      </c>
      <c r="V117" s="120">
        <v>70</v>
      </c>
      <c r="W117" s="64" t="s">
        <v>2864</v>
      </c>
      <c r="X117" s="64" t="s">
        <v>2609</v>
      </c>
      <c r="Y117" s="121">
        <v>360</v>
      </c>
      <c r="Z117" s="119">
        <v>80</v>
      </c>
      <c r="AA117" s="120">
        <v>91</v>
      </c>
      <c r="AB117" s="120">
        <v>59</v>
      </c>
      <c r="AC117" s="64" t="s">
        <v>2866</v>
      </c>
      <c r="AD117" s="64" t="s">
        <v>2867</v>
      </c>
      <c r="AE117" s="121">
        <v>230</v>
      </c>
      <c r="AF117" s="122">
        <f t="shared" si="1"/>
        <v>590</v>
      </c>
      <c r="AG117" s="123"/>
      <c r="AH117" s="250"/>
    </row>
    <row r="118" spans="1:34" s="18" customFormat="1" ht="115.2" hidden="1">
      <c r="A118" s="53">
        <v>1116</v>
      </c>
      <c r="B118" s="54" t="s">
        <v>2907</v>
      </c>
      <c r="C118" s="54" t="s">
        <v>2863</v>
      </c>
      <c r="D118" s="54" t="s">
        <v>2865</v>
      </c>
      <c r="E118" s="53">
        <v>1</v>
      </c>
      <c r="F118" s="110">
        <v>3</v>
      </c>
      <c r="G118" s="56">
        <v>116</v>
      </c>
      <c r="H118" s="111" t="s">
        <v>757</v>
      </c>
      <c r="I118" s="116" t="s">
        <v>757</v>
      </c>
      <c r="J118" s="113">
        <v>10500101942901</v>
      </c>
      <c r="K118" s="114" t="s">
        <v>89</v>
      </c>
      <c r="L118" s="115"/>
      <c r="M118" s="114">
        <v>8</v>
      </c>
      <c r="N118" s="116" t="s">
        <v>758</v>
      </c>
      <c r="O118" s="117" t="s">
        <v>759</v>
      </c>
      <c r="P118" s="116">
        <v>2848292</v>
      </c>
      <c r="Q118" s="117" t="s">
        <v>760</v>
      </c>
      <c r="R118" s="117" t="s">
        <v>761</v>
      </c>
      <c r="S118" s="118" t="s">
        <v>762</v>
      </c>
      <c r="T118" s="119">
        <v>0</v>
      </c>
      <c r="U118" s="120">
        <v>160</v>
      </c>
      <c r="V118" s="120">
        <v>160</v>
      </c>
      <c r="W118" s="64" t="s">
        <v>2864</v>
      </c>
      <c r="X118" s="64" t="s">
        <v>2609</v>
      </c>
      <c r="Y118" s="121">
        <v>320</v>
      </c>
      <c r="Z118" s="119">
        <v>0</v>
      </c>
      <c r="AA118" s="120">
        <v>350</v>
      </c>
      <c r="AB118" s="120">
        <v>190</v>
      </c>
      <c r="AC118" s="64" t="s">
        <v>2866</v>
      </c>
      <c r="AD118" s="64" t="s">
        <v>2867</v>
      </c>
      <c r="AE118" s="121">
        <v>540</v>
      </c>
      <c r="AF118" s="122">
        <f t="shared" si="1"/>
        <v>860</v>
      </c>
      <c r="AG118" s="123" t="s">
        <v>140</v>
      </c>
      <c r="AH118" s="371"/>
    </row>
    <row r="119" spans="1:34" s="18" customFormat="1" ht="28.8" hidden="1">
      <c r="A119" s="53">
        <v>1117</v>
      </c>
      <c r="B119" s="54" t="s">
        <v>2609</v>
      </c>
      <c r="C119" s="54" t="s">
        <v>2863</v>
      </c>
      <c r="D119" s="54" t="s">
        <v>2864</v>
      </c>
      <c r="E119" s="53">
        <v>1</v>
      </c>
      <c r="F119" s="110">
        <v>3</v>
      </c>
      <c r="G119" s="56">
        <v>117</v>
      </c>
      <c r="H119" s="111" t="s">
        <v>763</v>
      </c>
      <c r="I119" s="116" t="s">
        <v>763</v>
      </c>
      <c r="J119" s="113">
        <v>10500101942904</v>
      </c>
      <c r="K119" s="114" t="s">
        <v>89</v>
      </c>
      <c r="L119" s="115"/>
      <c r="M119" s="114">
        <v>8</v>
      </c>
      <c r="N119" s="116" t="s">
        <v>758</v>
      </c>
      <c r="O119" s="117" t="s">
        <v>764</v>
      </c>
      <c r="P119" s="116">
        <v>2847983</v>
      </c>
      <c r="Q119" s="117" t="s">
        <v>760</v>
      </c>
      <c r="R119" s="117" t="s">
        <v>765</v>
      </c>
      <c r="S119" s="118" t="s">
        <v>766</v>
      </c>
      <c r="T119" s="119">
        <v>259</v>
      </c>
      <c r="U119" s="120">
        <v>86</v>
      </c>
      <c r="V119" s="120">
        <v>0</v>
      </c>
      <c r="W119" s="64" t="s">
        <v>2864</v>
      </c>
      <c r="X119" s="64" t="s">
        <v>2609</v>
      </c>
      <c r="Y119" s="121">
        <v>345</v>
      </c>
      <c r="Z119" s="119">
        <v>0</v>
      </c>
      <c r="AA119" s="120">
        <v>0</v>
      </c>
      <c r="AB119" s="120">
        <v>0</v>
      </c>
      <c r="AC119" s="64"/>
      <c r="AD119" s="64"/>
      <c r="AE119" s="121">
        <v>0</v>
      </c>
      <c r="AF119" s="122">
        <f t="shared" si="1"/>
        <v>345</v>
      </c>
      <c r="AG119" s="123" t="s">
        <v>140</v>
      </c>
      <c r="AH119" s="372"/>
    </row>
    <row r="120" spans="1:34" s="18" customFormat="1" ht="115.2" hidden="1">
      <c r="A120" s="53">
        <v>1118</v>
      </c>
      <c r="B120" s="54" t="s">
        <v>2907</v>
      </c>
      <c r="C120" s="54" t="s">
        <v>2863</v>
      </c>
      <c r="D120" s="54" t="s">
        <v>2865</v>
      </c>
      <c r="E120" s="53">
        <v>1</v>
      </c>
      <c r="F120" s="110">
        <v>3</v>
      </c>
      <c r="G120" s="56">
        <v>118</v>
      </c>
      <c r="H120" s="111" t="s">
        <v>767</v>
      </c>
      <c r="I120" s="116" t="s">
        <v>767</v>
      </c>
      <c r="J120" s="113">
        <v>10500102613101</v>
      </c>
      <c r="K120" s="114" t="s">
        <v>89</v>
      </c>
      <c r="L120" s="115"/>
      <c r="M120" s="114">
        <v>8</v>
      </c>
      <c r="N120" s="116" t="s">
        <v>768</v>
      </c>
      <c r="O120" s="117" t="s">
        <v>769</v>
      </c>
      <c r="P120" s="116">
        <v>2223647</v>
      </c>
      <c r="Q120" s="117" t="s">
        <v>770</v>
      </c>
      <c r="R120" s="117" t="s">
        <v>771</v>
      </c>
      <c r="S120" s="118" t="s">
        <v>772</v>
      </c>
      <c r="T120" s="119">
        <v>125</v>
      </c>
      <c r="U120" s="120">
        <v>190</v>
      </c>
      <c r="V120" s="120">
        <v>95</v>
      </c>
      <c r="W120" s="64" t="s">
        <v>2864</v>
      </c>
      <c r="X120" s="64" t="s">
        <v>2609</v>
      </c>
      <c r="Y120" s="121">
        <v>410</v>
      </c>
      <c r="Z120" s="119">
        <v>44</v>
      </c>
      <c r="AA120" s="120">
        <v>168</v>
      </c>
      <c r="AB120" s="120">
        <v>73</v>
      </c>
      <c r="AC120" s="64" t="s">
        <v>2866</v>
      </c>
      <c r="AD120" s="64" t="s">
        <v>2867</v>
      </c>
      <c r="AE120" s="121">
        <v>285</v>
      </c>
      <c r="AF120" s="122">
        <f t="shared" si="1"/>
        <v>695</v>
      </c>
      <c r="AG120" s="123"/>
      <c r="AH120" s="372"/>
    </row>
    <row r="121" spans="1:34" s="18" customFormat="1" ht="28.8" hidden="1">
      <c r="A121" s="53">
        <v>1119</v>
      </c>
      <c r="B121" s="54" t="s">
        <v>2609</v>
      </c>
      <c r="C121" s="54" t="s">
        <v>2863</v>
      </c>
      <c r="D121" s="54" t="s">
        <v>2864</v>
      </c>
      <c r="E121" s="53">
        <v>1</v>
      </c>
      <c r="F121" s="110">
        <v>3</v>
      </c>
      <c r="G121" s="56">
        <v>119</v>
      </c>
      <c r="H121" s="111" t="s">
        <v>773</v>
      </c>
      <c r="I121" s="116" t="s">
        <v>773</v>
      </c>
      <c r="J121" s="113">
        <v>10500101269602</v>
      </c>
      <c r="K121" s="114" t="s">
        <v>89</v>
      </c>
      <c r="L121" s="115"/>
      <c r="M121" s="114">
        <v>8</v>
      </c>
      <c r="N121" s="116" t="s">
        <v>774</v>
      </c>
      <c r="O121" s="117" t="s">
        <v>775</v>
      </c>
      <c r="P121" s="116">
        <v>2841315</v>
      </c>
      <c r="Q121" s="117" t="s">
        <v>776</v>
      </c>
      <c r="R121" s="117" t="s">
        <v>777</v>
      </c>
      <c r="S121" s="118" t="s">
        <v>778</v>
      </c>
      <c r="T121" s="119">
        <v>320</v>
      </c>
      <c r="U121" s="120">
        <v>0</v>
      </c>
      <c r="V121" s="120">
        <v>0</v>
      </c>
      <c r="W121" s="64" t="s">
        <v>2864</v>
      </c>
      <c r="X121" s="64" t="s">
        <v>2609</v>
      </c>
      <c r="Y121" s="121">
        <v>320</v>
      </c>
      <c r="Z121" s="119">
        <v>0</v>
      </c>
      <c r="AA121" s="120">
        <v>0</v>
      </c>
      <c r="AB121" s="120">
        <v>0</v>
      </c>
      <c r="AC121" s="64"/>
      <c r="AD121" s="64"/>
      <c r="AE121" s="121">
        <v>0</v>
      </c>
      <c r="AF121" s="122">
        <f t="shared" si="1"/>
        <v>320</v>
      </c>
      <c r="AG121" s="141"/>
      <c r="AH121" s="373"/>
    </row>
    <row r="122" spans="1:34" s="18" customFormat="1" ht="28.8" hidden="1">
      <c r="A122" s="53">
        <v>1120</v>
      </c>
      <c r="B122" s="54" t="s">
        <v>2609</v>
      </c>
      <c r="C122" s="54" t="s">
        <v>2863</v>
      </c>
      <c r="D122" s="54" t="s">
        <v>2864</v>
      </c>
      <c r="E122" s="53">
        <v>1</v>
      </c>
      <c r="F122" s="110">
        <v>3</v>
      </c>
      <c r="G122" s="56">
        <v>120</v>
      </c>
      <c r="H122" s="111" t="s">
        <v>779</v>
      </c>
      <c r="I122" s="116" t="s">
        <v>779</v>
      </c>
      <c r="J122" s="113">
        <v>10500101269603</v>
      </c>
      <c r="K122" s="114" t="s">
        <v>89</v>
      </c>
      <c r="L122" s="115"/>
      <c r="M122" s="114">
        <v>8</v>
      </c>
      <c r="N122" s="116" t="s">
        <v>774</v>
      </c>
      <c r="O122" s="117" t="s">
        <v>780</v>
      </c>
      <c r="P122" s="116">
        <v>2841231</v>
      </c>
      <c r="Q122" s="117" t="s">
        <v>776</v>
      </c>
      <c r="R122" s="117" t="s">
        <v>781</v>
      </c>
      <c r="S122" s="118" t="s">
        <v>782</v>
      </c>
      <c r="T122" s="119">
        <v>0</v>
      </c>
      <c r="U122" s="120">
        <v>250</v>
      </c>
      <c r="V122" s="120">
        <v>0</v>
      </c>
      <c r="W122" s="64" t="s">
        <v>2864</v>
      </c>
      <c r="X122" s="64" t="s">
        <v>2609</v>
      </c>
      <c r="Y122" s="121">
        <v>250</v>
      </c>
      <c r="Z122" s="119">
        <v>0</v>
      </c>
      <c r="AA122" s="120">
        <v>0</v>
      </c>
      <c r="AB122" s="120">
        <v>0</v>
      </c>
      <c r="AC122" s="64"/>
      <c r="AD122" s="64"/>
      <c r="AE122" s="121">
        <v>0</v>
      </c>
      <c r="AF122" s="122">
        <f t="shared" si="1"/>
        <v>250</v>
      </c>
      <c r="AG122" s="113" t="s">
        <v>140</v>
      </c>
      <c r="AH122" s="374"/>
    </row>
    <row r="123" spans="1:34" s="18" customFormat="1" ht="28.8" hidden="1">
      <c r="A123" s="53">
        <v>1121</v>
      </c>
      <c r="B123" s="54" t="s">
        <v>2609</v>
      </c>
      <c r="C123" s="54" t="s">
        <v>2863</v>
      </c>
      <c r="D123" s="54" t="s">
        <v>2864</v>
      </c>
      <c r="E123" s="53">
        <v>1</v>
      </c>
      <c r="F123" s="110">
        <v>3</v>
      </c>
      <c r="G123" s="56">
        <v>121</v>
      </c>
      <c r="H123" s="111" t="s">
        <v>783</v>
      </c>
      <c r="I123" s="116" t="s">
        <v>783</v>
      </c>
      <c r="J123" s="113">
        <v>10500102658102</v>
      </c>
      <c r="K123" s="114" t="s">
        <v>89</v>
      </c>
      <c r="L123" s="115"/>
      <c r="M123" s="114">
        <v>8</v>
      </c>
      <c r="N123" s="116" t="s">
        <v>784</v>
      </c>
      <c r="O123" s="117" t="s">
        <v>785</v>
      </c>
      <c r="P123" s="116" t="s">
        <v>786</v>
      </c>
      <c r="Q123" s="117" t="s">
        <v>787</v>
      </c>
      <c r="R123" s="117" t="s">
        <v>788</v>
      </c>
      <c r="S123" s="118" t="s">
        <v>789</v>
      </c>
      <c r="T123" s="119">
        <v>310</v>
      </c>
      <c r="U123" s="120">
        <v>238</v>
      </c>
      <c r="V123" s="120">
        <v>0</v>
      </c>
      <c r="W123" s="64" t="s">
        <v>2864</v>
      </c>
      <c r="X123" s="64" t="s">
        <v>2609</v>
      </c>
      <c r="Y123" s="121">
        <v>548</v>
      </c>
      <c r="Z123" s="119">
        <v>0</v>
      </c>
      <c r="AA123" s="120">
        <v>0</v>
      </c>
      <c r="AB123" s="120">
        <v>0</v>
      </c>
      <c r="AC123" s="64"/>
      <c r="AD123" s="64"/>
      <c r="AE123" s="121">
        <v>0</v>
      </c>
      <c r="AF123" s="122">
        <f t="shared" si="1"/>
        <v>548</v>
      </c>
      <c r="AG123" s="113" t="s">
        <v>140</v>
      </c>
      <c r="AH123" s="375"/>
    </row>
    <row r="124" spans="1:34" s="18" customFormat="1" ht="29.4" hidden="1" thickBot="1">
      <c r="A124" s="53">
        <v>1122</v>
      </c>
      <c r="B124" s="54" t="s">
        <v>2609</v>
      </c>
      <c r="C124" s="54" t="s">
        <v>2863</v>
      </c>
      <c r="D124" s="54" t="s">
        <v>2864</v>
      </c>
      <c r="E124" s="53">
        <v>1</v>
      </c>
      <c r="F124" s="110">
        <v>3</v>
      </c>
      <c r="G124" s="56">
        <v>122</v>
      </c>
      <c r="H124" s="164" t="s">
        <v>790</v>
      </c>
      <c r="I124" s="116" t="s">
        <v>790</v>
      </c>
      <c r="J124" s="113">
        <v>10500100056602</v>
      </c>
      <c r="K124" s="114" t="s">
        <v>89</v>
      </c>
      <c r="L124" s="165"/>
      <c r="M124" s="114">
        <v>8</v>
      </c>
      <c r="N124" s="116" t="s">
        <v>791</v>
      </c>
      <c r="O124" s="117" t="s">
        <v>792</v>
      </c>
      <c r="P124" s="116">
        <v>2695371</v>
      </c>
      <c r="Q124" s="117" t="s">
        <v>793</v>
      </c>
      <c r="R124" s="117" t="s">
        <v>794</v>
      </c>
      <c r="S124" s="118" t="s">
        <v>795</v>
      </c>
      <c r="T124" s="119">
        <v>230</v>
      </c>
      <c r="U124" s="120">
        <v>90</v>
      </c>
      <c r="V124" s="120">
        <v>0</v>
      </c>
      <c r="W124" s="64" t="s">
        <v>2864</v>
      </c>
      <c r="X124" s="64" t="s">
        <v>2609</v>
      </c>
      <c r="Y124" s="121">
        <v>320</v>
      </c>
      <c r="Z124" s="119">
        <v>0</v>
      </c>
      <c r="AA124" s="120">
        <v>0</v>
      </c>
      <c r="AB124" s="120">
        <v>0</v>
      </c>
      <c r="AC124" s="64"/>
      <c r="AD124" s="64"/>
      <c r="AE124" s="121">
        <v>0</v>
      </c>
      <c r="AF124" s="122">
        <f t="shared" si="1"/>
        <v>320</v>
      </c>
      <c r="AG124" s="113" t="s">
        <v>140</v>
      </c>
      <c r="AH124" s="167"/>
    </row>
    <row r="125" spans="1:34" s="18" customFormat="1" ht="115.2" hidden="1">
      <c r="A125" s="53">
        <v>1123</v>
      </c>
      <c r="B125" s="54" t="s">
        <v>2907</v>
      </c>
      <c r="C125" s="54" t="s">
        <v>2863</v>
      </c>
      <c r="D125" s="54" t="s">
        <v>2865</v>
      </c>
      <c r="E125" s="53">
        <v>1</v>
      </c>
      <c r="F125" s="110">
        <v>3</v>
      </c>
      <c r="G125" s="56">
        <v>123</v>
      </c>
      <c r="H125" s="117" t="s">
        <v>796</v>
      </c>
      <c r="I125" s="116" t="s">
        <v>796</v>
      </c>
      <c r="J125" s="113">
        <v>10500100235601</v>
      </c>
      <c r="K125" s="114" t="s">
        <v>89</v>
      </c>
      <c r="L125" s="114"/>
      <c r="M125" s="114">
        <v>8</v>
      </c>
      <c r="N125" s="116" t="s">
        <v>797</v>
      </c>
      <c r="O125" s="117" t="s">
        <v>798</v>
      </c>
      <c r="P125" s="116">
        <v>2260583</v>
      </c>
      <c r="Q125" s="117" t="s">
        <v>799</v>
      </c>
      <c r="R125" s="117" t="s">
        <v>799</v>
      </c>
      <c r="S125" s="118" t="s">
        <v>800</v>
      </c>
      <c r="T125" s="119">
        <v>266</v>
      </c>
      <c r="U125" s="120">
        <v>129</v>
      </c>
      <c r="V125" s="120">
        <v>0</v>
      </c>
      <c r="W125" s="64" t="s">
        <v>2864</v>
      </c>
      <c r="X125" s="64" t="s">
        <v>2609</v>
      </c>
      <c r="Y125" s="121">
        <v>395</v>
      </c>
      <c r="Z125" s="119">
        <v>85</v>
      </c>
      <c r="AA125" s="120">
        <v>0</v>
      </c>
      <c r="AB125" s="120">
        <v>0</v>
      </c>
      <c r="AC125" s="64" t="s">
        <v>2866</v>
      </c>
      <c r="AD125" s="64" t="s">
        <v>2867</v>
      </c>
      <c r="AE125" s="121">
        <v>85</v>
      </c>
      <c r="AF125" s="122">
        <f t="shared" si="1"/>
        <v>480</v>
      </c>
      <c r="AG125" s="113" t="s">
        <v>140</v>
      </c>
      <c r="AH125" s="167"/>
    </row>
    <row r="126" spans="1:34" s="18" customFormat="1" ht="115.2" hidden="1">
      <c r="A126" s="53">
        <v>1124</v>
      </c>
      <c r="B126" s="54" t="s">
        <v>2907</v>
      </c>
      <c r="C126" s="54" t="s">
        <v>2863</v>
      </c>
      <c r="D126" s="54" t="s">
        <v>2865</v>
      </c>
      <c r="E126" s="53">
        <v>1</v>
      </c>
      <c r="F126" s="110">
        <v>3</v>
      </c>
      <c r="G126" s="56">
        <v>124</v>
      </c>
      <c r="H126" s="117" t="s">
        <v>801</v>
      </c>
      <c r="I126" s="116" t="s">
        <v>801</v>
      </c>
      <c r="J126" s="113">
        <v>10500100970901</v>
      </c>
      <c r="K126" s="114" t="s">
        <v>89</v>
      </c>
      <c r="L126" s="114"/>
      <c r="M126" s="114">
        <v>8</v>
      </c>
      <c r="N126" s="116" t="s">
        <v>768</v>
      </c>
      <c r="O126" s="117" t="s">
        <v>802</v>
      </c>
      <c r="P126" s="116" t="s">
        <v>803</v>
      </c>
      <c r="Q126" s="117" t="s">
        <v>804</v>
      </c>
      <c r="R126" s="117" t="s">
        <v>805</v>
      </c>
      <c r="S126" s="118" t="s">
        <v>806</v>
      </c>
      <c r="T126" s="119">
        <v>0</v>
      </c>
      <c r="U126" s="120">
        <v>234</v>
      </c>
      <c r="V126" s="120">
        <v>58</v>
      </c>
      <c r="W126" s="64" t="s">
        <v>2864</v>
      </c>
      <c r="X126" s="64" t="s">
        <v>2609</v>
      </c>
      <c r="Y126" s="121">
        <v>292</v>
      </c>
      <c r="Z126" s="119">
        <v>0</v>
      </c>
      <c r="AA126" s="120">
        <v>202</v>
      </c>
      <c r="AB126" s="120">
        <v>187</v>
      </c>
      <c r="AC126" s="64" t="s">
        <v>2866</v>
      </c>
      <c r="AD126" s="64" t="s">
        <v>2867</v>
      </c>
      <c r="AE126" s="121">
        <v>389</v>
      </c>
      <c r="AF126" s="122">
        <f t="shared" si="1"/>
        <v>681</v>
      </c>
      <c r="AG126" s="113"/>
      <c r="AH126" s="167"/>
    </row>
    <row r="127" spans="1:34" s="18" customFormat="1" ht="28.8" hidden="1">
      <c r="A127" s="53">
        <v>1125</v>
      </c>
      <c r="B127" s="54" t="s">
        <v>2609</v>
      </c>
      <c r="C127" s="54" t="s">
        <v>2863</v>
      </c>
      <c r="D127" s="54" t="s">
        <v>2864</v>
      </c>
      <c r="E127" s="53">
        <v>1</v>
      </c>
      <c r="F127" s="110">
        <v>3</v>
      </c>
      <c r="G127" s="56">
        <v>125</v>
      </c>
      <c r="H127" s="117" t="s">
        <v>807</v>
      </c>
      <c r="I127" s="116" t="s">
        <v>807</v>
      </c>
      <c r="J127" s="113">
        <v>10500100970904</v>
      </c>
      <c r="K127" s="114" t="s">
        <v>89</v>
      </c>
      <c r="L127" s="114"/>
      <c r="M127" s="114">
        <v>8</v>
      </c>
      <c r="N127" s="116" t="s">
        <v>808</v>
      </c>
      <c r="O127" s="117" t="s">
        <v>809</v>
      </c>
      <c r="P127" s="116">
        <v>2691841</v>
      </c>
      <c r="Q127" s="117" t="s">
        <v>804</v>
      </c>
      <c r="R127" s="117" t="s">
        <v>810</v>
      </c>
      <c r="S127" s="118" t="s">
        <v>811</v>
      </c>
      <c r="T127" s="119">
        <v>67</v>
      </c>
      <c r="U127" s="120">
        <v>97</v>
      </c>
      <c r="V127" s="120">
        <v>0</v>
      </c>
      <c r="W127" s="64" t="s">
        <v>2864</v>
      </c>
      <c r="X127" s="64" t="s">
        <v>2609</v>
      </c>
      <c r="Y127" s="121">
        <v>164</v>
      </c>
      <c r="Z127" s="119">
        <v>0</v>
      </c>
      <c r="AA127" s="120">
        <v>0</v>
      </c>
      <c r="AB127" s="120">
        <v>0</v>
      </c>
      <c r="AC127" s="64"/>
      <c r="AD127" s="64"/>
      <c r="AE127" s="121">
        <v>0</v>
      </c>
      <c r="AF127" s="122">
        <f t="shared" si="1"/>
        <v>164</v>
      </c>
      <c r="AG127" s="113" t="s">
        <v>140</v>
      </c>
      <c r="AH127" s="167"/>
    </row>
    <row r="128" spans="1:34" s="18" customFormat="1" ht="115.2" hidden="1">
      <c r="A128" s="53">
        <v>1126</v>
      </c>
      <c r="B128" s="54" t="s">
        <v>2907</v>
      </c>
      <c r="C128" s="54" t="s">
        <v>2863</v>
      </c>
      <c r="D128" s="54" t="s">
        <v>2865</v>
      </c>
      <c r="E128" s="53">
        <v>1</v>
      </c>
      <c r="F128" s="110">
        <v>3</v>
      </c>
      <c r="G128" s="56">
        <v>126</v>
      </c>
      <c r="H128" s="117" t="s">
        <v>812</v>
      </c>
      <c r="I128" s="116" t="s">
        <v>812</v>
      </c>
      <c r="J128" s="113">
        <v>10500102577101</v>
      </c>
      <c r="K128" s="114" t="s">
        <v>89</v>
      </c>
      <c r="L128" s="114"/>
      <c r="M128" s="114">
        <v>8</v>
      </c>
      <c r="N128" s="116" t="s">
        <v>758</v>
      </c>
      <c r="O128" s="117" t="s">
        <v>813</v>
      </c>
      <c r="P128" s="116" t="s">
        <v>814</v>
      </c>
      <c r="Q128" s="117" t="s">
        <v>815</v>
      </c>
      <c r="R128" s="117" t="s">
        <v>816</v>
      </c>
      <c r="S128" s="118" t="s">
        <v>817</v>
      </c>
      <c r="T128" s="119">
        <v>56</v>
      </c>
      <c r="U128" s="120">
        <v>495</v>
      </c>
      <c r="V128" s="120">
        <v>69</v>
      </c>
      <c r="W128" s="64" t="s">
        <v>2864</v>
      </c>
      <c r="X128" s="64" t="s">
        <v>2609</v>
      </c>
      <c r="Y128" s="121">
        <v>620</v>
      </c>
      <c r="Z128" s="119">
        <v>0</v>
      </c>
      <c r="AA128" s="120">
        <v>160</v>
      </c>
      <c r="AB128" s="120">
        <v>0</v>
      </c>
      <c r="AC128" s="64" t="s">
        <v>2866</v>
      </c>
      <c r="AD128" s="64" t="s">
        <v>2867</v>
      </c>
      <c r="AE128" s="121">
        <v>160</v>
      </c>
      <c r="AF128" s="122">
        <f t="shared" si="1"/>
        <v>780</v>
      </c>
      <c r="AG128" s="113"/>
      <c r="AH128" s="167"/>
    </row>
    <row r="129" spans="1:34" s="18" customFormat="1" ht="28.8" hidden="1">
      <c r="A129" s="53">
        <v>1127</v>
      </c>
      <c r="B129" s="54" t="s">
        <v>2609</v>
      </c>
      <c r="C129" s="54" t="s">
        <v>2863</v>
      </c>
      <c r="D129" s="54" t="s">
        <v>2864</v>
      </c>
      <c r="E129" s="53">
        <v>1</v>
      </c>
      <c r="F129" s="110">
        <v>3</v>
      </c>
      <c r="G129" s="56">
        <v>127</v>
      </c>
      <c r="H129" s="117" t="s">
        <v>818</v>
      </c>
      <c r="I129" s="116" t="s">
        <v>818</v>
      </c>
      <c r="J129" s="113">
        <v>10500102577102</v>
      </c>
      <c r="K129" s="114" t="s">
        <v>89</v>
      </c>
      <c r="L129" s="114"/>
      <c r="M129" s="114">
        <v>8</v>
      </c>
      <c r="N129" s="116" t="s">
        <v>819</v>
      </c>
      <c r="O129" s="117" t="s">
        <v>820</v>
      </c>
      <c r="P129" s="116">
        <v>2845326</v>
      </c>
      <c r="Q129" s="117" t="s">
        <v>821</v>
      </c>
      <c r="R129" s="117" t="s">
        <v>822</v>
      </c>
      <c r="S129" s="118" t="s">
        <v>823</v>
      </c>
      <c r="T129" s="119">
        <v>296</v>
      </c>
      <c r="U129" s="120">
        <v>64</v>
      </c>
      <c r="V129" s="120">
        <v>0</v>
      </c>
      <c r="W129" s="64" t="s">
        <v>2864</v>
      </c>
      <c r="X129" s="64" t="s">
        <v>2609</v>
      </c>
      <c r="Y129" s="121">
        <v>360</v>
      </c>
      <c r="Z129" s="119">
        <v>0</v>
      </c>
      <c r="AA129" s="120">
        <v>0</v>
      </c>
      <c r="AB129" s="120">
        <v>0</v>
      </c>
      <c r="AC129" s="64"/>
      <c r="AD129" s="64"/>
      <c r="AE129" s="121">
        <v>0</v>
      </c>
      <c r="AF129" s="122">
        <f t="shared" si="1"/>
        <v>360</v>
      </c>
      <c r="AG129" s="163"/>
      <c r="AH129" s="375"/>
    </row>
    <row r="130" spans="1:34" s="18" customFormat="1" ht="28.8" hidden="1">
      <c r="A130" s="53">
        <v>1128</v>
      </c>
      <c r="B130" s="54" t="s">
        <v>2609</v>
      </c>
      <c r="C130" s="54" t="s">
        <v>2863</v>
      </c>
      <c r="D130" s="54" t="s">
        <v>2864</v>
      </c>
      <c r="E130" s="53">
        <v>1</v>
      </c>
      <c r="F130" s="168">
        <v>3</v>
      </c>
      <c r="G130" s="56">
        <v>128</v>
      </c>
      <c r="H130" s="169" t="s">
        <v>824</v>
      </c>
      <c r="I130" s="170" t="s">
        <v>824</v>
      </c>
      <c r="J130" s="171">
        <v>10500101107002</v>
      </c>
      <c r="K130" s="172" t="s">
        <v>89</v>
      </c>
      <c r="L130" s="172"/>
      <c r="M130" s="172">
        <v>9</v>
      </c>
      <c r="N130" s="170" t="s">
        <v>825</v>
      </c>
      <c r="O130" s="173" t="s">
        <v>826</v>
      </c>
      <c r="P130" s="170">
        <v>2212665</v>
      </c>
      <c r="Q130" s="173" t="s">
        <v>827</v>
      </c>
      <c r="R130" s="173" t="s">
        <v>828</v>
      </c>
      <c r="S130" s="174" t="s">
        <v>829</v>
      </c>
      <c r="T130" s="137">
        <v>113</v>
      </c>
      <c r="U130" s="138">
        <v>87</v>
      </c>
      <c r="V130" s="138">
        <v>0</v>
      </c>
      <c r="W130" s="64" t="s">
        <v>2864</v>
      </c>
      <c r="X130" s="64" t="s">
        <v>2609</v>
      </c>
      <c r="Y130" s="175">
        <v>200</v>
      </c>
      <c r="Z130" s="137">
        <v>0</v>
      </c>
      <c r="AA130" s="138">
        <v>0</v>
      </c>
      <c r="AB130" s="138">
        <v>0</v>
      </c>
      <c r="AC130" s="64"/>
      <c r="AD130" s="64"/>
      <c r="AE130" s="175">
        <v>0</v>
      </c>
      <c r="AF130" s="176">
        <f t="shared" si="1"/>
        <v>200</v>
      </c>
      <c r="AG130" s="171"/>
      <c r="AH130" s="177"/>
    </row>
    <row r="131" spans="1:34" s="18" customFormat="1" ht="28.8" hidden="1">
      <c r="A131" s="53">
        <v>1129</v>
      </c>
      <c r="B131" s="54" t="s">
        <v>2609</v>
      </c>
      <c r="C131" s="54" t="s">
        <v>2863</v>
      </c>
      <c r="D131" s="54" t="s">
        <v>2864</v>
      </c>
      <c r="E131" s="53">
        <v>1</v>
      </c>
      <c r="F131" s="110">
        <v>3</v>
      </c>
      <c r="G131" s="56">
        <v>129</v>
      </c>
      <c r="H131" s="117" t="s">
        <v>830</v>
      </c>
      <c r="I131" s="116" t="s">
        <v>830</v>
      </c>
      <c r="J131" s="113">
        <v>10500100322101</v>
      </c>
      <c r="K131" s="114" t="s">
        <v>89</v>
      </c>
      <c r="L131" s="114"/>
      <c r="M131" s="114">
        <v>9</v>
      </c>
      <c r="N131" s="116" t="s">
        <v>831</v>
      </c>
      <c r="O131" s="117" t="s">
        <v>832</v>
      </c>
      <c r="P131" s="116">
        <v>2217929</v>
      </c>
      <c r="Q131" s="117" t="s">
        <v>833</v>
      </c>
      <c r="R131" s="117" t="s">
        <v>834</v>
      </c>
      <c r="S131" s="118" t="s">
        <v>835</v>
      </c>
      <c r="T131" s="119">
        <v>172</v>
      </c>
      <c r="U131" s="120">
        <v>178</v>
      </c>
      <c r="V131" s="120">
        <v>70</v>
      </c>
      <c r="W131" s="64" t="s">
        <v>2864</v>
      </c>
      <c r="X131" s="64" t="s">
        <v>2609</v>
      </c>
      <c r="Y131" s="121">
        <v>420</v>
      </c>
      <c r="Z131" s="119">
        <v>0</v>
      </c>
      <c r="AA131" s="120">
        <v>0</v>
      </c>
      <c r="AB131" s="120">
        <v>0</v>
      </c>
      <c r="AC131" s="64"/>
      <c r="AD131" s="64"/>
      <c r="AE131" s="121">
        <v>0</v>
      </c>
      <c r="AF131" s="122">
        <f t="shared" ref="AF131:AF194" si="2">+Y131+AE131</f>
        <v>420</v>
      </c>
      <c r="AG131" s="163"/>
      <c r="AH131" s="375"/>
    </row>
    <row r="132" spans="1:34" s="18" customFormat="1" ht="115.2" hidden="1">
      <c r="A132" s="53">
        <v>1130</v>
      </c>
      <c r="B132" s="54" t="s">
        <v>2907</v>
      </c>
      <c r="C132" s="54" t="s">
        <v>2863</v>
      </c>
      <c r="D132" s="54" t="s">
        <v>2865</v>
      </c>
      <c r="E132" s="53">
        <v>1</v>
      </c>
      <c r="F132" s="110">
        <v>3</v>
      </c>
      <c r="G132" s="56">
        <v>130</v>
      </c>
      <c r="H132" s="117" t="s">
        <v>836</v>
      </c>
      <c r="I132" s="116" t="s">
        <v>836</v>
      </c>
      <c r="J132" s="113">
        <v>10500101967401</v>
      </c>
      <c r="K132" s="114" t="s">
        <v>89</v>
      </c>
      <c r="L132" s="114"/>
      <c r="M132" s="114">
        <v>9</v>
      </c>
      <c r="N132" s="116" t="s">
        <v>837</v>
      </c>
      <c r="O132" s="117" t="s">
        <v>838</v>
      </c>
      <c r="P132" s="116" t="s">
        <v>839</v>
      </c>
      <c r="Q132" s="117" t="s">
        <v>840</v>
      </c>
      <c r="R132" s="117" t="s">
        <v>841</v>
      </c>
      <c r="S132" s="118" t="s">
        <v>842</v>
      </c>
      <c r="T132" s="119">
        <v>93</v>
      </c>
      <c r="U132" s="120">
        <v>180</v>
      </c>
      <c r="V132" s="120">
        <v>107</v>
      </c>
      <c r="W132" s="64" t="s">
        <v>2864</v>
      </c>
      <c r="X132" s="64" t="s">
        <v>2609</v>
      </c>
      <c r="Y132" s="121">
        <v>380</v>
      </c>
      <c r="Z132" s="119">
        <v>46</v>
      </c>
      <c r="AA132" s="120">
        <v>88</v>
      </c>
      <c r="AB132" s="120">
        <v>46</v>
      </c>
      <c r="AC132" s="64" t="s">
        <v>2866</v>
      </c>
      <c r="AD132" s="64" t="s">
        <v>2867</v>
      </c>
      <c r="AE132" s="121">
        <v>180</v>
      </c>
      <c r="AF132" s="122">
        <f t="shared" si="2"/>
        <v>560</v>
      </c>
      <c r="AG132" s="113"/>
      <c r="AH132" s="167"/>
    </row>
    <row r="133" spans="1:34" s="18" customFormat="1" ht="115.2" hidden="1">
      <c r="A133" s="53">
        <v>1131</v>
      </c>
      <c r="B133" s="54" t="s">
        <v>2907</v>
      </c>
      <c r="C133" s="54" t="s">
        <v>2863</v>
      </c>
      <c r="D133" s="54" t="s">
        <v>2865</v>
      </c>
      <c r="E133" s="53">
        <v>1</v>
      </c>
      <c r="F133" s="110">
        <v>3</v>
      </c>
      <c r="G133" s="56">
        <v>131</v>
      </c>
      <c r="H133" s="117" t="s">
        <v>843</v>
      </c>
      <c r="I133" s="116" t="s">
        <v>843</v>
      </c>
      <c r="J133" s="113">
        <v>10500100041801</v>
      </c>
      <c r="K133" s="114" t="s">
        <v>89</v>
      </c>
      <c r="L133" s="114"/>
      <c r="M133" s="114">
        <v>9</v>
      </c>
      <c r="N133" s="116" t="s">
        <v>844</v>
      </c>
      <c r="O133" s="117" t="s">
        <v>845</v>
      </c>
      <c r="P133" s="116" t="s">
        <v>846</v>
      </c>
      <c r="Q133" s="117" t="s">
        <v>847</v>
      </c>
      <c r="R133" s="117" t="s">
        <v>848</v>
      </c>
      <c r="S133" s="118" t="s">
        <v>849</v>
      </c>
      <c r="T133" s="119">
        <v>0</v>
      </c>
      <c r="U133" s="120">
        <v>170</v>
      </c>
      <c r="V133" s="120">
        <v>130</v>
      </c>
      <c r="W133" s="64" t="s">
        <v>2864</v>
      </c>
      <c r="X133" s="64" t="s">
        <v>2609</v>
      </c>
      <c r="Y133" s="121">
        <v>300</v>
      </c>
      <c r="Z133" s="119">
        <v>0</v>
      </c>
      <c r="AA133" s="120">
        <v>240</v>
      </c>
      <c r="AB133" s="120">
        <v>60</v>
      </c>
      <c r="AC133" s="64" t="s">
        <v>2866</v>
      </c>
      <c r="AD133" s="64" t="s">
        <v>2867</v>
      </c>
      <c r="AE133" s="121">
        <v>300</v>
      </c>
      <c r="AF133" s="122">
        <f t="shared" si="2"/>
        <v>600</v>
      </c>
      <c r="AG133" s="113"/>
      <c r="AH133" s="167"/>
    </row>
    <row r="134" spans="1:34" s="18" customFormat="1" ht="115.2" hidden="1">
      <c r="A134" s="53">
        <v>1132</v>
      </c>
      <c r="B134" s="54" t="s">
        <v>2907</v>
      </c>
      <c r="C134" s="54" t="s">
        <v>2863</v>
      </c>
      <c r="D134" s="54" t="s">
        <v>2865</v>
      </c>
      <c r="E134" s="53">
        <v>1</v>
      </c>
      <c r="F134" s="178">
        <v>3</v>
      </c>
      <c r="G134" s="56">
        <v>132</v>
      </c>
      <c r="H134" s="117" t="s">
        <v>850</v>
      </c>
      <c r="I134" s="179" t="s">
        <v>850</v>
      </c>
      <c r="J134" s="180">
        <v>10500100041802</v>
      </c>
      <c r="K134" s="181" t="s">
        <v>89</v>
      </c>
      <c r="L134" s="114"/>
      <c r="M134" s="181">
        <v>9</v>
      </c>
      <c r="N134" s="179" t="s">
        <v>851</v>
      </c>
      <c r="O134" s="182" t="s">
        <v>852</v>
      </c>
      <c r="P134" s="179" t="s">
        <v>853</v>
      </c>
      <c r="Q134" s="182" t="s">
        <v>847</v>
      </c>
      <c r="R134" s="182" t="s">
        <v>854</v>
      </c>
      <c r="S134" s="183" t="s">
        <v>855</v>
      </c>
      <c r="T134" s="184">
        <v>220</v>
      </c>
      <c r="U134" s="185">
        <v>160</v>
      </c>
      <c r="V134" s="185">
        <v>0</v>
      </c>
      <c r="W134" s="64" t="s">
        <v>2864</v>
      </c>
      <c r="X134" s="64" t="s">
        <v>2609</v>
      </c>
      <c r="Y134" s="186">
        <v>380</v>
      </c>
      <c r="Z134" s="184">
        <v>155</v>
      </c>
      <c r="AA134" s="185">
        <v>115</v>
      </c>
      <c r="AB134" s="185">
        <v>0</v>
      </c>
      <c r="AC134" s="64" t="s">
        <v>2866</v>
      </c>
      <c r="AD134" s="64" t="s">
        <v>2867</v>
      </c>
      <c r="AE134" s="186">
        <v>270</v>
      </c>
      <c r="AF134" s="187">
        <f t="shared" si="2"/>
        <v>650</v>
      </c>
      <c r="AG134" s="180" t="s">
        <v>140</v>
      </c>
      <c r="AH134" s="376"/>
    </row>
    <row r="135" spans="1:34" s="18" customFormat="1" ht="115.2" hidden="1">
      <c r="A135" s="53">
        <v>1133</v>
      </c>
      <c r="B135" s="54" t="s">
        <v>2907</v>
      </c>
      <c r="C135" s="54" t="s">
        <v>2863</v>
      </c>
      <c r="D135" s="54" t="s">
        <v>2865</v>
      </c>
      <c r="E135" s="53">
        <v>1</v>
      </c>
      <c r="F135" s="188">
        <v>3</v>
      </c>
      <c r="G135" s="70">
        <v>133</v>
      </c>
      <c r="H135" s="384" t="s">
        <v>856</v>
      </c>
      <c r="I135" s="385" t="s">
        <v>856</v>
      </c>
      <c r="J135" s="190">
        <v>10500100099001</v>
      </c>
      <c r="K135" s="191" t="s">
        <v>89</v>
      </c>
      <c r="L135" s="192"/>
      <c r="M135" s="191">
        <v>9</v>
      </c>
      <c r="N135" s="189" t="s">
        <v>857</v>
      </c>
      <c r="O135" s="193" t="s">
        <v>858</v>
      </c>
      <c r="P135" s="189" t="s">
        <v>859</v>
      </c>
      <c r="Q135" s="193" t="s">
        <v>860</v>
      </c>
      <c r="R135" s="194" t="s">
        <v>861</v>
      </c>
      <c r="S135" s="195" t="s">
        <v>862</v>
      </c>
      <c r="T135" s="196">
        <v>0</v>
      </c>
      <c r="U135" s="197">
        <v>217</v>
      </c>
      <c r="V135" s="197">
        <v>103</v>
      </c>
      <c r="W135" s="64" t="s">
        <v>2864</v>
      </c>
      <c r="X135" s="64" t="s">
        <v>2609</v>
      </c>
      <c r="Y135" s="198">
        <v>320</v>
      </c>
      <c r="Z135" s="196">
        <v>0</v>
      </c>
      <c r="AA135" s="197">
        <v>74</v>
      </c>
      <c r="AB135" s="197">
        <v>186</v>
      </c>
      <c r="AC135" s="64" t="s">
        <v>2866</v>
      </c>
      <c r="AD135" s="64" t="s">
        <v>2867</v>
      </c>
      <c r="AE135" s="198">
        <v>260</v>
      </c>
      <c r="AF135" s="199">
        <f t="shared" si="2"/>
        <v>580</v>
      </c>
      <c r="AG135" s="200"/>
      <c r="AH135" s="201" t="s">
        <v>863</v>
      </c>
    </row>
    <row r="136" spans="1:34" s="18" customFormat="1" ht="115.8" hidden="1" thickBot="1">
      <c r="A136" s="53">
        <v>1134</v>
      </c>
      <c r="B136" s="54" t="s">
        <v>2907</v>
      </c>
      <c r="C136" s="54" t="s">
        <v>2863</v>
      </c>
      <c r="D136" s="54" t="s">
        <v>2865</v>
      </c>
      <c r="E136" s="53">
        <v>1</v>
      </c>
      <c r="F136" s="202">
        <v>3</v>
      </c>
      <c r="G136" s="70">
        <v>134</v>
      </c>
      <c r="H136" s="384" t="s">
        <v>856</v>
      </c>
      <c r="I136" s="386" t="s">
        <v>864</v>
      </c>
      <c r="J136" s="204">
        <v>10500100099003</v>
      </c>
      <c r="K136" s="205" t="s">
        <v>89</v>
      </c>
      <c r="L136" s="192"/>
      <c r="M136" s="205">
        <v>9</v>
      </c>
      <c r="N136" s="203" t="s">
        <v>825</v>
      </c>
      <c r="O136" s="206" t="s">
        <v>858</v>
      </c>
      <c r="P136" s="203">
        <v>2696380</v>
      </c>
      <c r="Q136" s="206" t="s">
        <v>860</v>
      </c>
      <c r="R136" s="207" t="s">
        <v>865</v>
      </c>
      <c r="S136" s="208" t="s">
        <v>862</v>
      </c>
      <c r="T136" s="209">
        <v>175</v>
      </c>
      <c r="U136" s="210">
        <v>70</v>
      </c>
      <c r="V136" s="210">
        <v>0</v>
      </c>
      <c r="W136" s="64" t="s">
        <v>2864</v>
      </c>
      <c r="X136" s="64" t="s">
        <v>2609</v>
      </c>
      <c r="Y136" s="211">
        <v>245</v>
      </c>
      <c r="Z136" s="209">
        <v>65</v>
      </c>
      <c r="AA136" s="210">
        <v>45</v>
      </c>
      <c r="AB136" s="210">
        <v>0</v>
      </c>
      <c r="AC136" s="64" t="s">
        <v>2866</v>
      </c>
      <c r="AD136" s="64" t="s">
        <v>2867</v>
      </c>
      <c r="AE136" s="211">
        <v>110</v>
      </c>
      <c r="AF136" s="212">
        <f t="shared" si="2"/>
        <v>355</v>
      </c>
      <c r="AG136" s="213" t="s">
        <v>140</v>
      </c>
      <c r="AH136" s="214" t="s">
        <v>863</v>
      </c>
    </row>
    <row r="137" spans="1:34" s="18" customFormat="1" ht="115.2" hidden="1">
      <c r="A137" s="53">
        <v>1135</v>
      </c>
      <c r="B137" s="54" t="s">
        <v>2907</v>
      </c>
      <c r="C137" s="54" t="s">
        <v>2863</v>
      </c>
      <c r="D137" s="54" t="s">
        <v>2865</v>
      </c>
      <c r="E137" s="53">
        <v>1</v>
      </c>
      <c r="F137" s="215">
        <v>3</v>
      </c>
      <c r="G137" s="56">
        <v>135</v>
      </c>
      <c r="H137" s="117" t="s">
        <v>866</v>
      </c>
      <c r="I137" s="216" t="s">
        <v>866</v>
      </c>
      <c r="J137" s="217">
        <v>10500100099002</v>
      </c>
      <c r="K137" s="218" t="s">
        <v>89</v>
      </c>
      <c r="L137" s="114"/>
      <c r="M137" s="218">
        <v>9</v>
      </c>
      <c r="N137" s="216" t="s">
        <v>844</v>
      </c>
      <c r="O137" s="219" t="s">
        <v>867</v>
      </c>
      <c r="P137" s="216" t="s">
        <v>868</v>
      </c>
      <c r="Q137" s="219" t="s">
        <v>860</v>
      </c>
      <c r="R137" s="219" t="s">
        <v>869</v>
      </c>
      <c r="S137" s="220" t="s">
        <v>870</v>
      </c>
      <c r="T137" s="221">
        <v>224</v>
      </c>
      <c r="U137" s="222">
        <v>77</v>
      </c>
      <c r="V137" s="222">
        <v>0</v>
      </c>
      <c r="W137" s="64" t="s">
        <v>2864</v>
      </c>
      <c r="X137" s="64" t="s">
        <v>2609</v>
      </c>
      <c r="Y137" s="223">
        <v>301</v>
      </c>
      <c r="Z137" s="221">
        <v>53</v>
      </c>
      <c r="AA137" s="222">
        <v>55</v>
      </c>
      <c r="AB137" s="222">
        <v>0</v>
      </c>
      <c r="AC137" s="64" t="s">
        <v>2866</v>
      </c>
      <c r="AD137" s="64" t="s">
        <v>2867</v>
      </c>
      <c r="AE137" s="223">
        <v>108</v>
      </c>
      <c r="AF137" s="224">
        <f t="shared" si="2"/>
        <v>409</v>
      </c>
      <c r="AG137" s="217"/>
      <c r="AH137" s="377"/>
    </row>
    <row r="138" spans="1:34" s="18" customFormat="1" ht="28.8" hidden="1">
      <c r="A138" s="53">
        <v>1136</v>
      </c>
      <c r="B138" s="54" t="s">
        <v>2609</v>
      </c>
      <c r="C138" s="54" t="s">
        <v>2863</v>
      </c>
      <c r="D138" s="54" t="s">
        <v>2864</v>
      </c>
      <c r="E138" s="53">
        <v>1</v>
      </c>
      <c r="F138" s="110">
        <v>3</v>
      </c>
      <c r="G138" s="56">
        <v>136</v>
      </c>
      <c r="H138" s="117" t="s">
        <v>871</v>
      </c>
      <c r="I138" s="116" t="s">
        <v>871</v>
      </c>
      <c r="J138" s="113">
        <v>10500102666201</v>
      </c>
      <c r="K138" s="114" t="s">
        <v>89</v>
      </c>
      <c r="L138" s="114"/>
      <c r="M138" s="114">
        <v>9</v>
      </c>
      <c r="N138" s="116" t="s">
        <v>872</v>
      </c>
      <c r="O138" s="117" t="s">
        <v>873</v>
      </c>
      <c r="P138" s="116" t="s">
        <v>874</v>
      </c>
      <c r="Q138" s="117" t="s">
        <v>875</v>
      </c>
      <c r="R138" s="117" t="s">
        <v>876</v>
      </c>
      <c r="S138" s="118" t="s">
        <v>877</v>
      </c>
      <c r="T138" s="119">
        <v>130</v>
      </c>
      <c r="U138" s="120">
        <v>50</v>
      </c>
      <c r="V138" s="120">
        <v>70</v>
      </c>
      <c r="W138" s="64" t="s">
        <v>2864</v>
      </c>
      <c r="X138" s="64" t="s">
        <v>2609</v>
      </c>
      <c r="Y138" s="121">
        <v>250</v>
      </c>
      <c r="Z138" s="119">
        <v>0</v>
      </c>
      <c r="AA138" s="120">
        <v>0</v>
      </c>
      <c r="AB138" s="120">
        <v>0</v>
      </c>
      <c r="AC138" s="64"/>
      <c r="AD138" s="64"/>
      <c r="AE138" s="121">
        <v>0</v>
      </c>
      <c r="AF138" s="122">
        <f t="shared" si="2"/>
        <v>250</v>
      </c>
      <c r="AG138" s="113" t="s">
        <v>140</v>
      </c>
      <c r="AH138" s="167"/>
    </row>
    <row r="139" spans="1:34" s="18" customFormat="1" ht="115.2" hidden="1">
      <c r="A139" s="53">
        <v>1137</v>
      </c>
      <c r="B139" s="54" t="s">
        <v>2907</v>
      </c>
      <c r="C139" s="54" t="s">
        <v>2863</v>
      </c>
      <c r="D139" s="54" t="s">
        <v>2865</v>
      </c>
      <c r="E139" s="53">
        <v>1</v>
      </c>
      <c r="F139" s="110">
        <v>3</v>
      </c>
      <c r="G139" s="56">
        <v>137</v>
      </c>
      <c r="H139" s="117" t="s">
        <v>878</v>
      </c>
      <c r="I139" s="116" t="s">
        <v>878</v>
      </c>
      <c r="J139" s="113">
        <v>30500101969001</v>
      </c>
      <c r="K139" s="114" t="s">
        <v>89</v>
      </c>
      <c r="L139" s="114"/>
      <c r="M139" s="114">
        <v>9</v>
      </c>
      <c r="N139" s="116" t="s">
        <v>879</v>
      </c>
      <c r="O139" s="117" t="s">
        <v>880</v>
      </c>
      <c r="P139" s="116" t="s">
        <v>881</v>
      </c>
      <c r="Q139" s="117" t="s">
        <v>882</v>
      </c>
      <c r="R139" s="117" t="s">
        <v>883</v>
      </c>
      <c r="S139" s="118" t="s">
        <v>884</v>
      </c>
      <c r="T139" s="119">
        <v>426</v>
      </c>
      <c r="U139" s="120">
        <v>164</v>
      </c>
      <c r="V139" s="120">
        <v>60</v>
      </c>
      <c r="W139" s="64" t="s">
        <v>2864</v>
      </c>
      <c r="X139" s="64" t="s">
        <v>2609</v>
      </c>
      <c r="Y139" s="121">
        <v>650</v>
      </c>
      <c r="Z139" s="119">
        <v>0</v>
      </c>
      <c r="AA139" s="120">
        <v>476</v>
      </c>
      <c r="AB139" s="120">
        <v>99</v>
      </c>
      <c r="AC139" s="64" t="s">
        <v>2866</v>
      </c>
      <c r="AD139" s="64" t="s">
        <v>2867</v>
      </c>
      <c r="AE139" s="121">
        <v>575</v>
      </c>
      <c r="AF139" s="122">
        <f t="shared" si="2"/>
        <v>1225</v>
      </c>
      <c r="AG139" s="113"/>
      <c r="AH139" s="167"/>
    </row>
    <row r="140" spans="1:34" s="18" customFormat="1" ht="115.2" hidden="1">
      <c r="A140" s="53">
        <v>1138</v>
      </c>
      <c r="B140" s="54" t="s">
        <v>2907</v>
      </c>
      <c r="C140" s="54" t="s">
        <v>2863</v>
      </c>
      <c r="D140" s="54" t="s">
        <v>2865</v>
      </c>
      <c r="E140" s="53">
        <v>1</v>
      </c>
      <c r="F140" s="110">
        <v>3</v>
      </c>
      <c r="G140" s="56">
        <v>138</v>
      </c>
      <c r="H140" s="117" t="s">
        <v>885</v>
      </c>
      <c r="I140" s="116" t="s">
        <v>885</v>
      </c>
      <c r="J140" s="113">
        <v>10500100201101</v>
      </c>
      <c r="K140" s="114" t="s">
        <v>89</v>
      </c>
      <c r="L140" s="114"/>
      <c r="M140" s="114">
        <v>9</v>
      </c>
      <c r="N140" s="116" t="s">
        <v>857</v>
      </c>
      <c r="O140" s="117" t="s">
        <v>886</v>
      </c>
      <c r="P140" s="116" t="s">
        <v>887</v>
      </c>
      <c r="Q140" s="117" t="s">
        <v>888</v>
      </c>
      <c r="R140" s="117" t="s">
        <v>889</v>
      </c>
      <c r="S140" s="118" t="s">
        <v>890</v>
      </c>
      <c r="T140" s="119">
        <v>30</v>
      </c>
      <c r="U140" s="120">
        <v>40</v>
      </c>
      <c r="V140" s="120">
        <v>50</v>
      </c>
      <c r="W140" s="64" t="s">
        <v>2864</v>
      </c>
      <c r="X140" s="64" t="s">
        <v>2609</v>
      </c>
      <c r="Y140" s="121">
        <v>120</v>
      </c>
      <c r="Z140" s="119">
        <v>200</v>
      </c>
      <c r="AA140" s="120">
        <v>200</v>
      </c>
      <c r="AB140" s="120">
        <v>140</v>
      </c>
      <c r="AC140" s="64" t="s">
        <v>2866</v>
      </c>
      <c r="AD140" s="64" t="s">
        <v>2867</v>
      </c>
      <c r="AE140" s="121">
        <v>540</v>
      </c>
      <c r="AF140" s="122">
        <f t="shared" si="2"/>
        <v>660</v>
      </c>
      <c r="AG140" s="113"/>
      <c r="AH140" s="167"/>
    </row>
    <row r="141" spans="1:34" s="18" customFormat="1" ht="28.8" hidden="1">
      <c r="A141" s="53">
        <v>1139</v>
      </c>
      <c r="B141" s="54" t="s">
        <v>2609</v>
      </c>
      <c r="C141" s="54" t="s">
        <v>2863</v>
      </c>
      <c r="D141" s="54" t="s">
        <v>2864</v>
      </c>
      <c r="E141" s="53">
        <v>1</v>
      </c>
      <c r="F141" s="110">
        <v>3</v>
      </c>
      <c r="G141" s="56">
        <v>139</v>
      </c>
      <c r="H141" s="117" t="s">
        <v>891</v>
      </c>
      <c r="I141" s="116" t="s">
        <v>891</v>
      </c>
      <c r="J141" s="113">
        <v>10500100156202</v>
      </c>
      <c r="K141" s="114" t="s">
        <v>89</v>
      </c>
      <c r="L141" s="114"/>
      <c r="M141" s="114">
        <v>10</v>
      </c>
      <c r="N141" s="116" t="s">
        <v>892</v>
      </c>
      <c r="O141" s="117" t="s">
        <v>893</v>
      </c>
      <c r="P141" s="116">
        <v>2390534</v>
      </c>
      <c r="Q141" s="117" t="s">
        <v>894</v>
      </c>
      <c r="R141" s="117" t="s">
        <v>895</v>
      </c>
      <c r="S141" s="118" t="s">
        <v>896</v>
      </c>
      <c r="T141" s="119">
        <v>45</v>
      </c>
      <c r="U141" s="120">
        <v>60</v>
      </c>
      <c r="V141" s="120">
        <v>0</v>
      </c>
      <c r="W141" s="64" t="s">
        <v>2864</v>
      </c>
      <c r="X141" s="64" t="s">
        <v>2609</v>
      </c>
      <c r="Y141" s="121">
        <v>105</v>
      </c>
      <c r="Z141" s="119">
        <v>0</v>
      </c>
      <c r="AA141" s="120">
        <v>0</v>
      </c>
      <c r="AB141" s="120">
        <v>0</v>
      </c>
      <c r="AC141" s="64"/>
      <c r="AD141" s="64"/>
      <c r="AE141" s="121">
        <v>0</v>
      </c>
      <c r="AF141" s="122">
        <f t="shared" si="2"/>
        <v>105</v>
      </c>
      <c r="AG141" s="113"/>
      <c r="AH141" s="167"/>
    </row>
    <row r="142" spans="1:34" s="18" customFormat="1" ht="28.8" hidden="1">
      <c r="A142" s="53">
        <v>1140</v>
      </c>
      <c r="B142" s="54" t="s">
        <v>2609</v>
      </c>
      <c r="C142" s="54" t="s">
        <v>2863</v>
      </c>
      <c r="D142" s="54" t="s">
        <v>2864</v>
      </c>
      <c r="E142" s="53">
        <v>1</v>
      </c>
      <c r="F142" s="110">
        <v>3</v>
      </c>
      <c r="G142" s="56">
        <v>140</v>
      </c>
      <c r="H142" s="117" t="s">
        <v>897</v>
      </c>
      <c r="I142" s="116" t="s">
        <v>897</v>
      </c>
      <c r="J142" s="113">
        <v>10500100156203</v>
      </c>
      <c r="K142" s="114" t="s">
        <v>89</v>
      </c>
      <c r="L142" s="114"/>
      <c r="M142" s="114">
        <v>10</v>
      </c>
      <c r="N142" s="116" t="s">
        <v>898</v>
      </c>
      <c r="O142" s="117" t="s">
        <v>899</v>
      </c>
      <c r="P142" s="116" t="s">
        <v>900</v>
      </c>
      <c r="Q142" s="117" t="s">
        <v>894</v>
      </c>
      <c r="R142" s="117" t="s">
        <v>901</v>
      </c>
      <c r="S142" s="118" t="s">
        <v>902</v>
      </c>
      <c r="T142" s="119">
        <v>137</v>
      </c>
      <c r="U142" s="120">
        <v>49</v>
      </c>
      <c r="V142" s="120">
        <v>0</v>
      </c>
      <c r="W142" s="64" t="s">
        <v>2864</v>
      </c>
      <c r="X142" s="64" t="s">
        <v>2609</v>
      </c>
      <c r="Y142" s="121">
        <v>186</v>
      </c>
      <c r="Z142" s="119">
        <v>0</v>
      </c>
      <c r="AA142" s="120">
        <v>0</v>
      </c>
      <c r="AB142" s="120">
        <v>0</v>
      </c>
      <c r="AC142" s="64"/>
      <c r="AD142" s="64"/>
      <c r="AE142" s="121">
        <v>0</v>
      </c>
      <c r="AF142" s="122">
        <f t="shared" si="2"/>
        <v>186</v>
      </c>
      <c r="AG142" s="113"/>
      <c r="AH142" s="167"/>
    </row>
    <row r="143" spans="1:34" s="18" customFormat="1" ht="28.8" hidden="1">
      <c r="A143" s="53">
        <v>1141</v>
      </c>
      <c r="B143" s="54" t="s">
        <v>2609</v>
      </c>
      <c r="C143" s="54" t="s">
        <v>2863</v>
      </c>
      <c r="D143" s="54" t="s">
        <v>2864</v>
      </c>
      <c r="E143" s="53">
        <v>1</v>
      </c>
      <c r="F143" s="110">
        <v>3</v>
      </c>
      <c r="G143" s="56">
        <v>141</v>
      </c>
      <c r="H143" s="117" t="s">
        <v>903</v>
      </c>
      <c r="I143" s="116" t="s">
        <v>903</v>
      </c>
      <c r="J143" s="113">
        <v>10500100534701</v>
      </c>
      <c r="K143" s="114" t="s">
        <v>89</v>
      </c>
      <c r="L143" s="114"/>
      <c r="M143" s="114">
        <v>10</v>
      </c>
      <c r="N143" s="116" t="s">
        <v>904</v>
      </c>
      <c r="O143" s="117" t="s">
        <v>905</v>
      </c>
      <c r="P143" s="116" t="s">
        <v>906</v>
      </c>
      <c r="Q143" s="117" t="s">
        <v>907</v>
      </c>
      <c r="R143" s="117" t="s">
        <v>908</v>
      </c>
      <c r="S143" s="118" t="s">
        <v>909</v>
      </c>
      <c r="T143" s="119">
        <v>142</v>
      </c>
      <c r="U143" s="120">
        <v>139</v>
      </c>
      <c r="V143" s="120">
        <v>67</v>
      </c>
      <c r="W143" s="64" t="s">
        <v>2864</v>
      </c>
      <c r="X143" s="64" t="s">
        <v>2609</v>
      </c>
      <c r="Y143" s="121">
        <v>348</v>
      </c>
      <c r="Z143" s="119">
        <v>0</v>
      </c>
      <c r="AA143" s="120">
        <v>0</v>
      </c>
      <c r="AB143" s="120">
        <v>0</v>
      </c>
      <c r="AC143" s="64"/>
      <c r="AD143" s="64"/>
      <c r="AE143" s="121">
        <v>0</v>
      </c>
      <c r="AF143" s="122">
        <f t="shared" si="2"/>
        <v>348</v>
      </c>
      <c r="AG143" s="113"/>
      <c r="AH143" s="167"/>
    </row>
    <row r="144" spans="1:34" s="18" customFormat="1" ht="115.2" hidden="1">
      <c r="A144" s="53">
        <v>1142</v>
      </c>
      <c r="B144" s="54" t="s">
        <v>2907</v>
      </c>
      <c r="C144" s="54" t="s">
        <v>2863</v>
      </c>
      <c r="D144" s="54" t="s">
        <v>2865</v>
      </c>
      <c r="E144" s="53">
        <v>1</v>
      </c>
      <c r="F144" s="110">
        <v>3</v>
      </c>
      <c r="G144" s="56">
        <v>142</v>
      </c>
      <c r="H144" s="117" t="s">
        <v>910</v>
      </c>
      <c r="I144" s="116" t="s">
        <v>910</v>
      </c>
      <c r="J144" s="113">
        <v>10500100035304</v>
      </c>
      <c r="K144" s="114" t="s">
        <v>89</v>
      </c>
      <c r="L144" s="114"/>
      <c r="M144" s="114">
        <v>10</v>
      </c>
      <c r="N144" s="116" t="s">
        <v>911</v>
      </c>
      <c r="O144" s="117" t="s">
        <v>912</v>
      </c>
      <c r="P144" s="116" t="s">
        <v>913</v>
      </c>
      <c r="Q144" s="117" t="s">
        <v>914</v>
      </c>
      <c r="R144" s="117" t="s">
        <v>915</v>
      </c>
      <c r="S144" s="118" t="s">
        <v>916</v>
      </c>
      <c r="T144" s="119">
        <v>84</v>
      </c>
      <c r="U144" s="120">
        <v>104</v>
      </c>
      <c r="V144" s="120">
        <v>0</v>
      </c>
      <c r="W144" s="64" t="s">
        <v>2864</v>
      </c>
      <c r="X144" s="64" t="s">
        <v>2609</v>
      </c>
      <c r="Y144" s="121">
        <v>188</v>
      </c>
      <c r="Z144" s="119">
        <v>67</v>
      </c>
      <c r="AA144" s="120">
        <v>70</v>
      </c>
      <c r="AB144" s="120">
        <v>0</v>
      </c>
      <c r="AC144" s="64" t="s">
        <v>2866</v>
      </c>
      <c r="AD144" s="64" t="s">
        <v>2867</v>
      </c>
      <c r="AE144" s="121">
        <v>137</v>
      </c>
      <c r="AF144" s="122">
        <f t="shared" si="2"/>
        <v>325</v>
      </c>
      <c r="AG144" s="113"/>
      <c r="AH144" s="167"/>
    </row>
    <row r="145" spans="1:34" s="18" customFormat="1" ht="72" hidden="1">
      <c r="A145" s="53">
        <v>1143</v>
      </c>
      <c r="B145" s="54" t="s">
        <v>2906</v>
      </c>
      <c r="C145" s="54" t="s">
        <v>2863</v>
      </c>
      <c r="D145" s="54" t="s">
        <v>2864</v>
      </c>
      <c r="E145" s="53">
        <v>1</v>
      </c>
      <c r="F145" s="110">
        <v>4</v>
      </c>
      <c r="G145" s="56">
        <v>143</v>
      </c>
      <c r="H145" s="117" t="s">
        <v>917</v>
      </c>
      <c r="I145" s="112" t="s">
        <v>917</v>
      </c>
      <c r="J145" s="113">
        <v>10500100211904</v>
      </c>
      <c r="K145" s="114" t="s">
        <v>89</v>
      </c>
      <c r="L145" s="114"/>
      <c r="M145" s="114">
        <v>11</v>
      </c>
      <c r="N145" s="116" t="s">
        <v>918</v>
      </c>
      <c r="O145" s="117" t="s">
        <v>919</v>
      </c>
      <c r="P145" s="116">
        <v>2606802</v>
      </c>
      <c r="Q145" s="117" t="s">
        <v>920</v>
      </c>
      <c r="R145" s="117" t="s">
        <v>921</v>
      </c>
      <c r="S145" s="118" t="s">
        <v>922</v>
      </c>
      <c r="T145" s="119">
        <v>187</v>
      </c>
      <c r="U145" s="120">
        <v>113</v>
      </c>
      <c r="V145" s="120">
        <v>0</v>
      </c>
      <c r="W145" s="64" t="s">
        <v>2864</v>
      </c>
      <c r="X145" s="64" t="s">
        <v>2867</v>
      </c>
      <c r="Y145" s="121">
        <v>300</v>
      </c>
      <c r="Z145" s="119">
        <v>0</v>
      </c>
      <c r="AA145" s="120">
        <v>0</v>
      </c>
      <c r="AB145" s="120">
        <v>0</v>
      </c>
      <c r="AC145" s="64"/>
      <c r="AD145" s="64"/>
      <c r="AE145" s="121">
        <v>0</v>
      </c>
      <c r="AF145" s="122">
        <f t="shared" si="2"/>
        <v>300</v>
      </c>
      <c r="AG145" s="113"/>
      <c r="AH145" s="167"/>
    </row>
    <row r="146" spans="1:34" s="18" customFormat="1" ht="72" hidden="1">
      <c r="A146" s="53">
        <v>1144</v>
      </c>
      <c r="B146" s="54" t="s">
        <v>2906</v>
      </c>
      <c r="C146" s="54" t="s">
        <v>2863</v>
      </c>
      <c r="D146" s="54" t="s">
        <v>2865</v>
      </c>
      <c r="E146" s="53">
        <v>1</v>
      </c>
      <c r="F146" s="110">
        <v>4</v>
      </c>
      <c r="G146" s="56">
        <v>144</v>
      </c>
      <c r="H146" s="117" t="s">
        <v>923</v>
      </c>
      <c r="I146" s="112" t="s">
        <v>923</v>
      </c>
      <c r="J146" s="113">
        <v>10500100211902</v>
      </c>
      <c r="K146" s="114" t="s">
        <v>89</v>
      </c>
      <c r="L146" s="114"/>
      <c r="M146" s="114">
        <v>11</v>
      </c>
      <c r="N146" s="116" t="s">
        <v>924</v>
      </c>
      <c r="O146" s="117" t="s">
        <v>925</v>
      </c>
      <c r="P146" s="116" t="s">
        <v>926</v>
      </c>
      <c r="Q146" s="117" t="s">
        <v>927</v>
      </c>
      <c r="R146" s="117" t="s">
        <v>928</v>
      </c>
      <c r="S146" s="118" t="s">
        <v>929</v>
      </c>
      <c r="T146" s="119">
        <v>163</v>
      </c>
      <c r="U146" s="120">
        <v>57</v>
      </c>
      <c r="V146" s="120">
        <v>0</v>
      </c>
      <c r="W146" s="64" t="s">
        <v>2864</v>
      </c>
      <c r="X146" s="64" t="s">
        <v>2867</v>
      </c>
      <c r="Y146" s="121">
        <v>220</v>
      </c>
      <c r="Z146" s="119">
        <v>106</v>
      </c>
      <c r="AA146" s="120">
        <v>74</v>
      </c>
      <c r="AB146" s="120">
        <v>0</v>
      </c>
      <c r="AC146" s="64" t="s">
        <v>2866</v>
      </c>
      <c r="AD146" s="64" t="s">
        <v>2867</v>
      </c>
      <c r="AE146" s="121">
        <v>180</v>
      </c>
      <c r="AF146" s="122">
        <f t="shared" si="2"/>
        <v>400</v>
      </c>
      <c r="AG146" s="113"/>
      <c r="AH146" s="167"/>
    </row>
    <row r="147" spans="1:34" s="18" customFormat="1" ht="72" hidden="1">
      <c r="A147" s="53">
        <v>1145</v>
      </c>
      <c r="B147" s="54" t="s">
        <v>2906</v>
      </c>
      <c r="C147" s="54" t="s">
        <v>2863</v>
      </c>
      <c r="D147" s="54" t="s">
        <v>2864</v>
      </c>
      <c r="E147" s="53">
        <v>1</v>
      </c>
      <c r="F147" s="110">
        <v>4</v>
      </c>
      <c r="G147" s="56">
        <v>145</v>
      </c>
      <c r="H147" s="117" t="s">
        <v>930</v>
      </c>
      <c r="I147" s="112" t="s">
        <v>930</v>
      </c>
      <c r="J147" s="113">
        <v>10500100211903</v>
      </c>
      <c r="K147" s="114" t="s">
        <v>89</v>
      </c>
      <c r="L147" s="114"/>
      <c r="M147" s="114">
        <v>11</v>
      </c>
      <c r="N147" s="116" t="s">
        <v>931</v>
      </c>
      <c r="O147" s="117" t="s">
        <v>932</v>
      </c>
      <c r="P147" s="116">
        <v>2304985</v>
      </c>
      <c r="Q147" s="117" t="s">
        <v>933</v>
      </c>
      <c r="R147" s="117" t="s">
        <v>934</v>
      </c>
      <c r="S147" s="118" t="s">
        <v>935</v>
      </c>
      <c r="T147" s="119">
        <v>100</v>
      </c>
      <c r="U147" s="120">
        <v>80</v>
      </c>
      <c r="V147" s="120">
        <v>0</v>
      </c>
      <c r="W147" s="64" t="s">
        <v>2864</v>
      </c>
      <c r="X147" s="64" t="s">
        <v>2867</v>
      </c>
      <c r="Y147" s="121">
        <v>180</v>
      </c>
      <c r="Z147" s="119">
        <v>0</v>
      </c>
      <c r="AA147" s="120">
        <v>0</v>
      </c>
      <c r="AB147" s="120">
        <v>0</v>
      </c>
      <c r="AC147" s="64"/>
      <c r="AD147" s="64"/>
      <c r="AE147" s="121">
        <v>0</v>
      </c>
      <c r="AF147" s="122">
        <f t="shared" si="2"/>
        <v>180</v>
      </c>
      <c r="AG147" s="113"/>
      <c r="AH147" s="167"/>
    </row>
    <row r="148" spans="1:34" s="18" customFormat="1" ht="72" hidden="1">
      <c r="A148" s="53">
        <v>1146</v>
      </c>
      <c r="B148" s="54" t="s">
        <v>2906</v>
      </c>
      <c r="C148" s="54" t="s">
        <v>2863</v>
      </c>
      <c r="D148" s="54" t="s">
        <v>2864</v>
      </c>
      <c r="E148" s="53">
        <v>1</v>
      </c>
      <c r="F148" s="110">
        <v>4</v>
      </c>
      <c r="G148" s="56">
        <v>146</v>
      </c>
      <c r="H148" s="117" t="s">
        <v>936</v>
      </c>
      <c r="I148" s="112" t="s">
        <v>936</v>
      </c>
      <c r="J148" s="113">
        <v>10500100246101</v>
      </c>
      <c r="K148" s="114" t="s">
        <v>89</v>
      </c>
      <c r="L148" s="114"/>
      <c r="M148" s="114">
        <v>11</v>
      </c>
      <c r="N148" s="116" t="s">
        <v>937</v>
      </c>
      <c r="O148" s="117" t="s">
        <v>938</v>
      </c>
      <c r="P148" s="116" t="s">
        <v>939</v>
      </c>
      <c r="Q148" s="117" t="s">
        <v>940</v>
      </c>
      <c r="R148" s="117" t="s">
        <v>941</v>
      </c>
      <c r="S148" s="118" t="s">
        <v>942</v>
      </c>
      <c r="T148" s="119">
        <v>0</v>
      </c>
      <c r="U148" s="120">
        <v>90</v>
      </c>
      <c r="V148" s="120">
        <v>90</v>
      </c>
      <c r="W148" s="64" t="s">
        <v>2864</v>
      </c>
      <c r="X148" s="64" t="s">
        <v>2867</v>
      </c>
      <c r="Y148" s="121">
        <v>180</v>
      </c>
      <c r="Z148" s="119">
        <v>0</v>
      </c>
      <c r="AA148" s="120">
        <v>0</v>
      </c>
      <c r="AB148" s="120">
        <v>0</v>
      </c>
      <c r="AC148" s="64"/>
      <c r="AD148" s="64"/>
      <c r="AE148" s="121">
        <v>0</v>
      </c>
      <c r="AF148" s="122">
        <f t="shared" si="2"/>
        <v>180</v>
      </c>
      <c r="AG148" s="113" t="s">
        <v>140</v>
      </c>
      <c r="AH148" s="167"/>
    </row>
    <row r="149" spans="1:34" s="18" customFormat="1" ht="72" hidden="1">
      <c r="A149" s="53">
        <v>1147</v>
      </c>
      <c r="B149" s="54" t="s">
        <v>2906</v>
      </c>
      <c r="C149" s="54" t="s">
        <v>2863</v>
      </c>
      <c r="D149" s="54" t="s">
        <v>2864</v>
      </c>
      <c r="E149" s="53">
        <v>1</v>
      </c>
      <c r="F149" s="110">
        <v>4</v>
      </c>
      <c r="G149" s="56">
        <v>147</v>
      </c>
      <c r="H149" s="117" t="s">
        <v>943</v>
      </c>
      <c r="I149" s="112" t="s">
        <v>943</v>
      </c>
      <c r="J149" s="113">
        <v>10500100202002</v>
      </c>
      <c r="K149" s="114" t="s">
        <v>89</v>
      </c>
      <c r="L149" s="114"/>
      <c r="M149" s="114">
        <v>12</v>
      </c>
      <c r="N149" s="116" t="s">
        <v>944</v>
      </c>
      <c r="O149" s="117" t="s">
        <v>945</v>
      </c>
      <c r="P149" s="116">
        <v>2508012</v>
      </c>
      <c r="Q149" s="117" t="s">
        <v>946</v>
      </c>
      <c r="R149" s="117" t="s">
        <v>947</v>
      </c>
      <c r="S149" s="118" t="s">
        <v>948</v>
      </c>
      <c r="T149" s="119">
        <v>96</v>
      </c>
      <c r="U149" s="120">
        <v>54</v>
      </c>
      <c r="V149" s="120">
        <v>0</v>
      </c>
      <c r="W149" s="64" t="s">
        <v>2864</v>
      </c>
      <c r="X149" s="64" t="s">
        <v>2867</v>
      </c>
      <c r="Y149" s="121">
        <v>150</v>
      </c>
      <c r="Z149" s="119">
        <v>0</v>
      </c>
      <c r="AA149" s="120">
        <v>0</v>
      </c>
      <c r="AB149" s="120">
        <v>0</v>
      </c>
      <c r="AC149" s="64"/>
      <c r="AD149" s="64"/>
      <c r="AE149" s="121">
        <v>0</v>
      </c>
      <c r="AF149" s="122">
        <f t="shared" si="2"/>
        <v>150</v>
      </c>
      <c r="AG149" s="113"/>
      <c r="AH149" s="167"/>
    </row>
    <row r="150" spans="1:34" s="18" customFormat="1" ht="72" hidden="1">
      <c r="A150" s="53">
        <v>1148</v>
      </c>
      <c r="B150" s="54" t="s">
        <v>2906</v>
      </c>
      <c r="C150" s="54" t="s">
        <v>2863</v>
      </c>
      <c r="D150" s="54" t="s">
        <v>2864</v>
      </c>
      <c r="E150" s="53">
        <v>1</v>
      </c>
      <c r="F150" s="110">
        <v>4</v>
      </c>
      <c r="G150" s="56">
        <v>148</v>
      </c>
      <c r="H150" s="117" t="s">
        <v>949</v>
      </c>
      <c r="I150" s="112" t="s">
        <v>949</v>
      </c>
      <c r="J150" s="113">
        <v>10500100289501</v>
      </c>
      <c r="K150" s="114" t="s">
        <v>89</v>
      </c>
      <c r="L150" s="114"/>
      <c r="M150" s="114">
        <v>12</v>
      </c>
      <c r="N150" s="116" t="s">
        <v>950</v>
      </c>
      <c r="O150" s="117" t="s">
        <v>951</v>
      </c>
      <c r="P150" s="116" t="s">
        <v>952</v>
      </c>
      <c r="Q150" s="117" t="s">
        <v>953</v>
      </c>
      <c r="R150" s="117" t="s">
        <v>954</v>
      </c>
      <c r="S150" s="118" t="s">
        <v>955</v>
      </c>
      <c r="T150" s="119">
        <v>43</v>
      </c>
      <c r="U150" s="120">
        <v>72</v>
      </c>
      <c r="V150" s="120">
        <v>0</v>
      </c>
      <c r="W150" s="64" t="s">
        <v>2864</v>
      </c>
      <c r="X150" s="64" t="s">
        <v>2867</v>
      </c>
      <c r="Y150" s="121">
        <v>115</v>
      </c>
      <c r="Z150" s="119">
        <v>0</v>
      </c>
      <c r="AA150" s="120">
        <v>0</v>
      </c>
      <c r="AB150" s="120">
        <v>0</v>
      </c>
      <c r="AC150" s="64"/>
      <c r="AD150" s="64"/>
      <c r="AE150" s="121">
        <v>0</v>
      </c>
      <c r="AF150" s="122">
        <f t="shared" si="2"/>
        <v>115</v>
      </c>
      <c r="AG150" s="113"/>
      <c r="AH150" s="167"/>
    </row>
    <row r="151" spans="1:34" s="18" customFormat="1" ht="72" hidden="1">
      <c r="A151" s="53">
        <v>1149</v>
      </c>
      <c r="B151" s="54" t="s">
        <v>2906</v>
      </c>
      <c r="C151" s="54" t="s">
        <v>2863</v>
      </c>
      <c r="D151" s="54" t="s">
        <v>2864</v>
      </c>
      <c r="E151" s="53">
        <v>1</v>
      </c>
      <c r="F151" s="110">
        <v>4</v>
      </c>
      <c r="G151" s="56">
        <v>149</v>
      </c>
      <c r="H151" s="117" t="s">
        <v>956</v>
      </c>
      <c r="I151" s="112" t="s">
        <v>956</v>
      </c>
      <c r="J151" s="113">
        <v>10500100338701</v>
      </c>
      <c r="K151" s="114" t="s">
        <v>89</v>
      </c>
      <c r="L151" s="114"/>
      <c r="M151" s="114">
        <v>12</v>
      </c>
      <c r="N151" s="116" t="s">
        <v>957</v>
      </c>
      <c r="O151" s="117" t="s">
        <v>958</v>
      </c>
      <c r="P151" s="116" t="s">
        <v>959</v>
      </c>
      <c r="Q151" s="117" t="s">
        <v>960</v>
      </c>
      <c r="R151" s="117" t="s">
        <v>961</v>
      </c>
      <c r="S151" s="118" t="s">
        <v>962</v>
      </c>
      <c r="T151" s="119">
        <v>114</v>
      </c>
      <c r="U151" s="120">
        <v>80</v>
      </c>
      <c r="V151" s="120">
        <v>0</v>
      </c>
      <c r="W151" s="64" t="s">
        <v>2864</v>
      </c>
      <c r="X151" s="64" t="s">
        <v>2867</v>
      </c>
      <c r="Y151" s="121">
        <v>194</v>
      </c>
      <c r="Z151" s="119">
        <v>0</v>
      </c>
      <c r="AA151" s="120">
        <v>0</v>
      </c>
      <c r="AB151" s="120">
        <v>0</v>
      </c>
      <c r="AC151" s="64"/>
      <c r="AD151" s="64"/>
      <c r="AE151" s="121">
        <v>0</v>
      </c>
      <c r="AF151" s="122">
        <f t="shared" si="2"/>
        <v>194</v>
      </c>
      <c r="AG151" s="113"/>
      <c r="AH151" s="167"/>
    </row>
    <row r="152" spans="1:34" s="18" customFormat="1" ht="72" hidden="1">
      <c r="A152" s="53">
        <v>1150</v>
      </c>
      <c r="B152" s="54" t="s">
        <v>2906</v>
      </c>
      <c r="C152" s="54" t="s">
        <v>2863</v>
      </c>
      <c r="D152" s="54" t="s">
        <v>2865</v>
      </c>
      <c r="E152" s="53">
        <v>1</v>
      </c>
      <c r="F152" s="110">
        <v>4</v>
      </c>
      <c r="G152" s="56">
        <v>150</v>
      </c>
      <c r="H152" s="117" t="s">
        <v>963</v>
      </c>
      <c r="I152" s="112" t="s">
        <v>964</v>
      </c>
      <c r="J152" s="113">
        <v>10500100698001</v>
      </c>
      <c r="K152" s="114" t="s">
        <v>89</v>
      </c>
      <c r="L152" s="114"/>
      <c r="M152" s="114">
        <v>12</v>
      </c>
      <c r="N152" s="116" t="s">
        <v>957</v>
      </c>
      <c r="O152" s="117" t="s">
        <v>965</v>
      </c>
      <c r="P152" s="116" t="s">
        <v>966</v>
      </c>
      <c r="Q152" s="117" t="s">
        <v>967</v>
      </c>
      <c r="R152" s="117" t="s">
        <v>968</v>
      </c>
      <c r="S152" s="118" t="s">
        <v>969</v>
      </c>
      <c r="T152" s="119">
        <v>0</v>
      </c>
      <c r="U152" s="120">
        <v>179</v>
      </c>
      <c r="V152" s="120">
        <v>156</v>
      </c>
      <c r="W152" s="64" t="s">
        <v>2864</v>
      </c>
      <c r="X152" s="64" t="s">
        <v>2867</v>
      </c>
      <c r="Y152" s="121">
        <v>335</v>
      </c>
      <c r="Z152" s="119">
        <v>0</v>
      </c>
      <c r="AA152" s="120">
        <v>215</v>
      </c>
      <c r="AB152" s="120">
        <v>45</v>
      </c>
      <c r="AC152" s="64" t="s">
        <v>2866</v>
      </c>
      <c r="AD152" s="64" t="s">
        <v>2867</v>
      </c>
      <c r="AE152" s="121">
        <v>260</v>
      </c>
      <c r="AF152" s="122">
        <f t="shared" si="2"/>
        <v>595</v>
      </c>
      <c r="AG152" s="113" t="s">
        <v>140</v>
      </c>
      <c r="AH152" s="167"/>
    </row>
    <row r="153" spans="1:34" s="18" customFormat="1" ht="72" hidden="1">
      <c r="A153" s="53">
        <v>1151</v>
      </c>
      <c r="B153" s="54" t="s">
        <v>2906</v>
      </c>
      <c r="C153" s="54" t="s">
        <v>2863</v>
      </c>
      <c r="D153" s="54" t="s">
        <v>2864</v>
      </c>
      <c r="E153" s="53">
        <v>1</v>
      </c>
      <c r="F153" s="110">
        <v>4</v>
      </c>
      <c r="G153" s="56">
        <v>151</v>
      </c>
      <c r="H153" s="117" t="s">
        <v>970</v>
      </c>
      <c r="I153" s="112" t="s">
        <v>970</v>
      </c>
      <c r="J153" s="113">
        <v>10500100698002</v>
      </c>
      <c r="K153" s="114" t="s">
        <v>89</v>
      </c>
      <c r="L153" s="114"/>
      <c r="M153" s="114">
        <v>12</v>
      </c>
      <c r="N153" s="116" t="s">
        <v>957</v>
      </c>
      <c r="O153" s="117" t="s">
        <v>971</v>
      </c>
      <c r="P153" s="116">
        <v>4119245</v>
      </c>
      <c r="Q153" s="117" t="s">
        <v>972</v>
      </c>
      <c r="R153" s="117" t="s">
        <v>973</v>
      </c>
      <c r="S153" s="118" t="s">
        <v>974</v>
      </c>
      <c r="T153" s="119">
        <v>81</v>
      </c>
      <c r="U153" s="120">
        <v>49</v>
      </c>
      <c r="V153" s="120">
        <v>0</v>
      </c>
      <c r="W153" s="64" t="s">
        <v>2864</v>
      </c>
      <c r="X153" s="64" t="s">
        <v>2867</v>
      </c>
      <c r="Y153" s="121">
        <v>130</v>
      </c>
      <c r="Z153" s="119">
        <v>0</v>
      </c>
      <c r="AA153" s="120">
        <v>0</v>
      </c>
      <c r="AB153" s="120">
        <v>0</v>
      </c>
      <c r="AC153" s="64"/>
      <c r="AD153" s="64"/>
      <c r="AE153" s="121">
        <v>0</v>
      </c>
      <c r="AF153" s="122">
        <f t="shared" si="2"/>
        <v>130</v>
      </c>
      <c r="AG153" s="113" t="s">
        <v>140</v>
      </c>
      <c r="AH153" s="167"/>
    </row>
    <row r="154" spans="1:34" s="18" customFormat="1" ht="72" hidden="1">
      <c r="A154" s="53">
        <v>1152</v>
      </c>
      <c r="B154" s="54" t="s">
        <v>2906</v>
      </c>
      <c r="C154" s="54" t="s">
        <v>2863</v>
      </c>
      <c r="D154" s="54" t="s">
        <v>2864</v>
      </c>
      <c r="E154" s="53">
        <v>1</v>
      </c>
      <c r="F154" s="110">
        <v>4</v>
      </c>
      <c r="G154" s="56">
        <v>152</v>
      </c>
      <c r="H154" s="117" t="s">
        <v>975</v>
      </c>
      <c r="I154" s="112" t="s">
        <v>975</v>
      </c>
      <c r="J154" s="113">
        <v>10500100698004</v>
      </c>
      <c r="K154" s="114" t="s">
        <v>89</v>
      </c>
      <c r="L154" s="114"/>
      <c r="M154" s="114">
        <v>12</v>
      </c>
      <c r="N154" s="116" t="s">
        <v>976</v>
      </c>
      <c r="O154" s="117" t="s">
        <v>977</v>
      </c>
      <c r="P154" s="116" t="s">
        <v>978</v>
      </c>
      <c r="Q154" s="117" t="s">
        <v>979</v>
      </c>
      <c r="R154" s="117" t="s">
        <v>980</v>
      </c>
      <c r="S154" s="118" t="s">
        <v>981</v>
      </c>
      <c r="T154" s="119">
        <v>220</v>
      </c>
      <c r="U154" s="120">
        <v>86</v>
      </c>
      <c r="V154" s="120">
        <v>0</v>
      </c>
      <c r="W154" s="64" t="s">
        <v>2864</v>
      </c>
      <c r="X154" s="64" t="s">
        <v>2867</v>
      </c>
      <c r="Y154" s="121">
        <v>306</v>
      </c>
      <c r="Z154" s="119">
        <v>0</v>
      </c>
      <c r="AA154" s="120">
        <v>0</v>
      </c>
      <c r="AB154" s="120">
        <v>0</v>
      </c>
      <c r="AC154" s="64"/>
      <c r="AD154" s="64"/>
      <c r="AE154" s="121">
        <v>0</v>
      </c>
      <c r="AF154" s="122">
        <f t="shared" si="2"/>
        <v>306</v>
      </c>
      <c r="AG154" s="113"/>
      <c r="AH154" s="167"/>
    </row>
    <row r="155" spans="1:34" s="18" customFormat="1" ht="72" hidden="1">
      <c r="A155" s="53">
        <v>1153</v>
      </c>
      <c r="B155" s="54" t="s">
        <v>2906</v>
      </c>
      <c r="C155" s="54" t="s">
        <v>2863</v>
      </c>
      <c r="D155" s="54" t="s">
        <v>2864</v>
      </c>
      <c r="E155" s="53">
        <v>1</v>
      </c>
      <c r="F155" s="110">
        <v>4</v>
      </c>
      <c r="G155" s="56">
        <v>153</v>
      </c>
      <c r="H155" s="117" t="s">
        <v>982</v>
      </c>
      <c r="I155" s="225" t="s">
        <v>982</v>
      </c>
      <c r="J155" s="113">
        <v>10500100149001</v>
      </c>
      <c r="K155" s="114" t="s">
        <v>89</v>
      </c>
      <c r="L155" s="114"/>
      <c r="M155" s="114">
        <v>12</v>
      </c>
      <c r="N155" s="116" t="s">
        <v>976</v>
      </c>
      <c r="O155" s="117" t="s">
        <v>983</v>
      </c>
      <c r="P155" s="116" t="s">
        <v>984</v>
      </c>
      <c r="Q155" s="117" t="s">
        <v>985</v>
      </c>
      <c r="R155" s="117" t="s">
        <v>986</v>
      </c>
      <c r="S155" s="118" t="s">
        <v>987</v>
      </c>
      <c r="T155" s="119">
        <v>0</v>
      </c>
      <c r="U155" s="120">
        <v>80</v>
      </c>
      <c r="V155" s="120">
        <v>100</v>
      </c>
      <c r="W155" s="64" t="s">
        <v>2864</v>
      </c>
      <c r="X155" s="64" t="s">
        <v>2867</v>
      </c>
      <c r="Y155" s="121">
        <v>180</v>
      </c>
      <c r="Z155" s="119">
        <v>0</v>
      </c>
      <c r="AA155" s="120">
        <v>0</v>
      </c>
      <c r="AB155" s="120">
        <v>0</v>
      </c>
      <c r="AC155" s="64"/>
      <c r="AD155" s="64"/>
      <c r="AE155" s="121">
        <v>0</v>
      </c>
      <c r="AF155" s="122">
        <f t="shared" si="2"/>
        <v>180</v>
      </c>
      <c r="AG155" s="113"/>
      <c r="AH155" s="167"/>
    </row>
    <row r="156" spans="1:34" s="18" customFormat="1" ht="72" hidden="1">
      <c r="A156" s="53">
        <v>1154</v>
      </c>
      <c r="B156" s="54" t="s">
        <v>2906</v>
      </c>
      <c r="C156" s="54" t="s">
        <v>2863</v>
      </c>
      <c r="D156" s="54" t="s">
        <v>2864</v>
      </c>
      <c r="E156" s="53">
        <v>1</v>
      </c>
      <c r="F156" s="110">
        <v>4</v>
      </c>
      <c r="G156" s="56">
        <v>154</v>
      </c>
      <c r="H156" s="117" t="s">
        <v>988</v>
      </c>
      <c r="I156" s="112" t="s">
        <v>988</v>
      </c>
      <c r="J156" s="113">
        <v>10500100149002</v>
      </c>
      <c r="K156" s="114" t="s">
        <v>89</v>
      </c>
      <c r="L156" s="114"/>
      <c r="M156" s="114">
        <v>12</v>
      </c>
      <c r="N156" s="116" t="s">
        <v>976</v>
      </c>
      <c r="O156" s="117" t="s">
        <v>989</v>
      </c>
      <c r="P156" s="116">
        <v>2341289</v>
      </c>
      <c r="Q156" s="117" t="s">
        <v>990</v>
      </c>
      <c r="R156" s="117" t="s">
        <v>991</v>
      </c>
      <c r="S156" s="118" t="s">
        <v>992</v>
      </c>
      <c r="T156" s="119">
        <v>82</v>
      </c>
      <c r="U156" s="120">
        <v>43</v>
      </c>
      <c r="V156" s="120">
        <v>0</v>
      </c>
      <c r="W156" s="64" t="s">
        <v>2864</v>
      </c>
      <c r="X156" s="64" t="s">
        <v>2867</v>
      </c>
      <c r="Y156" s="121">
        <v>125</v>
      </c>
      <c r="Z156" s="119">
        <v>0</v>
      </c>
      <c r="AA156" s="120">
        <v>0</v>
      </c>
      <c r="AB156" s="120">
        <v>0</v>
      </c>
      <c r="AC156" s="64"/>
      <c r="AD156" s="64"/>
      <c r="AE156" s="121">
        <v>0</v>
      </c>
      <c r="AF156" s="122">
        <f t="shared" si="2"/>
        <v>125</v>
      </c>
      <c r="AG156" s="113"/>
      <c r="AH156" s="167"/>
    </row>
    <row r="157" spans="1:34" s="18" customFormat="1" ht="72" hidden="1">
      <c r="A157" s="53">
        <v>1155</v>
      </c>
      <c r="B157" s="54" t="s">
        <v>2906</v>
      </c>
      <c r="C157" s="54" t="s">
        <v>2863</v>
      </c>
      <c r="D157" s="54" t="s">
        <v>2865</v>
      </c>
      <c r="E157" s="53">
        <v>1</v>
      </c>
      <c r="F157" s="110">
        <v>4</v>
      </c>
      <c r="G157" s="56">
        <v>155</v>
      </c>
      <c r="H157" s="117" t="s">
        <v>993</v>
      </c>
      <c r="I157" s="112" t="s">
        <v>993</v>
      </c>
      <c r="J157" s="113">
        <v>10500100252601</v>
      </c>
      <c r="K157" s="114" t="s">
        <v>89</v>
      </c>
      <c r="L157" s="114"/>
      <c r="M157" s="114">
        <v>12</v>
      </c>
      <c r="N157" s="116" t="s">
        <v>994</v>
      </c>
      <c r="O157" s="117" t="s">
        <v>995</v>
      </c>
      <c r="P157" s="116" t="s">
        <v>996</v>
      </c>
      <c r="Q157" s="117" t="s">
        <v>997</v>
      </c>
      <c r="R157" s="117" t="s">
        <v>998</v>
      </c>
      <c r="S157" s="118" t="s">
        <v>999</v>
      </c>
      <c r="T157" s="119">
        <v>0</v>
      </c>
      <c r="U157" s="120">
        <v>144</v>
      </c>
      <c r="V157" s="120">
        <v>114</v>
      </c>
      <c r="W157" s="64" t="s">
        <v>2864</v>
      </c>
      <c r="X157" s="64" t="s">
        <v>2867</v>
      </c>
      <c r="Y157" s="121">
        <v>258</v>
      </c>
      <c r="Z157" s="119">
        <v>0</v>
      </c>
      <c r="AA157" s="120">
        <v>135</v>
      </c>
      <c r="AB157" s="120">
        <v>105</v>
      </c>
      <c r="AC157" s="64" t="s">
        <v>2866</v>
      </c>
      <c r="AD157" s="64" t="s">
        <v>2867</v>
      </c>
      <c r="AE157" s="121">
        <v>240</v>
      </c>
      <c r="AF157" s="122">
        <f t="shared" si="2"/>
        <v>498</v>
      </c>
      <c r="AG157" s="113"/>
      <c r="AH157" s="167"/>
    </row>
    <row r="158" spans="1:34" s="18" customFormat="1" ht="72" hidden="1">
      <c r="A158" s="53">
        <v>1156</v>
      </c>
      <c r="B158" s="54" t="s">
        <v>2906</v>
      </c>
      <c r="C158" s="54" t="s">
        <v>2863</v>
      </c>
      <c r="D158" s="54" t="s">
        <v>2864</v>
      </c>
      <c r="E158" s="53">
        <v>1</v>
      </c>
      <c r="F158" s="110">
        <v>4</v>
      </c>
      <c r="G158" s="56">
        <v>156</v>
      </c>
      <c r="H158" s="117" t="s">
        <v>1000</v>
      </c>
      <c r="I158" s="112" t="s">
        <v>1000</v>
      </c>
      <c r="J158" s="113">
        <v>10500100718801</v>
      </c>
      <c r="K158" s="114" t="s">
        <v>89</v>
      </c>
      <c r="L158" s="114"/>
      <c r="M158" s="114">
        <v>12</v>
      </c>
      <c r="N158" s="116" t="s">
        <v>994</v>
      </c>
      <c r="O158" s="117" t="s">
        <v>1001</v>
      </c>
      <c r="P158" s="116">
        <v>4967767</v>
      </c>
      <c r="Q158" s="117" t="s">
        <v>1002</v>
      </c>
      <c r="R158" s="117" t="s">
        <v>1003</v>
      </c>
      <c r="S158" s="118" t="s">
        <v>1004</v>
      </c>
      <c r="T158" s="119">
        <v>100</v>
      </c>
      <c r="U158" s="120">
        <v>280</v>
      </c>
      <c r="V158" s="120">
        <v>90</v>
      </c>
      <c r="W158" s="64" t="s">
        <v>2864</v>
      </c>
      <c r="X158" s="64" t="s">
        <v>2867</v>
      </c>
      <c r="Y158" s="121">
        <v>470</v>
      </c>
      <c r="Z158" s="119">
        <v>0</v>
      </c>
      <c r="AA158" s="120">
        <v>0</v>
      </c>
      <c r="AB158" s="120">
        <v>0</v>
      </c>
      <c r="AC158" s="64"/>
      <c r="AD158" s="64"/>
      <c r="AE158" s="121">
        <v>0</v>
      </c>
      <c r="AF158" s="122">
        <f t="shared" si="2"/>
        <v>470</v>
      </c>
      <c r="AG158" s="113"/>
      <c r="AH158" s="167"/>
    </row>
    <row r="159" spans="1:34" s="18" customFormat="1" ht="72" hidden="1">
      <c r="A159" s="53">
        <v>1157</v>
      </c>
      <c r="B159" s="54" t="s">
        <v>2906</v>
      </c>
      <c r="C159" s="54" t="s">
        <v>2863</v>
      </c>
      <c r="D159" s="54" t="s">
        <v>2864</v>
      </c>
      <c r="E159" s="53">
        <v>1</v>
      </c>
      <c r="F159" s="110">
        <v>4</v>
      </c>
      <c r="G159" s="56">
        <v>157</v>
      </c>
      <c r="H159" s="117" t="s">
        <v>1005</v>
      </c>
      <c r="I159" s="112" t="s">
        <v>1005</v>
      </c>
      <c r="J159" s="113">
        <v>10500100297601</v>
      </c>
      <c r="K159" s="114" t="s">
        <v>89</v>
      </c>
      <c r="L159" s="114"/>
      <c r="M159" s="114">
        <v>12</v>
      </c>
      <c r="N159" s="116" t="s">
        <v>1006</v>
      </c>
      <c r="O159" s="117" t="s">
        <v>1007</v>
      </c>
      <c r="P159" s="116" t="s">
        <v>1008</v>
      </c>
      <c r="Q159" s="117" t="s">
        <v>1009</v>
      </c>
      <c r="R159" s="117" t="s">
        <v>1010</v>
      </c>
      <c r="S159" s="118" t="s">
        <v>1011</v>
      </c>
      <c r="T159" s="119">
        <v>0</v>
      </c>
      <c r="U159" s="120">
        <v>264</v>
      </c>
      <c r="V159" s="120">
        <v>42</v>
      </c>
      <c r="W159" s="64" t="s">
        <v>2864</v>
      </c>
      <c r="X159" s="64" t="s">
        <v>2867</v>
      </c>
      <c r="Y159" s="121">
        <v>306</v>
      </c>
      <c r="Z159" s="119">
        <v>0</v>
      </c>
      <c r="AA159" s="120">
        <v>0</v>
      </c>
      <c r="AB159" s="120">
        <v>0</v>
      </c>
      <c r="AC159" s="64"/>
      <c r="AD159" s="64"/>
      <c r="AE159" s="121">
        <v>0</v>
      </c>
      <c r="AF159" s="122">
        <f t="shared" si="2"/>
        <v>306</v>
      </c>
      <c r="AG159" s="113"/>
      <c r="AH159" s="167"/>
    </row>
    <row r="160" spans="1:34" s="18" customFormat="1" ht="72" hidden="1">
      <c r="A160" s="53">
        <v>1158</v>
      </c>
      <c r="B160" s="54" t="s">
        <v>2906</v>
      </c>
      <c r="C160" s="54" t="s">
        <v>2863</v>
      </c>
      <c r="D160" s="54" t="s">
        <v>2864</v>
      </c>
      <c r="E160" s="53">
        <v>1</v>
      </c>
      <c r="F160" s="110">
        <v>4</v>
      </c>
      <c r="G160" s="56">
        <v>158</v>
      </c>
      <c r="H160" s="117" t="s">
        <v>1012</v>
      </c>
      <c r="I160" s="112" t="s">
        <v>1012</v>
      </c>
      <c r="J160" s="113">
        <v>10500101188601</v>
      </c>
      <c r="K160" s="114" t="s">
        <v>89</v>
      </c>
      <c r="L160" s="114"/>
      <c r="M160" s="114">
        <v>12</v>
      </c>
      <c r="N160" s="116" t="s">
        <v>1013</v>
      </c>
      <c r="O160" s="117" t="s">
        <v>1014</v>
      </c>
      <c r="P160" s="116" t="s">
        <v>1015</v>
      </c>
      <c r="Q160" s="117" t="s">
        <v>1016</v>
      </c>
      <c r="R160" s="117" t="s">
        <v>1017</v>
      </c>
      <c r="S160" s="118" t="s">
        <v>1018</v>
      </c>
      <c r="T160" s="119">
        <v>0</v>
      </c>
      <c r="U160" s="120">
        <v>133</v>
      </c>
      <c r="V160" s="120">
        <v>87</v>
      </c>
      <c r="W160" s="64" t="s">
        <v>2864</v>
      </c>
      <c r="X160" s="64" t="s">
        <v>2867</v>
      </c>
      <c r="Y160" s="121">
        <v>220</v>
      </c>
      <c r="Z160" s="119">
        <v>0</v>
      </c>
      <c r="AA160" s="120">
        <v>0</v>
      </c>
      <c r="AB160" s="120">
        <v>0</v>
      </c>
      <c r="AC160" s="64"/>
      <c r="AD160" s="64"/>
      <c r="AE160" s="121">
        <v>0</v>
      </c>
      <c r="AF160" s="122">
        <f t="shared" si="2"/>
        <v>220</v>
      </c>
      <c r="AG160" s="113"/>
      <c r="AH160" s="167"/>
    </row>
    <row r="161" spans="1:34" s="18" customFormat="1" ht="72" hidden="1">
      <c r="A161" s="53">
        <v>1159</v>
      </c>
      <c r="B161" s="54" t="s">
        <v>2906</v>
      </c>
      <c r="C161" s="54" t="s">
        <v>2863</v>
      </c>
      <c r="D161" s="54" t="s">
        <v>2864</v>
      </c>
      <c r="E161" s="53">
        <v>1</v>
      </c>
      <c r="F161" s="110">
        <v>4</v>
      </c>
      <c r="G161" s="56">
        <v>159</v>
      </c>
      <c r="H161" s="117" t="s">
        <v>1019</v>
      </c>
      <c r="I161" s="112" t="s">
        <v>1019</v>
      </c>
      <c r="J161" s="113">
        <v>10500101188602</v>
      </c>
      <c r="K161" s="114" t="s">
        <v>89</v>
      </c>
      <c r="L161" s="114"/>
      <c r="M161" s="114">
        <v>13</v>
      </c>
      <c r="N161" s="116" t="s">
        <v>1020</v>
      </c>
      <c r="O161" s="117" t="s">
        <v>1021</v>
      </c>
      <c r="P161" s="116">
        <v>2531582</v>
      </c>
      <c r="Q161" s="117" t="s">
        <v>1022</v>
      </c>
      <c r="R161" s="117" t="s">
        <v>1023</v>
      </c>
      <c r="S161" s="118" t="s">
        <v>1024</v>
      </c>
      <c r="T161" s="119">
        <v>0</v>
      </c>
      <c r="U161" s="120">
        <v>195</v>
      </c>
      <c r="V161" s="120">
        <v>0</v>
      </c>
      <c r="W161" s="64" t="s">
        <v>2864</v>
      </c>
      <c r="X161" s="64" t="s">
        <v>2867</v>
      </c>
      <c r="Y161" s="121">
        <v>195</v>
      </c>
      <c r="Z161" s="119">
        <v>0</v>
      </c>
      <c r="AA161" s="120">
        <v>0</v>
      </c>
      <c r="AB161" s="120">
        <v>0</v>
      </c>
      <c r="AC161" s="64"/>
      <c r="AD161" s="64"/>
      <c r="AE161" s="121">
        <v>0</v>
      </c>
      <c r="AF161" s="122">
        <f t="shared" si="2"/>
        <v>195</v>
      </c>
      <c r="AG161" s="113"/>
      <c r="AH161" s="167"/>
    </row>
    <row r="162" spans="1:34" s="18" customFormat="1" ht="72" hidden="1">
      <c r="A162" s="53">
        <v>1160</v>
      </c>
      <c r="B162" s="54" t="s">
        <v>2906</v>
      </c>
      <c r="C162" s="54" t="s">
        <v>2863</v>
      </c>
      <c r="D162" s="54" t="s">
        <v>2864</v>
      </c>
      <c r="E162" s="53">
        <v>1</v>
      </c>
      <c r="F162" s="110">
        <v>4</v>
      </c>
      <c r="G162" s="56">
        <v>160</v>
      </c>
      <c r="H162" s="117" t="s">
        <v>1025</v>
      </c>
      <c r="I162" s="112" t="s">
        <v>1025</v>
      </c>
      <c r="J162" s="113">
        <v>10500100080901</v>
      </c>
      <c r="K162" s="114" t="s">
        <v>89</v>
      </c>
      <c r="L162" s="114"/>
      <c r="M162" s="114">
        <v>13</v>
      </c>
      <c r="N162" s="116" t="s">
        <v>1026</v>
      </c>
      <c r="O162" s="117" t="s">
        <v>1027</v>
      </c>
      <c r="P162" s="116" t="s">
        <v>1028</v>
      </c>
      <c r="Q162" s="117" t="s">
        <v>1029</v>
      </c>
      <c r="R162" s="117" t="s">
        <v>1030</v>
      </c>
      <c r="S162" s="118" t="s">
        <v>1031</v>
      </c>
      <c r="T162" s="119">
        <v>220</v>
      </c>
      <c r="U162" s="120">
        <v>35</v>
      </c>
      <c r="V162" s="120">
        <v>20</v>
      </c>
      <c r="W162" s="64" t="s">
        <v>2864</v>
      </c>
      <c r="X162" s="64" t="s">
        <v>2867</v>
      </c>
      <c r="Y162" s="121">
        <v>275</v>
      </c>
      <c r="Z162" s="119">
        <v>0</v>
      </c>
      <c r="AA162" s="120">
        <v>0</v>
      </c>
      <c r="AB162" s="120">
        <v>0</v>
      </c>
      <c r="AC162" s="64"/>
      <c r="AD162" s="64"/>
      <c r="AE162" s="121">
        <v>0</v>
      </c>
      <c r="AF162" s="122">
        <f t="shared" si="2"/>
        <v>275</v>
      </c>
      <c r="AG162" s="113"/>
      <c r="AH162" s="167"/>
    </row>
    <row r="163" spans="1:34" s="18" customFormat="1" ht="72" hidden="1">
      <c r="A163" s="53">
        <v>1161</v>
      </c>
      <c r="B163" s="54" t="s">
        <v>2906</v>
      </c>
      <c r="C163" s="54" t="s">
        <v>2863</v>
      </c>
      <c r="D163" s="54" t="s">
        <v>2865</v>
      </c>
      <c r="E163" s="53">
        <v>1</v>
      </c>
      <c r="F163" s="110">
        <v>4</v>
      </c>
      <c r="G163" s="56">
        <v>161</v>
      </c>
      <c r="H163" s="117" t="s">
        <v>1032</v>
      </c>
      <c r="I163" s="112" t="s">
        <v>1032</v>
      </c>
      <c r="J163" s="113">
        <v>10500102635201</v>
      </c>
      <c r="K163" s="114" t="s">
        <v>89</v>
      </c>
      <c r="L163" s="114"/>
      <c r="M163" s="114">
        <v>13</v>
      </c>
      <c r="N163" s="116" t="s">
        <v>1033</v>
      </c>
      <c r="O163" s="117" t="s">
        <v>1034</v>
      </c>
      <c r="P163" s="116">
        <v>2528790</v>
      </c>
      <c r="Q163" s="117" t="s">
        <v>1035</v>
      </c>
      <c r="R163" s="117" t="s">
        <v>1036</v>
      </c>
      <c r="S163" s="118" t="s">
        <v>1037</v>
      </c>
      <c r="T163" s="119">
        <v>158</v>
      </c>
      <c r="U163" s="120">
        <v>127</v>
      </c>
      <c r="V163" s="120">
        <v>0</v>
      </c>
      <c r="W163" s="64" t="s">
        <v>2864</v>
      </c>
      <c r="X163" s="64" t="s">
        <v>2867</v>
      </c>
      <c r="Y163" s="121">
        <v>285</v>
      </c>
      <c r="Z163" s="119">
        <v>0</v>
      </c>
      <c r="AA163" s="120">
        <v>304</v>
      </c>
      <c r="AB163" s="120">
        <v>82</v>
      </c>
      <c r="AC163" s="64" t="s">
        <v>2866</v>
      </c>
      <c r="AD163" s="64" t="s">
        <v>2867</v>
      </c>
      <c r="AE163" s="121">
        <v>386</v>
      </c>
      <c r="AF163" s="122">
        <f t="shared" si="2"/>
        <v>671</v>
      </c>
      <c r="AG163" s="113" t="s">
        <v>140</v>
      </c>
      <c r="AH163" s="167"/>
    </row>
    <row r="164" spans="1:34" s="18" customFormat="1" ht="72" hidden="1">
      <c r="A164" s="53">
        <v>1162</v>
      </c>
      <c r="B164" s="54" t="s">
        <v>2906</v>
      </c>
      <c r="C164" s="54" t="s">
        <v>2863</v>
      </c>
      <c r="D164" s="54" t="s">
        <v>2864</v>
      </c>
      <c r="E164" s="53">
        <v>1</v>
      </c>
      <c r="F164" s="110">
        <v>4</v>
      </c>
      <c r="G164" s="56">
        <v>162</v>
      </c>
      <c r="H164" s="117" t="s">
        <v>1038</v>
      </c>
      <c r="I164" s="112" t="s">
        <v>1038</v>
      </c>
      <c r="J164" s="113">
        <v>10500100252602</v>
      </c>
      <c r="K164" s="114" t="s">
        <v>89</v>
      </c>
      <c r="L164" s="114"/>
      <c r="M164" s="114">
        <v>13</v>
      </c>
      <c r="N164" s="116" t="s">
        <v>32</v>
      </c>
      <c r="O164" s="117" t="s">
        <v>1039</v>
      </c>
      <c r="P164" s="116">
        <v>2529888</v>
      </c>
      <c r="Q164" s="117" t="s">
        <v>1040</v>
      </c>
      <c r="R164" s="117" t="s">
        <v>1041</v>
      </c>
      <c r="S164" s="118" t="s">
        <v>999</v>
      </c>
      <c r="T164" s="119">
        <v>160</v>
      </c>
      <c r="U164" s="120">
        <v>100</v>
      </c>
      <c r="V164" s="120">
        <v>0</v>
      </c>
      <c r="W164" s="64" t="s">
        <v>2864</v>
      </c>
      <c r="X164" s="64" t="s">
        <v>2867</v>
      </c>
      <c r="Y164" s="121">
        <v>260</v>
      </c>
      <c r="Z164" s="119">
        <v>0</v>
      </c>
      <c r="AA164" s="120">
        <v>0</v>
      </c>
      <c r="AB164" s="120">
        <v>0</v>
      </c>
      <c r="AC164" s="64"/>
      <c r="AD164" s="64"/>
      <c r="AE164" s="121">
        <v>0</v>
      </c>
      <c r="AF164" s="122">
        <f t="shared" si="2"/>
        <v>260</v>
      </c>
      <c r="AG164" s="113"/>
      <c r="AH164" s="167"/>
    </row>
    <row r="165" spans="1:34" s="18" customFormat="1" ht="72" hidden="1">
      <c r="A165" s="53">
        <v>1163</v>
      </c>
      <c r="B165" s="54" t="s">
        <v>2906</v>
      </c>
      <c r="C165" s="54" t="s">
        <v>2863</v>
      </c>
      <c r="D165" s="54" t="s">
        <v>2865</v>
      </c>
      <c r="E165" s="53">
        <v>1</v>
      </c>
      <c r="F165" s="110">
        <v>4</v>
      </c>
      <c r="G165" s="56">
        <v>163</v>
      </c>
      <c r="H165" s="117" t="s">
        <v>1042</v>
      </c>
      <c r="I165" s="112" t="s">
        <v>1042</v>
      </c>
      <c r="J165" s="113">
        <v>10500102669701</v>
      </c>
      <c r="K165" s="114" t="s">
        <v>89</v>
      </c>
      <c r="L165" s="114"/>
      <c r="M165" s="114">
        <v>13</v>
      </c>
      <c r="N165" s="116" t="s">
        <v>1043</v>
      </c>
      <c r="O165" s="117" t="s">
        <v>1044</v>
      </c>
      <c r="P165" s="116" t="s">
        <v>1045</v>
      </c>
      <c r="Q165" s="117" t="s">
        <v>1046</v>
      </c>
      <c r="R165" s="117" t="s">
        <v>1047</v>
      </c>
      <c r="S165" s="118" t="s">
        <v>1048</v>
      </c>
      <c r="T165" s="119">
        <v>57</v>
      </c>
      <c r="U165" s="120">
        <v>342</v>
      </c>
      <c r="V165" s="120">
        <v>0</v>
      </c>
      <c r="W165" s="64" t="s">
        <v>2864</v>
      </c>
      <c r="X165" s="64" t="s">
        <v>2867</v>
      </c>
      <c r="Y165" s="121">
        <v>399</v>
      </c>
      <c r="Z165" s="119">
        <v>0</v>
      </c>
      <c r="AA165" s="120">
        <v>225</v>
      </c>
      <c r="AB165" s="120">
        <v>174</v>
      </c>
      <c r="AC165" s="64" t="s">
        <v>2866</v>
      </c>
      <c r="AD165" s="64" t="s">
        <v>2867</v>
      </c>
      <c r="AE165" s="121">
        <v>399</v>
      </c>
      <c r="AF165" s="122">
        <f t="shared" si="2"/>
        <v>798</v>
      </c>
      <c r="AG165" s="113"/>
      <c r="AH165" s="167"/>
    </row>
    <row r="166" spans="1:34" s="18" customFormat="1" ht="72" hidden="1">
      <c r="A166" s="53">
        <v>1164</v>
      </c>
      <c r="B166" s="54" t="s">
        <v>2906</v>
      </c>
      <c r="C166" s="54" t="s">
        <v>2863</v>
      </c>
      <c r="D166" s="54" t="s">
        <v>2865</v>
      </c>
      <c r="E166" s="53">
        <v>1</v>
      </c>
      <c r="F166" s="110">
        <v>4</v>
      </c>
      <c r="G166" s="56">
        <v>164</v>
      </c>
      <c r="H166" s="117" t="s">
        <v>1049</v>
      </c>
      <c r="I166" s="112" t="s">
        <v>1049</v>
      </c>
      <c r="J166" s="113">
        <v>10500102119902</v>
      </c>
      <c r="K166" s="114" t="s">
        <v>89</v>
      </c>
      <c r="L166" s="114"/>
      <c r="M166" s="114">
        <v>13</v>
      </c>
      <c r="N166" s="116" t="s">
        <v>1050</v>
      </c>
      <c r="O166" s="117" t="s">
        <v>1051</v>
      </c>
      <c r="P166" s="116">
        <v>2531283</v>
      </c>
      <c r="Q166" s="117" t="s">
        <v>1052</v>
      </c>
      <c r="R166" s="117" t="s">
        <v>1053</v>
      </c>
      <c r="S166" s="118" t="s">
        <v>1054</v>
      </c>
      <c r="T166" s="119">
        <v>525</v>
      </c>
      <c r="U166" s="120">
        <v>5</v>
      </c>
      <c r="V166" s="120">
        <v>0</v>
      </c>
      <c r="W166" s="64" t="s">
        <v>2864</v>
      </c>
      <c r="X166" s="64" t="s">
        <v>2867</v>
      </c>
      <c r="Y166" s="121">
        <v>530</v>
      </c>
      <c r="Z166" s="119">
        <v>175</v>
      </c>
      <c r="AA166" s="120">
        <v>265</v>
      </c>
      <c r="AB166" s="120">
        <v>0</v>
      </c>
      <c r="AC166" s="64" t="s">
        <v>2866</v>
      </c>
      <c r="AD166" s="64" t="s">
        <v>2867</v>
      </c>
      <c r="AE166" s="121">
        <v>440</v>
      </c>
      <c r="AF166" s="122">
        <f t="shared" si="2"/>
        <v>970</v>
      </c>
      <c r="AG166" s="113"/>
      <c r="AH166" s="167"/>
    </row>
    <row r="167" spans="1:34" s="18" customFormat="1" ht="72" hidden="1">
      <c r="A167" s="53">
        <v>1165</v>
      </c>
      <c r="B167" s="54" t="s">
        <v>2906</v>
      </c>
      <c r="C167" s="54" t="s">
        <v>2863</v>
      </c>
      <c r="D167" s="54" t="s">
        <v>2864</v>
      </c>
      <c r="E167" s="53">
        <v>1</v>
      </c>
      <c r="F167" s="110">
        <v>4</v>
      </c>
      <c r="G167" s="56">
        <v>165</v>
      </c>
      <c r="H167" s="117" t="s">
        <v>1055</v>
      </c>
      <c r="I167" s="112" t="s">
        <v>1055</v>
      </c>
      <c r="J167" s="113">
        <v>10500102119903</v>
      </c>
      <c r="K167" s="114" t="s">
        <v>89</v>
      </c>
      <c r="L167" s="114"/>
      <c r="M167" s="114">
        <v>13</v>
      </c>
      <c r="N167" s="116" t="s">
        <v>1056</v>
      </c>
      <c r="O167" s="117" t="s">
        <v>1057</v>
      </c>
      <c r="P167" s="116">
        <v>4964993</v>
      </c>
      <c r="Q167" s="117" t="s">
        <v>1058</v>
      </c>
      <c r="R167" s="117" t="s">
        <v>1059</v>
      </c>
      <c r="S167" s="118" t="s">
        <v>1060</v>
      </c>
      <c r="T167" s="119">
        <v>116</v>
      </c>
      <c r="U167" s="120">
        <v>46</v>
      </c>
      <c r="V167" s="120">
        <v>0</v>
      </c>
      <c r="W167" s="64" t="s">
        <v>2864</v>
      </c>
      <c r="X167" s="64" t="s">
        <v>2867</v>
      </c>
      <c r="Y167" s="121">
        <v>162</v>
      </c>
      <c r="Z167" s="119">
        <v>0</v>
      </c>
      <c r="AA167" s="120">
        <v>0</v>
      </c>
      <c r="AB167" s="120">
        <v>0</v>
      </c>
      <c r="AC167" s="64"/>
      <c r="AD167" s="64"/>
      <c r="AE167" s="121">
        <v>0</v>
      </c>
      <c r="AF167" s="122">
        <f t="shared" si="2"/>
        <v>162</v>
      </c>
      <c r="AG167" s="113"/>
      <c r="AH167" s="167"/>
    </row>
    <row r="168" spans="1:34" s="18" customFormat="1" ht="72" hidden="1">
      <c r="A168" s="53">
        <v>1166</v>
      </c>
      <c r="B168" s="54" t="s">
        <v>2906</v>
      </c>
      <c r="C168" s="54" t="s">
        <v>2863</v>
      </c>
      <c r="D168" s="54" t="s">
        <v>2864</v>
      </c>
      <c r="E168" s="53">
        <v>1</v>
      </c>
      <c r="F168" s="110">
        <v>4</v>
      </c>
      <c r="G168" s="56">
        <v>166</v>
      </c>
      <c r="H168" s="117" t="s">
        <v>1061</v>
      </c>
      <c r="I168" s="112" t="s">
        <v>1061</v>
      </c>
      <c r="J168" s="113">
        <v>10500101517201</v>
      </c>
      <c r="K168" s="114" t="s">
        <v>89</v>
      </c>
      <c r="L168" s="114"/>
      <c r="M168" s="114">
        <v>13</v>
      </c>
      <c r="N168" s="116" t="s">
        <v>1062</v>
      </c>
      <c r="O168" s="117" t="s">
        <v>1063</v>
      </c>
      <c r="P168" s="116" t="s">
        <v>1064</v>
      </c>
      <c r="Q168" s="117" t="s">
        <v>1065</v>
      </c>
      <c r="R168" s="117" t="s">
        <v>1066</v>
      </c>
      <c r="S168" s="118" t="s">
        <v>1067</v>
      </c>
      <c r="T168" s="119">
        <v>112</v>
      </c>
      <c r="U168" s="120">
        <v>207</v>
      </c>
      <c r="V168" s="120">
        <v>51</v>
      </c>
      <c r="W168" s="64" t="s">
        <v>2864</v>
      </c>
      <c r="X168" s="64" t="s">
        <v>2867</v>
      </c>
      <c r="Y168" s="121">
        <v>370</v>
      </c>
      <c r="Z168" s="119">
        <v>0</v>
      </c>
      <c r="AA168" s="120">
        <v>0</v>
      </c>
      <c r="AB168" s="120">
        <v>0</v>
      </c>
      <c r="AC168" s="64"/>
      <c r="AD168" s="64"/>
      <c r="AE168" s="121">
        <v>0</v>
      </c>
      <c r="AF168" s="122">
        <f t="shared" si="2"/>
        <v>370</v>
      </c>
      <c r="AG168" s="113"/>
      <c r="AH168" s="167"/>
    </row>
    <row r="169" spans="1:34" s="18" customFormat="1" ht="72" hidden="1">
      <c r="A169" s="53">
        <v>1167</v>
      </c>
      <c r="B169" s="54" t="s">
        <v>2906</v>
      </c>
      <c r="C169" s="54" t="s">
        <v>2863</v>
      </c>
      <c r="D169" s="54" t="s">
        <v>2864</v>
      </c>
      <c r="E169" s="53">
        <v>1</v>
      </c>
      <c r="F169" s="110">
        <v>4</v>
      </c>
      <c r="G169" s="56">
        <v>167</v>
      </c>
      <c r="H169" s="117" t="s">
        <v>1068</v>
      </c>
      <c r="I169" s="112" t="s">
        <v>1068</v>
      </c>
      <c r="J169" s="113">
        <v>10500101517202</v>
      </c>
      <c r="K169" s="114" t="s">
        <v>89</v>
      </c>
      <c r="L169" s="114"/>
      <c r="M169" s="114">
        <v>13</v>
      </c>
      <c r="N169" s="116" t="s">
        <v>1050</v>
      </c>
      <c r="O169" s="117" t="s">
        <v>1069</v>
      </c>
      <c r="P169" s="116">
        <v>2536425</v>
      </c>
      <c r="Q169" s="117" t="s">
        <v>1070</v>
      </c>
      <c r="R169" s="117" t="s">
        <v>1071</v>
      </c>
      <c r="S169" s="118" t="s">
        <v>1072</v>
      </c>
      <c r="T169" s="119">
        <v>0</v>
      </c>
      <c r="U169" s="120">
        <v>251</v>
      </c>
      <c r="V169" s="120">
        <v>0</v>
      </c>
      <c r="W169" s="64" t="s">
        <v>2864</v>
      </c>
      <c r="X169" s="64" t="s">
        <v>2867</v>
      </c>
      <c r="Y169" s="121">
        <v>251</v>
      </c>
      <c r="Z169" s="119">
        <v>0</v>
      </c>
      <c r="AA169" s="120">
        <v>0</v>
      </c>
      <c r="AB169" s="120">
        <v>0</v>
      </c>
      <c r="AC169" s="64"/>
      <c r="AD169" s="64"/>
      <c r="AE169" s="121">
        <v>0</v>
      </c>
      <c r="AF169" s="122">
        <f t="shared" si="2"/>
        <v>251</v>
      </c>
      <c r="AG169" s="113"/>
      <c r="AH169" s="167"/>
    </row>
    <row r="170" spans="1:34" s="18" customFormat="1" ht="72" hidden="1">
      <c r="A170" s="53">
        <v>1168</v>
      </c>
      <c r="B170" s="54" t="s">
        <v>2906</v>
      </c>
      <c r="C170" s="54" t="s">
        <v>2863</v>
      </c>
      <c r="D170" s="54" t="s">
        <v>2864</v>
      </c>
      <c r="E170" s="53">
        <v>1</v>
      </c>
      <c r="F170" s="110">
        <v>4</v>
      </c>
      <c r="G170" s="56">
        <v>168</v>
      </c>
      <c r="H170" s="117" t="s">
        <v>1073</v>
      </c>
      <c r="I170" s="112" t="s">
        <v>1073</v>
      </c>
      <c r="J170" s="113">
        <v>10500100338703</v>
      </c>
      <c r="K170" s="114" t="s">
        <v>89</v>
      </c>
      <c r="L170" s="114"/>
      <c r="M170" s="114">
        <v>13</v>
      </c>
      <c r="N170" s="116" t="s">
        <v>1074</v>
      </c>
      <c r="O170" s="117" t="s">
        <v>1075</v>
      </c>
      <c r="P170" s="116">
        <v>2528123</v>
      </c>
      <c r="Q170" s="117" t="s">
        <v>1076</v>
      </c>
      <c r="R170" s="117" t="s">
        <v>1077</v>
      </c>
      <c r="S170" s="118" t="s">
        <v>1078</v>
      </c>
      <c r="T170" s="119">
        <v>200</v>
      </c>
      <c r="U170" s="120">
        <v>120</v>
      </c>
      <c r="V170" s="120">
        <v>0</v>
      </c>
      <c r="W170" s="64" t="s">
        <v>2864</v>
      </c>
      <c r="X170" s="64" t="s">
        <v>2867</v>
      </c>
      <c r="Y170" s="121">
        <v>320</v>
      </c>
      <c r="Z170" s="119">
        <v>0</v>
      </c>
      <c r="AA170" s="120">
        <v>0</v>
      </c>
      <c r="AB170" s="120">
        <v>0</v>
      </c>
      <c r="AC170" s="64"/>
      <c r="AD170" s="64"/>
      <c r="AE170" s="121">
        <v>0</v>
      </c>
      <c r="AF170" s="122">
        <f t="shared" si="2"/>
        <v>320</v>
      </c>
      <c r="AG170" s="113"/>
      <c r="AH170" s="167"/>
    </row>
    <row r="171" spans="1:34" s="18" customFormat="1" ht="72" hidden="1">
      <c r="A171" s="53">
        <v>1169</v>
      </c>
      <c r="B171" s="54" t="s">
        <v>2906</v>
      </c>
      <c r="C171" s="54" t="s">
        <v>2863</v>
      </c>
      <c r="D171" s="54" t="s">
        <v>2864</v>
      </c>
      <c r="E171" s="53">
        <v>1</v>
      </c>
      <c r="F171" s="110">
        <v>4</v>
      </c>
      <c r="G171" s="56">
        <v>169</v>
      </c>
      <c r="H171" s="117" t="s">
        <v>1079</v>
      </c>
      <c r="I171" s="112" t="s">
        <v>1079</v>
      </c>
      <c r="J171" s="113">
        <v>10500100655601</v>
      </c>
      <c r="K171" s="114" t="s">
        <v>89</v>
      </c>
      <c r="L171" s="114"/>
      <c r="M171" s="114">
        <v>13</v>
      </c>
      <c r="N171" s="116" t="s">
        <v>1080</v>
      </c>
      <c r="O171" s="117" t="s">
        <v>1081</v>
      </c>
      <c r="P171" s="116" t="s">
        <v>1082</v>
      </c>
      <c r="Q171" s="117" t="s">
        <v>1083</v>
      </c>
      <c r="R171" s="117" t="s">
        <v>1084</v>
      </c>
      <c r="S171" s="118" t="s">
        <v>1085</v>
      </c>
      <c r="T171" s="119">
        <v>221</v>
      </c>
      <c r="U171" s="120">
        <v>183</v>
      </c>
      <c r="V171" s="120">
        <v>0</v>
      </c>
      <c r="W171" s="64" t="s">
        <v>2864</v>
      </c>
      <c r="X171" s="64" t="s">
        <v>2867</v>
      </c>
      <c r="Y171" s="121">
        <v>404</v>
      </c>
      <c r="Z171" s="119">
        <v>0</v>
      </c>
      <c r="AA171" s="120">
        <v>0</v>
      </c>
      <c r="AB171" s="120">
        <v>0</v>
      </c>
      <c r="AC171" s="64"/>
      <c r="AD171" s="64"/>
      <c r="AE171" s="121">
        <v>0</v>
      </c>
      <c r="AF171" s="122">
        <f t="shared" si="2"/>
        <v>404</v>
      </c>
      <c r="AG171" s="113"/>
      <c r="AH171" s="167"/>
    </row>
    <row r="172" spans="1:34" s="18" customFormat="1" ht="72" hidden="1">
      <c r="A172" s="53">
        <v>1170</v>
      </c>
      <c r="B172" s="54" t="s">
        <v>2906</v>
      </c>
      <c r="C172" s="54" t="s">
        <v>2863</v>
      </c>
      <c r="D172" s="54" t="s">
        <v>2864</v>
      </c>
      <c r="E172" s="53">
        <v>1</v>
      </c>
      <c r="F172" s="110">
        <v>4</v>
      </c>
      <c r="G172" s="56">
        <v>170</v>
      </c>
      <c r="H172" s="117" t="s">
        <v>1086</v>
      </c>
      <c r="I172" s="112" t="s">
        <v>1087</v>
      </c>
      <c r="J172" s="113">
        <v>10500101901101</v>
      </c>
      <c r="K172" s="114" t="s">
        <v>89</v>
      </c>
      <c r="L172" s="114"/>
      <c r="M172" s="114">
        <v>13</v>
      </c>
      <c r="N172" s="116" t="s">
        <v>1088</v>
      </c>
      <c r="O172" s="117" t="s">
        <v>1089</v>
      </c>
      <c r="P172" s="116">
        <v>4927192</v>
      </c>
      <c r="Q172" s="117" t="s">
        <v>1090</v>
      </c>
      <c r="R172" s="117" t="s">
        <v>1091</v>
      </c>
      <c r="S172" s="118" t="s">
        <v>1092</v>
      </c>
      <c r="T172" s="119">
        <v>200</v>
      </c>
      <c r="U172" s="120">
        <v>100</v>
      </c>
      <c r="V172" s="120">
        <v>0</v>
      </c>
      <c r="W172" s="64" t="s">
        <v>2864</v>
      </c>
      <c r="X172" s="64" t="s">
        <v>2867</v>
      </c>
      <c r="Y172" s="121">
        <v>300</v>
      </c>
      <c r="Z172" s="119">
        <v>0</v>
      </c>
      <c r="AA172" s="120">
        <v>0</v>
      </c>
      <c r="AB172" s="120">
        <v>0</v>
      </c>
      <c r="AC172" s="64"/>
      <c r="AD172" s="64"/>
      <c r="AE172" s="121">
        <v>0</v>
      </c>
      <c r="AF172" s="122">
        <f t="shared" si="2"/>
        <v>300</v>
      </c>
      <c r="AG172" s="113"/>
      <c r="AH172" s="167"/>
    </row>
    <row r="173" spans="1:34" s="18" customFormat="1" ht="72" hidden="1">
      <c r="A173" s="53">
        <v>1171</v>
      </c>
      <c r="B173" s="54" t="s">
        <v>2906</v>
      </c>
      <c r="C173" s="54" t="s">
        <v>2863</v>
      </c>
      <c r="D173" s="54" t="s">
        <v>2864</v>
      </c>
      <c r="E173" s="53">
        <v>1</v>
      </c>
      <c r="F173" s="110">
        <v>4</v>
      </c>
      <c r="G173" s="56">
        <v>171</v>
      </c>
      <c r="H173" s="117" t="s">
        <v>1093</v>
      </c>
      <c r="I173" s="112" t="s">
        <v>1094</v>
      </c>
      <c r="J173" s="113">
        <v>10500101901101</v>
      </c>
      <c r="K173" s="114" t="s">
        <v>89</v>
      </c>
      <c r="L173" s="114"/>
      <c r="M173" s="114">
        <v>13</v>
      </c>
      <c r="N173" s="116" t="s">
        <v>1088</v>
      </c>
      <c r="O173" s="117" t="s">
        <v>1095</v>
      </c>
      <c r="P173" s="116">
        <v>4922768</v>
      </c>
      <c r="Q173" s="117" t="s">
        <v>1090</v>
      </c>
      <c r="R173" s="117" t="s">
        <v>1096</v>
      </c>
      <c r="S173" s="118" t="s">
        <v>1092</v>
      </c>
      <c r="T173" s="119">
        <v>0</v>
      </c>
      <c r="U173" s="120">
        <v>336</v>
      </c>
      <c r="V173" s="120">
        <v>64</v>
      </c>
      <c r="W173" s="64" t="s">
        <v>2864</v>
      </c>
      <c r="X173" s="64" t="s">
        <v>2867</v>
      </c>
      <c r="Y173" s="121">
        <v>400</v>
      </c>
      <c r="Z173" s="119">
        <v>0</v>
      </c>
      <c r="AA173" s="120">
        <v>0</v>
      </c>
      <c r="AB173" s="120">
        <v>0</v>
      </c>
      <c r="AC173" s="64"/>
      <c r="AD173" s="64"/>
      <c r="AE173" s="121">
        <v>0</v>
      </c>
      <c r="AF173" s="122">
        <f t="shared" si="2"/>
        <v>400</v>
      </c>
      <c r="AG173" s="113"/>
      <c r="AH173" s="167"/>
    </row>
    <row r="174" spans="1:34" s="18" customFormat="1" ht="72" hidden="1">
      <c r="A174" s="53">
        <v>1172</v>
      </c>
      <c r="B174" s="54" t="s">
        <v>2906</v>
      </c>
      <c r="C174" s="54" t="s">
        <v>2863</v>
      </c>
      <c r="D174" s="54" t="s">
        <v>2864</v>
      </c>
      <c r="E174" s="53">
        <v>1</v>
      </c>
      <c r="F174" s="110">
        <v>4</v>
      </c>
      <c r="G174" s="56">
        <v>172</v>
      </c>
      <c r="H174" s="117" t="s">
        <v>1097</v>
      </c>
      <c r="I174" s="112" t="s">
        <v>1097</v>
      </c>
      <c r="J174" s="113">
        <v>10500102668901</v>
      </c>
      <c r="K174" s="114" t="s">
        <v>89</v>
      </c>
      <c r="L174" s="114"/>
      <c r="M174" s="114">
        <v>13</v>
      </c>
      <c r="N174" s="116" t="s">
        <v>1098</v>
      </c>
      <c r="O174" s="117" t="s">
        <v>1099</v>
      </c>
      <c r="P174" s="116" t="s">
        <v>1100</v>
      </c>
      <c r="Q174" s="117" t="s">
        <v>1101</v>
      </c>
      <c r="R174" s="117" t="s">
        <v>1102</v>
      </c>
      <c r="S174" s="118" t="s">
        <v>1103</v>
      </c>
      <c r="T174" s="119">
        <v>159</v>
      </c>
      <c r="U174" s="120">
        <v>243</v>
      </c>
      <c r="V174" s="120">
        <v>58</v>
      </c>
      <c r="W174" s="64" t="s">
        <v>2864</v>
      </c>
      <c r="X174" s="64" t="s">
        <v>2867</v>
      </c>
      <c r="Y174" s="121">
        <v>460</v>
      </c>
      <c r="Z174" s="119">
        <v>0</v>
      </c>
      <c r="AA174" s="120">
        <v>0</v>
      </c>
      <c r="AB174" s="120">
        <v>0</v>
      </c>
      <c r="AC174" s="64"/>
      <c r="AD174" s="64"/>
      <c r="AE174" s="121">
        <v>0</v>
      </c>
      <c r="AF174" s="122">
        <f t="shared" si="2"/>
        <v>460</v>
      </c>
      <c r="AG174" s="113"/>
      <c r="AH174" s="167"/>
    </row>
    <row r="175" spans="1:34" s="18" customFormat="1" ht="72" hidden="1">
      <c r="A175" s="53">
        <v>1173</v>
      </c>
      <c r="B175" s="54" t="s">
        <v>2906</v>
      </c>
      <c r="C175" s="54" t="s">
        <v>2863</v>
      </c>
      <c r="D175" s="54" t="s">
        <v>2864</v>
      </c>
      <c r="E175" s="53">
        <v>1</v>
      </c>
      <c r="F175" s="110">
        <v>4</v>
      </c>
      <c r="G175" s="56">
        <v>173</v>
      </c>
      <c r="H175" s="117" t="s">
        <v>1104</v>
      </c>
      <c r="I175" s="112" t="s">
        <v>1104</v>
      </c>
      <c r="J175" s="113">
        <v>10500101344701</v>
      </c>
      <c r="K175" s="114" t="s">
        <v>89</v>
      </c>
      <c r="L175" s="114"/>
      <c r="M175" s="114">
        <v>60</v>
      </c>
      <c r="N175" s="116" t="s">
        <v>1105</v>
      </c>
      <c r="O175" s="117" t="s">
        <v>1106</v>
      </c>
      <c r="P175" s="116" t="s">
        <v>1107</v>
      </c>
      <c r="Q175" s="117" t="s">
        <v>1108</v>
      </c>
      <c r="R175" s="117" t="s">
        <v>1109</v>
      </c>
      <c r="S175" s="118" t="s">
        <v>1110</v>
      </c>
      <c r="T175" s="119">
        <v>200</v>
      </c>
      <c r="U175" s="120">
        <v>71</v>
      </c>
      <c r="V175" s="120">
        <v>0</v>
      </c>
      <c r="W175" s="64" t="s">
        <v>2864</v>
      </c>
      <c r="X175" s="64" t="s">
        <v>2867</v>
      </c>
      <c r="Y175" s="121">
        <v>271</v>
      </c>
      <c r="Z175" s="119">
        <v>0</v>
      </c>
      <c r="AA175" s="120">
        <v>0</v>
      </c>
      <c r="AB175" s="120">
        <v>0</v>
      </c>
      <c r="AC175" s="64"/>
      <c r="AD175" s="64"/>
      <c r="AE175" s="121">
        <v>0</v>
      </c>
      <c r="AF175" s="122">
        <f t="shared" si="2"/>
        <v>271</v>
      </c>
      <c r="AG175" s="113"/>
      <c r="AH175" s="167"/>
    </row>
    <row r="176" spans="1:34" s="18" customFormat="1" ht="72" hidden="1">
      <c r="A176" s="53">
        <v>1174</v>
      </c>
      <c r="B176" s="54" t="s">
        <v>2906</v>
      </c>
      <c r="C176" s="54" t="s">
        <v>2863</v>
      </c>
      <c r="D176" s="54" t="s">
        <v>2864</v>
      </c>
      <c r="E176" s="53">
        <v>1</v>
      </c>
      <c r="F176" s="110">
        <v>4</v>
      </c>
      <c r="G176" s="56">
        <v>174</v>
      </c>
      <c r="H176" s="117" t="s">
        <v>1111</v>
      </c>
      <c r="I176" s="112" t="s">
        <v>1111</v>
      </c>
      <c r="J176" s="113">
        <v>20500101026402</v>
      </c>
      <c r="K176" s="114" t="s">
        <v>89</v>
      </c>
      <c r="L176" s="114"/>
      <c r="M176" s="114">
        <v>60</v>
      </c>
      <c r="N176" s="116" t="s">
        <v>1105</v>
      </c>
      <c r="O176" s="117" t="s">
        <v>1112</v>
      </c>
      <c r="P176" s="116" t="s">
        <v>1113</v>
      </c>
      <c r="Q176" s="117" t="s">
        <v>1114</v>
      </c>
      <c r="R176" s="117" t="s">
        <v>1115</v>
      </c>
      <c r="S176" s="118" t="s">
        <v>1116</v>
      </c>
      <c r="T176" s="119">
        <v>171</v>
      </c>
      <c r="U176" s="120">
        <v>129</v>
      </c>
      <c r="V176" s="120">
        <v>0</v>
      </c>
      <c r="W176" s="64" t="s">
        <v>2864</v>
      </c>
      <c r="X176" s="64" t="s">
        <v>2867</v>
      </c>
      <c r="Y176" s="121">
        <v>300</v>
      </c>
      <c r="Z176" s="119">
        <v>0</v>
      </c>
      <c r="AA176" s="120">
        <v>0</v>
      </c>
      <c r="AB176" s="120">
        <v>0</v>
      </c>
      <c r="AC176" s="64"/>
      <c r="AD176" s="64"/>
      <c r="AE176" s="121">
        <v>0</v>
      </c>
      <c r="AF176" s="122">
        <f t="shared" si="2"/>
        <v>300</v>
      </c>
      <c r="AG176" s="113" t="s">
        <v>140</v>
      </c>
      <c r="AH176" s="167"/>
    </row>
    <row r="177" spans="1:34" s="18" customFormat="1" ht="72" hidden="1">
      <c r="A177" s="53">
        <v>1175</v>
      </c>
      <c r="B177" s="54" t="s">
        <v>2906</v>
      </c>
      <c r="C177" s="54" t="s">
        <v>2863</v>
      </c>
      <c r="D177" s="54" t="s">
        <v>2864</v>
      </c>
      <c r="E177" s="53">
        <v>1</v>
      </c>
      <c r="F177" s="110">
        <v>4</v>
      </c>
      <c r="G177" s="56">
        <v>175</v>
      </c>
      <c r="H177" s="117" t="s">
        <v>1117</v>
      </c>
      <c r="I177" s="112" t="s">
        <v>1117</v>
      </c>
      <c r="J177" s="113">
        <v>10500102657301</v>
      </c>
      <c r="K177" s="114" t="s">
        <v>89</v>
      </c>
      <c r="L177" s="114"/>
      <c r="M177" s="114">
        <v>60</v>
      </c>
      <c r="N177" s="116" t="s">
        <v>1118</v>
      </c>
      <c r="O177" s="117" t="s">
        <v>1119</v>
      </c>
      <c r="P177" s="116"/>
      <c r="Q177" s="117" t="s">
        <v>1120</v>
      </c>
      <c r="R177" s="117" t="s">
        <v>1121</v>
      </c>
      <c r="S177" s="118" t="s">
        <v>1122</v>
      </c>
      <c r="T177" s="119">
        <v>126</v>
      </c>
      <c r="U177" s="120">
        <v>204</v>
      </c>
      <c r="V177" s="120">
        <v>70</v>
      </c>
      <c r="W177" s="64" t="s">
        <v>2864</v>
      </c>
      <c r="X177" s="64" t="s">
        <v>2867</v>
      </c>
      <c r="Y177" s="121">
        <v>400</v>
      </c>
      <c r="Z177" s="119">
        <v>0</v>
      </c>
      <c r="AA177" s="120">
        <v>0</v>
      </c>
      <c r="AB177" s="120">
        <v>0</v>
      </c>
      <c r="AC177" s="64"/>
      <c r="AD177" s="64"/>
      <c r="AE177" s="121">
        <v>0</v>
      </c>
      <c r="AF177" s="122">
        <f t="shared" si="2"/>
        <v>400</v>
      </c>
      <c r="AG177" s="113"/>
      <c r="AH177" s="167"/>
    </row>
    <row r="178" spans="1:34" s="18" customFormat="1" ht="72" hidden="1">
      <c r="A178" s="53">
        <v>1176</v>
      </c>
      <c r="B178" s="54" t="s">
        <v>2906</v>
      </c>
      <c r="C178" s="54" t="s">
        <v>2863</v>
      </c>
      <c r="D178" s="54" t="s">
        <v>2865</v>
      </c>
      <c r="E178" s="53">
        <v>1</v>
      </c>
      <c r="F178" s="55">
        <v>6</v>
      </c>
      <c r="G178" s="56">
        <v>176</v>
      </c>
      <c r="H178" s="226" t="s">
        <v>1123</v>
      </c>
      <c r="I178" s="57" t="s">
        <v>1123</v>
      </c>
      <c r="J178" s="58">
        <v>10500101334001</v>
      </c>
      <c r="K178" s="59" t="s">
        <v>89</v>
      </c>
      <c r="L178" s="227"/>
      <c r="M178" s="59">
        <v>14</v>
      </c>
      <c r="N178" s="57" t="s">
        <v>1124</v>
      </c>
      <c r="O178" s="57" t="s">
        <v>1125</v>
      </c>
      <c r="P178" s="228" t="s">
        <v>1126</v>
      </c>
      <c r="Q178" s="57" t="s">
        <v>1127</v>
      </c>
      <c r="R178" s="228" t="s">
        <v>1128</v>
      </c>
      <c r="S178" s="229" t="s">
        <v>1129</v>
      </c>
      <c r="T178" s="62">
        <v>0</v>
      </c>
      <c r="U178" s="63">
        <v>526</v>
      </c>
      <c r="V178" s="63">
        <v>564</v>
      </c>
      <c r="W178" s="64" t="s">
        <v>2864</v>
      </c>
      <c r="X178" s="64" t="s">
        <v>2867</v>
      </c>
      <c r="Y178" s="65">
        <v>1090</v>
      </c>
      <c r="Z178" s="62">
        <v>0</v>
      </c>
      <c r="AA178" s="63">
        <v>490</v>
      </c>
      <c r="AB178" s="63">
        <v>400</v>
      </c>
      <c r="AC178" s="64" t="s">
        <v>2866</v>
      </c>
      <c r="AD178" s="64" t="s">
        <v>2867</v>
      </c>
      <c r="AE178" s="65">
        <v>890</v>
      </c>
      <c r="AF178" s="66">
        <f t="shared" si="2"/>
        <v>1980</v>
      </c>
      <c r="AG178" s="67"/>
      <c r="AH178" s="68"/>
    </row>
    <row r="179" spans="1:34" s="18" customFormat="1" ht="72" hidden="1">
      <c r="A179" s="53">
        <v>1177</v>
      </c>
      <c r="B179" s="54" t="s">
        <v>2906</v>
      </c>
      <c r="C179" s="54" t="s">
        <v>2863</v>
      </c>
      <c r="D179" s="54" t="s">
        <v>2864</v>
      </c>
      <c r="E179" s="53">
        <v>1</v>
      </c>
      <c r="F179" s="55">
        <v>6</v>
      </c>
      <c r="G179" s="56">
        <v>177</v>
      </c>
      <c r="H179" s="226" t="s">
        <v>1130</v>
      </c>
      <c r="I179" s="57" t="s">
        <v>1130</v>
      </c>
      <c r="J179" s="58">
        <v>10500101334002</v>
      </c>
      <c r="K179" s="59" t="s">
        <v>89</v>
      </c>
      <c r="L179" s="227"/>
      <c r="M179" s="59">
        <v>14</v>
      </c>
      <c r="N179" s="57" t="s">
        <v>1131</v>
      </c>
      <c r="O179" s="57" t="s">
        <v>1132</v>
      </c>
      <c r="P179" s="228" t="s">
        <v>1133</v>
      </c>
      <c r="Q179" s="57" t="s">
        <v>1134</v>
      </c>
      <c r="R179" s="228" t="s">
        <v>1135</v>
      </c>
      <c r="S179" s="229" t="s">
        <v>1136</v>
      </c>
      <c r="T179" s="62">
        <v>157</v>
      </c>
      <c r="U179" s="63">
        <v>59</v>
      </c>
      <c r="V179" s="63">
        <v>0</v>
      </c>
      <c r="W179" s="64" t="s">
        <v>2864</v>
      </c>
      <c r="X179" s="64" t="s">
        <v>2867</v>
      </c>
      <c r="Y179" s="65">
        <v>216</v>
      </c>
      <c r="Z179" s="62">
        <v>0</v>
      </c>
      <c r="AA179" s="63">
        <v>0</v>
      </c>
      <c r="AB179" s="63">
        <v>0</v>
      </c>
      <c r="AC179" s="64"/>
      <c r="AD179" s="64"/>
      <c r="AE179" s="65">
        <v>0</v>
      </c>
      <c r="AF179" s="66">
        <f t="shared" si="2"/>
        <v>216</v>
      </c>
      <c r="AG179" s="56" t="s">
        <v>140</v>
      </c>
      <c r="AH179" s="230"/>
    </row>
    <row r="180" spans="1:34" s="18" customFormat="1" ht="72" hidden="1">
      <c r="A180" s="53">
        <v>1178</v>
      </c>
      <c r="B180" s="54" t="s">
        <v>2906</v>
      </c>
      <c r="C180" s="54" t="s">
        <v>2863</v>
      </c>
      <c r="D180" s="54" t="s">
        <v>2865</v>
      </c>
      <c r="E180" s="53">
        <v>1</v>
      </c>
      <c r="F180" s="55">
        <v>6</v>
      </c>
      <c r="G180" s="56">
        <v>178</v>
      </c>
      <c r="H180" s="226" t="s">
        <v>1137</v>
      </c>
      <c r="I180" s="57" t="s">
        <v>1137</v>
      </c>
      <c r="J180" s="58">
        <v>10500100171601</v>
      </c>
      <c r="K180" s="59" t="s">
        <v>89</v>
      </c>
      <c r="L180" s="227"/>
      <c r="M180" s="59">
        <v>14</v>
      </c>
      <c r="N180" s="57" t="s">
        <v>1138</v>
      </c>
      <c r="O180" s="57" t="s">
        <v>1139</v>
      </c>
      <c r="P180" s="228" t="s">
        <v>1140</v>
      </c>
      <c r="Q180" s="57" t="s">
        <v>1141</v>
      </c>
      <c r="R180" s="228" t="s">
        <v>1142</v>
      </c>
      <c r="S180" s="231" t="s">
        <v>1143</v>
      </c>
      <c r="T180" s="62">
        <v>144</v>
      </c>
      <c r="U180" s="63">
        <v>79</v>
      </c>
      <c r="V180" s="63">
        <v>31</v>
      </c>
      <c r="W180" s="64" t="s">
        <v>2864</v>
      </c>
      <c r="X180" s="64" t="s">
        <v>2867</v>
      </c>
      <c r="Y180" s="65">
        <v>254</v>
      </c>
      <c r="Z180" s="62">
        <v>0</v>
      </c>
      <c r="AA180" s="63">
        <v>62</v>
      </c>
      <c r="AB180" s="63">
        <v>22</v>
      </c>
      <c r="AC180" s="64" t="s">
        <v>2866</v>
      </c>
      <c r="AD180" s="64" t="s">
        <v>2867</v>
      </c>
      <c r="AE180" s="65">
        <v>84</v>
      </c>
      <c r="AF180" s="66">
        <f t="shared" si="2"/>
        <v>338</v>
      </c>
      <c r="AG180" s="56" t="s">
        <v>140</v>
      </c>
      <c r="AH180" s="230"/>
    </row>
    <row r="181" spans="1:34" s="18" customFormat="1" ht="72" hidden="1">
      <c r="A181" s="53">
        <v>1179</v>
      </c>
      <c r="B181" s="54" t="s">
        <v>2906</v>
      </c>
      <c r="C181" s="54" t="s">
        <v>2863</v>
      </c>
      <c r="D181" s="54" t="s">
        <v>2865</v>
      </c>
      <c r="E181" s="53">
        <v>1</v>
      </c>
      <c r="F181" s="55">
        <v>6</v>
      </c>
      <c r="G181" s="56">
        <v>179</v>
      </c>
      <c r="H181" s="226" t="s">
        <v>1144</v>
      </c>
      <c r="I181" s="57" t="s">
        <v>1144</v>
      </c>
      <c r="J181" s="58">
        <v>10500100048501</v>
      </c>
      <c r="K181" s="59" t="s">
        <v>89</v>
      </c>
      <c r="L181" s="227"/>
      <c r="M181" s="59">
        <v>15</v>
      </c>
      <c r="N181" s="57" t="s">
        <v>1145</v>
      </c>
      <c r="O181" s="57" t="s">
        <v>1146</v>
      </c>
      <c r="P181" s="57" t="s">
        <v>1147</v>
      </c>
      <c r="Q181" s="57" t="s">
        <v>1148</v>
      </c>
      <c r="R181" s="57" t="s">
        <v>1149</v>
      </c>
      <c r="S181" s="61" t="s">
        <v>1150</v>
      </c>
      <c r="T181" s="62">
        <v>73</v>
      </c>
      <c r="U181" s="63">
        <v>90</v>
      </c>
      <c r="V181" s="63">
        <v>67</v>
      </c>
      <c r="W181" s="64" t="s">
        <v>2864</v>
      </c>
      <c r="X181" s="64" t="s">
        <v>2867</v>
      </c>
      <c r="Y181" s="65">
        <v>230</v>
      </c>
      <c r="Z181" s="62">
        <v>193</v>
      </c>
      <c r="AA181" s="63">
        <v>282</v>
      </c>
      <c r="AB181" s="63">
        <v>156</v>
      </c>
      <c r="AC181" s="64" t="s">
        <v>2866</v>
      </c>
      <c r="AD181" s="64" t="s">
        <v>2867</v>
      </c>
      <c r="AE181" s="65">
        <v>631</v>
      </c>
      <c r="AF181" s="66">
        <f t="shared" si="2"/>
        <v>861</v>
      </c>
      <c r="AG181" s="232"/>
      <c r="AH181" s="230"/>
    </row>
    <row r="182" spans="1:34" s="18" customFormat="1" ht="72" hidden="1">
      <c r="A182" s="53">
        <v>1180</v>
      </c>
      <c r="B182" s="54" t="s">
        <v>2906</v>
      </c>
      <c r="C182" s="54" t="s">
        <v>2863</v>
      </c>
      <c r="D182" s="54" t="s">
        <v>2865</v>
      </c>
      <c r="E182" s="53">
        <v>1</v>
      </c>
      <c r="F182" s="55">
        <v>6</v>
      </c>
      <c r="G182" s="56">
        <v>180</v>
      </c>
      <c r="H182" s="226" t="s">
        <v>1151</v>
      </c>
      <c r="I182" s="57" t="s">
        <v>1151</v>
      </c>
      <c r="J182" s="58">
        <v>10500100039603</v>
      </c>
      <c r="K182" s="59" t="s">
        <v>89</v>
      </c>
      <c r="L182" s="227"/>
      <c r="M182" s="59">
        <v>15</v>
      </c>
      <c r="N182" s="57" t="s">
        <v>1152</v>
      </c>
      <c r="O182" s="57" t="s">
        <v>1153</v>
      </c>
      <c r="P182" s="57" t="s">
        <v>1154</v>
      </c>
      <c r="Q182" s="57" t="s">
        <v>1155</v>
      </c>
      <c r="R182" s="57" t="s">
        <v>1155</v>
      </c>
      <c r="S182" s="61" t="s">
        <v>1156</v>
      </c>
      <c r="T182" s="62">
        <v>132</v>
      </c>
      <c r="U182" s="63">
        <v>58</v>
      </c>
      <c r="V182" s="63">
        <v>0</v>
      </c>
      <c r="W182" s="64" t="s">
        <v>2864</v>
      </c>
      <c r="X182" s="64" t="s">
        <v>2867</v>
      </c>
      <c r="Y182" s="65">
        <v>190</v>
      </c>
      <c r="Z182" s="62">
        <v>28</v>
      </c>
      <c r="AA182" s="63">
        <v>32</v>
      </c>
      <c r="AB182" s="63">
        <v>0</v>
      </c>
      <c r="AC182" s="64" t="s">
        <v>2866</v>
      </c>
      <c r="AD182" s="64" t="s">
        <v>2867</v>
      </c>
      <c r="AE182" s="65">
        <v>60</v>
      </c>
      <c r="AF182" s="66">
        <f t="shared" si="2"/>
        <v>250</v>
      </c>
      <c r="AG182" s="56" t="s">
        <v>140</v>
      </c>
      <c r="AH182" s="230"/>
    </row>
    <row r="183" spans="1:34" s="18" customFormat="1" ht="72" hidden="1">
      <c r="A183" s="53">
        <v>1181</v>
      </c>
      <c r="B183" s="54" t="s">
        <v>2906</v>
      </c>
      <c r="C183" s="54" t="s">
        <v>2863</v>
      </c>
      <c r="D183" s="54" t="s">
        <v>2865</v>
      </c>
      <c r="E183" s="53">
        <v>1</v>
      </c>
      <c r="F183" s="55">
        <v>6</v>
      </c>
      <c r="G183" s="56">
        <v>181</v>
      </c>
      <c r="H183" s="226" t="s">
        <v>1157</v>
      </c>
      <c r="I183" s="57" t="s">
        <v>1157</v>
      </c>
      <c r="J183" s="58">
        <v>10500100249602</v>
      </c>
      <c r="K183" s="59" t="s">
        <v>89</v>
      </c>
      <c r="L183" s="227"/>
      <c r="M183" s="59">
        <v>15</v>
      </c>
      <c r="N183" s="57" t="s">
        <v>1158</v>
      </c>
      <c r="O183" s="57" t="s">
        <v>1159</v>
      </c>
      <c r="P183" s="57" t="s">
        <v>1160</v>
      </c>
      <c r="Q183" s="57" t="s">
        <v>1161</v>
      </c>
      <c r="R183" s="57" t="s">
        <v>1162</v>
      </c>
      <c r="S183" s="61" t="s">
        <v>1163</v>
      </c>
      <c r="T183" s="62">
        <v>85</v>
      </c>
      <c r="U183" s="63">
        <v>55</v>
      </c>
      <c r="V183" s="63">
        <v>0</v>
      </c>
      <c r="W183" s="64" t="s">
        <v>2864</v>
      </c>
      <c r="X183" s="64" t="s">
        <v>2867</v>
      </c>
      <c r="Y183" s="65">
        <v>140</v>
      </c>
      <c r="Z183" s="62">
        <v>68</v>
      </c>
      <c r="AA183" s="63">
        <v>32</v>
      </c>
      <c r="AB183" s="63">
        <v>0</v>
      </c>
      <c r="AC183" s="64" t="s">
        <v>2866</v>
      </c>
      <c r="AD183" s="64" t="s">
        <v>2867</v>
      </c>
      <c r="AE183" s="65">
        <v>100</v>
      </c>
      <c r="AF183" s="66">
        <f t="shared" si="2"/>
        <v>240</v>
      </c>
      <c r="AG183" s="232"/>
      <c r="AH183" s="230"/>
    </row>
    <row r="184" spans="1:34" s="18" customFormat="1" ht="72" hidden="1">
      <c r="A184" s="53">
        <v>1182</v>
      </c>
      <c r="B184" s="54" t="s">
        <v>2906</v>
      </c>
      <c r="C184" s="54" t="s">
        <v>2863</v>
      </c>
      <c r="D184" s="54" t="s">
        <v>2865</v>
      </c>
      <c r="E184" s="53">
        <v>1</v>
      </c>
      <c r="F184" s="55">
        <v>6</v>
      </c>
      <c r="G184" s="56">
        <v>182</v>
      </c>
      <c r="H184" s="226" t="s">
        <v>1164</v>
      </c>
      <c r="I184" s="57" t="s">
        <v>1164</v>
      </c>
      <c r="J184" s="58">
        <v>10500100742101</v>
      </c>
      <c r="K184" s="59" t="s">
        <v>89</v>
      </c>
      <c r="L184" s="227"/>
      <c r="M184" s="59">
        <v>15</v>
      </c>
      <c r="N184" s="57" t="s">
        <v>1145</v>
      </c>
      <c r="O184" s="57" t="s">
        <v>1165</v>
      </c>
      <c r="P184" s="57" t="s">
        <v>1166</v>
      </c>
      <c r="Q184" s="57" t="s">
        <v>1167</v>
      </c>
      <c r="R184" s="57" t="s">
        <v>1168</v>
      </c>
      <c r="S184" s="61" t="s">
        <v>1169</v>
      </c>
      <c r="T184" s="62">
        <v>35</v>
      </c>
      <c r="U184" s="63">
        <v>75</v>
      </c>
      <c r="V184" s="63">
        <v>40</v>
      </c>
      <c r="W184" s="64" t="s">
        <v>2864</v>
      </c>
      <c r="X184" s="64" t="s">
        <v>2867</v>
      </c>
      <c r="Y184" s="65">
        <v>150</v>
      </c>
      <c r="Z184" s="62">
        <v>107</v>
      </c>
      <c r="AA184" s="63">
        <v>79</v>
      </c>
      <c r="AB184" s="63">
        <v>30</v>
      </c>
      <c r="AC184" s="64" t="s">
        <v>2866</v>
      </c>
      <c r="AD184" s="64" t="s">
        <v>2867</v>
      </c>
      <c r="AE184" s="65">
        <v>216</v>
      </c>
      <c r="AF184" s="66">
        <f t="shared" si="2"/>
        <v>366</v>
      </c>
      <c r="AG184" s="56" t="s">
        <v>140</v>
      </c>
      <c r="AH184" s="230"/>
    </row>
    <row r="185" spans="1:34" s="18" customFormat="1" ht="72" hidden="1">
      <c r="A185" s="53">
        <v>1183</v>
      </c>
      <c r="B185" s="54" t="s">
        <v>2906</v>
      </c>
      <c r="C185" s="54" t="s">
        <v>2863</v>
      </c>
      <c r="D185" s="54" t="s">
        <v>2865</v>
      </c>
      <c r="E185" s="53">
        <v>1</v>
      </c>
      <c r="F185" s="55">
        <v>6</v>
      </c>
      <c r="G185" s="56">
        <v>183</v>
      </c>
      <c r="H185" s="226" t="s">
        <v>1170</v>
      </c>
      <c r="I185" s="57" t="s">
        <v>1170</v>
      </c>
      <c r="J185" s="58">
        <v>10500100200301</v>
      </c>
      <c r="K185" s="59" t="s">
        <v>89</v>
      </c>
      <c r="L185" s="227"/>
      <c r="M185" s="59">
        <v>16</v>
      </c>
      <c r="N185" s="57" t="s">
        <v>1171</v>
      </c>
      <c r="O185" s="57" t="s">
        <v>1172</v>
      </c>
      <c r="P185" s="228" t="s">
        <v>1173</v>
      </c>
      <c r="Q185" s="57" t="s">
        <v>1174</v>
      </c>
      <c r="R185" s="228" t="s">
        <v>1175</v>
      </c>
      <c r="S185" s="61" t="s">
        <v>1176</v>
      </c>
      <c r="T185" s="62">
        <v>177</v>
      </c>
      <c r="U185" s="63">
        <v>128</v>
      </c>
      <c r="V185" s="63">
        <v>55</v>
      </c>
      <c r="W185" s="64" t="s">
        <v>2864</v>
      </c>
      <c r="X185" s="64" t="s">
        <v>2867</v>
      </c>
      <c r="Y185" s="65">
        <v>360</v>
      </c>
      <c r="Z185" s="62">
        <v>173</v>
      </c>
      <c r="AA185" s="63">
        <v>197</v>
      </c>
      <c r="AB185" s="63">
        <v>80</v>
      </c>
      <c r="AC185" s="64" t="s">
        <v>2866</v>
      </c>
      <c r="AD185" s="64" t="s">
        <v>2867</v>
      </c>
      <c r="AE185" s="65">
        <v>450</v>
      </c>
      <c r="AF185" s="66">
        <f t="shared" si="2"/>
        <v>810</v>
      </c>
      <c r="AG185" s="232"/>
      <c r="AH185" s="230"/>
    </row>
    <row r="186" spans="1:34" s="18" customFormat="1" ht="72" hidden="1">
      <c r="A186" s="53">
        <v>1184</v>
      </c>
      <c r="B186" s="54" t="s">
        <v>2906</v>
      </c>
      <c r="C186" s="54" t="s">
        <v>2863</v>
      </c>
      <c r="D186" s="54" t="s">
        <v>2865</v>
      </c>
      <c r="E186" s="53">
        <v>1</v>
      </c>
      <c r="F186" s="55">
        <v>6</v>
      </c>
      <c r="G186" s="56">
        <v>184</v>
      </c>
      <c r="H186" s="226" t="s">
        <v>1177</v>
      </c>
      <c r="I186" s="57" t="s">
        <v>1177</v>
      </c>
      <c r="J186" s="58">
        <v>10500100618101</v>
      </c>
      <c r="K186" s="59" t="s">
        <v>89</v>
      </c>
      <c r="L186" s="227"/>
      <c r="M186" s="59">
        <v>16</v>
      </c>
      <c r="N186" s="57" t="s">
        <v>1178</v>
      </c>
      <c r="O186" s="57" t="s">
        <v>1179</v>
      </c>
      <c r="P186" s="228" t="s">
        <v>1180</v>
      </c>
      <c r="Q186" s="228" t="s">
        <v>1181</v>
      </c>
      <c r="R186" s="228" t="s">
        <v>1182</v>
      </c>
      <c r="S186" s="61" t="s">
        <v>1183</v>
      </c>
      <c r="T186" s="62">
        <v>266</v>
      </c>
      <c r="U186" s="63">
        <v>132</v>
      </c>
      <c r="V186" s="63">
        <v>62</v>
      </c>
      <c r="W186" s="64" t="s">
        <v>2864</v>
      </c>
      <c r="X186" s="64" t="s">
        <v>2867</v>
      </c>
      <c r="Y186" s="65">
        <v>460</v>
      </c>
      <c r="Z186" s="62">
        <v>58</v>
      </c>
      <c r="AA186" s="63">
        <v>344</v>
      </c>
      <c r="AB186" s="63">
        <v>0</v>
      </c>
      <c r="AC186" s="64" t="s">
        <v>2866</v>
      </c>
      <c r="AD186" s="64" t="s">
        <v>2867</v>
      </c>
      <c r="AE186" s="65">
        <v>402</v>
      </c>
      <c r="AF186" s="66">
        <f t="shared" si="2"/>
        <v>862</v>
      </c>
      <c r="AG186" s="232"/>
      <c r="AH186" s="230"/>
    </row>
    <row r="187" spans="1:34" s="18" customFormat="1" ht="72" hidden="1">
      <c r="A187" s="53">
        <v>1185</v>
      </c>
      <c r="B187" s="54" t="s">
        <v>2906</v>
      </c>
      <c r="C187" s="54" t="s">
        <v>2863</v>
      </c>
      <c r="D187" s="54" t="s">
        <v>2865</v>
      </c>
      <c r="E187" s="53">
        <v>1</v>
      </c>
      <c r="F187" s="55">
        <v>6</v>
      </c>
      <c r="G187" s="56">
        <v>185</v>
      </c>
      <c r="H187" s="226" t="s">
        <v>1184</v>
      </c>
      <c r="I187" s="57" t="s">
        <v>1184</v>
      </c>
      <c r="J187" s="58">
        <v>10500100102301</v>
      </c>
      <c r="K187" s="59" t="s">
        <v>89</v>
      </c>
      <c r="L187" s="227"/>
      <c r="M187" s="59">
        <v>16</v>
      </c>
      <c r="N187" s="57" t="s">
        <v>1185</v>
      </c>
      <c r="O187" s="57" t="s">
        <v>1186</v>
      </c>
      <c r="P187" s="57">
        <v>2384910</v>
      </c>
      <c r="Q187" s="57" t="s">
        <v>1187</v>
      </c>
      <c r="R187" s="57" t="s">
        <v>1188</v>
      </c>
      <c r="S187" s="61" t="s">
        <v>1189</v>
      </c>
      <c r="T187" s="62">
        <v>230</v>
      </c>
      <c r="U187" s="63">
        <v>90</v>
      </c>
      <c r="V187" s="63">
        <v>30</v>
      </c>
      <c r="W187" s="64" t="s">
        <v>2864</v>
      </c>
      <c r="X187" s="64" t="s">
        <v>2867</v>
      </c>
      <c r="Y187" s="65">
        <v>350</v>
      </c>
      <c r="Z187" s="62">
        <v>41</v>
      </c>
      <c r="AA187" s="63">
        <v>270</v>
      </c>
      <c r="AB187" s="63">
        <v>165</v>
      </c>
      <c r="AC187" s="64" t="s">
        <v>2866</v>
      </c>
      <c r="AD187" s="64" t="s">
        <v>2867</v>
      </c>
      <c r="AE187" s="65">
        <v>476</v>
      </c>
      <c r="AF187" s="66">
        <f t="shared" si="2"/>
        <v>826</v>
      </c>
      <c r="AG187" s="232"/>
      <c r="AH187" s="230"/>
    </row>
    <row r="188" spans="1:34" s="18" customFormat="1" ht="72" hidden="1">
      <c r="A188" s="53">
        <v>1186</v>
      </c>
      <c r="B188" s="54" t="s">
        <v>2906</v>
      </c>
      <c r="C188" s="54" t="s">
        <v>2863</v>
      </c>
      <c r="D188" s="54" t="s">
        <v>2865</v>
      </c>
      <c r="E188" s="53">
        <v>1</v>
      </c>
      <c r="F188" s="55">
        <v>6</v>
      </c>
      <c r="G188" s="56">
        <v>186</v>
      </c>
      <c r="H188" s="226" t="s">
        <v>1190</v>
      </c>
      <c r="I188" s="57" t="s">
        <v>1190</v>
      </c>
      <c r="J188" s="58">
        <v>10500100163504</v>
      </c>
      <c r="K188" s="59" t="s">
        <v>89</v>
      </c>
      <c r="L188" s="233" t="s">
        <v>63</v>
      </c>
      <c r="M188" s="59">
        <v>16</v>
      </c>
      <c r="N188" s="57" t="s">
        <v>1191</v>
      </c>
      <c r="O188" s="57" t="s">
        <v>1192</v>
      </c>
      <c r="P188" s="57">
        <v>2560941</v>
      </c>
      <c r="Q188" s="57" t="s">
        <v>1193</v>
      </c>
      <c r="R188" s="57" t="s">
        <v>1194</v>
      </c>
      <c r="S188" s="61" t="s">
        <v>1195</v>
      </c>
      <c r="T188" s="62">
        <v>113</v>
      </c>
      <c r="U188" s="63">
        <v>127</v>
      </c>
      <c r="V188" s="63">
        <v>0</v>
      </c>
      <c r="W188" s="64" t="s">
        <v>2864</v>
      </c>
      <c r="X188" s="64" t="s">
        <v>2867</v>
      </c>
      <c r="Y188" s="65">
        <v>240</v>
      </c>
      <c r="Z188" s="62">
        <v>90</v>
      </c>
      <c r="AA188" s="63">
        <v>93</v>
      </c>
      <c r="AB188" s="63">
        <v>0</v>
      </c>
      <c r="AC188" s="64" t="s">
        <v>2866</v>
      </c>
      <c r="AD188" s="64" t="s">
        <v>2867</v>
      </c>
      <c r="AE188" s="65">
        <v>183</v>
      </c>
      <c r="AF188" s="66">
        <f t="shared" si="2"/>
        <v>423</v>
      </c>
      <c r="AG188" s="56" t="s">
        <v>140</v>
      </c>
      <c r="AH188" s="230"/>
    </row>
    <row r="189" spans="1:34" s="18" customFormat="1" ht="72" hidden="1">
      <c r="A189" s="53">
        <v>1187</v>
      </c>
      <c r="B189" s="54" t="s">
        <v>2906</v>
      </c>
      <c r="C189" s="54" t="s">
        <v>2863</v>
      </c>
      <c r="D189" s="54" t="s">
        <v>2865</v>
      </c>
      <c r="E189" s="53">
        <v>1</v>
      </c>
      <c r="F189" s="55">
        <v>6</v>
      </c>
      <c r="G189" s="56">
        <v>187</v>
      </c>
      <c r="H189" s="226" t="s">
        <v>1196</v>
      </c>
      <c r="I189" s="57" t="s">
        <v>1196</v>
      </c>
      <c r="J189" s="58">
        <v>10500101992502</v>
      </c>
      <c r="K189" s="59" t="s">
        <v>89</v>
      </c>
      <c r="L189" s="227"/>
      <c r="M189" s="59">
        <v>16</v>
      </c>
      <c r="N189" s="57" t="s">
        <v>1185</v>
      </c>
      <c r="O189" s="57" t="s">
        <v>1197</v>
      </c>
      <c r="P189" s="57" t="s">
        <v>1198</v>
      </c>
      <c r="Q189" s="57" t="s">
        <v>1199</v>
      </c>
      <c r="R189" s="57" t="s">
        <v>1200</v>
      </c>
      <c r="S189" s="61" t="s">
        <v>1201</v>
      </c>
      <c r="T189" s="62">
        <v>207</v>
      </c>
      <c r="U189" s="63">
        <v>0</v>
      </c>
      <c r="V189" s="63">
        <v>0</v>
      </c>
      <c r="W189" s="64" t="s">
        <v>2864</v>
      </c>
      <c r="X189" s="64" t="s">
        <v>2867</v>
      </c>
      <c r="Y189" s="65">
        <v>207</v>
      </c>
      <c r="Z189" s="62">
        <v>105</v>
      </c>
      <c r="AA189" s="63">
        <v>0</v>
      </c>
      <c r="AB189" s="63">
        <v>0</v>
      </c>
      <c r="AC189" s="64" t="s">
        <v>2866</v>
      </c>
      <c r="AD189" s="64" t="s">
        <v>2867</v>
      </c>
      <c r="AE189" s="65">
        <v>105</v>
      </c>
      <c r="AF189" s="66">
        <f t="shared" si="2"/>
        <v>312</v>
      </c>
      <c r="AG189" s="232"/>
      <c r="AH189" s="230"/>
    </row>
    <row r="190" spans="1:34" s="18" customFormat="1" ht="103.2" hidden="1">
      <c r="A190" s="53">
        <v>1188</v>
      </c>
      <c r="B190" s="54" t="s">
        <v>2906</v>
      </c>
      <c r="C190" s="54" t="s">
        <v>2863</v>
      </c>
      <c r="D190" s="54" t="s">
        <v>2865</v>
      </c>
      <c r="E190" s="53">
        <v>1</v>
      </c>
      <c r="F190" s="55">
        <v>6</v>
      </c>
      <c r="G190" s="56">
        <v>188</v>
      </c>
      <c r="H190" s="226" t="s">
        <v>1202</v>
      </c>
      <c r="I190" s="57" t="s">
        <v>1202</v>
      </c>
      <c r="J190" s="58">
        <v>10500100086801</v>
      </c>
      <c r="K190" s="59" t="s">
        <v>89</v>
      </c>
      <c r="L190" s="227"/>
      <c r="M190" s="59">
        <v>16</v>
      </c>
      <c r="N190" s="57" t="s">
        <v>1203</v>
      </c>
      <c r="O190" s="57" t="s">
        <v>1204</v>
      </c>
      <c r="P190" s="228" t="s">
        <v>1205</v>
      </c>
      <c r="Q190" s="57" t="s">
        <v>1206</v>
      </c>
      <c r="R190" s="228" t="s">
        <v>1207</v>
      </c>
      <c r="S190" s="231" t="s">
        <v>1208</v>
      </c>
      <c r="T190" s="62">
        <v>148</v>
      </c>
      <c r="U190" s="63">
        <v>124</v>
      </c>
      <c r="V190" s="63">
        <v>8</v>
      </c>
      <c r="W190" s="64" t="s">
        <v>2864</v>
      </c>
      <c r="X190" s="64" t="s">
        <v>2867</v>
      </c>
      <c r="Y190" s="65">
        <v>280</v>
      </c>
      <c r="Z190" s="62">
        <v>31</v>
      </c>
      <c r="AA190" s="63">
        <v>147</v>
      </c>
      <c r="AB190" s="63">
        <v>42</v>
      </c>
      <c r="AC190" s="64" t="s">
        <v>2866</v>
      </c>
      <c r="AD190" s="64" t="s">
        <v>2867</v>
      </c>
      <c r="AE190" s="65">
        <v>220</v>
      </c>
      <c r="AF190" s="66">
        <f t="shared" si="2"/>
        <v>500</v>
      </c>
      <c r="AG190" s="67"/>
      <c r="AH190" s="234"/>
    </row>
    <row r="191" spans="1:34" s="18" customFormat="1" ht="72" hidden="1">
      <c r="A191" s="53">
        <v>1189</v>
      </c>
      <c r="B191" s="54" t="s">
        <v>2906</v>
      </c>
      <c r="C191" s="54" t="s">
        <v>2863</v>
      </c>
      <c r="D191" s="54" t="s">
        <v>2865</v>
      </c>
      <c r="E191" s="53">
        <v>1</v>
      </c>
      <c r="F191" s="55">
        <v>6</v>
      </c>
      <c r="G191" s="56">
        <v>189</v>
      </c>
      <c r="H191" s="226" t="s">
        <v>1209</v>
      </c>
      <c r="I191" s="57" t="s">
        <v>1209</v>
      </c>
      <c r="J191" s="58">
        <v>10500100049301</v>
      </c>
      <c r="K191" s="59" t="s">
        <v>89</v>
      </c>
      <c r="L191" s="227"/>
      <c r="M191" s="59">
        <v>16</v>
      </c>
      <c r="N191" s="57" t="s">
        <v>1210</v>
      </c>
      <c r="O191" s="57" t="s">
        <v>1211</v>
      </c>
      <c r="P191" s="228" t="s">
        <v>1212</v>
      </c>
      <c r="Q191" s="57" t="s">
        <v>1213</v>
      </c>
      <c r="R191" s="228" t="s">
        <v>1214</v>
      </c>
      <c r="S191" s="231" t="s">
        <v>1215</v>
      </c>
      <c r="T191" s="62">
        <v>166</v>
      </c>
      <c r="U191" s="63">
        <v>60</v>
      </c>
      <c r="V191" s="63">
        <v>114</v>
      </c>
      <c r="W191" s="64" t="s">
        <v>2864</v>
      </c>
      <c r="X191" s="64" t="s">
        <v>2867</v>
      </c>
      <c r="Y191" s="65">
        <v>340</v>
      </c>
      <c r="Z191" s="62">
        <v>84</v>
      </c>
      <c r="AA191" s="63">
        <v>452</v>
      </c>
      <c r="AB191" s="63">
        <v>106</v>
      </c>
      <c r="AC191" s="64" t="s">
        <v>2866</v>
      </c>
      <c r="AD191" s="64" t="s">
        <v>2867</v>
      </c>
      <c r="AE191" s="65">
        <v>642</v>
      </c>
      <c r="AF191" s="66">
        <f t="shared" si="2"/>
        <v>982</v>
      </c>
      <c r="AG191" s="235"/>
      <c r="AH191" s="234"/>
    </row>
    <row r="192" spans="1:34" s="18" customFormat="1" ht="72" hidden="1">
      <c r="A192" s="53">
        <v>1190</v>
      </c>
      <c r="B192" s="54" t="s">
        <v>2906</v>
      </c>
      <c r="C192" s="54" t="s">
        <v>2863</v>
      </c>
      <c r="D192" s="54" t="s">
        <v>2865</v>
      </c>
      <c r="E192" s="53">
        <v>1</v>
      </c>
      <c r="F192" s="55">
        <v>6</v>
      </c>
      <c r="G192" s="56">
        <v>190</v>
      </c>
      <c r="H192" s="226" t="s">
        <v>1216</v>
      </c>
      <c r="I192" s="57" t="s">
        <v>1216</v>
      </c>
      <c r="J192" s="58">
        <v>10500100848601</v>
      </c>
      <c r="K192" s="59" t="s">
        <v>89</v>
      </c>
      <c r="L192" s="227"/>
      <c r="M192" s="59">
        <v>16</v>
      </c>
      <c r="N192" s="57" t="s">
        <v>1191</v>
      </c>
      <c r="O192" s="57" t="s">
        <v>1217</v>
      </c>
      <c r="P192" s="228" t="s">
        <v>1218</v>
      </c>
      <c r="Q192" s="57" t="s">
        <v>1219</v>
      </c>
      <c r="R192" s="57" t="s">
        <v>1220</v>
      </c>
      <c r="S192" s="61" t="s">
        <v>1221</v>
      </c>
      <c r="T192" s="62">
        <v>154</v>
      </c>
      <c r="U192" s="63">
        <v>100</v>
      </c>
      <c r="V192" s="63">
        <v>20</v>
      </c>
      <c r="W192" s="64" t="s">
        <v>2864</v>
      </c>
      <c r="X192" s="64" t="s">
        <v>2867</v>
      </c>
      <c r="Y192" s="65">
        <v>274</v>
      </c>
      <c r="Z192" s="62">
        <v>57</v>
      </c>
      <c r="AA192" s="63">
        <v>220</v>
      </c>
      <c r="AB192" s="63">
        <v>90</v>
      </c>
      <c r="AC192" s="64" t="s">
        <v>2866</v>
      </c>
      <c r="AD192" s="64" t="s">
        <v>2867</v>
      </c>
      <c r="AE192" s="65">
        <v>367</v>
      </c>
      <c r="AF192" s="66">
        <f t="shared" si="2"/>
        <v>641</v>
      </c>
      <c r="AG192" s="67"/>
      <c r="AH192" s="68"/>
    </row>
    <row r="193" spans="1:34" s="18" customFormat="1" ht="68.400000000000006">
      <c r="A193" s="53">
        <v>2001</v>
      </c>
      <c r="B193" s="54" t="s">
        <v>2868</v>
      </c>
      <c r="C193" s="54" t="s">
        <v>2868</v>
      </c>
      <c r="D193" s="54" t="s">
        <v>2869</v>
      </c>
      <c r="E193" s="53">
        <v>2</v>
      </c>
      <c r="F193" s="69">
        <v>1</v>
      </c>
      <c r="G193" s="70">
        <v>1</v>
      </c>
      <c r="H193" s="71" t="s">
        <v>1222</v>
      </c>
      <c r="I193" s="71" t="s">
        <v>1222</v>
      </c>
      <c r="J193" s="236">
        <v>10500102584401</v>
      </c>
      <c r="K193" s="74" t="s">
        <v>89</v>
      </c>
      <c r="L193" s="74" t="s">
        <v>63</v>
      </c>
      <c r="M193" s="74">
        <v>1</v>
      </c>
      <c r="N193" s="71" t="s">
        <v>97</v>
      </c>
      <c r="O193" s="71" t="s">
        <v>1223</v>
      </c>
      <c r="P193" s="237" t="s">
        <v>1224</v>
      </c>
      <c r="Q193" s="71" t="s">
        <v>100</v>
      </c>
      <c r="R193" s="71" t="s">
        <v>1225</v>
      </c>
      <c r="S193" s="238" t="s">
        <v>1226</v>
      </c>
      <c r="T193" s="239">
        <v>0</v>
      </c>
      <c r="U193" s="240">
        <v>80</v>
      </c>
      <c r="V193" s="240">
        <v>350</v>
      </c>
      <c r="W193" s="241" t="s">
        <v>2869</v>
      </c>
      <c r="X193" s="241" t="s">
        <v>2868</v>
      </c>
      <c r="Y193" s="242">
        <v>430</v>
      </c>
      <c r="Z193" s="239">
        <v>0</v>
      </c>
      <c r="AA193" s="240">
        <v>0</v>
      </c>
      <c r="AB193" s="240">
        <v>0</v>
      </c>
      <c r="AC193" s="241"/>
      <c r="AD193" s="241"/>
      <c r="AE193" s="242">
        <v>0</v>
      </c>
      <c r="AF193" s="243">
        <f t="shared" si="2"/>
        <v>430</v>
      </c>
      <c r="AG193" s="244"/>
      <c r="AH193" s="245" t="s">
        <v>1227</v>
      </c>
    </row>
    <row r="194" spans="1:34" s="18" customFormat="1" ht="57" hidden="1">
      <c r="A194" s="53">
        <v>2002</v>
      </c>
      <c r="B194" s="54" t="s">
        <v>2868</v>
      </c>
      <c r="C194" s="54" t="s">
        <v>2868</v>
      </c>
      <c r="D194" s="54" t="s">
        <v>2869</v>
      </c>
      <c r="E194" s="53">
        <v>2</v>
      </c>
      <c r="F194" s="55">
        <v>1</v>
      </c>
      <c r="G194" s="56">
        <v>2</v>
      </c>
      <c r="H194" s="57" t="s">
        <v>1228</v>
      </c>
      <c r="I194" s="57" t="s">
        <v>1228</v>
      </c>
      <c r="J194" s="58">
        <v>10500102584404</v>
      </c>
      <c r="K194" s="59" t="s">
        <v>89</v>
      </c>
      <c r="L194" s="59"/>
      <c r="M194" s="59">
        <v>1</v>
      </c>
      <c r="N194" s="57" t="s">
        <v>1229</v>
      </c>
      <c r="O194" s="57" t="s">
        <v>1230</v>
      </c>
      <c r="P194" s="60">
        <v>5290481</v>
      </c>
      <c r="Q194" s="57" t="s">
        <v>100</v>
      </c>
      <c r="R194" s="57" t="s">
        <v>1231</v>
      </c>
      <c r="S194" s="61" t="s">
        <v>1232</v>
      </c>
      <c r="T194" s="246">
        <v>308</v>
      </c>
      <c r="U194" s="247">
        <v>142</v>
      </c>
      <c r="V194" s="247">
        <v>0</v>
      </c>
      <c r="W194" s="241" t="s">
        <v>2869</v>
      </c>
      <c r="X194" s="241" t="s">
        <v>2868</v>
      </c>
      <c r="Y194" s="242">
        <v>450</v>
      </c>
      <c r="Z194" s="246">
        <v>0</v>
      </c>
      <c r="AA194" s="247">
        <v>0</v>
      </c>
      <c r="AB194" s="247">
        <v>0</v>
      </c>
      <c r="AC194" s="241"/>
      <c r="AD194" s="241"/>
      <c r="AE194" s="242">
        <v>0</v>
      </c>
      <c r="AF194" s="243">
        <f t="shared" si="2"/>
        <v>450</v>
      </c>
      <c r="AG194" s="67"/>
      <c r="AH194" s="68"/>
    </row>
    <row r="195" spans="1:34" s="18" customFormat="1" ht="45.6" hidden="1">
      <c r="A195" s="53">
        <v>2003</v>
      </c>
      <c r="B195" s="54" t="s">
        <v>2868</v>
      </c>
      <c r="C195" s="54" t="s">
        <v>2868</v>
      </c>
      <c r="D195" s="54" t="s">
        <v>2870</v>
      </c>
      <c r="E195" s="53">
        <v>2</v>
      </c>
      <c r="F195" s="55">
        <v>1</v>
      </c>
      <c r="G195" s="56">
        <v>3</v>
      </c>
      <c r="H195" s="57" t="s">
        <v>1233</v>
      </c>
      <c r="I195" s="57" t="s">
        <v>1233</v>
      </c>
      <c r="J195" s="58">
        <v>10500101930501</v>
      </c>
      <c r="K195" s="59" t="s">
        <v>89</v>
      </c>
      <c r="L195" s="59"/>
      <c r="M195" s="59">
        <v>1</v>
      </c>
      <c r="N195" s="57" t="s">
        <v>1234</v>
      </c>
      <c r="O195" s="57" t="s">
        <v>1235</v>
      </c>
      <c r="P195" s="60">
        <v>5721377</v>
      </c>
      <c r="Q195" s="57" t="s">
        <v>1236</v>
      </c>
      <c r="R195" s="57" t="s">
        <v>1237</v>
      </c>
      <c r="S195" s="61" t="s">
        <v>1238</v>
      </c>
      <c r="T195" s="246">
        <v>203</v>
      </c>
      <c r="U195" s="247">
        <v>170</v>
      </c>
      <c r="V195" s="247">
        <v>37</v>
      </c>
      <c r="W195" s="241" t="s">
        <v>2869</v>
      </c>
      <c r="X195" s="241" t="s">
        <v>2868</v>
      </c>
      <c r="Y195" s="242">
        <v>410</v>
      </c>
      <c r="Z195" s="246">
        <v>0</v>
      </c>
      <c r="AA195" s="247">
        <v>140</v>
      </c>
      <c r="AB195" s="247">
        <v>20</v>
      </c>
      <c r="AC195" s="241" t="s">
        <v>2866</v>
      </c>
      <c r="AD195" s="241" t="s">
        <v>2868</v>
      </c>
      <c r="AE195" s="242">
        <v>160</v>
      </c>
      <c r="AF195" s="243">
        <f t="shared" ref="AF195:AF258" si="3">+Y195+AE195</f>
        <v>570</v>
      </c>
      <c r="AG195" s="67"/>
      <c r="AH195" s="68"/>
    </row>
    <row r="196" spans="1:34" s="18" customFormat="1" ht="57" hidden="1">
      <c r="A196" s="53">
        <v>2004</v>
      </c>
      <c r="B196" s="54" t="s">
        <v>2868</v>
      </c>
      <c r="C196" s="54" t="s">
        <v>2868</v>
      </c>
      <c r="D196" s="54" t="s">
        <v>2869</v>
      </c>
      <c r="E196" s="53">
        <v>2</v>
      </c>
      <c r="F196" s="55">
        <v>1</v>
      </c>
      <c r="G196" s="56">
        <v>4</v>
      </c>
      <c r="H196" s="57" t="s">
        <v>1239</v>
      </c>
      <c r="I196" s="57" t="s">
        <v>1239</v>
      </c>
      <c r="J196" s="58">
        <v>10500100234801</v>
      </c>
      <c r="K196" s="59" t="s">
        <v>89</v>
      </c>
      <c r="L196" s="68"/>
      <c r="M196" s="59">
        <v>1</v>
      </c>
      <c r="N196" s="57" t="s">
        <v>118</v>
      </c>
      <c r="O196" s="57" t="s">
        <v>1240</v>
      </c>
      <c r="P196" s="60" t="s">
        <v>1241</v>
      </c>
      <c r="Q196" s="57" t="s">
        <v>1242</v>
      </c>
      <c r="R196" s="57" t="s">
        <v>1243</v>
      </c>
      <c r="S196" s="61" t="s">
        <v>1244</v>
      </c>
      <c r="T196" s="248">
        <v>444</v>
      </c>
      <c r="U196" s="249">
        <v>156</v>
      </c>
      <c r="V196" s="249">
        <v>0</v>
      </c>
      <c r="W196" s="241" t="s">
        <v>2869</v>
      </c>
      <c r="X196" s="241" t="s">
        <v>2868</v>
      </c>
      <c r="Y196" s="242">
        <v>600</v>
      </c>
      <c r="Z196" s="246">
        <v>0</v>
      </c>
      <c r="AA196" s="247">
        <v>0</v>
      </c>
      <c r="AB196" s="247">
        <v>0</v>
      </c>
      <c r="AC196" s="241"/>
      <c r="AD196" s="241"/>
      <c r="AE196" s="242">
        <v>0</v>
      </c>
      <c r="AF196" s="243">
        <f t="shared" si="3"/>
        <v>600</v>
      </c>
      <c r="AG196" s="67"/>
      <c r="AH196" s="68"/>
    </row>
    <row r="197" spans="1:34" s="18" customFormat="1" ht="57" hidden="1">
      <c r="A197" s="53">
        <v>2005</v>
      </c>
      <c r="B197" s="54" t="s">
        <v>2868</v>
      </c>
      <c r="C197" s="54" t="s">
        <v>2868</v>
      </c>
      <c r="D197" s="54" t="s">
        <v>2869</v>
      </c>
      <c r="E197" s="53">
        <v>2</v>
      </c>
      <c r="F197" s="55">
        <v>1</v>
      </c>
      <c r="G197" s="56">
        <v>5</v>
      </c>
      <c r="H197" s="57" t="s">
        <v>1245</v>
      </c>
      <c r="I197" s="57" t="s">
        <v>1245</v>
      </c>
      <c r="J197" s="58">
        <v>10500100234802</v>
      </c>
      <c r="K197" s="59" t="s">
        <v>89</v>
      </c>
      <c r="L197" s="59" t="s">
        <v>63</v>
      </c>
      <c r="M197" s="59">
        <v>1</v>
      </c>
      <c r="N197" s="57" t="s">
        <v>118</v>
      </c>
      <c r="O197" s="57" t="s">
        <v>1246</v>
      </c>
      <c r="P197" s="60" t="s">
        <v>1247</v>
      </c>
      <c r="Q197" s="57" t="s">
        <v>1242</v>
      </c>
      <c r="R197" s="57" t="s">
        <v>1248</v>
      </c>
      <c r="S197" s="61" t="s">
        <v>1249</v>
      </c>
      <c r="T197" s="246">
        <v>0</v>
      </c>
      <c r="U197" s="247">
        <v>128</v>
      </c>
      <c r="V197" s="247">
        <v>150</v>
      </c>
      <c r="W197" s="241" t="s">
        <v>2869</v>
      </c>
      <c r="X197" s="241" t="s">
        <v>2868</v>
      </c>
      <c r="Y197" s="242">
        <v>278</v>
      </c>
      <c r="Z197" s="246">
        <v>0</v>
      </c>
      <c r="AA197" s="247">
        <v>0</v>
      </c>
      <c r="AB197" s="247">
        <v>0</v>
      </c>
      <c r="AC197" s="241"/>
      <c r="AD197" s="241"/>
      <c r="AE197" s="242">
        <v>0</v>
      </c>
      <c r="AF197" s="243">
        <f t="shared" si="3"/>
        <v>278</v>
      </c>
      <c r="AG197" s="67"/>
      <c r="AH197" s="250"/>
    </row>
    <row r="198" spans="1:34" s="18" customFormat="1" ht="45.6" hidden="1">
      <c r="A198" s="53">
        <v>2006</v>
      </c>
      <c r="B198" s="54" t="s">
        <v>2868</v>
      </c>
      <c r="C198" s="54" t="s">
        <v>2868</v>
      </c>
      <c r="D198" s="54" t="s">
        <v>2870</v>
      </c>
      <c r="E198" s="53">
        <v>2</v>
      </c>
      <c r="F198" s="55">
        <v>1</v>
      </c>
      <c r="G198" s="56">
        <v>6</v>
      </c>
      <c r="H198" s="57" t="s">
        <v>1250</v>
      </c>
      <c r="I198" s="57" t="s">
        <v>1250</v>
      </c>
      <c r="J198" s="58">
        <v>30500101528701</v>
      </c>
      <c r="K198" s="59" t="s">
        <v>89</v>
      </c>
      <c r="L198" s="59" t="s">
        <v>63</v>
      </c>
      <c r="M198" s="59">
        <v>1</v>
      </c>
      <c r="N198" s="57" t="s">
        <v>118</v>
      </c>
      <c r="O198" s="57" t="s">
        <v>1251</v>
      </c>
      <c r="P198" s="60" t="s">
        <v>1252</v>
      </c>
      <c r="Q198" s="57" t="s">
        <v>1253</v>
      </c>
      <c r="R198" s="57" t="s">
        <v>1254</v>
      </c>
      <c r="S198" s="61" t="s">
        <v>1255</v>
      </c>
      <c r="T198" s="246">
        <v>101</v>
      </c>
      <c r="U198" s="247">
        <v>247</v>
      </c>
      <c r="V198" s="247">
        <v>102</v>
      </c>
      <c r="W198" s="241" t="s">
        <v>2869</v>
      </c>
      <c r="X198" s="241" t="s">
        <v>2868</v>
      </c>
      <c r="Y198" s="242">
        <v>450</v>
      </c>
      <c r="Z198" s="246">
        <v>243</v>
      </c>
      <c r="AA198" s="247">
        <v>435</v>
      </c>
      <c r="AB198" s="247">
        <v>22</v>
      </c>
      <c r="AC198" s="241" t="s">
        <v>2866</v>
      </c>
      <c r="AD198" s="241" t="s">
        <v>2868</v>
      </c>
      <c r="AE198" s="242">
        <v>700</v>
      </c>
      <c r="AF198" s="243">
        <f t="shared" si="3"/>
        <v>1150</v>
      </c>
      <c r="AG198" s="67"/>
      <c r="AH198" s="68"/>
    </row>
    <row r="199" spans="1:34" s="18" customFormat="1" ht="79.8" hidden="1">
      <c r="A199" s="53">
        <v>2007</v>
      </c>
      <c r="B199" s="54" t="s">
        <v>2868</v>
      </c>
      <c r="C199" s="54" t="s">
        <v>2868</v>
      </c>
      <c r="D199" s="54" t="s">
        <v>2870</v>
      </c>
      <c r="E199" s="53">
        <v>2</v>
      </c>
      <c r="F199" s="55">
        <v>1</v>
      </c>
      <c r="G199" s="56">
        <v>7</v>
      </c>
      <c r="H199" s="57" t="s">
        <v>1256</v>
      </c>
      <c r="I199" s="57" t="s">
        <v>1256</v>
      </c>
      <c r="J199" s="58">
        <v>30500101528702</v>
      </c>
      <c r="K199" s="59" t="s">
        <v>89</v>
      </c>
      <c r="L199" s="59"/>
      <c r="M199" s="59">
        <v>1</v>
      </c>
      <c r="N199" s="57" t="s">
        <v>1257</v>
      </c>
      <c r="O199" s="57" t="s">
        <v>1258</v>
      </c>
      <c r="P199" s="60">
        <v>5723241</v>
      </c>
      <c r="Q199" s="57" t="s">
        <v>1259</v>
      </c>
      <c r="R199" s="57" t="s">
        <v>1260</v>
      </c>
      <c r="S199" s="61" t="s">
        <v>1261</v>
      </c>
      <c r="T199" s="246">
        <v>190</v>
      </c>
      <c r="U199" s="247">
        <v>0</v>
      </c>
      <c r="V199" s="247">
        <v>0</v>
      </c>
      <c r="W199" s="241" t="s">
        <v>2869</v>
      </c>
      <c r="X199" s="241" t="s">
        <v>2868</v>
      </c>
      <c r="Y199" s="242">
        <v>190</v>
      </c>
      <c r="Z199" s="246">
        <v>120</v>
      </c>
      <c r="AA199" s="247">
        <v>0</v>
      </c>
      <c r="AB199" s="247">
        <v>0</v>
      </c>
      <c r="AC199" s="241" t="s">
        <v>2866</v>
      </c>
      <c r="AD199" s="241" t="s">
        <v>2868</v>
      </c>
      <c r="AE199" s="242">
        <v>120</v>
      </c>
      <c r="AF199" s="243">
        <f t="shared" si="3"/>
        <v>310</v>
      </c>
      <c r="AG199" s="67"/>
      <c r="AH199" s="68"/>
    </row>
    <row r="200" spans="1:34" s="18" customFormat="1" ht="45.6" hidden="1">
      <c r="A200" s="53">
        <v>2008</v>
      </c>
      <c r="B200" s="54" t="s">
        <v>2868</v>
      </c>
      <c r="C200" s="54" t="s">
        <v>2868</v>
      </c>
      <c r="D200" s="54" t="s">
        <v>2870</v>
      </c>
      <c r="E200" s="53">
        <v>2</v>
      </c>
      <c r="F200" s="55">
        <v>1</v>
      </c>
      <c r="G200" s="56">
        <v>8</v>
      </c>
      <c r="H200" s="57" t="s">
        <v>1262</v>
      </c>
      <c r="I200" s="57" t="s">
        <v>1262</v>
      </c>
      <c r="J200" s="58">
        <v>10500101169002</v>
      </c>
      <c r="K200" s="59" t="s">
        <v>89</v>
      </c>
      <c r="L200" s="59"/>
      <c r="M200" s="59">
        <v>1</v>
      </c>
      <c r="N200" s="57" t="s">
        <v>124</v>
      </c>
      <c r="O200" s="57" t="s">
        <v>1263</v>
      </c>
      <c r="P200" s="60" t="s">
        <v>1264</v>
      </c>
      <c r="Q200" s="57" t="s">
        <v>1265</v>
      </c>
      <c r="R200" s="57" t="s">
        <v>1266</v>
      </c>
      <c r="S200" s="61" t="s">
        <v>1267</v>
      </c>
      <c r="T200" s="246">
        <v>171</v>
      </c>
      <c r="U200" s="247">
        <v>99</v>
      </c>
      <c r="V200" s="247">
        <v>0</v>
      </c>
      <c r="W200" s="241" t="s">
        <v>2869</v>
      </c>
      <c r="X200" s="241" t="s">
        <v>2868</v>
      </c>
      <c r="Y200" s="242">
        <v>270</v>
      </c>
      <c r="Z200" s="246">
        <v>240</v>
      </c>
      <c r="AA200" s="247">
        <v>150</v>
      </c>
      <c r="AB200" s="247">
        <v>0</v>
      </c>
      <c r="AC200" s="241" t="s">
        <v>2866</v>
      </c>
      <c r="AD200" s="241" t="s">
        <v>2868</v>
      </c>
      <c r="AE200" s="242">
        <v>390</v>
      </c>
      <c r="AF200" s="243">
        <f t="shared" si="3"/>
        <v>660</v>
      </c>
      <c r="AG200" s="67"/>
      <c r="AH200" s="68"/>
    </row>
    <row r="201" spans="1:34" s="18" customFormat="1" ht="45.6" hidden="1">
      <c r="A201" s="53">
        <v>2009</v>
      </c>
      <c r="B201" s="54" t="s">
        <v>2868</v>
      </c>
      <c r="C201" s="54" t="s">
        <v>2868</v>
      </c>
      <c r="D201" s="54" t="s">
        <v>2869</v>
      </c>
      <c r="E201" s="53">
        <v>2</v>
      </c>
      <c r="F201" s="55">
        <v>1</v>
      </c>
      <c r="G201" s="56">
        <v>9</v>
      </c>
      <c r="H201" s="57" t="s">
        <v>1268</v>
      </c>
      <c r="I201" s="57" t="s">
        <v>1268</v>
      </c>
      <c r="J201" s="58">
        <v>10500100721801</v>
      </c>
      <c r="K201" s="59" t="s">
        <v>89</v>
      </c>
      <c r="L201" s="59" t="s">
        <v>63</v>
      </c>
      <c r="M201" s="59">
        <v>1</v>
      </c>
      <c r="N201" s="57" t="s">
        <v>149</v>
      </c>
      <c r="O201" s="57" t="s">
        <v>1269</v>
      </c>
      <c r="P201" s="60" t="s">
        <v>1270</v>
      </c>
      <c r="Q201" s="57" t="s">
        <v>1271</v>
      </c>
      <c r="R201" s="57" t="s">
        <v>1272</v>
      </c>
      <c r="S201" s="61" t="s">
        <v>1273</v>
      </c>
      <c r="T201" s="246">
        <v>370</v>
      </c>
      <c r="U201" s="247">
        <v>179</v>
      </c>
      <c r="V201" s="247">
        <v>151</v>
      </c>
      <c r="W201" s="241" t="s">
        <v>2869</v>
      </c>
      <c r="X201" s="241" t="s">
        <v>2868</v>
      </c>
      <c r="Y201" s="242">
        <v>700</v>
      </c>
      <c r="Z201" s="246">
        <v>0</v>
      </c>
      <c r="AA201" s="247">
        <v>0</v>
      </c>
      <c r="AB201" s="247">
        <v>0</v>
      </c>
      <c r="AC201" s="241"/>
      <c r="AD201" s="241"/>
      <c r="AE201" s="242">
        <v>0</v>
      </c>
      <c r="AF201" s="243">
        <f t="shared" si="3"/>
        <v>700</v>
      </c>
      <c r="AG201" s="67"/>
      <c r="AH201" s="68"/>
    </row>
    <row r="202" spans="1:34" s="18" customFormat="1" ht="68.400000000000006" hidden="1">
      <c r="A202" s="53">
        <v>2010</v>
      </c>
      <c r="B202" s="54" t="s">
        <v>2868</v>
      </c>
      <c r="C202" s="54" t="s">
        <v>2868</v>
      </c>
      <c r="D202" s="54" t="s">
        <v>2869</v>
      </c>
      <c r="E202" s="53">
        <v>2</v>
      </c>
      <c r="F202" s="55">
        <v>1</v>
      </c>
      <c r="G202" s="56">
        <v>10</v>
      </c>
      <c r="H202" s="57" t="s">
        <v>1274</v>
      </c>
      <c r="I202" s="57" t="s">
        <v>1274</v>
      </c>
      <c r="J202" s="58">
        <v>30500101950901</v>
      </c>
      <c r="K202" s="59" t="s">
        <v>167</v>
      </c>
      <c r="L202" s="59"/>
      <c r="M202" s="59">
        <v>1</v>
      </c>
      <c r="N202" s="57" t="s">
        <v>1234</v>
      </c>
      <c r="O202" s="57" t="s">
        <v>1275</v>
      </c>
      <c r="P202" s="60" t="s">
        <v>1276</v>
      </c>
      <c r="Q202" s="57" t="s">
        <v>1277</v>
      </c>
      <c r="R202" s="57" t="s">
        <v>1278</v>
      </c>
      <c r="S202" s="61" t="s">
        <v>1279</v>
      </c>
      <c r="T202" s="246">
        <v>78</v>
      </c>
      <c r="U202" s="247">
        <v>110</v>
      </c>
      <c r="V202" s="247">
        <v>0</v>
      </c>
      <c r="W202" s="241" t="s">
        <v>2869</v>
      </c>
      <c r="X202" s="241" t="s">
        <v>2868</v>
      </c>
      <c r="Y202" s="242">
        <v>188</v>
      </c>
      <c r="Z202" s="246">
        <v>0</v>
      </c>
      <c r="AA202" s="247">
        <v>0</v>
      </c>
      <c r="AB202" s="247">
        <v>0</v>
      </c>
      <c r="AC202" s="241"/>
      <c r="AD202" s="241"/>
      <c r="AE202" s="242">
        <v>0</v>
      </c>
      <c r="AF202" s="243">
        <f t="shared" si="3"/>
        <v>188</v>
      </c>
      <c r="AG202" s="67"/>
      <c r="AH202" s="68"/>
    </row>
    <row r="203" spans="1:34" s="18" customFormat="1" ht="68.400000000000006" hidden="1">
      <c r="A203" s="53">
        <v>2011</v>
      </c>
      <c r="B203" s="54" t="s">
        <v>2868</v>
      </c>
      <c r="C203" s="54" t="s">
        <v>2868</v>
      </c>
      <c r="D203" s="54" t="s">
        <v>2870</v>
      </c>
      <c r="E203" s="53">
        <v>2</v>
      </c>
      <c r="F203" s="55">
        <v>1</v>
      </c>
      <c r="G203" s="56">
        <v>11</v>
      </c>
      <c r="H203" s="57" t="s">
        <v>1280</v>
      </c>
      <c r="I203" s="57" t="s">
        <v>1280</v>
      </c>
      <c r="J203" s="58">
        <v>10500100791901</v>
      </c>
      <c r="K203" s="59" t="s">
        <v>167</v>
      </c>
      <c r="L203" s="59"/>
      <c r="M203" s="59">
        <v>1</v>
      </c>
      <c r="N203" s="57" t="s">
        <v>1281</v>
      </c>
      <c r="O203" s="57" t="s">
        <v>1282</v>
      </c>
      <c r="P203" s="60" t="s">
        <v>1283</v>
      </c>
      <c r="Q203" s="57" t="s">
        <v>1284</v>
      </c>
      <c r="R203" s="57" t="s">
        <v>1285</v>
      </c>
      <c r="S203" s="61" t="s">
        <v>1286</v>
      </c>
      <c r="T203" s="246">
        <v>150</v>
      </c>
      <c r="U203" s="247">
        <v>150</v>
      </c>
      <c r="V203" s="247">
        <v>100</v>
      </c>
      <c r="W203" s="241" t="s">
        <v>2869</v>
      </c>
      <c r="X203" s="241" t="s">
        <v>2868</v>
      </c>
      <c r="Y203" s="242">
        <v>400</v>
      </c>
      <c r="Z203" s="246">
        <v>206</v>
      </c>
      <c r="AA203" s="247">
        <v>228</v>
      </c>
      <c r="AB203" s="247">
        <v>16</v>
      </c>
      <c r="AC203" s="241" t="s">
        <v>2866</v>
      </c>
      <c r="AD203" s="241" t="s">
        <v>2868</v>
      </c>
      <c r="AE203" s="242">
        <v>450</v>
      </c>
      <c r="AF203" s="243">
        <f t="shared" si="3"/>
        <v>850</v>
      </c>
      <c r="AG203" s="67"/>
      <c r="AH203" s="68"/>
    </row>
    <row r="204" spans="1:34" s="18" customFormat="1" ht="45.6" hidden="1">
      <c r="A204" s="53">
        <v>2012</v>
      </c>
      <c r="B204" s="54" t="s">
        <v>2868</v>
      </c>
      <c r="C204" s="54" t="s">
        <v>2868</v>
      </c>
      <c r="D204" s="54" t="s">
        <v>2869</v>
      </c>
      <c r="E204" s="53">
        <v>2</v>
      </c>
      <c r="F204" s="55">
        <v>1</v>
      </c>
      <c r="G204" s="56">
        <v>12</v>
      </c>
      <c r="H204" s="57" t="s">
        <v>1287</v>
      </c>
      <c r="I204" s="57" t="s">
        <v>1287</v>
      </c>
      <c r="J204" s="58">
        <v>30500102182101</v>
      </c>
      <c r="K204" s="59" t="s">
        <v>167</v>
      </c>
      <c r="L204" s="59"/>
      <c r="M204" s="59">
        <v>1</v>
      </c>
      <c r="N204" s="57" t="s">
        <v>1229</v>
      </c>
      <c r="O204" s="57" t="s">
        <v>1288</v>
      </c>
      <c r="P204" s="60">
        <v>5285471</v>
      </c>
      <c r="Q204" s="57" t="s">
        <v>1289</v>
      </c>
      <c r="R204" s="57" t="s">
        <v>1290</v>
      </c>
      <c r="S204" s="61" t="s">
        <v>1291</v>
      </c>
      <c r="T204" s="246">
        <v>104</v>
      </c>
      <c r="U204" s="247">
        <v>263</v>
      </c>
      <c r="V204" s="247">
        <v>63</v>
      </c>
      <c r="W204" s="241" t="s">
        <v>2869</v>
      </c>
      <c r="X204" s="241" t="s">
        <v>2868</v>
      </c>
      <c r="Y204" s="242">
        <v>430</v>
      </c>
      <c r="Z204" s="246">
        <v>0</v>
      </c>
      <c r="AA204" s="247">
        <v>0</v>
      </c>
      <c r="AB204" s="247">
        <v>0</v>
      </c>
      <c r="AC204" s="241"/>
      <c r="AD204" s="241"/>
      <c r="AE204" s="242">
        <v>0</v>
      </c>
      <c r="AF204" s="243">
        <f t="shared" si="3"/>
        <v>430</v>
      </c>
      <c r="AG204" s="67"/>
      <c r="AH204" s="251"/>
    </row>
    <row r="205" spans="1:34" s="18" customFormat="1" ht="91.2" hidden="1">
      <c r="A205" s="53">
        <v>2013</v>
      </c>
      <c r="B205" s="54" t="s">
        <v>2868</v>
      </c>
      <c r="C205" s="54" t="s">
        <v>2868</v>
      </c>
      <c r="D205" s="54" t="s">
        <v>2870</v>
      </c>
      <c r="E205" s="53">
        <v>2</v>
      </c>
      <c r="F205" s="55">
        <v>1</v>
      </c>
      <c r="G205" s="56">
        <v>13</v>
      </c>
      <c r="H205" s="57" t="s">
        <v>1292</v>
      </c>
      <c r="I205" s="57" t="s">
        <v>1292</v>
      </c>
      <c r="J205" s="58">
        <v>10500101314501</v>
      </c>
      <c r="K205" s="59" t="s">
        <v>89</v>
      </c>
      <c r="L205" s="59"/>
      <c r="M205" s="59">
        <v>2</v>
      </c>
      <c r="N205" s="57" t="s">
        <v>225</v>
      </c>
      <c r="O205" s="57" t="s">
        <v>1293</v>
      </c>
      <c r="P205" s="60" t="s">
        <v>1294</v>
      </c>
      <c r="Q205" s="57" t="s">
        <v>1295</v>
      </c>
      <c r="R205" s="57" t="s">
        <v>1296</v>
      </c>
      <c r="S205" s="61" t="s">
        <v>1297</v>
      </c>
      <c r="T205" s="246">
        <v>52</v>
      </c>
      <c r="U205" s="247">
        <v>98</v>
      </c>
      <c r="V205" s="247">
        <v>50</v>
      </c>
      <c r="W205" s="241" t="s">
        <v>2869</v>
      </c>
      <c r="X205" s="241" t="s">
        <v>2868</v>
      </c>
      <c r="Y205" s="242">
        <v>200</v>
      </c>
      <c r="Z205" s="246">
        <v>386</v>
      </c>
      <c r="AA205" s="247">
        <v>438</v>
      </c>
      <c r="AB205" s="247">
        <v>166</v>
      </c>
      <c r="AC205" s="241" t="s">
        <v>2866</v>
      </c>
      <c r="AD205" s="241" t="s">
        <v>2868</v>
      </c>
      <c r="AE205" s="242">
        <v>990</v>
      </c>
      <c r="AF205" s="243">
        <f t="shared" si="3"/>
        <v>1190</v>
      </c>
      <c r="AG205" s="67"/>
      <c r="AH205" s="68"/>
    </row>
    <row r="206" spans="1:34" s="18" customFormat="1" ht="57" hidden="1">
      <c r="A206" s="53">
        <v>2014</v>
      </c>
      <c r="B206" s="54" t="s">
        <v>2868</v>
      </c>
      <c r="C206" s="54" t="s">
        <v>2868</v>
      </c>
      <c r="D206" s="54" t="s">
        <v>2870</v>
      </c>
      <c r="E206" s="53">
        <v>2</v>
      </c>
      <c r="F206" s="55">
        <v>1</v>
      </c>
      <c r="G206" s="56">
        <v>14</v>
      </c>
      <c r="H206" s="57" t="s">
        <v>1298</v>
      </c>
      <c r="I206" s="57" t="s">
        <v>1298</v>
      </c>
      <c r="J206" s="58">
        <v>10500100313101</v>
      </c>
      <c r="K206" s="59" t="s">
        <v>89</v>
      </c>
      <c r="L206" s="59"/>
      <c r="M206" s="59">
        <v>2</v>
      </c>
      <c r="N206" s="57" t="s">
        <v>207</v>
      </c>
      <c r="O206" s="57" t="s">
        <v>1299</v>
      </c>
      <c r="P206" s="60" t="s">
        <v>1300</v>
      </c>
      <c r="Q206" s="57" t="s">
        <v>215</v>
      </c>
      <c r="R206" s="57" t="s">
        <v>1301</v>
      </c>
      <c r="S206" s="61" t="s">
        <v>1302</v>
      </c>
      <c r="T206" s="248">
        <v>0</v>
      </c>
      <c r="U206" s="249">
        <v>320</v>
      </c>
      <c r="V206" s="249">
        <v>0</v>
      </c>
      <c r="W206" s="241" t="s">
        <v>2869</v>
      </c>
      <c r="X206" s="241" t="s">
        <v>2868</v>
      </c>
      <c r="Y206" s="242">
        <v>320</v>
      </c>
      <c r="Z206" s="246">
        <v>120</v>
      </c>
      <c r="AA206" s="247">
        <v>118</v>
      </c>
      <c r="AB206" s="247">
        <v>0</v>
      </c>
      <c r="AC206" s="241" t="s">
        <v>2866</v>
      </c>
      <c r="AD206" s="241" t="s">
        <v>2868</v>
      </c>
      <c r="AE206" s="242">
        <v>238</v>
      </c>
      <c r="AF206" s="243">
        <f t="shared" si="3"/>
        <v>558</v>
      </c>
      <c r="AG206" s="67"/>
      <c r="AH206" s="68"/>
    </row>
    <row r="207" spans="1:34" s="18" customFormat="1" ht="68.400000000000006" hidden="1">
      <c r="A207" s="53">
        <v>2015</v>
      </c>
      <c r="B207" s="54" t="s">
        <v>2868</v>
      </c>
      <c r="C207" s="54" t="s">
        <v>2868</v>
      </c>
      <c r="D207" s="54" t="s">
        <v>2869</v>
      </c>
      <c r="E207" s="53">
        <v>2</v>
      </c>
      <c r="F207" s="55">
        <v>1</v>
      </c>
      <c r="G207" s="56">
        <v>15</v>
      </c>
      <c r="H207" s="57" t="s">
        <v>1303</v>
      </c>
      <c r="I207" s="57" t="s">
        <v>1303</v>
      </c>
      <c r="J207" s="58">
        <v>10500102396501</v>
      </c>
      <c r="K207" s="59" t="s">
        <v>89</v>
      </c>
      <c r="L207" s="59" t="s">
        <v>63</v>
      </c>
      <c r="M207" s="59">
        <v>2</v>
      </c>
      <c r="N207" s="57" t="s">
        <v>174</v>
      </c>
      <c r="O207" s="57" t="s">
        <v>1304</v>
      </c>
      <c r="P207" s="60" t="s">
        <v>1305</v>
      </c>
      <c r="Q207" s="57" t="s">
        <v>1306</v>
      </c>
      <c r="R207" s="57" t="s">
        <v>1307</v>
      </c>
      <c r="S207" s="61" t="s">
        <v>1308</v>
      </c>
      <c r="T207" s="246">
        <v>0</v>
      </c>
      <c r="U207" s="247">
        <v>266</v>
      </c>
      <c r="V207" s="247">
        <v>134</v>
      </c>
      <c r="W207" s="241" t="s">
        <v>2869</v>
      </c>
      <c r="X207" s="241" t="s">
        <v>2868</v>
      </c>
      <c r="Y207" s="242">
        <v>400</v>
      </c>
      <c r="Z207" s="246">
        <v>0</v>
      </c>
      <c r="AA207" s="247">
        <v>0</v>
      </c>
      <c r="AB207" s="247">
        <v>0</v>
      </c>
      <c r="AC207" s="241"/>
      <c r="AD207" s="241"/>
      <c r="AE207" s="242">
        <v>0</v>
      </c>
      <c r="AF207" s="243">
        <f t="shared" si="3"/>
        <v>400</v>
      </c>
      <c r="AG207" s="67"/>
      <c r="AH207" s="250"/>
    </row>
    <row r="208" spans="1:34" s="18" customFormat="1" ht="28.8" hidden="1">
      <c r="A208" s="53">
        <v>2016</v>
      </c>
      <c r="B208" s="54" t="s">
        <v>2868</v>
      </c>
      <c r="C208" s="54" t="s">
        <v>2868</v>
      </c>
      <c r="D208" s="54" t="s">
        <v>2869</v>
      </c>
      <c r="E208" s="53">
        <v>2</v>
      </c>
      <c r="F208" s="55">
        <v>1</v>
      </c>
      <c r="G208" s="56">
        <v>16</v>
      </c>
      <c r="H208" s="57" t="s">
        <v>1309</v>
      </c>
      <c r="I208" s="57" t="s">
        <v>1309</v>
      </c>
      <c r="J208" s="58">
        <v>10500102396505</v>
      </c>
      <c r="K208" s="59" t="s">
        <v>89</v>
      </c>
      <c r="L208" s="59"/>
      <c r="M208" s="59">
        <v>2</v>
      </c>
      <c r="N208" s="57" t="s">
        <v>1310</v>
      </c>
      <c r="O208" s="57" t="s">
        <v>1311</v>
      </c>
      <c r="P208" s="60">
        <v>2581053</v>
      </c>
      <c r="Q208" s="57" t="s">
        <v>1312</v>
      </c>
      <c r="R208" s="57" t="s">
        <v>1313</v>
      </c>
      <c r="S208" s="61" t="s">
        <v>1314</v>
      </c>
      <c r="T208" s="246">
        <v>210</v>
      </c>
      <c r="U208" s="247">
        <v>77</v>
      </c>
      <c r="V208" s="247">
        <v>0</v>
      </c>
      <c r="W208" s="241" t="s">
        <v>2869</v>
      </c>
      <c r="X208" s="241" t="s">
        <v>2868</v>
      </c>
      <c r="Y208" s="242">
        <v>287</v>
      </c>
      <c r="Z208" s="246">
        <v>0</v>
      </c>
      <c r="AA208" s="247">
        <v>0</v>
      </c>
      <c r="AB208" s="247">
        <v>0</v>
      </c>
      <c r="AC208" s="241"/>
      <c r="AD208" s="241"/>
      <c r="AE208" s="242">
        <v>0</v>
      </c>
      <c r="AF208" s="243">
        <f t="shared" si="3"/>
        <v>287</v>
      </c>
      <c r="AG208" s="101"/>
      <c r="AH208" s="68"/>
    </row>
    <row r="209" spans="1:34" s="18" customFormat="1" ht="57" hidden="1">
      <c r="A209" s="53">
        <v>2017</v>
      </c>
      <c r="B209" s="54" t="s">
        <v>2868</v>
      </c>
      <c r="C209" s="54" t="s">
        <v>2868</v>
      </c>
      <c r="D209" s="54" t="s">
        <v>2870</v>
      </c>
      <c r="E209" s="53">
        <v>2</v>
      </c>
      <c r="F209" s="55">
        <v>1</v>
      </c>
      <c r="G209" s="56">
        <v>17</v>
      </c>
      <c r="H209" s="57" t="s">
        <v>1315</v>
      </c>
      <c r="I209" s="57" t="s">
        <v>1315</v>
      </c>
      <c r="J209" s="58">
        <v>10500100112101</v>
      </c>
      <c r="K209" s="59" t="s">
        <v>89</v>
      </c>
      <c r="L209" s="59" t="s">
        <v>63</v>
      </c>
      <c r="M209" s="59">
        <v>3</v>
      </c>
      <c r="N209" s="57" t="s">
        <v>294</v>
      </c>
      <c r="O209" s="57" t="s">
        <v>1316</v>
      </c>
      <c r="P209" s="60">
        <v>2331414</v>
      </c>
      <c r="Q209" s="57" t="s">
        <v>1317</v>
      </c>
      <c r="R209" s="57" t="s">
        <v>1318</v>
      </c>
      <c r="S209" s="61" t="s">
        <v>1319</v>
      </c>
      <c r="T209" s="248">
        <v>0</v>
      </c>
      <c r="U209" s="249">
        <v>0</v>
      </c>
      <c r="V209" s="249">
        <v>320</v>
      </c>
      <c r="W209" s="241" t="s">
        <v>2869</v>
      </c>
      <c r="X209" s="241" t="s">
        <v>2868</v>
      </c>
      <c r="Y209" s="242">
        <v>320</v>
      </c>
      <c r="Z209" s="248">
        <v>0</v>
      </c>
      <c r="AA209" s="249">
        <v>538</v>
      </c>
      <c r="AB209" s="249">
        <v>162</v>
      </c>
      <c r="AC209" s="241" t="s">
        <v>2866</v>
      </c>
      <c r="AD209" s="241" t="s">
        <v>2868</v>
      </c>
      <c r="AE209" s="242">
        <v>700</v>
      </c>
      <c r="AF209" s="243">
        <f t="shared" si="3"/>
        <v>1020</v>
      </c>
      <c r="AG209" s="67"/>
      <c r="AH209" s="250"/>
    </row>
    <row r="210" spans="1:34" s="18" customFormat="1" ht="79.8" hidden="1">
      <c r="A210" s="53">
        <v>2018</v>
      </c>
      <c r="B210" s="54" t="s">
        <v>2868</v>
      </c>
      <c r="C210" s="54" t="s">
        <v>2868</v>
      </c>
      <c r="D210" s="54" t="s">
        <v>2870</v>
      </c>
      <c r="E210" s="53">
        <v>2</v>
      </c>
      <c r="F210" s="55">
        <v>1</v>
      </c>
      <c r="G210" s="56">
        <v>18</v>
      </c>
      <c r="H210" s="57" t="s">
        <v>1320</v>
      </c>
      <c r="I210" s="57" t="s">
        <v>1320</v>
      </c>
      <c r="J210" s="58">
        <v>10500100965202</v>
      </c>
      <c r="K210" s="59" t="s">
        <v>89</v>
      </c>
      <c r="L210" s="59"/>
      <c r="M210" s="59">
        <v>3</v>
      </c>
      <c r="N210" s="57" t="s">
        <v>267</v>
      </c>
      <c r="O210" s="57" t="s">
        <v>1321</v>
      </c>
      <c r="P210" s="60">
        <v>2118231</v>
      </c>
      <c r="Q210" s="57" t="s">
        <v>270</v>
      </c>
      <c r="R210" s="57" t="s">
        <v>1322</v>
      </c>
      <c r="S210" s="61" t="s">
        <v>1323</v>
      </c>
      <c r="T210" s="246">
        <v>230</v>
      </c>
      <c r="U210" s="247">
        <v>90</v>
      </c>
      <c r="V210" s="247">
        <v>0</v>
      </c>
      <c r="W210" s="241" t="s">
        <v>2869</v>
      </c>
      <c r="X210" s="241" t="s">
        <v>2868</v>
      </c>
      <c r="Y210" s="242">
        <v>320</v>
      </c>
      <c r="Z210" s="246">
        <v>18</v>
      </c>
      <c r="AA210" s="247">
        <v>107</v>
      </c>
      <c r="AB210" s="247">
        <v>0</v>
      </c>
      <c r="AC210" s="241" t="s">
        <v>2866</v>
      </c>
      <c r="AD210" s="241" t="s">
        <v>2868</v>
      </c>
      <c r="AE210" s="242">
        <v>125</v>
      </c>
      <c r="AF210" s="243">
        <f t="shared" si="3"/>
        <v>445</v>
      </c>
      <c r="AG210" s="67"/>
      <c r="AH210" s="68"/>
    </row>
    <row r="211" spans="1:34" s="18" customFormat="1" ht="45.6" hidden="1">
      <c r="A211" s="53">
        <v>2019</v>
      </c>
      <c r="B211" s="54" t="s">
        <v>2868</v>
      </c>
      <c r="C211" s="54" t="s">
        <v>2868</v>
      </c>
      <c r="D211" s="54" t="s">
        <v>2869</v>
      </c>
      <c r="E211" s="53">
        <v>2</v>
      </c>
      <c r="F211" s="55">
        <v>1</v>
      </c>
      <c r="G211" s="56">
        <v>19</v>
      </c>
      <c r="H211" s="57" t="s">
        <v>1324</v>
      </c>
      <c r="I211" s="57" t="s">
        <v>1324</v>
      </c>
      <c r="J211" s="58">
        <v>10500101058803</v>
      </c>
      <c r="K211" s="59" t="s">
        <v>89</v>
      </c>
      <c r="L211" s="59"/>
      <c r="M211" s="59">
        <v>3</v>
      </c>
      <c r="N211" s="57" t="s">
        <v>1325</v>
      </c>
      <c r="O211" s="57" t="s">
        <v>1326</v>
      </c>
      <c r="P211" s="60">
        <v>2631828</v>
      </c>
      <c r="Q211" s="57" t="s">
        <v>276</v>
      </c>
      <c r="R211" s="57" t="s">
        <v>1327</v>
      </c>
      <c r="S211" s="61" t="s">
        <v>1328</v>
      </c>
      <c r="T211" s="246">
        <v>289</v>
      </c>
      <c r="U211" s="247">
        <v>111</v>
      </c>
      <c r="V211" s="247">
        <v>0</v>
      </c>
      <c r="W211" s="241" t="s">
        <v>2869</v>
      </c>
      <c r="X211" s="241" t="s">
        <v>2868</v>
      </c>
      <c r="Y211" s="242">
        <v>400</v>
      </c>
      <c r="Z211" s="246">
        <v>0</v>
      </c>
      <c r="AA211" s="247">
        <v>0</v>
      </c>
      <c r="AB211" s="247">
        <v>0</v>
      </c>
      <c r="AC211" s="241"/>
      <c r="AD211" s="241"/>
      <c r="AE211" s="242">
        <v>0</v>
      </c>
      <c r="AF211" s="243">
        <f t="shared" si="3"/>
        <v>400</v>
      </c>
      <c r="AG211" s="67"/>
      <c r="AH211" s="68"/>
    </row>
    <row r="212" spans="1:34" s="18" customFormat="1" ht="68.400000000000006" hidden="1">
      <c r="A212" s="53">
        <v>2020</v>
      </c>
      <c r="B212" s="54" t="s">
        <v>2868</v>
      </c>
      <c r="C212" s="54" t="s">
        <v>2868</v>
      </c>
      <c r="D212" s="54" t="s">
        <v>2869</v>
      </c>
      <c r="E212" s="53">
        <v>2</v>
      </c>
      <c r="F212" s="55">
        <v>1</v>
      </c>
      <c r="G212" s="56">
        <v>20</v>
      </c>
      <c r="H212" s="57" t="s">
        <v>1329</v>
      </c>
      <c r="I212" s="57" t="s">
        <v>1329</v>
      </c>
      <c r="J212" s="58">
        <v>10500100017501</v>
      </c>
      <c r="K212" s="59" t="s">
        <v>89</v>
      </c>
      <c r="L212" s="59" t="s">
        <v>63</v>
      </c>
      <c r="M212" s="59">
        <v>3</v>
      </c>
      <c r="N212" s="57" t="s">
        <v>274</v>
      </c>
      <c r="O212" s="57" t="s">
        <v>1330</v>
      </c>
      <c r="P212" s="60" t="s">
        <v>1331</v>
      </c>
      <c r="Q212" s="57" t="s">
        <v>1332</v>
      </c>
      <c r="R212" s="57" t="s">
        <v>1333</v>
      </c>
      <c r="S212" s="61" t="s">
        <v>1334</v>
      </c>
      <c r="T212" s="246">
        <v>76</v>
      </c>
      <c r="U212" s="247">
        <v>244</v>
      </c>
      <c r="V212" s="247">
        <v>90</v>
      </c>
      <c r="W212" s="241" t="s">
        <v>2869</v>
      </c>
      <c r="X212" s="241" t="s">
        <v>2868</v>
      </c>
      <c r="Y212" s="242">
        <v>410</v>
      </c>
      <c r="Z212" s="246">
        <v>0</v>
      </c>
      <c r="AA212" s="247">
        <v>0</v>
      </c>
      <c r="AB212" s="247">
        <v>0</v>
      </c>
      <c r="AC212" s="241"/>
      <c r="AD212" s="241"/>
      <c r="AE212" s="242">
        <v>0</v>
      </c>
      <c r="AF212" s="243">
        <f t="shared" si="3"/>
        <v>410</v>
      </c>
      <c r="AG212" s="67"/>
      <c r="AH212" s="68"/>
    </row>
    <row r="213" spans="1:34" s="18" customFormat="1" ht="45.6" hidden="1">
      <c r="A213" s="53">
        <v>2021</v>
      </c>
      <c r="B213" s="54" t="s">
        <v>2868</v>
      </c>
      <c r="C213" s="54" t="s">
        <v>2868</v>
      </c>
      <c r="D213" s="54" t="s">
        <v>2869</v>
      </c>
      <c r="E213" s="53">
        <v>2</v>
      </c>
      <c r="F213" s="55">
        <v>1</v>
      </c>
      <c r="G213" s="56">
        <v>21</v>
      </c>
      <c r="H213" s="57" t="s">
        <v>1335</v>
      </c>
      <c r="I213" s="57" t="s">
        <v>1335</v>
      </c>
      <c r="J213" s="58">
        <v>10500100017502</v>
      </c>
      <c r="K213" s="59" t="s">
        <v>89</v>
      </c>
      <c r="L213" s="59"/>
      <c r="M213" s="59">
        <v>3</v>
      </c>
      <c r="N213" s="57" t="s">
        <v>274</v>
      </c>
      <c r="O213" s="57" t="s">
        <v>1336</v>
      </c>
      <c r="P213" s="60">
        <v>2632428</v>
      </c>
      <c r="Q213" s="57" t="s">
        <v>1337</v>
      </c>
      <c r="R213" s="57" t="s">
        <v>1333</v>
      </c>
      <c r="S213" s="61" t="s">
        <v>1338</v>
      </c>
      <c r="T213" s="246">
        <v>134</v>
      </c>
      <c r="U213" s="247">
        <v>66</v>
      </c>
      <c r="V213" s="247">
        <v>0</v>
      </c>
      <c r="W213" s="241" t="s">
        <v>2869</v>
      </c>
      <c r="X213" s="241" t="s">
        <v>2868</v>
      </c>
      <c r="Y213" s="242">
        <v>200</v>
      </c>
      <c r="Z213" s="246">
        <v>0</v>
      </c>
      <c r="AA213" s="247">
        <v>0</v>
      </c>
      <c r="AB213" s="247">
        <v>0</v>
      </c>
      <c r="AC213" s="241"/>
      <c r="AD213" s="241"/>
      <c r="AE213" s="242">
        <v>0</v>
      </c>
      <c r="AF213" s="243">
        <f t="shared" si="3"/>
        <v>200</v>
      </c>
      <c r="AG213" s="67"/>
      <c r="AH213" s="68"/>
    </row>
    <row r="214" spans="1:34" s="18" customFormat="1" ht="57" hidden="1">
      <c r="A214" s="53">
        <v>2022</v>
      </c>
      <c r="B214" s="54" t="s">
        <v>2868</v>
      </c>
      <c r="C214" s="54" t="s">
        <v>2868</v>
      </c>
      <c r="D214" s="54" t="s">
        <v>2870</v>
      </c>
      <c r="E214" s="53">
        <v>2</v>
      </c>
      <c r="F214" s="55">
        <v>1</v>
      </c>
      <c r="G214" s="56">
        <v>22</v>
      </c>
      <c r="H214" s="57" t="s">
        <v>1339</v>
      </c>
      <c r="I214" s="57" t="s">
        <v>1340</v>
      </c>
      <c r="J214" s="58">
        <v>10500100123601</v>
      </c>
      <c r="K214" s="59" t="s">
        <v>89</v>
      </c>
      <c r="L214" s="59"/>
      <c r="M214" s="59">
        <v>3</v>
      </c>
      <c r="N214" s="57" t="s">
        <v>274</v>
      </c>
      <c r="O214" s="57" t="s">
        <v>1341</v>
      </c>
      <c r="P214" s="60">
        <v>2639104</v>
      </c>
      <c r="Q214" s="57" t="s">
        <v>1342</v>
      </c>
      <c r="R214" s="57" t="s">
        <v>1343</v>
      </c>
      <c r="S214" s="61" t="s">
        <v>1344</v>
      </c>
      <c r="T214" s="246">
        <v>40</v>
      </c>
      <c r="U214" s="247">
        <v>306</v>
      </c>
      <c r="V214" s="247">
        <v>254</v>
      </c>
      <c r="W214" s="241" t="s">
        <v>2869</v>
      </c>
      <c r="X214" s="241" t="s">
        <v>2868</v>
      </c>
      <c r="Y214" s="242">
        <v>600</v>
      </c>
      <c r="Z214" s="246">
        <v>311</v>
      </c>
      <c r="AA214" s="247">
        <v>139</v>
      </c>
      <c r="AB214" s="247">
        <v>0</v>
      </c>
      <c r="AC214" s="241" t="s">
        <v>2866</v>
      </c>
      <c r="AD214" s="241" t="s">
        <v>2868</v>
      </c>
      <c r="AE214" s="242">
        <v>450</v>
      </c>
      <c r="AF214" s="243">
        <f t="shared" si="3"/>
        <v>1050</v>
      </c>
      <c r="AG214" s="67"/>
      <c r="AH214" s="68"/>
    </row>
    <row r="215" spans="1:34" s="18" customFormat="1" ht="68.400000000000006" hidden="1">
      <c r="A215" s="53">
        <v>2023</v>
      </c>
      <c r="B215" s="54" t="s">
        <v>2868</v>
      </c>
      <c r="C215" s="54" t="s">
        <v>2868</v>
      </c>
      <c r="D215" s="54" t="s">
        <v>2869</v>
      </c>
      <c r="E215" s="53">
        <v>2</v>
      </c>
      <c r="F215" s="55">
        <v>1</v>
      </c>
      <c r="G215" s="56">
        <v>23</v>
      </c>
      <c r="H215" s="57" t="s">
        <v>1345</v>
      </c>
      <c r="I215" s="57" t="s">
        <v>1346</v>
      </c>
      <c r="J215" s="58">
        <v>10500101953401</v>
      </c>
      <c r="K215" s="59" t="s">
        <v>89</v>
      </c>
      <c r="L215" s="59"/>
      <c r="M215" s="59">
        <v>3</v>
      </c>
      <c r="N215" s="57" t="s">
        <v>1347</v>
      </c>
      <c r="O215" s="57" t="s">
        <v>1348</v>
      </c>
      <c r="P215" s="60">
        <v>2849094</v>
      </c>
      <c r="Q215" s="57" t="s">
        <v>1349</v>
      </c>
      <c r="R215" s="57" t="s">
        <v>1350</v>
      </c>
      <c r="S215" s="61" t="s">
        <v>1351</v>
      </c>
      <c r="T215" s="246">
        <v>379</v>
      </c>
      <c r="U215" s="247">
        <v>251</v>
      </c>
      <c r="V215" s="247">
        <v>0</v>
      </c>
      <c r="W215" s="241" t="s">
        <v>2869</v>
      </c>
      <c r="X215" s="241" t="s">
        <v>2868</v>
      </c>
      <c r="Y215" s="242">
        <v>630</v>
      </c>
      <c r="Z215" s="246">
        <v>0</v>
      </c>
      <c r="AA215" s="247">
        <v>0</v>
      </c>
      <c r="AB215" s="247">
        <v>0</v>
      </c>
      <c r="AC215" s="241"/>
      <c r="AD215" s="241"/>
      <c r="AE215" s="242">
        <v>0</v>
      </c>
      <c r="AF215" s="243">
        <f t="shared" si="3"/>
        <v>630</v>
      </c>
      <c r="AG215" s="67"/>
      <c r="AH215" s="68"/>
    </row>
    <row r="216" spans="1:34" s="18" customFormat="1" ht="45.6" hidden="1">
      <c r="A216" s="53">
        <v>2024</v>
      </c>
      <c r="B216" s="54" t="s">
        <v>2868</v>
      </c>
      <c r="C216" s="54" t="s">
        <v>2868</v>
      </c>
      <c r="D216" s="54" t="s">
        <v>2870</v>
      </c>
      <c r="E216" s="53">
        <v>2</v>
      </c>
      <c r="F216" s="55">
        <v>1</v>
      </c>
      <c r="G216" s="56">
        <v>24</v>
      </c>
      <c r="H216" s="57" t="s">
        <v>1352</v>
      </c>
      <c r="I216" s="57" t="s">
        <v>1352</v>
      </c>
      <c r="J216" s="58">
        <v>30500100487101</v>
      </c>
      <c r="K216" s="59" t="s">
        <v>167</v>
      </c>
      <c r="L216" s="59"/>
      <c r="M216" s="59">
        <v>3</v>
      </c>
      <c r="N216" s="57" t="s">
        <v>248</v>
      </c>
      <c r="O216" s="57" t="s">
        <v>1353</v>
      </c>
      <c r="P216" s="60" t="s">
        <v>1354</v>
      </c>
      <c r="Q216" s="57" t="s">
        <v>1355</v>
      </c>
      <c r="R216" s="57" t="s">
        <v>1356</v>
      </c>
      <c r="S216" s="61" t="s">
        <v>1357</v>
      </c>
      <c r="T216" s="246">
        <v>104</v>
      </c>
      <c r="U216" s="247">
        <v>120</v>
      </c>
      <c r="V216" s="247">
        <v>16</v>
      </c>
      <c r="W216" s="241" t="s">
        <v>2869</v>
      </c>
      <c r="X216" s="241" t="s">
        <v>2868</v>
      </c>
      <c r="Y216" s="242">
        <v>240</v>
      </c>
      <c r="Z216" s="246">
        <v>190</v>
      </c>
      <c r="AA216" s="247">
        <v>400</v>
      </c>
      <c r="AB216" s="247">
        <v>210</v>
      </c>
      <c r="AC216" s="241" t="s">
        <v>2866</v>
      </c>
      <c r="AD216" s="241" t="s">
        <v>2868</v>
      </c>
      <c r="AE216" s="242">
        <v>800</v>
      </c>
      <c r="AF216" s="243">
        <f t="shared" si="3"/>
        <v>1040</v>
      </c>
      <c r="AG216" s="67"/>
      <c r="AH216" s="68"/>
    </row>
    <row r="217" spans="1:34" s="18" customFormat="1" ht="57" hidden="1">
      <c r="A217" s="53">
        <v>2025</v>
      </c>
      <c r="B217" s="54" t="s">
        <v>2868</v>
      </c>
      <c r="C217" s="54" t="s">
        <v>2868</v>
      </c>
      <c r="D217" s="54" t="s">
        <v>2869</v>
      </c>
      <c r="E217" s="53">
        <v>2</v>
      </c>
      <c r="F217" s="55">
        <v>1</v>
      </c>
      <c r="G217" s="56">
        <v>25</v>
      </c>
      <c r="H217" s="57" t="s">
        <v>1358</v>
      </c>
      <c r="I217" s="57" t="s">
        <v>1358</v>
      </c>
      <c r="J217" s="58">
        <v>30500102246101</v>
      </c>
      <c r="K217" s="59" t="s">
        <v>167</v>
      </c>
      <c r="L217" s="59"/>
      <c r="M217" s="59">
        <v>3</v>
      </c>
      <c r="N217" s="57" t="s">
        <v>310</v>
      </c>
      <c r="O217" s="57" t="s">
        <v>1359</v>
      </c>
      <c r="P217" s="60" t="s">
        <v>1360</v>
      </c>
      <c r="Q217" s="57" t="s">
        <v>1361</v>
      </c>
      <c r="R217" s="57" t="s">
        <v>1362</v>
      </c>
      <c r="S217" s="61" t="s">
        <v>1363</v>
      </c>
      <c r="T217" s="246">
        <v>293</v>
      </c>
      <c r="U217" s="247">
        <v>373</v>
      </c>
      <c r="V217" s="247">
        <v>64</v>
      </c>
      <c r="W217" s="241" t="s">
        <v>2869</v>
      </c>
      <c r="X217" s="241" t="s">
        <v>2868</v>
      </c>
      <c r="Y217" s="242">
        <v>730</v>
      </c>
      <c r="Z217" s="246">
        <v>0</v>
      </c>
      <c r="AA217" s="247">
        <v>0</v>
      </c>
      <c r="AB217" s="247">
        <v>0</v>
      </c>
      <c r="AC217" s="241"/>
      <c r="AD217" s="241"/>
      <c r="AE217" s="242">
        <v>0</v>
      </c>
      <c r="AF217" s="243">
        <f t="shared" si="3"/>
        <v>730</v>
      </c>
      <c r="AG217" s="67"/>
      <c r="AH217" s="251"/>
    </row>
    <row r="218" spans="1:34" s="18" customFormat="1" ht="68.400000000000006" hidden="1">
      <c r="A218" s="53">
        <v>2026</v>
      </c>
      <c r="B218" s="54" t="s">
        <v>2868</v>
      </c>
      <c r="C218" s="54" t="s">
        <v>2868</v>
      </c>
      <c r="D218" s="54" t="s">
        <v>2869</v>
      </c>
      <c r="E218" s="53">
        <v>2</v>
      </c>
      <c r="F218" s="55">
        <v>1</v>
      </c>
      <c r="G218" s="56">
        <v>26</v>
      </c>
      <c r="H218" s="57" t="s">
        <v>1364</v>
      </c>
      <c r="I218" s="57" t="s">
        <v>1364</v>
      </c>
      <c r="J218" s="58">
        <v>30500102633501</v>
      </c>
      <c r="K218" s="59" t="s">
        <v>167</v>
      </c>
      <c r="L218" s="59"/>
      <c r="M218" s="59">
        <v>3</v>
      </c>
      <c r="N218" s="57" t="s">
        <v>310</v>
      </c>
      <c r="O218" s="57" t="s">
        <v>1365</v>
      </c>
      <c r="P218" s="60">
        <v>2313169</v>
      </c>
      <c r="Q218" s="57" t="s">
        <v>1366</v>
      </c>
      <c r="R218" s="57" t="s">
        <v>1367</v>
      </c>
      <c r="S218" s="61" t="s">
        <v>1368</v>
      </c>
      <c r="T218" s="248">
        <v>95</v>
      </c>
      <c r="U218" s="249">
        <v>224</v>
      </c>
      <c r="V218" s="249">
        <v>11</v>
      </c>
      <c r="W218" s="241" t="s">
        <v>2869</v>
      </c>
      <c r="X218" s="241" t="s">
        <v>2868</v>
      </c>
      <c r="Y218" s="242">
        <v>330</v>
      </c>
      <c r="Z218" s="246">
        <v>0</v>
      </c>
      <c r="AA218" s="247">
        <v>0</v>
      </c>
      <c r="AB218" s="247">
        <v>0</v>
      </c>
      <c r="AC218" s="241"/>
      <c r="AD218" s="241"/>
      <c r="AE218" s="242">
        <v>0</v>
      </c>
      <c r="AF218" s="243">
        <f t="shared" si="3"/>
        <v>330</v>
      </c>
      <c r="AG218" s="67"/>
      <c r="AH218" s="68"/>
    </row>
    <row r="219" spans="1:34" s="18" customFormat="1" ht="68.400000000000006">
      <c r="A219" s="53">
        <v>2027</v>
      </c>
      <c r="B219" s="54" t="s">
        <v>2868</v>
      </c>
      <c r="C219" s="54" t="s">
        <v>2868</v>
      </c>
      <c r="D219" s="54" t="s">
        <v>2869</v>
      </c>
      <c r="E219" s="53">
        <v>2</v>
      </c>
      <c r="F219" s="69">
        <v>1</v>
      </c>
      <c r="G219" s="70">
        <v>27</v>
      </c>
      <c r="H219" s="252" t="s">
        <v>1369</v>
      </c>
      <c r="I219" s="72" t="s">
        <v>1369</v>
      </c>
      <c r="J219" s="73">
        <v>10500100098101</v>
      </c>
      <c r="K219" s="70" t="s">
        <v>89</v>
      </c>
      <c r="L219" s="253"/>
      <c r="M219" s="70">
        <v>4</v>
      </c>
      <c r="N219" s="72" t="s">
        <v>377</v>
      </c>
      <c r="O219" s="72" t="s">
        <v>1370</v>
      </c>
      <c r="P219" s="75" t="s">
        <v>1371</v>
      </c>
      <c r="Q219" s="72" t="s">
        <v>373</v>
      </c>
      <c r="R219" s="72" t="s">
        <v>1372</v>
      </c>
      <c r="S219" s="76" t="s">
        <v>1373</v>
      </c>
      <c r="T219" s="254">
        <v>0</v>
      </c>
      <c r="U219" s="255">
        <v>0</v>
      </c>
      <c r="V219" s="256">
        <v>300</v>
      </c>
      <c r="W219" s="241" t="s">
        <v>2869</v>
      </c>
      <c r="X219" s="241" t="s">
        <v>2868</v>
      </c>
      <c r="Y219" s="257">
        <f t="shared" ref="Y219" si="4">T219+U219+V219</f>
        <v>300</v>
      </c>
      <c r="Z219" s="254">
        <v>0</v>
      </c>
      <c r="AA219" s="255">
        <v>0</v>
      </c>
      <c r="AB219" s="255">
        <v>0</v>
      </c>
      <c r="AC219" s="241"/>
      <c r="AD219" s="241"/>
      <c r="AE219" s="257">
        <f t="shared" ref="AE219" si="5">Z219+AA219+AB219</f>
        <v>0</v>
      </c>
      <c r="AF219" s="258">
        <v>300</v>
      </c>
      <c r="AG219" s="255"/>
      <c r="AH219" s="259" t="s">
        <v>1374</v>
      </c>
    </row>
    <row r="220" spans="1:34" s="18" customFormat="1" ht="28.8" hidden="1">
      <c r="A220" s="53">
        <v>2028</v>
      </c>
      <c r="B220" s="54" t="s">
        <v>2868</v>
      </c>
      <c r="C220" s="54" t="s">
        <v>2868</v>
      </c>
      <c r="D220" s="54" t="s">
        <v>2870</v>
      </c>
      <c r="E220" s="53">
        <v>2</v>
      </c>
      <c r="F220" s="110">
        <v>2</v>
      </c>
      <c r="G220" s="56">
        <v>28</v>
      </c>
      <c r="H220" s="111" t="s">
        <v>1375</v>
      </c>
      <c r="I220" s="112" t="s">
        <v>1375</v>
      </c>
      <c r="J220" s="113">
        <v>10500100328001</v>
      </c>
      <c r="K220" s="114" t="s">
        <v>89</v>
      </c>
      <c r="L220" s="115" t="s">
        <v>63</v>
      </c>
      <c r="M220" s="114">
        <v>5</v>
      </c>
      <c r="N220" s="116" t="s">
        <v>468</v>
      </c>
      <c r="O220" s="117" t="s">
        <v>1376</v>
      </c>
      <c r="P220" s="116" t="s">
        <v>1377</v>
      </c>
      <c r="Q220" s="117" t="s">
        <v>1378</v>
      </c>
      <c r="R220" s="117" t="s">
        <v>1379</v>
      </c>
      <c r="S220" s="118" t="s">
        <v>1380</v>
      </c>
      <c r="T220" s="260">
        <v>0</v>
      </c>
      <c r="U220" s="163">
        <v>115</v>
      </c>
      <c r="V220" s="163">
        <v>105</v>
      </c>
      <c r="W220" s="241" t="s">
        <v>2869</v>
      </c>
      <c r="X220" s="241" t="s">
        <v>2868</v>
      </c>
      <c r="Y220" s="261">
        <v>220</v>
      </c>
      <c r="Z220" s="260">
        <v>0</v>
      </c>
      <c r="AA220" s="163">
        <v>90</v>
      </c>
      <c r="AB220" s="163">
        <v>60</v>
      </c>
      <c r="AC220" s="241" t="s">
        <v>2866</v>
      </c>
      <c r="AD220" s="241" t="s">
        <v>2868</v>
      </c>
      <c r="AE220" s="261">
        <v>150</v>
      </c>
      <c r="AF220" s="262">
        <f t="shared" si="3"/>
        <v>370</v>
      </c>
      <c r="AG220" s="123"/>
      <c r="AH220" s="250"/>
    </row>
    <row r="221" spans="1:34" s="18" customFormat="1" ht="28.8" hidden="1">
      <c r="A221" s="53">
        <v>2029</v>
      </c>
      <c r="B221" s="54" t="s">
        <v>2868</v>
      </c>
      <c r="C221" s="54" t="s">
        <v>2868</v>
      </c>
      <c r="D221" s="54" t="s">
        <v>2870</v>
      </c>
      <c r="E221" s="53">
        <v>2</v>
      </c>
      <c r="F221" s="110">
        <v>2</v>
      </c>
      <c r="G221" s="56">
        <v>29</v>
      </c>
      <c r="H221" s="111" t="s">
        <v>1381</v>
      </c>
      <c r="I221" s="112" t="s">
        <v>1381</v>
      </c>
      <c r="J221" s="113">
        <v>10500102578001</v>
      </c>
      <c r="K221" s="114" t="s">
        <v>89</v>
      </c>
      <c r="L221" s="115" t="s">
        <v>63</v>
      </c>
      <c r="M221" s="114">
        <v>5</v>
      </c>
      <c r="N221" s="116" t="s">
        <v>450</v>
      </c>
      <c r="O221" s="117" t="s">
        <v>1382</v>
      </c>
      <c r="P221" s="116" t="s">
        <v>1383</v>
      </c>
      <c r="Q221" s="117" t="s">
        <v>1384</v>
      </c>
      <c r="R221" s="117" t="s">
        <v>1385</v>
      </c>
      <c r="S221" s="118" t="s">
        <v>1386</v>
      </c>
      <c r="T221" s="260">
        <v>0</v>
      </c>
      <c r="U221" s="163">
        <v>10</v>
      </c>
      <c r="V221" s="163">
        <v>300</v>
      </c>
      <c r="W221" s="241" t="s">
        <v>2869</v>
      </c>
      <c r="X221" s="241" t="s">
        <v>2868</v>
      </c>
      <c r="Y221" s="261">
        <v>310</v>
      </c>
      <c r="Z221" s="263">
        <v>176</v>
      </c>
      <c r="AA221" s="264">
        <v>279</v>
      </c>
      <c r="AB221" s="163">
        <v>105</v>
      </c>
      <c r="AC221" s="241" t="s">
        <v>2866</v>
      </c>
      <c r="AD221" s="241" t="s">
        <v>2868</v>
      </c>
      <c r="AE221" s="261">
        <v>560</v>
      </c>
      <c r="AF221" s="262">
        <f t="shared" si="3"/>
        <v>870</v>
      </c>
      <c r="AG221" s="265"/>
      <c r="AH221" s="250"/>
    </row>
    <row r="222" spans="1:34" s="18" customFormat="1" ht="28.8" hidden="1">
      <c r="A222" s="53">
        <v>2030</v>
      </c>
      <c r="B222" s="54" t="s">
        <v>2868</v>
      </c>
      <c r="C222" s="54" t="s">
        <v>2868</v>
      </c>
      <c r="D222" s="54" t="s">
        <v>2870</v>
      </c>
      <c r="E222" s="53">
        <v>2</v>
      </c>
      <c r="F222" s="110">
        <v>2</v>
      </c>
      <c r="G222" s="56">
        <v>30</v>
      </c>
      <c r="H222" s="111" t="s">
        <v>1387</v>
      </c>
      <c r="I222" s="112" t="s">
        <v>1387</v>
      </c>
      <c r="J222" s="113">
        <v>10500102163601</v>
      </c>
      <c r="K222" s="114" t="s">
        <v>89</v>
      </c>
      <c r="L222" s="115" t="s">
        <v>63</v>
      </c>
      <c r="M222" s="114">
        <v>6</v>
      </c>
      <c r="N222" s="116" t="s">
        <v>504</v>
      </c>
      <c r="O222" s="117" t="s">
        <v>1388</v>
      </c>
      <c r="P222" s="116" t="s">
        <v>1389</v>
      </c>
      <c r="Q222" s="117" t="s">
        <v>513</v>
      </c>
      <c r="R222" s="117" t="s">
        <v>1390</v>
      </c>
      <c r="S222" s="118" t="s">
        <v>515</v>
      </c>
      <c r="T222" s="260">
        <v>0</v>
      </c>
      <c r="U222" s="163">
        <v>120</v>
      </c>
      <c r="V222" s="163">
        <v>120</v>
      </c>
      <c r="W222" s="241" t="s">
        <v>2869</v>
      </c>
      <c r="X222" s="241" t="s">
        <v>2868</v>
      </c>
      <c r="Y222" s="261">
        <v>240</v>
      </c>
      <c r="Z222" s="260">
        <v>0</v>
      </c>
      <c r="AA222" s="163">
        <v>350</v>
      </c>
      <c r="AB222" s="163">
        <v>150</v>
      </c>
      <c r="AC222" s="241" t="s">
        <v>2866</v>
      </c>
      <c r="AD222" s="241" t="s">
        <v>2868</v>
      </c>
      <c r="AE222" s="261">
        <v>500</v>
      </c>
      <c r="AF222" s="262">
        <f t="shared" si="3"/>
        <v>740</v>
      </c>
      <c r="AG222" s="123"/>
      <c r="AH222" s="250"/>
    </row>
    <row r="223" spans="1:34" s="18" customFormat="1" ht="28.8" hidden="1">
      <c r="A223" s="53">
        <v>2031</v>
      </c>
      <c r="B223" s="54" t="s">
        <v>2868</v>
      </c>
      <c r="C223" s="54" t="s">
        <v>2868</v>
      </c>
      <c r="D223" s="54" t="s">
        <v>2870</v>
      </c>
      <c r="E223" s="53">
        <v>2</v>
      </c>
      <c r="F223" s="110">
        <v>2</v>
      </c>
      <c r="G223" s="56">
        <v>31</v>
      </c>
      <c r="H223" s="111" t="s">
        <v>1391</v>
      </c>
      <c r="I223" s="112" t="s">
        <v>1391</v>
      </c>
      <c r="J223" s="113">
        <v>10500101044801</v>
      </c>
      <c r="K223" s="114" t="s">
        <v>89</v>
      </c>
      <c r="L223" s="115" t="s">
        <v>63</v>
      </c>
      <c r="M223" s="114">
        <v>6</v>
      </c>
      <c r="N223" s="116" t="s">
        <v>1392</v>
      </c>
      <c r="O223" s="117" t="s">
        <v>1393</v>
      </c>
      <c r="P223" s="116">
        <v>2375615</v>
      </c>
      <c r="Q223" s="117" t="s">
        <v>1394</v>
      </c>
      <c r="R223" s="117" t="s">
        <v>1395</v>
      </c>
      <c r="S223" s="118" t="s">
        <v>1396</v>
      </c>
      <c r="T223" s="260">
        <v>0</v>
      </c>
      <c r="U223" s="163">
        <v>240</v>
      </c>
      <c r="V223" s="163">
        <v>160</v>
      </c>
      <c r="W223" s="241" t="s">
        <v>2869</v>
      </c>
      <c r="X223" s="241" t="s">
        <v>2868</v>
      </c>
      <c r="Y223" s="261">
        <v>400</v>
      </c>
      <c r="Z223" s="260">
        <v>0</v>
      </c>
      <c r="AA223" s="163">
        <v>195</v>
      </c>
      <c r="AB223" s="163">
        <v>65</v>
      </c>
      <c r="AC223" s="241" t="s">
        <v>2866</v>
      </c>
      <c r="AD223" s="241" t="s">
        <v>2868</v>
      </c>
      <c r="AE223" s="261">
        <v>260</v>
      </c>
      <c r="AF223" s="262">
        <f t="shared" si="3"/>
        <v>660</v>
      </c>
      <c r="AG223" s="123"/>
      <c r="AH223" s="250"/>
    </row>
    <row r="224" spans="1:34" s="18" customFormat="1" ht="28.8" hidden="1">
      <c r="A224" s="53">
        <v>2032</v>
      </c>
      <c r="B224" s="54" t="s">
        <v>2868</v>
      </c>
      <c r="C224" s="54" t="s">
        <v>2868</v>
      </c>
      <c r="D224" s="54" t="s">
        <v>2869</v>
      </c>
      <c r="E224" s="53">
        <v>2</v>
      </c>
      <c r="F224" s="110">
        <v>2</v>
      </c>
      <c r="G224" s="56">
        <v>32</v>
      </c>
      <c r="H224" s="111" t="s">
        <v>1397</v>
      </c>
      <c r="I224" s="112" t="s">
        <v>1397</v>
      </c>
      <c r="J224" s="113">
        <v>10500101044804</v>
      </c>
      <c r="K224" s="114" t="s">
        <v>89</v>
      </c>
      <c r="L224" s="115" t="s">
        <v>63</v>
      </c>
      <c r="M224" s="114">
        <v>6</v>
      </c>
      <c r="N224" s="116" t="s">
        <v>1392</v>
      </c>
      <c r="O224" s="117" t="s">
        <v>1398</v>
      </c>
      <c r="P224" s="116">
        <v>2379548</v>
      </c>
      <c r="Q224" s="117" t="s">
        <v>1394</v>
      </c>
      <c r="R224" s="117" t="s">
        <v>1399</v>
      </c>
      <c r="S224" s="118" t="s">
        <v>1400</v>
      </c>
      <c r="T224" s="260">
        <v>120</v>
      </c>
      <c r="U224" s="163">
        <v>100</v>
      </c>
      <c r="V224" s="163">
        <v>0</v>
      </c>
      <c r="W224" s="241" t="s">
        <v>2869</v>
      </c>
      <c r="X224" s="241" t="s">
        <v>2868</v>
      </c>
      <c r="Y224" s="261">
        <v>220</v>
      </c>
      <c r="Z224" s="260">
        <v>0</v>
      </c>
      <c r="AA224" s="163">
        <v>0</v>
      </c>
      <c r="AB224" s="163">
        <v>0</v>
      </c>
      <c r="AC224" s="241"/>
      <c r="AD224" s="241"/>
      <c r="AE224" s="261">
        <v>0</v>
      </c>
      <c r="AF224" s="262">
        <f t="shared" si="3"/>
        <v>220</v>
      </c>
      <c r="AG224" s="123"/>
      <c r="AH224" s="250"/>
    </row>
    <row r="225" spans="1:34" s="18" customFormat="1" ht="28.8" hidden="1">
      <c r="A225" s="53">
        <v>2033</v>
      </c>
      <c r="B225" s="54" t="s">
        <v>2868</v>
      </c>
      <c r="C225" s="54" t="s">
        <v>2868</v>
      </c>
      <c r="D225" s="54" t="s">
        <v>2869</v>
      </c>
      <c r="E225" s="53">
        <v>2</v>
      </c>
      <c r="F225" s="110">
        <v>2</v>
      </c>
      <c r="G225" s="56">
        <v>33</v>
      </c>
      <c r="H225" s="111" t="s">
        <v>1401</v>
      </c>
      <c r="I225" s="112" t="s">
        <v>1401</v>
      </c>
      <c r="J225" s="113">
        <v>10500101044802</v>
      </c>
      <c r="K225" s="114" t="s">
        <v>89</v>
      </c>
      <c r="L225" s="115" t="s">
        <v>63</v>
      </c>
      <c r="M225" s="114">
        <v>6</v>
      </c>
      <c r="N225" s="116" t="s">
        <v>1392</v>
      </c>
      <c r="O225" s="117" t="s">
        <v>1402</v>
      </c>
      <c r="P225" s="116">
        <v>2374541</v>
      </c>
      <c r="Q225" s="117" t="s">
        <v>1394</v>
      </c>
      <c r="R225" s="117" t="s">
        <v>1403</v>
      </c>
      <c r="S225" s="118" t="s">
        <v>1404</v>
      </c>
      <c r="T225" s="260">
        <v>114</v>
      </c>
      <c r="U225" s="163">
        <v>73</v>
      </c>
      <c r="V225" s="163">
        <v>0</v>
      </c>
      <c r="W225" s="241" t="s">
        <v>2869</v>
      </c>
      <c r="X225" s="241" t="s">
        <v>2868</v>
      </c>
      <c r="Y225" s="261">
        <v>187</v>
      </c>
      <c r="Z225" s="260">
        <v>0</v>
      </c>
      <c r="AA225" s="163">
        <v>0</v>
      </c>
      <c r="AB225" s="163">
        <v>0</v>
      </c>
      <c r="AC225" s="241"/>
      <c r="AD225" s="241"/>
      <c r="AE225" s="261">
        <v>0</v>
      </c>
      <c r="AF225" s="262">
        <f t="shared" si="3"/>
        <v>187</v>
      </c>
      <c r="AG225" s="123"/>
      <c r="AH225" s="250"/>
    </row>
    <row r="226" spans="1:34" s="18" customFormat="1" ht="28.8" hidden="1">
      <c r="A226" s="53">
        <v>2034</v>
      </c>
      <c r="B226" s="54" t="s">
        <v>2868</v>
      </c>
      <c r="C226" s="54" t="s">
        <v>2868</v>
      </c>
      <c r="D226" s="54" t="s">
        <v>2869</v>
      </c>
      <c r="E226" s="53">
        <v>2</v>
      </c>
      <c r="F226" s="110">
        <v>2</v>
      </c>
      <c r="G226" s="56">
        <v>34</v>
      </c>
      <c r="H226" s="111" t="s">
        <v>1405</v>
      </c>
      <c r="I226" s="112" t="s">
        <v>1405</v>
      </c>
      <c r="J226" s="113">
        <v>10500101044803</v>
      </c>
      <c r="K226" s="114" t="s">
        <v>89</v>
      </c>
      <c r="L226" s="115" t="s">
        <v>63</v>
      </c>
      <c r="M226" s="114">
        <v>6</v>
      </c>
      <c r="N226" s="116" t="s">
        <v>1392</v>
      </c>
      <c r="O226" s="117" t="s">
        <v>1406</v>
      </c>
      <c r="P226" s="116">
        <v>2370213</v>
      </c>
      <c r="Q226" s="117" t="s">
        <v>1394</v>
      </c>
      <c r="R226" s="117" t="s">
        <v>1407</v>
      </c>
      <c r="S226" s="118" t="s">
        <v>1408</v>
      </c>
      <c r="T226" s="263">
        <v>107</v>
      </c>
      <c r="U226" s="264">
        <v>93</v>
      </c>
      <c r="V226" s="264">
        <v>0</v>
      </c>
      <c r="W226" s="241" t="s">
        <v>2869</v>
      </c>
      <c r="X226" s="241" t="s">
        <v>2868</v>
      </c>
      <c r="Y226" s="261">
        <v>200</v>
      </c>
      <c r="Z226" s="260">
        <v>0</v>
      </c>
      <c r="AA226" s="163">
        <v>0</v>
      </c>
      <c r="AB226" s="163">
        <v>0</v>
      </c>
      <c r="AC226" s="241"/>
      <c r="AD226" s="241"/>
      <c r="AE226" s="261">
        <v>0</v>
      </c>
      <c r="AF226" s="262">
        <f t="shared" si="3"/>
        <v>200</v>
      </c>
      <c r="AG226" s="123"/>
      <c r="AH226" s="250"/>
    </row>
    <row r="227" spans="1:34" s="18" customFormat="1" ht="28.8" hidden="1">
      <c r="A227" s="53">
        <v>2035</v>
      </c>
      <c r="B227" s="54" t="s">
        <v>2868</v>
      </c>
      <c r="C227" s="54" t="s">
        <v>2868</v>
      </c>
      <c r="D227" s="54" t="s">
        <v>2869</v>
      </c>
      <c r="E227" s="53">
        <v>2</v>
      </c>
      <c r="F227" s="110">
        <v>2</v>
      </c>
      <c r="G227" s="56">
        <v>35</v>
      </c>
      <c r="H227" s="111" t="s">
        <v>1409</v>
      </c>
      <c r="I227" s="112" t="s">
        <v>1409</v>
      </c>
      <c r="J227" s="113">
        <v>10500101044805</v>
      </c>
      <c r="K227" s="114" t="s">
        <v>89</v>
      </c>
      <c r="L227" s="115" t="s">
        <v>63</v>
      </c>
      <c r="M227" s="114">
        <v>6</v>
      </c>
      <c r="N227" s="116" t="s">
        <v>1410</v>
      </c>
      <c r="O227" s="117" t="s">
        <v>1411</v>
      </c>
      <c r="P227" s="116">
        <v>2378059</v>
      </c>
      <c r="Q227" s="117" t="s">
        <v>1394</v>
      </c>
      <c r="R227" s="117" t="s">
        <v>1412</v>
      </c>
      <c r="S227" s="118" t="s">
        <v>1413</v>
      </c>
      <c r="T227" s="263">
        <v>159</v>
      </c>
      <c r="U227" s="264">
        <v>86</v>
      </c>
      <c r="V227" s="264">
        <v>0</v>
      </c>
      <c r="W227" s="241" t="s">
        <v>2869</v>
      </c>
      <c r="X227" s="241" t="s">
        <v>2868</v>
      </c>
      <c r="Y227" s="261">
        <v>245</v>
      </c>
      <c r="Z227" s="260">
        <v>0</v>
      </c>
      <c r="AA227" s="163">
        <v>0</v>
      </c>
      <c r="AB227" s="163">
        <v>0</v>
      </c>
      <c r="AC227" s="241"/>
      <c r="AD227" s="241"/>
      <c r="AE227" s="261">
        <v>0</v>
      </c>
      <c r="AF227" s="262">
        <f t="shared" si="3"/>
        <v>245</v>
      </c>
      <c r="AG227" s="123"/>
      <c r="AH227" s="250"/>
    </row>
    <row r="228" spans="1:34" s="18" customFormat="1" ht="28.8" hidden="1">
      <c r="A228" s="53">
        <v>2036</v>
      </c>
      <c r="B228" s="54" t="s">
        <v>2868</v>
      </c>
      <c r="C228" s="54" t="s">
        <v>2868</v>
      </c>
      <c r="D228" s="54" t="s">
        <v>2870</v>
      </c>
      <c r="E228" s="53">
        <v>2</v>
      </c>
      <c r="F228" s="110">
        <v>2</v>
      </c>
      <c r="G228" s="56">
        <v>36</v>
      </c>
      <c r="H228" s="111" t="s">
        <v>1414</v>
      </c>
      <c r="I228" s="112" t="s">
        <v>1414</v>
      </c>
      <c r="J228" s="113">
        <v>10500102407301</v>
      </c>
      <c r="K228" s="114" t="s">
        <v>89</v>
      </c>
      <c r="L228" s="115" t="s">
        <v>63</v>
      </c>
      <c r="M228" s="114">
        <v>6</v>
      </c>
      <c r="N228" s="116" t="s">
        <v>474</v>
      </c>
      <c r="O228" s="117" t="s">
        <v>1415</v>
      </c>
      <c r="P228" s="116" t="s">
        <v>1416</v>
      </c>
      <c r="Q228" s="117" t="s">
        <v>1417</v>
      </c>
      <c r="R228" s="117" t="s">
        <v>1418</v>
      </c>
      <c r="S228" s="118" t="s">
        <v>1419</v>
      </c>
      <c r="T228" s="263">
        <v>0</v>
      </c>
      <c r="U228" s="264">
        <v>45</v>
      </c>
      <c r="V228" s="264">
        <v>260</v>
      </c>
      <c r="W228" s="241" t="s">
        <v>2869</v>
      </c>
      <c r="X228" s="241" t="s">
        <v>2868</v>
      </c>
      <c r="Y228" s="261">
        <v>305</v>
      </c>
      <c r="Z228" s="260">
        <v>0</v>
      </c>
      <c r="AA228" s="163">
        <v>129</v>
      </c>
      <c r="AB228" s="163">
        <v>64</v>
      </c>
      <c r="AC228" s="241" t="s">
        <v>2866</v>
      </c>
      <c r="AD228" s="241" t="s">
        <v>2868</v>
      </c>
      <c r="AE228" s="261">
        <v>193</v>
      </c>
      <c r="AF228" s="262">
        <f t="shared" si="3"/>
        <v>498</v>
      </c>
      <c r="AG228" s="123"/>
      <c r="AH228" s="250"/>
    </row>
    <row r="229" spans="1:34" s="18" customFormat="1" ht="28.8" hidden="1">
      <c r="A229" s="53">
        <v>2037</v>
      </c>
      <c r="B229" s="54" t="s">
        <v>2868</v>
      </c>
      <c r="C229" s="54" t="s">
        <v>2868</v>
      </c>
      <c r="D229" s="54" t="s">
        <v>2869</v>
      </c>
      <c r="E229" s="53">
        <v>2</v>
      </c>
      <c r="F229" s="110">
        <v>2</v>
      </c>
      <c r="G229" s="56">
        <v>37</v>
      </c>
      <c r="H229" s="111" t="s">
        <v>1420</v>
      </c>
      <c r="I229" s="112" t="s">
        <v>1420</v>
      </c>
      <c r="J229" s="113">
        <v>10500102407302</v>
      </c>
      <c r="K229" s="114" t="s">
        <v>89</v>
      </c>
      <c r="L229" s="115" t="s">
        <v>63</v>
      </c>
      <c r="M229" s="114">
        <v>6</v>
      </c>
      <c r="N229" s="116" t="s">
        <v>532</v>
      </c>
      <c r="O229" s="117" t="s">
        <v>1421</v>
      </c>
      <c r="P229" s="116">
        <v>2379168</v>
      </c>
      <c r="Q229" s="117" t="s">
        <v>1422</v>
      </c>
      <c r="R229" s="117" t="s">
        <v>1423</v>
      </c>
      <c r="S229" s="118"/>
      <c r="T229" s="266">
        <v>100</v>
      </c>
      <c r="U229" s="267">
        <v>80</v>
      </c>
      <c r="V229" s="264">
        <v>0</v>
      </c>
      <c r="W229" s="241" t="s">
        <v>2869</v>
      </c>
      <c r="X229" s="241" t="s">
        <v>2868</v>
      </c>
      <c r="Y229" s="261">
        <v>180</v>
      </c>
      <c r="Z229" s="260">
        <v>0</v>
      </c>
      <c r="AA229" s="163">
        <v>0</v>
      </c>
      <c r="AB229" s="163">
        <v>0</v>
      </c>
      <c r="AC229" s="241"/>
      <c r="AD229" s="241"/>
      <c r="AE229" s="261">
        <v>0</v>
      </c>
      <c r="AF229" s="262">
        <f t="shared" si="3"/>
        <v>180</v>
      </c>
      <c r="AG229" s="123"/>
      <c r="AH229" s="250"/>
    </row>
    <row r="230" spans="1:34" s="18" customFormat="1" ht="28.8" hidden="1">
      <c r="A230" s="53">
        <v>2038</v>
      </c>
      <c r="B230" s="54" t="s">
        <v>2868</v>
      </c>
      <c r="C230" s="54" t="s">
        <v>2868</v>
      </c>
      <c r="D230" s="54" t="s">
        <v>2869</v>
      </c>
      <c r="E230" s="53">
        <v>2</v>
      </c>
      <c r="F230" s="110">
        <v>2</v>
      </c>
      <c r="G230" s="56">
        <v>38</v>
      </c>
      <c r="H230" s="111" t="s">
        <v>1424</v>
      </c>
      <c r="I230" s="112" t="s">
        <v>1424</v>
      </c>
      <c r="J230" s="113">
        <v>30500102423601</v>
      </c>
      <c r="K230" s="114" t="s">
        <v>167</v>
      </c>
      <c r="L230" s="115"/>
      <c r="M230" s="114">
        <v>6</v>
      </c>
      <c r="N230" s="116" t="s">
        <v>560</v>
      </c>
      <c r="O230" s="117" t="s">
        <v>1425</v>
      </c>
      <c r="P230" s="116">
        <v>4714266</v>
      </c>
      <c r="Q230" s="117" t="s">
        <v>1426</v>
      </c>
      <c r="R230" s="117" t="s">
        <v>1427</v>
      </c>
      <c r="S230" s="118" t="s">
        <v>1428</v>
      </c>
      <c r="T230" s="260">
        <v>160</v>
      </c>
      <c r="U230" s="163">
        <v>130</v>
      </c>
      <c r="V230" s="163">
        <v>0</v>
      </c>
      <c r="W230" s="241" t="s">
        <v>2869</v>
      </c>
      <c r="X230" s="241" t="s">
        <v>2868</v>
      </c>
      <c r="Y230" s="261">
        <v>290</v>
      </c>
      <c r="Z230" s="260">
        <v>0</v>
      </c>
      <c r="AA230" s="163">
        <v>0</v>
      </c>
      <c r="AB230" s="163">
        <v>0</v>
      </c>
      <c r="AC230" s="241"/>
      <c r="AD230" s="241"/>
      <c r="AE230" s="261">
        <v>0</v>
      </c>
      <c r="AF230" s="262">
        <f t="shared" si="3"/>
        <v>290</v>
      </c>
      <c r="AG230" s="123"/>
      <c r="AH230" s="250"/>
    </row>
    <row r="231" spans="1:34" s="18" customFormat="1" ht="28.8" hidden="1">
      <c r="A231" s="53">
        <v>2039</v>
      </c>
      <c r="B231" s="54" t="s">
        <v>2868</v>
      </c>
      <c r="C231" s="54" t="s">
        <v>2868</v>
      </c>
      <c r="D231" s="54" t="s">
        <v>2869</v>
      </c>
      <c r="E231" s="53">
        <v>2</v>
      </c>
      <c r="F231" s="110">
        <v>2</v>
      </c>
      <c r="G231" s="56">
        <v>39</v>
      </c>
      <c r="H231" s="111" t="s">
        <v>1429</v>
      </c>
      <c r="I231" s="112" t="s">
        <v>1429</v>
      </c>
      <c r="J231" s="113">
        <v>10500101209202</v>
      </c>
      <c r="K231" s="114" t="s">
        <v>89</v>
      </c>
      <c r="L231" s="115" t="s">
        <v>63</v>
      </c>
      <c r="M231" s="114">
        <v>6</v>
      </c>
      <c r="N231" s="116" t="s">
        <v>408</v>
      </c>
      <c r="O231" s="117" t="s">
        <v>1430</v>
      </c>
      <c r="P231" s="116" t="s">
        <v>1431</v>
      </c>
      <c r="Q231" s="117" t="s">
        <v>574</v>
      </c>
      <c r="R231" s="117" t="s">
        <v>1432</v>
      </c>
      <c r="S231" s="118" t="s">
        <v>576</v>
      </c>
      <c r="T231" s="260">
        <v>0</v>
      </c>
      <c r="U231" s="163">
        <v>196</v>
      </c>
      <c r="V231" s="163">
        <v>0</v>
      </c>
      <c r="W231" s="241" t="s">
        <v>2869</v>
      </c>
      <c r="X231" s="241" t="s">
        <v>2868</v>
      </c>
      <c r="Y231" s="261">
        <v>196</v>
      </c>
      <c r="Z231" s="260">
        <v>0</v>
      </c>
      <c r="AA231" s="163">
        <v>0</v>
      </c>
      <c r="AB231" s="163">
        <v>0</v>
      </c>
      <c r="AC231" s="241"/>
      <c r="AD231" s="241"/>
      <c r="AE231" s="261">
        <v>0</v>
      </c>
      <c r="AF231" s="262">
        <f t="shared" si="3"/>
        <v>196</v>
      </c>
      <c r="AG231" s="123"/>
      <c r="AH231" s="250"/>
    </row>
    <row r="232" spans="1:34" s="18" customFormat="1" ht="28.8" hidden="1">
      <c r="A232" s="53">
        <v>2040</v>
      </c>
      <c r="B232" s="54" t="s">
        <v>2868</v>
      </c>
      <c r="C232" s="54" t="s">
        <v>2868</v>
      </c>
      <c r="D232" s="54" t="s">
        <v>2870</v>
      </c>
      <c r="E232" s="53">
        <v>2</v>
      </c>
      <c r="F232" s="110">
        <v>2</v>
      </c>
      <c r="G232" s="56">
        <v>40</v>
      </c>
      <c r="H232" s="111" t="s">
        <v>1433</v>
      </c>
      <c r="I232" s="112" t="s">
        <v>1433</v>
      </c>
      <c r="J232" s="113">
        <v>10500101301301</v>
      </c>
      <c r="K232" s="114" t="s">
        <v>89</v>
      </c>
      <c r="L232" s="115" t="s">
        <v>63</v>
      </c>
      <c r="M232" s="114">
        <v>6</v>
      </c>
      <c r="N232" s="116" t="s">
        <v>1434</v>
      </c>
      <c r="O232" s="117" t="s">
        <v>1435</v>
      </c>
      <c r="P232" s="116" t="s">
        <v>1436</v>
      </c>
      <c r="Q232" s="117" t="s">
        <v>1437</v>
      </c>
      <c r="R232" s="117" t="s">
        <v>1438</v>
      </c>
      <c r="S232" s="118" t="s">
        <v>1439</v>
      </c>
      <c r="T232" s="260">
        <v>240</v>
      </c>
      <c r="U232" s="163">
        <v>150</v>
      </c>
      <c r="V232" s="163">
        <v>60</v>
      </c>
      <c r="W232" s="241" t="s">
        <v>2869</v>
      </c>
      <c r="X232" s="241" t="s">
        <v>2868</v>
      </c>
      <c r="Y232" s="261">
        <v>450</v>
      </c>
      <c r="Z232" s="260">
        <v>0</v>
      </c>
      <c r="AA232" s="163">
        <v>160</v>
      </c>
      <c r="AB232" s="163">
        <v>90</v>
      </c>
      <c r="AC232" s="241" t="s">
        <v>2866</v>
      </c>
      <c r="AD232" s="241" t="s">
        <v>2868</v>
      </c>
      <c r="AE232" s="261">
        <v>250</v>
      </c>
      <c r="AF232" s="262">
        <f t="shared" si="3"/>
        <v>700</v>
      </c>
      <c r="AG232" s="123"/>
      <c r="AH232" s="250"/>
    </row>
    <row r="233" spans="1:34" s="18" customFormat="1" ht="28.8" hidden="1">
      <c r="A233" s="53">
        <v>2041</v>
      </c>
      <c r="B233" s="54" t="s">
        <v>2868</v>
      </c>
      <c r="C233" s="54" t="s">
        <v>2868</v>
      </c>
      <c r="D233" s="54" t="s">
        <v>2869</v>
      </c>
      <c r="E233" s="53">
        <v>2</v>
      </c>
      <c r="F233" s="110">
        <v>2</v>
      </c>
      <c r="G233" s="56">
        <v>41</v>
      </c>
      <c r="H233" s="111" t="s">
        <v>1440</v>
      </c>
      <c r="I233" s="112" t="s">
        <v>1440</v>
      </c>
      <c r="J233" s="113">
        <v>10500101207601</v>
      </c>
      <c r="K233" s="114" t="s">
        <v>89</v>
      </c>
      <c r="L233" s="115"/>
      <c r="M233" s="114">
        <v>7</v>
      </c>
      <c r="N233" s="116" t="s">
        <v>665</v>
      </c>
      <c r="O233" s="117" t="s">
        <v>1441</v>
      </c>
      <c r="P233" s="116">
        <v>2642845</v>
      </c>
      <c r="Q233" s="117" t="s">
        <v>1442</v>
      </c>
      <c r="R233" s="117" t="s">
        <v>1443</v>
      </c>
      <c r="S233" s="118" t="s">
        <v>1444</v>
      </c>
      <c r="T233" s="260">
        <v>57</v>
      </c>
      <c r="U233" s="163">
        <v>45</v>
      </c>
      <c r="V233" s="163">
        <v>0</v>
      </c>
      <c r="W233" s="241" t="s">
        <v>2869</v>
      </c>
      <c r="X233" s="241" t="s">
        <v>2868</v>
      </c>
      <c r="Y233" s="261">
        <v>102</v>
      </c>
      <c r="Z233" s="260">
        <v>0</v>
      </c>
      <c r="AA233" s="163">
        <v>0</v>
      </c>
      <c r="AB233" s="163">
        <v>0</v>
      </c>
      <c r="AC233" s="241"/>
      <c r="AD233" s="241"/>
      <c r="AE233" s="261">
        <v>0</v>
      </c>
      <c r="AF233" s="262">
        <f t="shared" si="3"/>
        <v>102</v>
      </c>
      <c r="AG233" s="123"/>
      <c r="AH233" s="250"/>
    </row>
    <row r="234" spans="1:34" s="18" customFormat="1" ht="28.8" hidden="1">
      <c r="A234" s="53">
        <v>2042</v>
      </c>
      <c r="B234" s="54" t="s">
        <v>2868</v>
      </c>
      <c r="C234" s="54" t="s">
        <v>2868</v>
      </c>
      <c r="D234" s="54" t="s">
        <v>2870</v>
      </c>
      <c r="E234" s="53">
        <v>2</v>
      </c>
      <c r="F234" s="110">
        <v>2</v>
      </c>
      <c r="G234" s="56">
        <v>42</v>
      </c>
      <c r="H234" s="111" t="s">
        <v>1445</v>
      </c>
      <c r="I234" s="112" t="s">
        <v>1445</v>
      </c>
      <c r="J234" s="113">
        <v>10500100824901</v>
      </c>
      <c r="K234" s="114" t="s">
        <v>89</v>
      </c>
      <c r="L234" s="115"/>
      <c r="M234" s="114">
        <v>7</v>
      </c>
      <c r="N234" s="116" t="s">
        <v>1446</v>
      </c>
      <c r="O234" s="117" t="s">
        <v>1447</v>
      </c>
      <c r="P234" s="116" t="s">
        <v>1448</v>
      </c>
      <c r="Q234" s="117" t="s">
        <v>1449</v>
      </c>
      <c r="R234" s="117" t="s">
        <v>1450</v>
      </c>
      <c r="S234" s="118" t="s">
        <v>1451</v>
      </c>
      <c r="T234" s="260">
        <v>60</v>
      </c>
      <c r="U234" s="163">
        <v>60</v>
      </c>
      <c r="V234" s="163">
        <v>50</v>
      </c>
      <c r="W234" s="241" t="s">
        <v>2869</v>
      </c>
      <c r="X234" s="241" t="s">
        <v>2868</v>
      </c>
      <c r="Y234" s="261">
        <v>170</v>
      </c>
      <c r="Z234" s="260">
        <v>130</v>
      </c>
      <c r="AA234" s="163">
        <v>290</v>
      </c>
      <c r="AB234" s="163">
        <v>140</v>
      </c>
      <c r="AC234" s="241" t="s">
        <v>2866</v>
      </c>
      <c r="AD234" s="241" t="s">
        <v>2868</v>
      </c>
      <c r="AE234" s="261">
        <v>560</v>
      </c>
      <c r="AF234" s="262">
        <f t="shared" si="3"/>
        <v>730</v>
      </c>
      <c r="AG234" s="123"/>
      <c r="AH234" s="250"/>
    </row>
    <row r="235" spans="1:34" s="18" customFormat="1" ht="28.8" hidden="1">
      <c r="A235" s="53">
        <v>2043</v>
      </c>
      <c r="B235" s="54" t="s">
        <v>2868</v>
      </c>
      <c r="C235" s="54" t="s">
        <v>2868</v>
      </c>
      <c r="D235" s="54" t="s">
        <v>2869</v>
      </c>
      <c r="E235" s="53">
        <v>2</v>
      </c>
      <c r="F235" s="268">
        <v>2</v>
      </c>
      <c r="G235" s="56">
        <v>43</v>
      </c>
      <c r="H235" s="269" t="s">
        <v>1452</v>
      </c>
      <c r="I235" s="270" t="s">
        <v>1452</v>
      </c>
      <c r="J235" s="271">
        <v>10500102027301</v>
      </c>
      <c r="K235" s="272" t="s">
        <v>1453</v>
      </c>
      <c r="L235" s="273"/>
      <c r="M235" s="272">
        <v>7</v>
      </c>
      <c r="N235" s="274" t="s">
        <v>704</v>
      </c>
      <c r="O235" s="275" t="s">
        <v>1454</v>
      </c>
      <c r="P235" s="274" t="s">
        <v>1455</v>
      </c>
      <c r="Q235" s="275" t="s">
        <v>1456</v>
      </c>
      <c r="R235" s="275" t="s">
        <v>1457</v>
      </c>
      <c r="S235" s="276" t="s">
        <v>1458</v>
      </c>
      <c r="T235" s="277">
        <v>28</v>
      </c>
      <c r="U235" s="278">
        <v>185</v>
      </c>
      <c r="V235" s="278">
        <v>38</v>
      </c>
      <c r="W235" s="241" t="s">
        <v>2869</v>
      </c>
      <c r="X235" s="241" t="s">
        <v>2868</v>
      </c>
      <c r="Y235" s="261">
        <v>251</v>
      </c>
      <c r="Z235" s="277">
        <v>0</v>
      </c>
      <c r="AA235" s="278">
        <v>0</v>
      </c>
      <c r="AB235" s="278">
        <v>0</v>
      </c>
      <c r="AC235" s="241"/>
      <c r="AD235" s="241"/>
      <c r="AE235" s="261">
        <v>0</v>
      </c>
      <c r="AF235" s="262">
        <f t="shared" si="3"/>
        <v>251</v>
      </c>
      <c r="AG235" s="279"/>
      <c r="AH235" s="298"/>
    </row>
    <row r="236" spans="1:34" s="18" customFormat="1" ht="28.8" hidden="1">
      <c r="A236" s="53">
        <v>2044</v>
      </c>
      <c r="B236" s="54" t="s">
        <v>2868</v>
      </c>
      <c r="C236" s="54" t="s">
        <v>2868</v>
      </c>
      <c r="D236" s="54" t="s">
        <v>2870</v>
      </c>
      <c r="E236" s="53">
        <v>2</v>
      </c>
      <c r="F236" s="110">
        <v>2</v>
      </c>
      <c r="G236" s="56">
        <v>44</v>
      </c>
      <c r="H236" s="111" t="s">
        <v>1459</v>
      </c>
      <c r="I236" s="112" t="s">
        <v>1459</v>
      </c>
      <c r="J236" s="113">
        <v>10500180011201</v>
      </c>
      <c r="K236" s="114" t="s">
        <v>89</v>
      </c>
      <c r="L236" s="115" t="s">
        <v>63</v>
      </c>
      <c r="M236" s="114">
        <v>7</v>
      </c>
      <c r="N236" s="116" t="s">
        <v>740</v>
      </c>
      <c r="O236" s="117" t="s">
        <v>1460</v>
      </c>
      <c r="P236" s="116">
        <v>4416168</v>
      </c>
      <c r="Q236" s="117" t="s">
        <v>1461</v>
      </c>
      <c r="R236" s="117" t="s">
        <v>1462</v>
      </c>
      <c r="S236" s="118" t="s">
        <v>1463</v>
      </c>
      <c r="T236" s="260">
        <v>0</v>
      </c>
      <c r="U236" s="163">
        <v>46</v>
      </c>
      <c r="V236" s="163">
        <v>134</v>
      </c>
      <c r="W236" s="241" t="s">
        <v>2869</v>
      </c>
      <c r="X236" s="241" t="s">
        <v>2868</v>
      </c>
      <c r="Y236" s="261">
        <v>180</v>
      </c>
      <c r="Z236" s="260">
        <v>0</v>
      </c>
      <c r="AA236" s="163">
        <v>130</v>
      </c>
      <c r="AB236" s="163">
        <v>15</v>
      </c>
      <c r="AC236" s="241" t="s">
        <v>2866</v>
      </c>
      <c r="AD236" s="241" t="s">
        <v>2868</v>
      </c>
      <c r="AE236" s="261">
        <v>145</v>
      </c>
      <c r="AF236" s="262">
        <f t="shared" si="3"/>
        <v>325</v>
      </c>
      <c r="AG236" s="123"/>
      <c r="AH236" s="250"/>
    </row>
    <row r="237" spans="1:34" s="18" customFormat="1" ht="28.8" hidden="1">
      <c r="A237" s="53">
        <v>2045</v>
      </c>
      <c r="B237" s="54" t="s">
        <v>2868</v>
      </c>
      <c r="C237" s="54" t="s">
        <v>2868</v>
      </c>
      <c r="D237" s="54" t="s">
        <v>2870</v>
      </c>
      <c r="E237" s="53">
        <v>2</v>
      </c>
      <c r="F237" s="110">
        <v>3</v>
      </c>
      <c r="G237" s="56">
        <v>45</v>
      </c>
      <c r="H237" s="111" t="s">
        <v>1464</v>
      </c>
      <c r="I237" s="116" t="s">
        <v>1464</v>
      </c>
      <c r="J237" s="113">
        <v>10500101521101</v>
      </c>
      <c r="K237" s="114" t="s">
        <v>89</v>
      </c>
      <c r="L237" s="115"/>
      <c r="M237" s="114">
        <v>8</v>
      </c>
      <c r="N237" s="116" t="s">
        <v>1465</v>
      </c>
      <c r="O237" s="117" t="s">
        <v>1466</v>
      </c>
      <c r="P237" s="116" t="s">
        <v>1467</v>
      </c>
      <c r="Q237" s="117" t="s">
        <v>1468</v>
      </c>
      <c r="R237" s="117" t="s">
        <v>1469</v>
      </c>
      <c r="S237" s="118" t="s">
        <v>1470</v>
      </c>
      <c r="T237" s="260">
        <v>239</v>
      </c>
      <c r="U237" s="163">
        <v>121</v>
      </c>
      <c r="V237" s="163">
        <v>0</v>
      </c>
      <c r="W237" s="241" t="s">
        <v>2869</v>
      </c>
      <c r="X237" s="241" t="s">
        <v>2868</v>
      </c>
      <c r="Y237" s="261">
        <v>360</v>
      </c>
      <c r="Z237" s="260">
        <v>23</v>
      </c>
      <c r="AA237" s="163">
        <v>242</v>
      </c>
      <c r="AB237" s="163">
        <v>75</v>
      </c>
      <c r="AC237" s="241" t="s">
        <v>2866</v>
      </c>
      <c r="AD237" s="241" t="s">
        <v>2868</v>
      </c>
      <c r="AE237" s="261">
        <v>340</v>
      </c>
      <c r="AF237" s="262">
        <f t="shared" si="3"/>
        <v>700</v>
      </c>
      <c r="AG237" s="123"/>
      <c r="AH237" s="372"/>
    </row>
    <row r="238" spans="1:34" s="18" customFormat="1" ht="28.8" hidden="1">
      <c r="A238" s="53">
        <v>2046</v>
      </c>
      <c r="B238" s="54" t="s">
        <v>2868</v>
      </c>
      <c r="C238" s="54" t="s">
        <v>2868</v>
      </c>
      <c r="D238" s="54" t="s">
        <v>2870</v>
      </c>
      <c r="E238" s="53">
        <v>2</v>
      </c>
      <c r="F238" s="110">
        <v>3</v>
      </c>
      <c r="G238" s="56">
        <v>46</v>
      </c>
      <c r="H238" s="111" t="s">
        <v>1471</v>
      </c>
      <c r="I238" s="116" t="s">
        <v>1471</v>
      </c>
      <c r="J238" s="113">
        <v>10500102658101</v>
      </c>
      <c r="K238" s="114" t="s">
        <v>89</v>
      </c>
      <c r="L238" s="115" t="s">
        <v>63</v>
      </c>
      <c r="M238" s="114">
        <v>8</v>
      </c>
      <c r="N238" s="116" t="s">
        <v>1472</v>
      </c>
      <c r="O238" s="117" t="s">
        <v>1473</v>
      </c>
      <c r="P238" s="116" t="s">
        <v>1474</v>
      </c>
      <c r="Q238" s="117" t="s">
        <v>787</v>
      </c>
      <c r="R238" s="117" t="s">
        <v>1475</v>
      </c>
      <c r="S238" s="118" t="s">
        <v>1476</v>
      </c>
      <c r="T238" s="260">
        <v>0</v>
      </c>
      <c r="U238" s="163">
        <v>220</v>
      </c>
      <c r="V238" s="163">
        <v>140</v>
      </c>
      <c r="W238" s="241" t="s">
        <v>2869</v>
      </c>
      <c r="X238" s="241" t="s">
        <v>2868</v>
      </c>
      <c r="Y238" s="261">
        <v>360</v>
      </c>
      <c r="Z238" s="260">
        <v>0</v>
      </c>
      <c r="AA238" s="163">
        <v>0</v>
      </c>
      <c r="AB238" s="163">
        <v>30</v>
      </c>
      <c r="AC238" s="241" t="s">
        <v>2866</v>
      </c>
      <c r="AD238" s="241" t="s">
        <v>2868</v>
      </c>
      <c r="AE238" s="261">
        <v>30</v>
      </c>
      <c r="AF238" s="262">
        <f t="shared" si="3"/>
        <v>390</v>
      </c>
      <c r="AG238" s="123"/>
      <c r="AH238" s="372"/>
    </row>
    <row r="239" spans="1:34" s="18" customFormat="1" ht="28.8" hidden="1">
      <c r="A239" s="53">
        <v>2047</v>
      </c>
      <c r="B239" s="54" t="s">
        <v>2868</v>
      </c>
      <c r="C239" s="54" t="s">
        <v>2868</v>
      </c>
      <c r="D239" s="54" t="s">
        <v>2870</v>
      </c>
      <c r="E239" s="53">
        <v>2</v>
      </c>
      <c r="F239" s="110">
        <v>3</v>
      </c>
      <c r="G239" s="56">
        <v>47</v>
      </c>
      <c r="H239" s="111" t="s">
        <v>1477</v>
      </c>
      <c r="I239" s="116" t="s">
        <v>1477</v>
      </c>
      <c r="J239" s="113">
        <v>10500100035301</v>
      </c>
      <c r="K239" s="114" t="s">
        <v>89</v>
      </c>
      <c r="L239" s="115"/>
      <c r="M239" s="114">
        <v>8</v>
      </c>
      <c r="N239" s="116" t="s">
        <v>1478</v>
      </c>
      <c r="O239" s="117" t="s">
        <v>1479</v>
      </c>
      <c r="P239" s="116" t="s">
        <v>1480</v>
      </c>
      <c r="Q239" s="117" t="s">
        <v>1481</v>
      </c>
      <c r="R239" s="117" t="s">
        <v>1482</v>
      </c>
      <c r="S239" s="118" t="s">
        <v>1483</v>
      </c>
      <c r="T239" s="260">
        <v>119</v>
      </c>
      <c r="U239" s="163">
        <v>94</v>
      </c>
      <c r="V239" s="163">
        <v>27</v>
      </c>
      <c r="W239" s="241" t="s">
        <v>2869</v>
      </c>
      <c r="X239" s="241" t="s">
        <v>2868</v>
      </c>
      <c r="Y239" s="261">
        <v>240</v>
      </c>
      <c r="Z239" s="260">
        <v>54</v>
      </c>
      <c r="AA239" s="163">
        <v>216</v>
      </c>
      <c r="AB239" s="163">
        <v>121</v>
      </c>
      <c r="AC239" s="241" t="s">
        <v>2866</v>
      </c>
      <c r="AD239" s="241" t="s">
        <v>2868</v>
      </c>
      <c r="AE239" s="261">
        <v>391</v>
      </c>
      <c r="AF239" s="262">
        <f t="shared" si="3"/>
        <v>631</v>
      </c>
      <c r="AG239" s="123"/>
      <c r="AH239" s="372"/>
    </row>
    <row r="240" spans="1:34" s="18" customFormat="1" ht="28.8" hidden="1">
      <c r="A240" s="53">
        <v>2048</v>
      </c>
      <c r="B240" s="54" t="s">
        <v>2868</v>
      </c>
      <c r="C240" s="54" t="s">
        <v>2868</v>
      </c>
      <c r="D240" s="54" t="s">
        <v>2870</v>
      </c>
      <c r="E240" s="53">
        <v>2</v>
      </c>
      <c r="F240" s="110">
        <v>3</v>
      </c>
      <c r="G240" s="56">
        <v>48</v>
      </c>
      <c r="H240" s="111" t="s">
        <v>1484</v>
      </c>
      <c r="I240" s="116" t="s">
        <v>1484</v>
      </c>
      <c r="J240" s="113">
        <v>10500100062101</v>
      </c>
      <c r="K240" s="114" t="s">
        <v>89</v>
      </c>
      <c r="L240" s="115" t="s">
        <v>63</v>
      </c>
      <c r="M240" s="114">
        <v>8</v>
      </c>
      <c r="N240" s="116" t="s">
        <v>1485</v>
      </c>
      <c r="O240" s="117" t="s">
        <v>1486</v>
      </c>
      <c r="P240" s="116" t="s">
        <v>1487</v>
      </c>
      <c r="Q240" s="117" t="s">
        <v>1488</v>
      </c>
      <c r="R240" s="117" t="s">
        <v>1489</v>
      </c>
      <c r="S240" s="118" t="s">
        <v>1490</v>
      </c>
      <c r="T240" s="260">
        <v>144</v>
      </c>
      <c r="U240" s="163">
        <v>306</v>
      </c>
      <c r="V240" s="163">
        <v>0</v>
      </c>
      <c r="W240" s="241" t="s">
        <v>2869</v>
      </c>
      <c r="X240" s="241" t="s">
        <v>2868</v>
      </c>
      <c r="Y240" s="261">
        <v>450</v>
      </c>
      <c r="Z240" s="260">
        <v>160</v>
      </c>
      <c r="AA240" s="163">
        <v>240</v>
      </c>
      <c r="AB240" s="163">
        <v>200</v>
      </c>
      <c r="AC240" s="241" t="s">
        <v>2866</v>
      </c>
      <c r="AD240" s="241" t="s">
        <v>2868</v>
      </c>
      <c r="AE240" s="261">
        <v>600</v>
      </c>
      <c r="AF240" s="262">
        <f t="shared" si="3"/>
        <v>1050</v>
      </c>
      <c r="AG240" s="123"/>
      <c r="AH240" s="280"/>
    </row>
    <row r="241" spans="1:34" s="18" customFormat="1" ht="28.8" hidden="1">
      <c r="A241" s="53">
        <v>2049</v>
      </c>
      <c r="B241" s="54" t="s">
        <v>2868</v>
      </c>
      <c r="C241" s="54" t="s">
        <v>2868</v>
      </c>
      <c r="D241" s="54" t="s">
        <v>2869</v>
      </c>
      <c r="E241" s="53">
        <v>2</v>
      </c>
      <c r="F241" s="110">
        <v>3</v>
      </c>
      <c r="G241" s="56">
        <v>49</v>
      </c>
      <c r="H241" s="111" t="s">
        <v>1491</v>
      </c>
      <c r="I241" s="116" t="s">
        <v>1491</v>
      </c>
      <c r="J241" s="113">
        <v>10500100235602</v>
      </c>
      <c r="K241" s="114" t="s">
        <v>89</v>
      </c>
      <c r="L241" s="115"/>
      <c r="M241" s="114">
        <v>8</v>
      </c>
      <c r="N241" s="116" t="s">
        <v>1492</v>
      </c>
      <c r="O241" s="117" t="s">
        <v>1493</v>
      </c>
      <c r="P241" s="116">
        <v>2210507</v>
      </c>
      <c r="Q241" s="117" t="s">
        <v>799</v>
      </c>
      <c r="R241" s="117" t="s">
        <v>1494</v>
      </c>
      <c r="S241" s="118" t="s">
        <v>1495</v>
      </c>
      <c r="T241" s="260">
        <v>190</v>
      </c>
      <c r="U241" s="163">
        <v>60</v>
      </c>
      <c r="V241" s="163">
        <v>0</v>
      </c>
      <c r="W241" s="241" t="s">
        <v>2869</v>
      </c>
      <c r="X241" s="241" t="s">
        <v>2868</v>
      </c>
      <c r="Y241" s="261">
        <v>250</v>
      </c>
      <c r="Z241" s="260">
        <v>0</v>
      </c>
      <c r="AA241" s="163">
        <v>0</v>
      </c>
      <c r="AB241" s="163">
        <v>0</v>
      </c>
      <c r="AC241" s="241"/>
      <c r="AD241" s="241"/>
      <c r="AE241" s="261">
        <v>0</v>
      </c>
      <c r="AF241" s="262">
        <f t="shared" si="3"/>
        <v>250</v>
      </c>
      <c r="AG241" s="123" t="s">
        <v>140</v>
      </c>
      <c r="AH241" s="372"/>
    </row>
    <row r="242" spans="1:34" s="18" customFormat="1" ht="28.8" hidden="1">
      <c r="A242" s="53">
        <v>2050</v>
      </c>
      <c r="B242" s="54" t="s">
        <v>2868</v>
      </c>
      <c r="C242" s="54" t="s">
        <v>2868</v>
      </c>
      <c r="D242" s="54" t="s">
        <v>2870</v>
      </c>
      <c r="E242" s="53">
        <v>2</v>
      </c>
      <c r="F242" s="110">
        <v>3</v>
      </c>
      <c r="G242" s="56">
        <v>50</v>
      </c>
      <c r="H242" s="111" t="s">
        <v>1496</v>
      </c>
      <c r="I242" s="116" t="s">
        <v>1496</v>
      </c>
      <c r="J242" s="113">
        <v>10500100970903</v>
      </c>
      <c r="K242" s="114" t="s">
        <v>89</v>
      </c>
      <c r="L242" s="115"/>
      <c r="M242" s="114">
        <v>8</v>
      </c>
      <c r="N242" s="116" t="s">
        <v>768</v>
      </c>
      <c r="O242" s="117" t="s">
        <v>1497</v>
      </c>
      <c r="P242" s="116">
        <v>2699584</v>
      </c>
      <c r="Q242" s="117" t="s">
        <v>804</v>
      </c>
      <c r="R242" s="117" t="s">
        <v>810</v>
      </c>
      <c r="S242" s="118" t="s">
        <v>1498</v>
      </c>
      <c r="T242" s="260">
        <v>151</v>
      </c>
      <c r="U242" s="163">
        <v>59</v>
      </c>
      <c r="V242" s="163">
        <v>0</v>
      </c>
      <c r="W242" s="241" t="s">
        <v>2869</v>
      </c>
      <c r="X242" s="241" t="s">
        <v>2868</v>
      </c>
      <c r="Y242" s="261">
        <v>210</v>
      </c>
      <c r="Z242" s="260">
        <v>10</v>
      </c>
      <c r="AA242" s="163">
        <v>42</v>
      </c>
      <c r="AB242" s="163">
        <v>0</v>
      </c>
      <c r="AC242" s="241" t="s">
        <v>2866</v>
      </c>
      <c r="AD242" s="241" t="s">
        <v>2868</v>
      </c>
      <c r="AE242" s="261">
        <v>52</v>
      </c>
      <c r="AF242" s="262">
        <f t="shared" si="3"/>
        <v>262</v>
      </c>
      <c r="AG242" s="123"/>
      <c r="AH242" s="372"/>
    </row>
    <row r="243" spans="1:34" s="18" customFormat="1" ht="28.8" hidden="1">
      <c r="A243" s="53">
        <v>2051</v>
      </c>
      <c r="B243" s="54" t="s">
        <v>2868</v>
      </c>
      <c r="C243" s="54" t="s">
        <v>2868</v>
      </c>
      <c r="D243" s="54" t="s">
        <v>2869</v>
      </c>
      <c r="E243" s="53">
        <v>2</v>
      </c>
      <c r="F243" s="110">
        <v>3</v>
      </c>
      <c r="G243" s="56">
        <v>51</v>
      </c>
      <c r="H243" s="111" t="s">
        <v>1499</v>
      </c>
      <c r="I243" s="116" t="s">
        <v>1499</v>
      </c>
      <c r="J243" s="113">
        <v>10500101908901</v>
      </c>
      <c r="K243" s="114" t="s">
        <v>89</v>
      </c>
      <c r="L243" s="115"/>
      <c r="M243" s="114">
        <v>8</v>
      </c>
      <c r="N243" s="116" t="s">
        <v>808</v>
      </c>
      <c r="O243" s="117" t="s">
        <v>1500</v>
      </c>
      <c r="P243" s="116" t="s">
        <v>1501</v>
      </c>
      <c r="Q243" s="117" t="s">
        <v>1502</v>
      </c>
      <c r="R243" s="117" t="s">
        <v>1503</v>
      </c>
      <c r="S243" s="118" t="s">
        <v>1504</v>
      </c>
      <c r="T243" s="260">
        <v>225</v>
      </c>
      <c r="U243" s="163">
        <v>0</v>
      </c>
      <c r="V243" s="163">
        <v>0</v>
      </c>
      <c r="W243" s="241" t="s">
        <v>2869</v>
      </c>
      <c r="X243" s="241" t="s">
        <v>2868</v>
      </c>
      <c r="Y243" s="261">
        <v>225</v>
      </c>
      <c r="Z243" s="260">
        <v>0</v>
      </c>
      <c r="AA243" s="163">
        <v>0</v>
      </c>
      <c r="AB243" s="163">
        <v>0</v>
      </c>
      <c r="AC243" s="241"/>
      <c r="AD243" s="241"/>
      <c r="AE243" s="261">
        <v>0</v>
      </c>
      <c r="AF243" s="262">
        <f t="shared" si="3"/>
        <v>225</v>
      </c>
      <c r="AG243" s="123"/>
      <c r="AH243" s="372"/>
    </row>
    <row r="244" spans="1:34" s="18" customFormat="1" ht="28.8" hidden="1">
      <c r="A244" s="53">
        <v>2052</v>
      </c>
      <c r="B244" s="54" t="s">
        <v>2868</v>
      </c>
      <c r="C244" s="54" t="s">
        <v>2868</v>
      </c>
      <c r="D244" s="54" t="s">
        <v>2869</v>
      </c>
      <c r="E244" s="53">
        <v>2</v>
      </c>
      <c r="F244" s="110">
        <v>3</v>
      </c>
      <c r="G244" s="56">
        <v>52</v>
      </c>
      <c r="H244" s="111" t="s">
        <v>1505</v>
      </c>
      <c r="I244" s="116" t="s">
        <v>1505</v>
      </c>
      <c r="J244" s="113">
        <v>10500101908902</v>
      </c>
      <c r="K244" s="114" t="s">
        <v>89</v>
      </c>
      <c r="L244" s="115"/>
      <c r="M244" s="114">
        <v>8</v>
      </c>
      <c r="N244" s="116" t="s">
        <v>808</v>
      </c>
      <c r="O244" s="117" t="s">
        <v>1506</v>
      </c>
      <c r="P244" s="116">
        <v>2260631</v>
      </c>
      <c r="Q244" s="117" t="s">
        <v>1502</v>
      </c>
      <c r="R244" s="117" t="s">
        <v>1507</v>
      </c>
      <c r="S244" s="118" t="s">
        <v>1504</v>
      </c>
      <c r="T244" s="260">
        <v>75</v>
      </c>
      <c r="U244" s="163">
        <v>225</v>
      </c>
      <c r="V244" s="163">
        <v>0</v>
      </c>
      <c r="W244" s="241" t="s">
        <v>2869</v>
      </c>
      <c r="X244" s="241" t="s">
        <v>2868</v>
      </c>
      <c r="Y244" s="261">
        <v>300</v>
      </c>
      <c r="Z244" s="260">
        <v>0</v>
      </c>
      <c r="AA244" s="163">
        <v>0</v>
      </c>
      <c r="AB244" s="163">
        <v>0</v>
      </c>
      <c r="AC244" s="241"/>
      <c r="AD244" s="241"/>
      <c r="AE244" s="261">
        <v>0</v>
      </c>
      <c r="AF244" s="262">
        <f t="shared" si="3"/>
        <v>300</v>
      </c>
      <c r="AG244" s="123"/>
      <c r="AH244" s="372"/>
    </row>
    <row r="245" spans="1:34" s="18" customFormat="1" ht="28.8" hidden="1">
      <c r="A245" s="53">
        <v>2053</v>
      </c>
      <c r="B245" s="54" t="s">
        <v>2868</v>
      </c>
      <c r="C245" s="54" t="s">
        <v>2868</v>
      </c>
      <c r="D245" s="54" t="s">
        <v>2869</v>
      </c>
      <c r="E245" s="53">
        <v>2</v>
      </c>
      <c r="F245" s="110">
        <v>3</v>
      </c>
      <c r="G245" s="56">
        <v>53</v>
      </c>
      <c r="H245" s="111" t="s">
        <v>1508</v>
      </c>
      <c r="I245" s="116" t="s">
        <v>1508</v>
      </c>
      <c r="J245" s="113">
        <v>10500101908903</v>
      </c>
      <c r="K245" s="114" t="s">
        <v>89</v>
      </c>
      <c r="L245" s="115" t="s">
        <v>63</v>
      </c>
      <c r="M245" s="114">
        <v>8</v>
      </c>
      <c r="N245" s="116" t="s">
        <v>808</v>
      </c>
      <c r="O245" s="117" t="s">
        <v>1509</v>
      </c>
      <c r="P245" s="116">
        <v>2260591</v>
      </c>
      <c r="Q245" s="117" t="s">
        <v>1502</v>
      </c>
      <c r="R245" s="117" t="s">
        <v>1510</v>
      </c>
      <c r="S245" s="118" t="s">
        <v>1504</v>
      </c>
      <c r="T245" s="260">
        <v>0</v>
      </c>
      <c r="U245" s="163">
        <v>120</v>
      </c>
      <c r="V245" s="163">
        <v>140</v>
      </c>
      <c r="W245" s="241" t="s">
        <v>2869</v>
      </c>
      <c r="X245" s="241" t="s">
        <v>2868</v>
      </c>
      <c r="Y245" s="261">
        <v>260</v>
      </c>
      <c r="Z245" s="260">
        <v>0</v>
      </c>
      <c r="AA245" s="163">
        <v>0</v>
      </c>
      <c r="AB245" s="163">
        <v>0</v>
      </c>
      <c r="AC245" s="241"/>
      <c r="AD245" s="241"/>
      <c r="AE245" s="261">
        <v>0</v>
      </c>
      <c r="AF245" s="262">
        <f t="shared" si="3"/>
        <v>260</v>
      </c>
      <c r="AG245" s="123"/>
      <c r="AH245" s="372"/>
    </row>
    <row r="246" spans="1:34" s="18" customFormat="1" ht="28.8" hidden="1">
      <c r="A246" s="53">
        <v>2054</v>
      </c>
      <c r="B246" s="54" t="s">
        <v>2868</v>
      </c>
      <c r="C246" s="54" t="s">
        <v>2868</v>
      </c>
      <c r="D246" s="54" t="s">
        <v>2870</v>
      </c>
      <c r="E246" s="53">
        <v>2</v>
      </c>
      <c r="F246" s="110">
        <v>3</v>
      </c>
      <c r="G246" s="56">
        <v>54</v>
      </c>
      <c r="H246" s="111" t="s">
        <v>1511</v>
      </c>
      <c r="I246" s="116" t="s">
        <v>1511</v>
      </c>
      <c r="J246" s="113">
        <v>10500102187301</v>
      </c>
      <c r="K246" s="114" t="s">
        <v>89</v>
      </c>
      <c r="L246" s="115"/>
      <c r="M246" s="114">
        <v>8</v>
      </c>
      <c r="N246" s="116" t="s">
        <v>1512</v>
      </c>
      <c r="O246" s="117" t="s">
        <v>1513</v>
      </c>
      <c r="P246" s="116" t="s">
        <v>1514</v>
      </c>
      <c r="Q246" s="117" t="s">
        <v>1515</v>
      </c>
      <c r="R246" s="117" t="s">
        <v>1516</v>
      </c>
      <c r="S246" s="118" t="s">
        <v>1517</v>
      </c>
      <c r="T246" s="260">
        <v>0</v>
      </c>
      <c r="U246" s="163">
        <v>205</v>
      </c>
      <c r="V246" s="163">
        <v>65</v>
      </c>
      <c r="W246" s="241" t="s">
        <v>2869</v>
      </c>
      <c r="X246" s="241" t="s">
        <v>2868</v>
      </c>
      <c r="Y246" s="261">
        <v>270</v>
      </c>
      <c r="Z246" s="260">
        <v>0</v>
      </c>
      <c r="AA246" s="163">
        <v>292</v>
      </c>
      <c r="AB246" s="163">
        <v>200</v>
      </c>
      <c r="AC246" s="241" t="s">
        <v>2866</v>
      </c>
      <c r="AD246" s="241" t="s">
        <v>2868</v>
      </c>
      <c r="AE246" s="261">
        <v>492</v>
      </c>
      <c r="AF246" s="262">
        <f t="shared" si="3"/>
        <v>762</v>
      </c>
      <c r="AG246" s="123"/>
      <c r="AH246" s="372"/>
    </row>
    <row r="247" spans="1:34" s="18" customFormat="1" ht="28.8" hidden="1">
      <c r="A247" s="53">
        <v>2055</v>
      </c>
      <c r="B247" s="54" t="s">
        <v>2868</v>
      </c>
      <c r="C247" s="54" t="s">
        <v>2868</v>
      </c>
      <c r="D247" s="54" t="s">
        <v>2870</v>
      </c>
      <c r="E247" s="53">
        <v>2</v>
      </c>
      <c r="F247" s="110">
        <v>3</v>
      </c>
      <c r="G247" s="56">
        <v>55</v>
      </c>
      <c r="H247" s="111" t="s">
        <v>1518</v>
      </c>
      <c r="I247" s="116" t="s">
        <v>1518</v>
      </c>
      <c r="J247" s="113">
        <v>10500102187302</v>
      </c>
      <c r="K247" s="114" t="s">
        <v>89</v>
      </c>
      <c r="L247" s="115"/>
      <c r="M247" s="114">
        <v>8</v>
      </c>
      <c r="N247" s="116" t="s">
        <v>1512</v>
      </c>
      <c r="O247" s="117" t="s">
        <v>1519</v>
      </c>
      <c r="P247" s="116">
        <v>2845867</v>
      </c>
      <c r="Q247" s="117" t="s">
        <v>1515</v>
      </c>
      <c r="R247" s="117" t="s">
        <v>1520</v>
      </c>
      <c r="S247" s="118" t="s">
        <v>1517</v>
      </c>
      <c r="T247" s="260">
        <v>472</v>
      </c>
      <c r="U247" s="163">
        <v>151</v>
      </c>
      <c r="V247" s="163">
        <v>0</v>
      </c>
      <c r="W247" s="241" t="s">
        <v>2869</v>
      </c>
      <c r="X247" s="241" t="s">
        <v>2868</v>
      </c>
      <c r="Y247" s="261">
        <v>623</v>
      </c>
      <c r="Z247" s="260">
        <v>236</v>
      </c>
      <c r="AA247" s="163">
        <v>73</v>
      </c>
      <c r="AB247" s="163">
        <v>0</v>
      </c>
      <c r="AC247" s="241" t="s">
        <v>2866</v>
      </c>
      <c r="AD247" s="241" t="s">
        <v>2868</v>
      </c>
      <c r="AE247" s="261">
        <v>309</v>
      </c>
      <c r="AF247" s="262">
        <f t="shared" si="3"/>
        <v>932</v>
      </c>
      <c r="AG247" s="123"/>
      <c r="AH247" s="372"/>
    </row>
    <row r="248" spans="1:34" s="18" customFormat="1" ht="28.8" hidden="1">
      <c r="A248" s="53">
        <v>2056</v>
      </c>
      <c r="B248" s="54" t="s">
        <v>2868</v>
      </c>
      <c r="C248" s="54" t="s">
        <v>2868</v>
      </c>
      <c r="D248" s="54" t="s">
        <v>2869</v>
      </c>
      <c r="E248" s="53">
        <v>2</v>
      </c>
      <c r="F248" s="110">
        <v>3</v>
      </c>
      <c r="G248" s="56">
        <v>56</v>
      </c>
      <c r="H248" s="111" t="s">
        <v>1521</v>
      </c>
      <c r="I248" s="116" t="s">
        <v>1522</v>
      </c>
      <c r="J248" s="113">
        <v>30500102518501</v>
      </c>
      <c r="K248" s="114" t="s">
        <v>167</v>
      </c>
      <c r="L248" s="115"/>
      <c r="M248" s="114">
        <v>8</v>
      </c>
      <c r="N248" s="116" t="s">
        <v>758</v>
      </c>
      <c r="O248" s="117" t="s">
        <v>1523</v>
      </c>
      <c r="P248" s="116">
        <v>2923804</v>
      </c>
      <c r="Q248" s="117" t="s">
        <v>1524</v>
      </c>
      <c r="R248" s="117" t="s">
        <v>1525</v>
      </c>
      <c r="S248" s="118" t="s">
        <v>1526</v>
      </c>
      <c r="T248" s="260">
        <v>242</v>
      </c>
      <c r="U248" s="163">
        <v>83</v>
      </c>
      <c r="V248" s="163">
        <v>0</v>
      </c>
      <c r="W248" s="241" t="s">
        <v>2869</v>
      </c>
      <c r="X248" s="241" t="s">
        <v>2868</v>
      </c>
      <c r="Y248" s="261">
        <v>325</v>
      </c>
      <c r="Z248" s="260">
        <v>0</v>
      </c>
      <c r="AA248" s="163">
        <v>0</v>
      </c>
      <c r="AB248" s="163">
        <v>0</v>
      </c>
      <c r="AC248" s="241"/>
      <c r="AD248" s="241"/>
      <c r="AE248" s="261">
        <v>0</v>
      </c>
      <c r="AF248" s="262">
        <f t="shared" si="3"/>
        <v>325</v>
      </c>
      <c r="AG248" s="123"/>
      <c r="AH248" s="372"/>
    </row>
    <row r="249" spans="1:34" s="18" customFormat="1" ht="28.8" hidden="1">
      <c r="A249" s="53">
        <v>2057</v>
      </c>
      <c r="B249" s="54" t="s">
        <v>2868</v>
      </c>
      <c r="C249" s="54" t="s">
        <v>2868</v>
      </c>
      <c r="D249" s="54" t="s">
        <v>2869</v>
      </c>
      <c r="E249" s="53">
        <v>2</v>
      </c>
      <c r="F249" s="110">
        <v>3</v>
      </c>
      <c r="G249" s="56">
        <v>57</v>
      </c>
      <c r="H249" s="111" t="s">
        <v>1527</v>
      </c>
      <c r="I249" s="116" t="s">
        <v>1528</v>
      </c>
      <c r="J249" s="113">
        <v>30500102518501</v>
      </c>
      <c r="K249" s="114" t="s">
        <v>167</v>
      </c>
      <c r="L249" s="115"/>
      <c r="M249" s="114">
        <v>8</v>
      </c>
      <c r="N249" s="116" t="s">
        <v>797</v>
      </c>
      <c r="O249" s="117" t="s">
        <v>1529</v>
      </c>
      <c r="P249" s="116">
        <v>2220327</v>
      </c>
      <c r="Q249" s="117" t="s">
        <v>1524</v>
      </c>
      <c r="R249" s="117" t="s">
        <v>1525</v>
      </c>
      <c r="S249" s="118" t="s">
        <v>1526</v>
      </c>
      <c r="T249" s="260">
        <v>85</v>
      </c>
      <c r="U249" s="163">
        <v>86</v>
      </c>
      <c r="V249" s="163">
        <v>46</v>
      </c>
      <c r="W249" s="241" t="s">
        <v>2869</v>
      </c>
      <c r="X249" s="241" t="s">
        <v>2868</v>
      </c>
      <c r="Y249" s="261">
        <v>217</v>
      </c>
      <c r="Z249" s="260">
        <v>0</v>
      </c>
      <c r="AA249" s="163">
        <v>0</v>
      </c>
      <c r="AB249" s="163">
        <v>0</v>
      </c>
      <c r="AC249" s="241"/>
      <c r="AD249" s="241"/>
      <c r="AE249" s="261">
        <v>0</v>
      </c>
      <c r="AF249" s="262">
        <f t="shared" si="3"/>
        <v>217</v>
      </c>
      <c r="AG249" s="123"/>
      <c r="AH249" s="372"/>
    </row>
    <row r="250" spans="1:34" s="18" customFormat="1" ht="28.8" hidden="1">
      <c r="A250" s="53">
        <v>2058</v>
      </c>
      <c r="B250" s="54" t="s">
        <v>2868</v>
      </c>
      <c r="C250" s="54" t="s">
        <v>2868</v>
      </c>
      <c r="D250" s="54" t="s">
        <v>2870</v>
      </c>
      <c r="E250" s="53">
        <v>2</v>
      </c>
      <c r="F250" s="110">
        <v>3</v>
      </c>
      <c r="G250" s="56">
        <v>58</v>
      </c>
      <c r="H250" s="111" t="s">
        <v>1530</v>
      </c>
      <c r="I250" s="116" t="s">
        <v>1530</v>
      </c>
      <c r="J250" s="113">
        <v>10500102002801</v>
      </c>
      <c r="K250" s="114" t="s">
        <v>89</v>
      </c>
      <c r="L250" s="115"/>
      <c r="M250" s="114">
        <v>9</v>
      </c>
      <c r="N250" s="116" t="s">
        <v>851</v>
      </c>
      <c r="O250" s="117" t="s">
        <v>1531</v>
      </c>
      <c r="P250" s="116" t="s">
        <v>1532</v>
      </c>
      <c r="Q250" s="117" t="s">
        <v>1533</v>
      </c>
      <c r="R250" s="117" t="s">
        <v>1534</v>
      </c>
      <c r="S250" s="118" t="s">
        <v>1535</v>
      </c>
      <c r="T250" s="260">
        <v>0</v>
      </c>
      <c r="U250" s="163">
        <v>130</v>
      </c>
      <c r="V250" s="163">
        <v>90</v>
      </c>
      <c r="W250" s="241" t="s">
        <v>2869</v>
      </c>
      <c r="X250" s="241" t="s">
        <v>2868</v>
      </c>
      <c r="Y250" s="261">
        <v>220</v>
      </c>
      <c r="Z250" s="260">
        <v>0</v>
      </c>
      <c r="AA250" s="163">
        <v>135</v>
      </c>
      <c r="AB250" s="163">
        <v>65</v>
      </c>
      <c r="AC250" s="241" t="s">
        <v>2866</v>
      </c>
      <c r="AD250" s="241" t="s">
        <v>2868</v>
      </c>
      <c r="AE250" s="261">
        <v>200</v>
      </c>
      <c r="AF250" s="262">
        <f t="shared" si="3"/>
        <v>420</v>
      </c>
      <c r="AG250" s="123"/>
      <c r="AH250" s="372"/>
    </row>
    <row r="251" spans="1:34" s="18" customFormat="1" ht="28.8" hidden="1">
      <c r="A251" s="53">
        <v>2059</v>
      </c>
      <c r="B251" s="54" t="s">
        <v>2868</v>
      </c>
      <c r="C251" s="54" t="s">
        <v>2868</v>
      </c>
      <c r="D251" s="54" t="s">
        <v>2869</v>
      </c>
      <c r="E251" s="53">
        <v>2</v>
      </c>
      <c r="F251" s="110">
        <v>3</v>
      </c>
      <c r="G251" s="56">
        <v>59</v>
      </c>
      <c r="H251" s="111" t="s">
        <v>1536</v>
      </c>
      <c r="I251" s="116" t="s">
        <v>1536</v>
      </c>
      <c r="J251" s="113">
        <v>10500102002802</v>
      </c>
      <c r="K251" s="114" t="s">
        <v>89</v>
      </c>
      <c r="L251" s="115"/>
      <c r="M251" s="114">
        <v>9</v>
      </c>
      <c r="N251" s="116" t="s">
        <v>851</v>
      </c>
      <c r="O251" s="117" t="s">
        <v>1537</v>
      </c>
      <c r="P251" s="116">
        <v>2396342</v>
      </c>
      <c r="Q251" s="117" t="s">
        <v>1538</v>
      </c>
      <c r="R251" s="117" t="s">
        <v>1539</v>
      </c>
      <c r="S251" s="118" t="s">
        <v>1540</v>
      </c>
      <c r="T251" s="260">
        <v>195</v>
      </c>
      <c r="U251" s="163">
        <v>71</v>
      </c>
      <c r="V251" s="163">
        <v>0</v>
      </c>
      <c r="W251" s="241" t="s">
        <v>2869</v>
      </c>
      <c r="X251" s="241" t="s">
        <v>2868</v>
      </c>
      <c r="Y251" s="261">
        <v>266</v>
      </c>
      <c r="Z251" s="260">
        <v>0</v>
      </c>
      <c r="AA251" s="163">
        <v>0</v>
      </c>
      <c r="AB251" s="163">
        <v>0</v>
      </c>
      <c r="AC251" s="241"/>
      <c r="AD251" s="241"/>
      <c r="AE251" s="261">
        <v>0</v>
      </c>
      <c r="AF251" s="262">
        <f t="shared" si="3"/>
        <v>266</v>
      </c>
      <c r="AG251" s="123"/>
      <c r="AH251" s="372"/>
    </row>
    <row r="252" spans="1:34" s="18" customFormat="1" ht="28.8" hidden="1">
      <c r="A252" s="53">
        <v>2060</v>
      </c>
      <c r="B252" s="54" t="s">
        <v>2868</v>
      </c>
      <c r="C252" s="54" t="s">
        <v>2868</v>
      </c>
      <c r="D252" s="54" t="s">
        <v>2869</v>
      </c>
      <c r="E252" s="53">
        <v>2</v>
      </c>
      <c r="F252" s="110">
        <v>3</v>
      </c>
      <c r="G252" s="56">
        <v>60</v>
      </c>
      <c r="H252" s="111" t="s">
        <v>1541</v>
      </c>
      <c r="I252" s="116" t="s">
        <v>1541</v>
      </c>
      <c r="J252" s="113">
        <v>10500101085502</v>
      </c>
      <c r="K252" s="114" t="s">
        <v>89</v>
      </c>
      <c r="L252" s="115"/>
      <c r="M252" s="114">
        <v>9</v>
      </c>
      <c r="N252" s="116" t="s">
        <v>851</v>
      </c>
      <c r="O252" s="117" t="s">
        <v>1542</v>
      </c>
      <c r="P252" s="116" t="s">
        <v>1543</v>
      </c>
      <c r="Q252" s="117" t="s">
        <v>1544</v>
      </c>
      <c r="R252" s="117" t="s">
        <v>1114</v>
      </c>
      <c r="S252" s="118" t="s">
        <v>1545</v>
      </c>
      <c r="T252" s="260">
        <v>147</v>
      </c>
      <c r="U252" s="163">
        <v>77</v>
      </c>
      <c r="V252" s="163">
        <v>0</v>
      </c>
      <c r="W252" s="241" t="s">
        <v>2869</v>
      </c>
      <c r="X252" s="241" t="s">
        <v>2868</v>
      </c>
      <c r="Y252" s="261">
        <v>224</v>
      </c>
      <c r="Z252" s="260">
        <v>0</v>
      </c>
      <c r="AA252" s="163">
        <v>0</v>
      </c>
      <c r="AB252" s="163">
        <v>0</v>
      </c>
      <c r="AC252" s="241"/>
      <c r="AD252" s="241"/>
      <c r="AE252" s="261">
        <v>0</v>
      </c>
      <c r="AF252" s="262">
        <f t="shared" si="3"/>
        <v>224</v>
      </c>
      <c r="AG252" s="123"/>
      <c r="AH252" s="372"/>
    </row>
    <row r="253" spans="1:34" s="18" customFormat="1" ht="28.8" hidden="1">
      <c r="A253" s="53">
        <v>2061</v>
      </c>
      <c r="B253" s="54" t="s">
        <v>2868</v>
      </c>
      <c r="C253" s="54" t="s">
        <v>2868</v>
      </c>
      <c r="D253" s="54" t="s">
        <v>2870</v>
      </c>
      <c r="E253" s="53">
        <v>2</v>
      </c>
      <c r="F253" s="110">
        <v>3</v>
      </c>
      <c r="G253" s="56">
        <v>61</v>
      </c>
      <c r="H253" s="111" t="s">
        <v>1546</v>
      </c>
      <c r="I253" s="116" t="s">
        <v>1546</v>
      </c>
      <c r="J253" s="113">
        <v>10500100838901</v>
      </c>
      <c r="K253" s="114" t="s">
        <v>89</v>
      </c>
      <c r="L253" s="115"/>
      <c r="M253" s="114">
        <v>9</v>
      </c>
      <c r="N253" s="116" t="s">
        <v>1547</v>
      </c>
      <c r="O253" s="117" t="s">
        <v>1548</v>
      </c>
      <c r="P253" s="116" t="s">
        <v>1549</v>
      </c>
      <c r="Q253" s="117" t="s">
        <v>1550</v>
      </c>
      <c r="R253" s="117" t="s">
        <v>1551</v>
      </c>
      <c r="S253" s="118" t="s">
        <v>1552</v>
      </c>
      <c r="T253" s="260">
        <v>72</v>
      </c>
      <c r="U253" s="163">
        <v>163</v>
      </c>
      <c r="V253" s="163">
        <v>0</v>
      </c>
      <c r="W253" s="241" t="s">
        <v>2869</v>
      </c>
      <c r="X253" s="241" t="s">
        <v>2868</v>
      </c>
      <c r="Y253" s="261">
        <v>235</v>
      </c>
      <c r="Z253" s="260">
        <v>29</v>
      </c>
      <c r="AA253" s="163">
        <v>311</v>
      </c>
      <c r="AB253" s="163">
        <v>192</v>
      </c>
      <c r="AC253" s="241" t="s">
        <v>2866</v>
      </c>
      <c r="AD253" s="241" t="s">
        <v>2868</v>
      </c>
      <c r="AE253" s="261">
        <v>532</v>
      </c>
      <c r="AF253" s="262">
        <f t="shared" si="3"/>
        <v>767</v>
      </c>
      <c r="AG253" s="123"/>
      <c r="AH253" s="372"/>
    </row>
    <row r="254" spans="1:34" s="18" customFormat="1" ht="28.8" hidden="1">
      <c r="A254" s="53">
        <v>2062</v>
      </c>
      <c r="B254" s="54" t="s">
        <v>2868</v>
      </c>
      <c r="C254" s="54" t="s">
        <v>2868</v>
      </c>
      <c r="D254" s="54" t="s">
        <v>2869</v>
      </c>
      <c r="E254" s="53">
        <v>2</v>
      </c>
      <c r="F254" s="110">
        <v>3</v>
      </c>
      <c r="G254" s="56">
        <v>62</v>
      </c>
      <c r="H254" s="111" t="s">
        <v>1553</v>
      </c>
      <c r="I254" s="116" t="s">
        <v>1553</v>
      </c>
      <c r="J254" s="113">
        <v>10500101163101</v>
      </c>
      <c r="K254" s="114" t="s">
        <v>89</v>
      </c>
      <c r="L254" s="115" t="s">
        <v>63</v>
      </c>
      <c r="M254" s="114">
        <v>9</v>
      </c>
      <c r="N254" s="116" t="s">
        <v>837</v>
      </c>
      <c r="O254" s="117" t="s">
        <v>1554</v>
      </c>
      <c r="P254" s="116" t="s">
        <v>1555</v>
      </c>
      <c r="Q254" s="117" t="s">
        <v>1556</v>
      </c>
      <c r="R254" s="117" t="s">
        <v>1557</v>
      </c>
      <c r="S254" s="118" t="s">
        <v>1558</v>
      </c>
      <c r="T254" s="260">
        <v>0</v>
      </c>
      <c r="U254" s="163">
        <v>167</v>
      </c>
      <c r="V254" s="163">
        <v>183</v>
      </c>
      <c r="W254" s="241" t="s">
        <v>2869</v>
      </c>
      <c r="X254" s="241" t="s">
        <v>2868</v>
      </c>
      <c r="Y254" s="261">
        <v>350</v>
      </c>
      <c r="Z254" s="260">
        <v>0</v>
      </c>
      <c r="AA254" s="163">
        <v>0</v>
      </c>
      <c r="AB254" s="163">
        <v>0</v>
      </c>
      <c r="AC254" s="241"/>
      <c r="AD254" s="241"/>
      <c r="AE254" s="261">
        <v>0</v>
      </c>
      <c r="AF254" s="262">
        <f t="shared" si="3"/>
        <v>350</v>
      </c>
      <c r="AG254" s="123" t="s">
        <v>140</v>
      </c>
      <c r="AH254" s="378"/>
    </row>
    <row r="255" spans="1:34" s="18" customFormat="1" ht="28.8" hidden="1">
      <c r="A255" s="53">
        <v>2063</v>
      </c>
      <c r="B255" s="54" t="s">
        <v>2868</v>
      </c>
      <c r="C255" s="54" t="s">
        <v>2868</v>
      </c>
      <c r="D255" s="54" t="s">
        <v>2870</v>
      </c>
      <c r="E255" s="53">
        <v>2</v>
      </c>
      <c r="F255" s="110">
        <v>3</v>
      </c>
      <c r="G255" s="56">
        <v>63</v>
      </c>
      <c r="H255" s="111" t="s">
        <v>1559</v>
      </c>
      <c r="I255" s="116" t="s">
        <v>1559</v>
      </c>
      <c r="J255" s="113">
        <v>10500100156201</v>
      </c>
      <c r="K255" s="114" t="s">
        <v>89</v>
      </c>
      <c r="L255" s="115" t="s">
        <v>63</v>
      </c>
      <c r="M255" s="114">
        <v>10</v>
      </c>
      <c r="N255" s="116" t="s">
        <v>892</v>
      </c>
      <c r="O255" s="117" t="s">
        <v>1560</v>
      </c>
      <c r="P255" s="116" t="s">
        <v>1561</v>
      </c>
      <c r="Q255" s="117" t="s">
        <v>894</v>
      </c>
      <c r="R255" s="117" t="s">
        <v>1562</v>
      </c>
      <c r="S255" s="118" t="s">
        <v>1563</v>
      </c>
      <c r="T255" s="260">
        <v>0</v>
      </c>
      <c r="U255" s="163">
        <v>200</v>
      </c>
      <c r="V255" s="163">
        <v>120</v>
      </c>
      <c r="W255" s="241" t="s">
        <v>2869</v>
      </c>
      <c r="X255" s="241" t="s">
        <v>2868</v>
      </c>
      <c r="Y255" s="261">
        <v>320</v>
      </c>
      <c r="Z255" s="260">
        <v>83</v>
      </c>
      <c r="AA255" s="163">
        <v>217</v>
      </c>
      <c r="AB255" s="163">
        <v>200</v>
      </c>
      <c r="AC255" s="241" t="s">
        <v>2866</v>
      </c>
      <c r="AD255" s="241" t="s">
        <v>2868</v>
      </c>
      <c r="AE255" s="261">
        <v>500</v>
      </c>
      <c r="AF255" s="262">
        <f t="shared" si="3"/>
        <v>820</v>
      </c>
      <c r="AG255" s="113"/>
      <c r="AH255" s="377"/>
    </row>
    <row r="256" spans="1:34" s="18" customFormat="1" ht="28.8" hidden="1">
      <c r="A256" s="53">
        <v>2064</v>
      </c>
      <c r="B256" s="54" t="s">
        <v>2868</v>
      </c>
      <c r="C256" s="54" t="s">
        <v>2868</v>
      </c>
      <c r="D256" s="54" t="s">
        <v>2869</v>
      </c>
      <c r="E256" s="53">
        <v>2</v>
      </c>
      <c r="F256" s="110">
        <v>3</v>
      </c>
      <c r="G256" s="56">
        <v>64</v>
      </c>
      <c r="H256" s="111" t="s">
        <v>1564</v>
      </c>
      <c r="I256" s="116" t="s">
        <v>1564</v>
      </c>
      <c r="J256" s="113">
        <v>10500102651401</v>
      </c>
      <c r="K256" s="114" t="s">
        <v>89</v>
      </c>
      <c r="L256" s="115" t="s">
        <v>63</v>
      </c>
      <c r="M256" s="114">
        <v>10</v>
      </c>
      <c r="N256" s="116" t="s">
        <v>1565</v>
      </c>
      <c r="O256" s="117" t="s">
        <v>1566</v>
      </c>
      <c r="P256" s="116">
        <v>2510634</v>
      </c>
      <c r="Q256" s="117" t="s">
        <v>1567</v>
      </c>
      <c r="R256" s="117" t="s">
        <v>1568</v>
      </c>
      <c r="S256" s="118" t="s">
        <v>1569</v>
      </c>
      <c r="T256" s="260">
        <v>88</v>
      </c>
      <c r="U256" s="163">
        <v>110</v>
      </c>
      <c r="V256" s="163">
        <v>43</v>
      </c>
      <c r="W256" s="241" t="s">
        <v>2869</v>
      </c>
      <c r="X256" s="241" t="s">
        <v>2868</v>
      </c>
      <c r="Y256" s="261">
        <v>241</v>
      </c>
      <c r="Z256" s="260">
        <v>0</v>
      </c>
      <c r="AA256" s="163">
        <v>0</v>
      </c>
      <c r="AB256" s="163">
        <v>0</v>
      </c>
      <c r="AC256" s="241"/>
      <c r="AD256" s="241"/>
      <c r="AE256" s="261">
        <v>0</v>
      </c>
      <c r="AF256" s="262">
        <f t="shared" si="3"/>
        <v>241</v>
      </c>
      <c r="AG256" s="113"/>
      <c r="AH256" s="167"/>
    </row>
    <row r="257" spans="1:34" s="18" customFormat="1" ht="28.8" hidden="1">
      <c r="A257" s="53">
        <v>2065</v>
      </c>
      <c r="B257" s="54" t="s">
        <v>2868</v>
      </c>
      <c r="C257" s="54" t="s">
        <v>2868</v>
      </c>
      <c r="D257" s="54" t="s">
        <v>2870</v>
      </c>
      <c r="E257" s="53">
        <v>2</v>
      </c>
      <c r="F257" s="110">
        <v>3</v>
      </c>
      <c r="G257" s="56">
        <v>65</v>
      </c>
      <c r="H257" s="111" t="s">
        <v>1570</v>
      </c>
      <c r="I257" s="116" t="s">
        <v>1570</v>
      </c>
      <c r="J257" s="113">
        <v>10500100025601</v>
      </c>
      <c r="K257" s="114" t="s">
        <v>89</v>
      </c>
      <c r="L257" s="115" t="s">
        <v>63</v>
      </c>
      <c r="M257" s="114">
        <v>10</v>
      </c>
      <c r="N257" s="116" t="s">
        <v>892</v>
      </c>
      <c r="O257" s="117" t="s">
        <v>1571</v>
      </c>
      <c r="P257" s="116" t="s">
        <v>1572</v>
      </c>
      <c r="Q257" s="117" t="s">
        <v>1573</v>
      </c>
      <c r="R257" s="117" t="s">
        <v>1574</v>
      </c>
      <c r="S257" s="118" t="s">
        <v>1575</v>
      </c>
      <c r="T257" s="260">
        <v>182</v>
      </c>
      <c r="U257" s="163">
        <v>88</v>
      </c>
      <c r="V257" s="163">
        <v>90</v>
      </c>
      <c r="W257" s="241" t="s">
        <v>2869</v>
      </c>
      <c r="X257" s="241" t="s">
        <v>2868</v>
      </c>
      <c r="Y257" s="261">
        <v>360</v>
      </c>
      <c r="Z257" s="260">
        <v>0</v>
      </c>
      <c r="AA257" s="163">
        <v>246</v>
      </c>
      <c r="AB257" s="163">
        <v>84</v>
      </c>
      <c r="AC257" s="241" t="s">
        <v>2866</v>
      </c>
      <c r="AD257" s="241" t="s">
        <v>2868</v>
      </c>
      <c r="AE257" s="261">
        <v>330</v>
      </c>
      <c r="AF257" s="262">
        <f t="shared" si="3"/>
        <v>690</v>
      </c>
      <c r="AG257" s="113"/>
      <c r="AH257" s="167"/>
    </row>
    <row r="258" spans="1:34" s="18" customFormat="1" ht="28.8" hidden="1">
      <c r="A258" s="53">
        <v>2066</v>
      </c>
      <c r="B258" s="54" t="s">
        <v>2868</v>
      </c>
      <c r="C258" s="54" t="s">
        <v>2868</v>
      </c>
      <c r="D258" s="54" t="s">
        <v>2869</v>
      </c>
      <c r="E258" s="53">
        <v>2</v>
      </c>
      <c r="F258" s="110">
        <v>3</v>
      </c>
      <c r="G258" s="56">
        <v>66</v>
      </c>
      <c r="H258" s="111" t="s">
        <v>1576</v>
      </c>
      <c r="I258" s="116" t="s">
        <v>1576</v>
      </c>
      <c r="J258" s="113">
        <v>10500100025602</v>
      </c>
      <c r="K258" s="114" t="s">
        <v>89</v>
      </c>
      <c r="L258" s="115" t="s">
        <v>63</v>
      </c>
      <c r="M258" s="114">
        <v>10</v>
      </c>
      <c r="N258" s="116" t="s">
        <v>1577</v>
      </c>
      <c r="O258" s="117" t="s">
        <v>1578</v>
      </c>
      <c r="P258" s="116">
        <v>2623588</v>
      </c>
      <c r="Q258" s="117" t="s">
        <v>1573</v>
      </c>
      <c r="R258" s="117" t="s">
        <v>1579</v>
      </c>
      <c r="S258" s="118" t="s">
        <v>1580</v>
      </c>
      <c r="T258" s="260">
        <v>78</v>
      </c>
      <c r="U258" s="163">
        <v>83</v>
      </c>
      <c r="V258" s="163">
        <v>0</v>
      </c>
      <c r="W258" s="241" t="s">
        <v>2869</v>
      </c>
      <c r="X258" s="241" t="s">
        <v>2868</v>
      </c>
      <c r="Y258" s="261">
        <v>161</v>
      </c>
      <c r="Z258" s="260">
        <v>0</v>
      </c>
      <c r="AA258" s="163">
        <v>0</v>
      </c>
      <c r="AB258" s="163">
        <v>0</v>
      </c>
      <c r="AC258" s="241"/>
      <c r="AD258" s="241"/>
      <c r="AE258" s="261">
        <v>0</v>
      </c>
      <c r="AF258" s="262">
        <f t="shared" si="3"/>
        <v>161</v>
      </c>
      <c r="AG258" s="163"/>
      <c r="AH258" s="379"/>
    </row>
    <row r="259" spans="1:34" s="18" customFormat="1" ht="28.8" hidden="1">
      <c r="A259" s="53">
        <v>2067</v>
      </c>
      <c r="B259" s="54" t="s">
        <v>2868</v>
      </c>
      <c r="C259" s="54" t="s">
        <v>2868</v>
      </c>
      <c r="D259" s="54" t="s">
        <v>2869</v>
      </c>
      <c r="E259" s="53">
        <v>2</v>
      </c>
      <c r="F259" s="110">
        <v>3</v>
      </c>
      <c r="G259" s="56">
        <v>67</v>
      </c>
      <c r="H259" s="111" t="s">
        <v>1581</v>
      </c>
      <c r="I259" s="116" t="s">
        <v>1581</v>
      </c>
      <c r="J259" s="113">
        <v>30500101711501</v>
      </c>
      <c r="K259" s="114" t="s">
        <v>167</v>
      </c>
      <c r="L259" s="115"/>
      <c r="M259" s="114">
        <v>10</v>
      </c>
      <c r="N259" s="116" t="s">
        <v>1582</v>
      </c>
      <c r="O259" s="117" t="s">
        <v>1583</v>
      </c>
      <c r="P259" s="116" t="s">
        <v>1584</v>
      </c>
      <c r="Q259" s="117" t="s">
        <v>1585</v>
      </c>
      <c r="R259" s="117" t="s">
        <v>1585</v>
      </c>
      <c r="S259" s="118" t="s">
        <v>1586</v>
      </c>
      <c r="T259" s="260">
        <v>29</v>
      </c>
      <c r="U259" s="163">
        <v>50</v>
      </c>
      <c r="V259" s="163">
        <v>0</v>
      </c>
      <c r="W259" s="241" t="s">
        <v>2869</v>
      </c>
      <c r="X259" s="241" t="s">
        <v>2868</v>
      </c>
      <c r="Y259" s="261">
        <v>79</v>
      </c>
      <c r="Z259" s="260">
        <v>0</v>
      </c>
      <c r="AA259" s="163">
        <v>0</v>
      </c>
      <c r="AB259" s="163">
        <v>0</v>
      </c>
      <c r="AC259" s="241"/>
      <c r="AD259" s="241"/>
      <c r="AE259" s="261">
        <v>0</v>
      </c>
      <c r="AF259" s="262">
        <f t="shared" ref="AF259:AF322" si="6">+Y259+AE259</f>
        <v>79</v>
      </c>
      <c r="AG259" s="163"/>
      <c r="AH259" s="375"/>
    </row>
    <row r="260" spans="1:34" s="18" customFormat="1" ht="28.8" hidden="1">
      <c r="A260" s="53">
        <v>2068</v>
      </c>
      <c r="B260" s="54" t="s">
        <v>2868</v>
      </c>
      <c r="C260" s="54" t="s">
        <v>2868</v>
      </c>
      <c r="D260" s="54" t="s">
        <v>2869</v>
      </c>
      <c r="E260" s="53">
        <v>2</v>
      </c>
      <c r="F260" s="110">
        <v>3</v>
      </c>
      <c r="G260" s="56">
        <v>68</v>
      </c>
      <c r="H260" s="111" t="s">
        <v>1587</v>
      </c>
      <c r="I260" s="116" t="s">
        <v>1587</v>
      </c>
      <c r="J260" s="113">
        <v>10500100035302</v>
      </c>
      <c r="K260" s="114" t="s">
        <v>89</v>
      </c>
      <c r="L260" s="115"/>
      <c r="M260" s="114">
        <v>10</v>
      </c>
      <c r="N260" s="116" t="s">
        <v>911</v>
      </c>
      <c r="O260" s="117" t="s">
        <v>1588</v>
      </c>
      <c r="P260" s="116">
        <v>2549409</v>
      </c>
      <c r="Q260" s="117" t="s">
        <v>1589</v>
      </c>
      <c r="R260" s="117" t="s">
        <v>1590</v>
      </c>
      <c r="S260" s="118" t="s">
        <v>1591</v>
      </c>
      <c r="T260" s="260">
        <v>80</v>
      </c>
      <c r="U260" s="163">
        <v>60</v>
      </c>
      <c r="V260" s="163">
        <v>0</v>
      </c>
      <c r="W260" s="241" t="s">
        <v>2869</v>
      </c>
      <c r="X260" s="241" t="s">
        <v>2868</v>
      </c>
      <c r="Y260" s="261">
        <v>140</v>
      </c>
      <c r="Z260" s="260">
        <v>0</v>
      </c>
      <c r="AA260" s="163">
        <v>0</v>
      </c>
      <c r="AB260" s="163">
        <v>0</v>
      </c>
      <c r="AC260" s="241"/>
      <c r="AD260" s="241"/>
      <c r="AE260" s="261">
        <v>0</v>
      </c>
      <c r="AF260" s="262">
        <f t="shared" si="6"/>
        <v>140</v>
      </c>
      <c r="AG260" s="113"/>
      <c r="AH260" s="167"/>
    </row>
    <row r="261" spans="1:34" s="18" customFormat="1" ht="28.8" hidden="1">
      <c r="A261" s="53">
        <v>2069</v>
      </c>
      <c r="B261" s="54" t="s">
        <v>2868</v>
      </c>
      <c r="C261" s="54" t="s">
        <v>2868</v>
      </c>
      <c r="D261" s="54" t="s">
        <v>2869</v>
      </c>
      <c r="E261" s="53">
        <v>2</v>
      </c>
      <c r="F261" s="110">
        <v>3</v>
      </c>
      <c r="G261" s="56">
        <v>69</v>
      </c>
      <c r="H261" s="111" t="s">
        <v>1592</v>
      </c>
      <c r="I261" s="116" t="s">
        <v>1592</v>
      </c>
      <c r="J261" s="113">
        <v>20500100138903</v>
      </c>
      <c r="K261" s="114" t="s">
        <v>89</v>
      </c>
      <c r="L261" s="115"/>
      <c r="M261" s="114">
        <v>90</v>
      </c>
      <c r="N261" s="116" t="s">
        <v>1593</v>
      </c>
      <c r="O261" s="117" t="s">
        <v>1594</v>
      </c>
      <c r="P261" s="116" t="s">
        <v>1595</v>
      </c>
      <c r="Q261" s="117" t="s">
        <v>1596</v>
      </c>
      <c r="R261" s="117" t="s">
        <v>1597</v>
      </c>
      <c r="S261" s="118" t="s">
        <v>1598</v>
      </c>
      <c r="T261" s="260">
        <v>65</v>
      </c>
      <c r="U261" s="163">
        <v>24</v>
      </c>
      <c r="V261" s="163">
        <v>0</v>
      </c>
      <c r="W261" s="241" t="s">
        <v>2869</v>
      </c>
      <c r="X261" s="241" t="s">
        <v>2868</v>
      </c>
      <c r="Y261" s="261">
        <v>89</v>
      </c>
      <c r="Z261" s="260">
        <v>0</v>
      </c>
      <c r="AA261" s="163">
        <v>0</v>
      </c>
      <c r="AB261" s="163">
        <v>0</v>
      </c>
      <c r="AC261" s="241"/>
      <c r="AD261" s="241"/>
      <c r="AE261" s="261">
        <v>0</v>
      </c>
      <c r="AF261" s="262">
        <f t="shared" si="6"/>
        <v>89</v>
      </c>
      <c r="AG261" s="113"/>
      <c r="AH261" s="167"/>
    </row>
    <row r="262" spans="1:34" s="18" customFormat="1" ht="28.8" hidden="1">
      <c r="A262" s="53">
        <v>2070</v>
      </c>
      <c r="B262" s="54" t="s">
        <v>2868</v>
      </c>
      <c r="C262" s="54" t="s">
        <v>2868</v>
      </c>
      <c r="D262" s="54" t="s">
        <v>2869</v>
      </c>
      <c r="E262" s="53">
        <v>2</v>
      </c>
      <c r="F262" s="110">
        <v>3</v>
      </c>
      <c r="G262" s="56">
        <v>70</v>
      </c>
      <c r="H262" s="111" t="s">
        <v>1599</v>
      </c>
      <c r="I262" s="116" t="s">
        <v>1599</v>
      </c>
      <c r="J262" s="113">
        <v>20500101103101</v>
      </c>
      <c r="K262" s="114" t="s">
        <v>89</v>
      </c>
      <c r="L262" s="115" t="s">
        <v>63</v>
      </c>
      <c r="M262" s="114">
        <v>90</v>
      </c>
      <c r="N262" s="116" t="s">
        <v>1593</v>
      </c>
      <c r="O262" s="117" t="s">
        <v>1600</v>
      </c>
      <c r="P262" s="116" t="s">
        <v>1601</v>
      </c>
      <c r="Q262" s="117" t="s">
        <v>1602</v>
      </c>
      <c r="R262" s="117" t="s">
        <v>1603</v>
      </c>
      <c r="S262" s="118" t="s">
        <v>1604</v>
      </c>
      <c r="T262" s="260">
        <v>0</v>
      </c>
      <c r="U262" s="163">
        <v>138</v>
      </c>
      <c r="V262" s="163">
        <v>83</v>
      </c>
      <c r="W262" s="241" t="s">
        <v>2869</v>
      </c>
      <c r="X262" s="241" t="s">
        <v>2868</v>
      </c>
      <c r="Y262" s="261">
        <v>221</v>
      </c>
      <c r="Z262" s="260">
        <v>0</v>
      </c>
      <c r="AA262" s="163">
        <v>0</v>
      </c>
      <c r="AB262" s="163">
        <v>0</v>
      </c>
      <c r="AC262" s="241"/>
      <c r="AD262" s="241"/>
      <c r="AE262" s="261">
        <v>0</v>
      </c>
      <c r="AF262" s="262">
        <f t="shared" si="6"/>
        <v>221</v>
      </c>
      <c r="AG262" s="113"/>
      <c r="AH262" s="167"/>
    </row>
    <row r="263" spans="1:34" s="18" customFormat="1" ht="28.8" hidden="1">
      <c r="A263" s="53">
        <v>2071</v>
      </c>
      <c r="B263" s="54" t="s">
        <v>2868</v>
      </c>
      <c r="C263" s="54" t="s">
        <v>2868</v>
      </c>
      <c r="D263" s="54" t="s">
        <v>2869</v>
      </c>
      <c r="E263" s="53">
        <v>2</v>
      </c>
      <c r="F263" s="110">
        <v>3</v>
      </c>
      <c r="G263" s="56">
        <v>71</v>
      </c>
      <c r="H263" s="111" t="s">
        <v>1605</v>
      </c>
      <c r="I263" s="116" t="s">
        <v>1605</v>
      </c>
      <c r="J263" s="113">
        <v>20500101103102</v>
      </c>
      <c r="K263" s="114" t="s">
        <v>89</v>
      </c>
      <c r="L263" s="115" t="s">
        <v>63</v>
      </c>
      <c r="M263" s="114">
        <v>90</v>
      </c>
      <c r="N263" s="116" t="s">
        <v>1593</v>
      </c>
      <c r="O263" s="117" t="s">
        <v>1600</v>
      </c>
      <c r="P263" s="116" t="s">
        <v>1606</v>
      </c>
      <c r="Q263" s="117" t="s">
        <v>1602</v>
      </c>
      <c r="R263" s="117" t="s">
        <v>1607</v>
      </c>
      <c r="S263" s="118" t="s">
        <v>1608</v>
      </c>
      <c r="T263" s="260">
        <v>55</v>
      </c>
      <c r="U263" s="163">
        <v>28</v>
      </c>
      <c r="V263" s="163">
        <v>0</v>
      </c>
      <c r="W263" s="241" t="s">
        <v>2869</v>
      </c>
      <c r="X263" s="241" t="s">
        <v>2868</v>
      </c>
      <c r="Y263" s="261">
        <v>83</v>
      </c>
      <c r="Z263" s="260">
        <v>0</v>
      </c>
      <c r="AA263" s="163">
        <v>0</v>
      </c>
      <c r="AB263" s="163">
        <v>0</v>
      </c>
      <c r="AC263" s="241"/>
      <c r="AD263" s="241"/>
      <c r="AE263" s="261">
        <v>0</v>
      </c>
      <c r="AF263" s="262">
        <f t="shared" si="6"/>
        <v>83</v>
      </c>
      <c r="AG263" s="113"/>
      <c r="AH263" s="167"/>
    </row>
    <row r="264" spans="1:34" s="18" customFormat="1" ht="28.8" hidden="1">
      <c r="A264" s="53">
        <v>2072</v>
      </c>
      <c r="B264" s="54" t="s">
        <v>2868</v>
      </c>
      <c r="C264" s="54" t="s">
        <v>2868</v>
      </c>
      <c r="D264" s="54" t="s">
        <v>2869</v>
      </c>
      <c r="E264" s="53">
        <v>2</v>
      </c>
      <c r="F264" s="110">
        <v>3</v>
      </c>
      <c r="G264" s="56">
        <v>72</v>
      </c>
      <c r="H264" s="111" t="s">
        <v>1609</v>
      </c>
      <c r="I264" s="116" t="s">
        <v>1609</v>
      </c>
      <c r="J264" s="113">
        <v>20500100622402</v>
      </c>
      <c r="K264" s="114" t="s">
        <v>89</v>
      </c>
      <c r="L264" s="115"/>
      <c r="M264" s="114">
        <v>90</v>
      </c>
      <c r="N264" s="116" t="s">
        <v>1610</v>
      </c>
      <c r="O264" s="117" t="s">
        <v>1611</v>
      </c>
      <c r="P264" s="116">
        <v>5513286</v>
      </c>
      <c r="Q264" s="117" t="s">
        <v>1612</v>
      </c>
      <c r="R264" s="117" t="s">
        <v>1613</v>
      </c>
      <c r="S264" s="118" t="s">
        <v>1614</v>
      </c>
      <c r="T264" s="260">
        <v>12</v>
      </c>
      <c r="U264" s="163">
        <v>2</v>
      </c>
      <c r="V264" s="163">
        <v>0</v>
      </c>
      <c r="W264" s="241" t="s">
        <v>2869</v>
      </c>
      <c r="X264" s="241" t="s">
        <v>2868</v>
      </c>
      <c r="Y264" s="261">
        <v>14</v>
      </c>
      <c r="Z264" s="260">
        <v>0</v>
      </c>
      <c r="AA264" s="163">
        <v>0</v>
      </c>
      <c r="AB264" s="163">
        <v>0</v>
      </c>
      <c r="AC264" s="241"/>
      <c r="AD264" s="241"/>
      <c r="AE264" s="261">
        <v>0</v>
      </c>
      <c r="AF264" s="262">
        <f t="shared" si="6"/>
        <v>14</v>
      </c>
      <c r="AG264" s="113"/>
      <c r="AH264" s="167"/>
    </row>
    <row r="265" spans="1:34" s="18" customFormat="1" ht="28.8" hidden="1">
      <c r="A265" s="53">
        <v>2073</v>
      </c>
      <c r="B265" s="54" t="s">
        <v>2868</v>
      </c>
      <c r="C265" s="54" t="s">
        <v>2868</v>
      </c>
      <c r="D265" s="54" t="s">
        <v>2869</v>
      </c>
      <c r="E265" s="53">
        <v>2</v>
      </c>
      <c r="F265" s="110">
        <v>3</v>
      </c>
      <c r="G265" s="56">
        <v>73</v>
      </c>
      <c r="H265" s="111" t="s">
        <v>1615</v>
      </c>
      <c r="I265" s="116" t="s">
        <v>1615</v>
      </c>
      <c r="J265" s="113">
        <v>20500100138901</v>
      </c>
      <c r="K265" s="114" t="s">
        <v>89</v>
      </c>
      <c r="L265" s="115"/>
      <c r="M265" s="114">
        <v>90</v>
      </c>
      <c r="N265" s="116" t="s">
        <v>1593</v>
      </c>
      <c r="O265" s="117" t="s">
        <v>1616</v>
      </c>
      <c r="P265" s="116">
        <v>2695500</v>
      </c>
      <c r="Q265" s="117" t="s">
        <v>1596</v>
      </c>
      <c r="R265" s="117" t="s">
        <v>1617</v>
      </c>
      <c r="S265" s="118" t="s">
        <v>1598</v>
      </c>
      <c r="T265" s="260">
        <v>72</v>
      </c>
      <c r="U265" s="163">
        <v>30</v>
      </c>
      <c r="V265" s="163">
        <v>0</v>
      </c>
      <c r="W265" s="241" t="s">
        <v>2869</v>
      </c>
      <c r="X265" s="241" t="s">
        <v>2868</v>
      </c>
      <c r="Y265" s="261">
        <v>102</v>
      </c>
      <c r="Z265" s="260">
        <v>0</v>
      </c>
      <c r="AA265" s="163">
        <v>0</v>
      </c>
      <c r="AB265" s="163">
        <v>0</v>
      </c>
      <c r="AC265" s="241"/>
      <c r="AD265" s="241"/>
      <c r="AE265" s="261">
        <v>0</v>
      </c>
      <c r="AF265" s="262">
        <f t="shared" si="6"/>
        <v>102</v>
      </c>
      <c r="AG265" s="113"/>
      <c r="AH265" s="167"/>
    </row>
    <row r="266" spans="1:34" s="18" customFormat="1" ht="28.8" hidden="1">
      <c r="A266" s="53">
        <v>2074</v>
      </c>
      <c r="B266" s="54" t="s">
        <v>2868</v>
      </c>
      <c r="C266" s="54" t="s">
        <v>2868</v>
      </c>
      <c r="D266" s="54" t="s">
        <v>2869</v>
      </c>
      <c r="E266" s="53">
        <v>2</v>
      </c>
      <c r="F266" s="110">
        <v>3</v>
      </c>
      <c r="G266" s="56">
        <v>74</v>
      </c>
      <c r="H266" s="111" t="s">
        <v>1618</v>
      </c>
      <c r="I266" s="116" t="s">
        <v>1618</v>
      </c>
      <c r="J266" s="113">
        <v>20500100138902</v>
      </c>
      <c r="K266" s="114" t="s">
        <v>89</v>
      </c>
      <c r="L266" s="115"/>
      <c r="M266" s="114">
        <v>90</v>
      </c>
      <c r="N266" s="116" t="s">
        <v>1619</v>
      </c>
      <c r="O266" s="117" t="s">
        <v>1620</v>
      </c>
      <c r="P266" s="116" t="s">
        <v>1621</v>
      </c>
      <c r="Q266" s="117" t="s">
        <v>1596</v>
      </c>
      <c r="R266" s="117" t="s">
        <v>1622</v>
      </c>
      <c r="S266" s="118" t="s">
        <v>1598</v>
      </c>
      <c r="T266" s="260">
        <v>29</v>
      </c>
      <c r="U266" s="163">
        <v>19</v>
      </c>
      <c r="V266" s="163">
        <v>0</v>
      </c>
      <c r="W266" s="241" t="s">
        <v>2869</v>
      </c>
      <c r="X266" s="241" t="s">
        <v>2868</v>
      </c>
      <c r="Y266" s="261">
        <v>48</v>
      </c>
      <c r="Z266" s="260">
        <v>0</v>
      </c>
      <c r="AA266" s="163">
        <v>0</v>
      </c>
      <c r="AB266" s="163">
        <v>0</v>
      </c>
      <c r="AC266" s="241"/>
      <c r="AD266" s="241"/>
      <c r="AE266" s="261">
        <v>0</v>
      </c>
      <c r="AF266" s="262">
        <f t="shared" si="6"/>
        <v>48</v>
      </c>
      <c r="AG266" s="113"/>
      <c r="AH266" s="167"/>
    </row>
    <row r="267" spans="1:34" s="18" customFormat="1" ht="28.8" hidden="1">
      <c r="A267" s="53">
        <v>2075</v>
      </c>
      <c r="B267" s="54" t="s">
        <v>2868</v>
      </c>
      <c r="C267" s="54" t="s">
        <v>2868</v>
      </c>
      <c r="D267" s="54" t="s">
        <v>2869</v>
      </c>
      <c r="E267" s="53">
        <v>2</v>
      </c>
      <c r="F267" s="110">
        <v>3</v>
      </c>
      <c r="G267" s="56">
        <v>75</v>
      </c>
      <c r="H267" s="111" t="s">
        <v>1623</v>
      </c>
      <c r="I267" s="116" t="s">
        <v>1623</v>
      </c>
      <c r="J267" s="113">
        <v>20500100611902</v>
      </c>
      <c r="K267" s="114" t="s">
        <v>89</v>
      </c>
      <c r="L267" s="115"/>
      <c r="M267" s="114">
        <v>90</v>
      </c>
      <c r="N267" s="116" t="s">
        <v>1624</v>
      </c>
      <c r="O267" s="117" t="s">
        <v>1625</v>
      </c>
      <c r="P267" s="116">
        <v>5669186</v>
      </c>
      <c r="Q267" s="117" t="s">
        <v>1626</v>
      </c>
      <c r="R267" s="117" t="s">
        <v>1627</v>
      </c>
      <c r="S267" s="118" t="s">
        <v>1628</v>
      </c>
      <c r="T267" s="260">
        <v>37</v>
      </c>
      <c r="U267" s="163">
        <v>18</v>
      </c>
      <c r="V267" s="163">
        <v>0</v>
      </c>
      <c r="W267" s="241" t="s">
        <v>2869</v>
      </c>
      <c r="X267" s="241" t="s">
        <v>2868</v>
      </c>
      <c r="Y267" s="261">
        <v>55</v>
      </c>
      <c r="Z267" s="260">
        <v>0</v>
      </c>
      <c r="AA267" s="163">
        <v>0</v>
      </c>
      <c r="AB267" s="163">
        <v>0</v>
      </c>
      <c r="AC267" s="241"/>
      <c r="AD267" s="241"/>
      <c r="AE267" s="261">
        <v>0</v>
      </c>
      <c r="AF267" s="262">
        <f t="shared" si="6"/>
        <v>55</v>
      </c>
      <c r="AG267" s="113"/>
      <c r="AH267" s="167"/>
    </row>
    <row r="268" spans="1:34" s="18" customFormat="1" ht="28.8" hidden="1">
      <c r="A268" s="53">
        <v>2076</v>
      </c>
      <c r="B268" s="54" t="s">
        <v>2868</v>
      </c>
      <c r="C268" s="54" t="s">
        <v>2868</v>
      </c>
      <c r="D268" s="54" t="s">
        <v>2869</v>
      </c>
      <c r="E268" s="53">
        <v>2</v>
      </c>
      <c r="F268" s="110">
        <v>3</v>
      </c>
      <c r="G268" s="56">
        <v>76</v>
      </c>
      <c r="H268" s="111" t="s">
        <v>1629</v>
      </c>
      <c r="I268" s="116" t="s">
        <v>1629</v>
      </c>
      <c r="J268" s="113">
        <v>20500100611903</v>
      </c>
      <c r="K268" s="114" t="s">
        <v>89</v>
      </c>
      <c r="L268" s="115"/>
      <c r="M268" s="114">
        <v>90</v>
      </c>
      <c r="N268" s="116" t="s">
        <v>1630</v>
      </c>
      <c r="O268" s="117" t="s">
        <v>1631</v>
      </c>
      <c r="P268" s="116">
        <v>5381830</v>
      </c>
      <c r="Q268" s="117" t="s">
        <v>1626</v>
      </c>
      <c r="R268" s="117" t="s">
        <v>1632</v>
      </c>
      <c r="S268" s="118" t="s">
        <v>1633</v>
      </c>
      <c r="T268" s="260">
        <v>48</v>
      </c>
      <c r="U268" s="163">
        <v>21</v>
      </c>
      <c r="V268" s="163">
        <v>0</v>
      </c>
      <c r="W268" s="241" t="s">
        <v>2869</v>
      </c>
      <c r="X268" s="241" t="s">
        <v>2868</v>
      </c>
      <c r="Y268" s="261">
        <v>69</v>
      </c>
      <c r="Z268" s="260">
        <v>0</v>
      </c>
      <c r="AA268" s="163">
        <v>0</v>
      </c>
      <c r="AB268" s="163">
        <v>0</v>
      </c>
      <c r="AC268" s="241"/>
      <c r="AD268" s="241"/>
      <c r="AE268" s="261">
        <v>0</v>
      </c>
      <c r="AF268" s="262">
        <f t="shared" si="6"/>
        <v>69</v>
      </c>
      <c r="AG268" s="113"/>
      <c r="AH268" s="167"/>
    </row>
    <row r="269" spans="1:34" s="18" customFormat="1" ht="28.8" hidden="1">
      <c r="A269" s="53">
        <v>2077</v>
      </c>
      <c r="B269" s="54" t="s">
        <v>2868</v>
      </c>
      <c r="C269" s="54" t="s">
        <v>2868</v>
      </c>
      <c r="D269" s="54" t="s">
        <v>2869</v>
      </c>
      <c r="E269" s="53">
        <v>2</v>
      </c>
      <c r="F269" s="110">
        <v>3</v>
      </c>
      <c r="G269" s="56">
        <v>77</v>
      </c>
      <c r="H269" s="111" t="s">
        <v>1634</v>
      </c>
      <c r="I269" s="116" t="s">
        <v>1634</v>
      </c>
      <c r="J269" s="113">
        <v>20500100611901</v>
      </c>
      <c r="K269" s="114" t="s">
        <v>89</v>
      </c>
      <c r="L269" s="115"/>
      <c r="M269" s="114">
        <v>90</v>
      </c>
      <c r="N269" s="116" t="s">
        <v>1635</v>
      </c>
      <c r="O269" s="117" t="s">
        <v>1636</v>
      </c>
      <c r="P269" s="116" t="s">
        <v>1637</v>
      </c>
      <c r="Q269" s="117" t="s">
        <v>1626</v>
      </c>
      <c r="R269" s="117" t="s">
        <v>1638</v>
      </c>
      <c r="S269" s="118" t="s">
        <v>1633</v>
      </c>
      <c r="T269" s="260">
        <v>87</v>
      </c>
      <c r="U269" s="163">
        <v>37</v>
      </c>
      <c r="V269" s="163">
        <v>0</v>
      </c>
      <c r="W269" s="241" t="s">
        <v>2869</v>
      </c>
      <c r="X269" s="241" t="s">
        <v>2868</v>
      </c>
      <c r="Y269" s="261">
        <v>124</v>
      </c>
      <c r="Z269" s="260">
        <v>0</v>
      </c>
      <c r="AA269" s="163">
        <v>0</v>
      </c>
      <c r="AB269" s="163">
        <v>0</v>
      </c>
      <c r="AC269" s="241"/>
      <c r="AD269" s="241"/>
      <c r="AE269" s="261">
        <v>0</v>
      </c>
      <c r="AF269" s="262">
        <f t="shared" si="6"/>
        <v>124</v>
      </c>
      <c r="AG269" s="113"/>
      <c r="AH269" s="167"/>
    </row>
    <row r="270" spans="1:34" s="18" customFormat="1" ht="28.8" hidden="1">
      <c r="A270" s="53">
        <v>2078</v>
      </c>
      <c r="B270" s="54" t="s">
        <v>2868</v>
      </c>
      <c r="C270" s="54" t="s">
        <v>2868</v>
      </c>
      <c r="D270" s="54" t="s">
        <v>2869</v>
      </c>
      <c r="E270" s="53">
        <v>2</v>
      </c>
      <c r="F270" s="110">
        <v>3</v>
      </c>
      <c r="G270" s="56">
        <v>78</v>
      </c>
      <c r="H270" s="111" t="s">
        <v>1639</v>
      </c>
      <c r="I270" s="116" t="s">
        <v>1639</v>
      </c>
      <c r="J270" s="113">
        <v>20500100622401</v>
      </c>
      <c r="K270" s="114" t="s">
        <v>89</v>
      </c>
      <c r="L270" s="115"/>
      <c r="M270" s="114">
        <v>90</v>
      </c>
      <c r="N270" s="116" t="s">
        <v>1640</v>
      </c>
      <c r="O270" s="117" t="s">
        <v>1641</v>
      </c>
      <c r="P270" s="116">
        <v>5669390</v>
      </c>
      <c r="Q270" s="117" t="s">
        <v>1642</v>
      </c>
      <c r="R270" s="117" t="s">
        <v>1643</v>
      </c>
      <c r="S270" s="118" t="s">
        <v>1644</v>
      </c>
      <c r="T270" s="260">
        <v>70</v>
      </c>
      <c r="U270" s="163">
        <v>34</v>
      </c>
      <c r="V270" s="163">
        <v>0</v>
      </c>
      <c r="W270" s="241" t="s">
        <v>2869</v>
      </c>
      <c r="X270" s="241" t="s">
        <v>2868</v>
      </c>
      <c r="Y270" s="261">
        <v>104</v>
      </c>
      <c r="Z270" s="260">
        <v>0</v>
      </c>
      <c r="AA270" s="163">
        <v>0</v>
      </c>
      <c r="AB270" s="163">
        <v>0</v>
      </c>
      <c r="AC270" s="241"/>
      <c r="AD270" s="241"/>
      <c r="AE270" s="261">
        <v>0</v>
      </c>
      <c r="AF270" s="262">
        <f t="shared" si="6"/>
        <v>104</v>
      </c>
      <c r="AG270" s="113"/>
      <c r="AH270" s="167"/>
    </row>
    <row r="271" spans="1:34" s="18" customFormat="1" ht="28.8" hidden="1">
      <c r="A271" s="53">
        <v>2079</v>
      </c>
      <c r="B271" s="54" t="s">
        <v>2868</v>
      </c>
      <c r="C271" s="54" t="s">
        <v>2868</v>
      </c>
      <c r="D271" s="54" t="s">
        <v>2869</v>
      </c>
      <c r="E271" s="53">
        <v>2</v>
      </c>
      <c r="F271" s="110">
        <v>3</v>
      </c>
      <c r="G271" s="56">
        <v>79</v>
      </c>
      <c r="H271" s="111" t="s">
        <v>1645</v>
      </c>
      <c r="I271" s="116" t="s">
        <v>1645</v>
      </c>
      <c r="J271" s="113">
        <v>30500102251801</v>
      </c>
      <c r="K271" s="114" t="s">
        <v>167</v>
      </c>
      <c r="L271" s="115"/>
      <c r="M271" s="114">
        <v>10</v>
      </c>
      <c r="N271" s="116" t="s">
        <v>1565</v>
      </c>
      <c r="O271" s="117" t="s">
        <v>1646</v>
      </c>
      <c r="P271" s="116" t="s">
        <v>1647</v>
      </c>
      <c r="Q271" s="117" t="s">
        <v>1648</v>
      </c>
      <c r="R271" s="117"/>
      <c r="S271" s="118"/>
      <c r="T271" s="260">
        <v>30</v>
      </c>
      <c r="U271" s="163">
        <v>90</v>
      </c>
      <c r="V271" s="163">
        <v>0</v>
      </c>
      <c r="W271" s="241" t="s">
        <v>2869</v>
      </c>
      <c r="X271" s="241" t="s">
        <v>2868</v>
      </c>
      <c r="Y271" s="261">
        <v>120</v>
      </c>
      <c r="Z271" s="260">
        <v>0</v>
      </c>
      <c r="AA271" s="163">
        <v>0</v>
      </c>
      <c r="AB271" s="163">
        <v>0</v>
      </c>
      <c r="AC271" s="241"/>
      <c r="AD271" s="241"/>
      <c r="AE271" s="261">
        <v>0</v>
      </c>
      <c r="AF271" s="262">
        <f t="shared" si="6"/>
        <v>120</v>
      </c>
      <c r="AG271" s="113"/>
      <c r="AH271" s="167"/>
    </row>
    <row r="272" spans="1:34" s="18" customFormat="1" ht="28.8" hidden="1">
      <c r="A272" s="53">
        <v>2080</v>
      </c>
      <c r="B272" s="54" t="s">
        <v>2868</v>
      </c>
      <c r="C272" s="54" t="s">
        <v>2868</v>
      </c>
      <c r="D272" s="54" t="s">
        <v>2870</v>
      </c>
      <c r="E272" s="53">
        <v>2</v>
      </c>
      <c r="F272" s="110">
        <v>4</v>
      </c>
      <c r="G272" s="56">
        <v>80</v>
      </c>
      <c r="H272" s="111" t="s">
        <v>1649</v>
      </c>
      <c r="I272" s="112" t="s">
        <v>1649</v>
      </c>
      <c r="J272" s="113">
        <v>10500100211901</v>
      </c>
      <c r="K272" s="114" t="s">
        <v>89</v>
      </c>
      <c r="L272" s="115" t="s">
        <v>63</v>
      </c>
      <c r="M272" s="114">
        <v>11</v>
      </c>
      <c r="N272" s="116" t="s">
        <v>1650</v>
      </c>
      <c r="O272" s="117" t="s">
        <v>1651</v>
      </c>
      <c r="P272" s="116" t="s">
        <v>1652</v>
      </c>
      <c r="Q272" s="117" t="s">
        <v>1653</v>
      </c>
      <c r="R272" s="117" t="s">
        <v>1654</v>
      </c>
      <c r="S272" s="118" t="s">
        <v>1655</v>
      </c>
      <c r="T272" s="260">
        <v>0</v>
      </c>
      <c r="U272" s="163">
        <v>250</v>
      </c>
      <c r="V272" s="163">
        <v>200</v>
      </c>
      <c r="W272" s="241" t="s">
        <v>2869</v>
      </c>
      <c r="X272" s="241" t="s">
        <v>2868</v>
      </c>
      <c r="Y272" s="261">
        <v>450</v>
      </c>
      <c r="Z272" s="260">
        <v>0</v>
      </c>
      <c r="AA272" s="163">
        <v>200</v>
      </c>
      <c r="AB272" s="163">
        <v>100</v>
      </c>
      <c r="AC272" s="241" t="s">
        <v>2866</v>
      </c>
      <c r="AD272" s="241" t="s">
        <v>2868</v>
      </c>
      <c r="AE272" s="261">
        <v>300</v>
      </c>
      <c r="AF272" s="262">
        <f t="shared" si="6"/>
        <v>750</v>
      </c>
      <c r="AG272" s="113"/>
      <c r="AH272" s="167"/>
    </row>
    <row r="273" spans="1:34" s="18" customFormat="1" ht="28.8" hidden="1">
      <c r="A273" s="53">
        <v>2081</v>
      </c>
      <c r="B273" s="54" t="s">
        <v>2868</v>
      </c>
      <c r="C273" s="54" t="s">
        <v>2868</v>
      </c>
      <c r="D273" s="54" t="s">
        <v>2869</v>
      </c>
      <c r="E273" s="53">
        <v>2</v>
      </c>
      <c r="F273" s="110">
        <v>4</v>
      </c>
      <c r="G273" s="56">
        <v>81</v>
      </c>
      <c r="H273" s="111" t="s">
        <v>1656</v>
      </c>
      <c r="I273" s="112" t="s">
        <v>1657</v>
      </c>
      <c r="J273" s="113">
        <v>10500100125201</v>
      </c>
      <c r="K273" s="114" t="s">
        <v>89</v>
      </c>
      <c r="L273" s="115" t="s">
        <v>63</v>
      </c>
      <c r="M273" s="114">
        <v>12</v>
      </c>
      <c r="N273" s="116" t="s">
        <v>1013</v>
      </c>
      <c r="O273" s="117" t="s">
        <v>1658</v>
      </c>
      <c r="P273" s="116" t="s">
        <v>1659</v>
      </c>
      <c r="Q273" s="117" t="s">
        <v>1660</v>
      </c>
      <c r="R273" s="117" t="s">
        <v>1661</v>
      </c>
      <c r="S273" s="118" t="s">
        <v>1662</v>
      </c>
      <c r="T273" s="260">
        <v>0</v>
      </c>
      <c r="U273" s="163">
        <v>8</v>
      </c>
      <c r="V273" s="163">
        <v>147</v>
      </c>
      <c r="W273" s="241" t="s">
        <v>2869</v>
      </c>
      <c r="X273" s="241" t="s">
        <v>2868</v>
      </c>
      <c r="Y273" s="261">
        <v>155</v>
      </c>
      <c r="Z273" s="260">
        <v>0</v>
      </c>
      <c r="AA273" s="163">
        <v>0</v>
      </c>
      <c r="AB273" s="163">
        <v>0</v>
      </c>
      <c r="AC273" s="241"/>
      <c r="AD273" s="241"/>
      <c r="AE273" s="261">
        <v>0</v>
      </c>
      <c r="AF273" s="262">
        <f t="shared" si="6"/>
        <v>155</v>
      </c>
      <c r="AG273" s="113"/>
      <c r="AH273" s="167"/>
    </row>
    <row r="274" spans="1:34" s="18" customFormat="1" ht="28.8" hidden="1">
      <c r="A274" s="53">
        <v>2082</v>
      </c>
      <c r="B274" s="54" t="s">
        <v>2868</v>
      </c>
      <c r="C274" s="54" t="s">
        <v>2868</v>
      </c>
      <c r="D274" s="54" t="s">
        <v>2869</v>
      </c>
      <c r="E274" s="53">
        <v>2</v>
      </c>
      <c r="F274" s="110">
        <v>4</v>
      </c>
      <c r="G274" s="56">
        <v>82</v>
      </c>
      <c r="H274" s="111" t="s">
        <v>1663</v>
      </c>
      <c r="I274" s="112" t="s">
        <v>1664</v>
      </c>
      <c r="J274" s="113">
        <v>10500100125201</v>
      </c>
      <c r="K274" s="114" t="s">
        <v>89</v>
      </c>
      <c r="L274" s="281"/>
      <c r="M274" s="114">
        <v>12</v>
      </c>
      <c r="N274" s="116"/>
      <c r="O274" s="117"/>
      <c r="P274" s="116"/>
      <c r="Q274" s="117"/>
      <c r="R274" s="117"/>
      <c r="S274" s="118"/>
      <c r="T274" s="260">
        <v>130</v>
      </c>
      <c r="U274" s="163">
        <v>0</v>
      </c>
      <c r="V274" s="163">
        <v>0</v>
      </c>
      <c r="W274" s="241" t="s">
        <v>2869</v>
      </c>
      <c r="X274" s="241" t="s">
        <v>2868</v>
      </c>
      <c r="Y274" s="261">
        <v>130</v>
      </c>
      <c r="Z274" s="260">
        <v>0</v>
      </c>
      <c r="AA274" s="163">
        <v>0</v>
      </c>
      <c r="AB274" s="163">
        <v>0</v>
      </c>
      <c r="AC274" s="241"/>
      <c r="AD274" s="241"/>
      <c r="AE274" s="261">
        <v>0</v>
      </c>
      <c r="AF274" s="262">
        <f t="shared" si="6"/>
        <v>130</v>
      </c>
      <c r="AG274" s="113"/>
      <c r="AH274" s="167"/>
    </row>
    <row r="275" spans="1:34" s="18" customFormat="1" ht="28.8" hidden="1">
      <c r="A275" s="53">
        <v>2083</v>
      </c>
      <c r="B275" s="54" t="s">
        <v>2868</v>
      </c>
      <c r="C275" s="54" t="s">
        <v>2868</v>
      </c>
      <c r="D275" s="54" t="s">
        <v>2869</v>
      </c>
      <c r="E275" s="53">
        <v>2</v>
      </c>
      <c r="F275" s="110">
        <v>4</v>
      </c>
      <c r="G275" s="56">
        <v>83</v>
      </c>
      <c r="H275" s="111" t="s">
        <v>1665</v>
      </c>
      <c r="I275" s="112" t="s">
        <v>1665</v>
      </c>
      <c r="J275" s="113">
        <v>10500100188104</v>
      </c>
      <c r="K275" s="114" t="s">
        <v>89</v>
      </c>
      <c r="L275" s="115" t="s">
        <v>63</v>
      </c>
      <c r="M275" s="114">
        <v>12</v>
      </c>
      <c r="N275" s="116" t="s">
        <v>994</v>
      </c>
      <c r="O275" s="117" t="s">
        <v>1666</v>
      </c>
      <c r="P275" s="116">
        <v>2520596</v>
      </c>
      <c r="Q275" s="117" t="s">
        <v>1667</v>
      </c>
      <c r="R275" s="117"/>
      <c r="S275" s="118" t="s">
        <v>1668</v>
      </c>
      <c r="T275" s="260">
        <v>270</v>
      </c>
      <c r="U275" s="163">
        <v>120</v>
      </c>
      <c r="V275" s="163">
        <v>0</v>
      </c>
      <c r="W275" s="241" t="s">
        <v>2869</v>
      </c>
      <c r="X275" s="241" t="s">
        <v>2868</v>
      </c>
      <c r="Y275" s="261">
        <v>390</v>
      </c>
      <c r="Z275" s="260">
        <v>0</v>
      </c>
      <c r="AA275" s="163">
        <v>0</v>
      </c>
      <c r="AB275" s="163">
        <v>0</v>
      </c>
      <c r="AC275" s="241"/>
      <c r="AD275" s="241"/>
      <c r="AE275" s="261">
        <v>0</v>
      </c>
      <c r="AF275" s="262">
        <f t="shared" si="6"/>
        <v>390</v>
      </c>
      <c r="AG275" s="113"/>
      <c r="AH275" s="167"/>
    </row>
    <row r="276" spans="1:34" s="18" customFormat="1" ht="28.8" hidden="1">
      <c r="A276" s="53">
        <v>2084</v>
      </c>
      <c r="B276" s="54" t="s">
        <v>2868</v>
      </c>
      <c r="C276" s="54" t="s">
        <v>2868</v>
      </c>
      <c r="D276" s="54" t="s">
        <v>2870</v>
      </c>
      <c r="E276" s="53">
        <v>2</v>
      </c>
      <c r="F276" s="110">
        <v>4</v>
      </c>
      <c r="G276" s="56">
        <v>84</v>
      </c>
      <c r="H276" s="111" t="s">
        <v>1669</v>
      </c>
      <c r="I276" s="112" t="s">
        <v>1669</v>
      </c>
      <c r="J276" s="113">
        <v>10500102119901</v>
      </c>
      <c r="K276" s="114" t="s">
        <v>89</v>
      </c>
      <c r="L276" s="115" t="s">
        <v>63</v>
      </c>
      <c r="M276" s="114">
        <v>13</v>
      </c>
      <c r="N276" s="116" t="s">
        <v>1050</v>
      </c>
      <c r="O276" s="117" t="s">
        <v>1670</v>
      </c>
      <c r="P276" s="116">
        <v>4929808</v>
      </c>
      <c r="Q276" s="117" t="s">
        <v>1671</v>
      </c>
      <c r="R276" s="117" t="s">
        <v>1672</v>
      </c>
      <c r="S276" s="118" t="s">
        <v>1673</v>
      </c>
      <c r="T276" s="260">
        <v>0</v>
      </c>
      <c r="U276" s="163">
        <v>136</v>
      </c>
      <c r="V276" s="163">
        <v>294</v>
      </c>
      <c r="W276" s="241" t="s">
        <v>2869</v>
      </c>
      <c r="X276" s="241" t="s">
        <v>2868</v>
      </c>
      <c r="Y276" s="261">
        <v>430</v>
      </c>
      <c r="Z276" s="260">
        <v>0</v>
      </c>
      <c r="AA276" s="163">
        <v>224</v>
      </c>
      <c r="AB276" s="163">
        <v>20</v>
      </c>
      <c r="AC276" s="241" t="s">
        <v>2866</v>
      </c>
      <c r="AD276" s="241" t="s">
        <v>2868</v>
      </c>
      <c r="AE276" s="261">
        <v>244</v>
      </c>
      <c r="AF276" s="262">
        <f t="shared" si="6"/>
        <v>674</v>
      </c>
      <c r="AG276" s="113" t="s">
        <v>140</v>
      </c>
      <c r="AH276" s="380"/>
    </row>
    <row r="277" spans="1:34" s="18" customFormat="1" ht="28.8" hidden="1">
      <c r="A277" s="53">
        <v>2085</v>
      </c>
      <c r="B277" s="54" t="s">
        <v>2868</v>
      </c>
      <c r="C277" s="54" t="s">
        <v>2868</v>
      </c>
      <c r="D277" s="54" t="s">
        <v>2869</v>
      </c>
      <c r="E277" s="53">
        <v>2</v>
      </c>
      <c r="F277" s="110">
        <v>4</v>
      </c>
      <c r="G277" s="56">
        <v>85</v>
      </c>
      <c r="H277" s="111" t="s">
        <v>1674</v>
      </c>
      <c r="I277" s="112" t="s">
        <v>1675</v>
      </c>
      <c r="J277" s="113">
        <v>20500100773501</v>
      </c>
      <c r="K277" s="114" t="s">
        <v>89</v>
      </c>
      <c r="L277" s="115" t="s">
        <v>63</v>
      </c>
      <c r="M277" s="114">
        <v>50</v>
      </c>
      <c r="N277" s="116" t="s">
        <v>1676</v>
      </c>
      <c r="O277" s="117" t="s">
        <v>1677</v>
      </c>
      <c r="P277" s="116" t="s">
        <v>1678</v>
      </c>
      <c r="Q277" s="117" t="s">
        <v>1679</v>
      </c>
      <c r="R277" s="117" t="s">
        <v>1680</v>
      </c>
      <c r="S277" s="118" t="s">
        <v>1681</v>
      </c>
      <c r="T277" s="260">
        <v>0</v>
      </c>
      <c r="U277" s="163">
        <v>135</v>
      </c>
      <c r="V277" s="163">
        <v>30</v>
      </c>
      <c r="W277" s="241" t="s">
        <v>2869</v>
      </c>
      <c r="X277" s="241" t="s">
        <v>2868</v>
      </c>
      <c r="Y277" s="261">
        <v>165</v>
      </c>
      <c r="Z277" s="260">
        <v>0</v>
      </c>
      <c r="AA277" s="163">
        <v>0</v>
      </c>
      <c r="AB277" s="163">
        <v>0</v>
      </c>
      <c r="AC277" s="241"/>
      <c r="AD277" s="241"/>
      <c r="AE277" s="261">
        <v>0</v>
      </c>
      <c r="AF277" s="262">
        <f t="shared" si="6"/>
        <v>165</v>
      </c>
      <c r="AG277" s="113"/>
      <c r="AH277" s="167"/>
    </row>
    <row r="278" spans="1:34" s="18" customFormat="1" ht="28.8" hidden="1">
      <c r="A278" s="53">
        <v>2086</v>
      </c>
      <c r="B278" s="54" t="s">
        <v>2868</v>
      </c>
      <c r="C278" s="54" t="s">
        <v>2868</v>
      </c>
      <c r="D278" s="54" t="s">
        <v>2869</v>
      </c>
      <c r="E278" s="53">
        <v>2</v>
      </c>
      <c r="F278" s="110">
        <v>4</v>
      </c>
      <c r="G278" s="56">
        <v>86</v>
      </c>
      <c r="H278" s="111" t="s">
        <v>1674</v>
      </c>
      <c r="I278" s="112" t="s">
        <v>1674</v>
      </c>
      <c r="J278" s="113">
        <v>20500100773502</v>
      </c>
      <c r="K278" s="114" t="s">
        <v>89</v>
      </c>
      <c r="L278" s="115" t="s">
        <v>63</v>
      </c>
      <c r="M278" s="114">
        <v>50</v>
      </c>
      <c r="N278" s="116" t="s">
        <v>1676</v>
      </c>
      <c r="O278" s="117" t="s">
        <v>1677</v>
      </c>
      <c r="P278" s="116" t="s">
        <v>1678</v>
      </c>
      <c r="Q278" s="117" t="s">
        <v>1679</v>
      </c>
      <c r="R278" s="117" t="s">
        <v>1680</v>
      </c>
      <c r="S278" s="118" t="s">
        <v>1681</v>
      </c>
      <c r="T278" s="260">
        <v>85</v>
      </c>
      <c r="U278" s="163">
        <v>54</v>
      </c>
      <c r="V278" s="163">
        <v>0</v>
      </c>
      <c r="W278" s="241" t="s">
        <v>2869</v>
      </c>
      <c r="X278" s="241" t="s">
        <v>2868</v>
      </c>
      <c r="Y278" s="261">
        <v>139</v>
      </c>
      <c r="Z278" s="260">
        <v>0</v>
      </c>
      <c r="AA278" s="163">
        <v>0</v>
      </c>
      <c r="AB278" s="163">
        <v>0</v>
      </c>
      <c r="AC278" s="241"/>
      <c r="AD278" s="241"/>
      <c r="AE278" s="261">
        <v>0</v>
      </c>
      <c r="AF278" s="262">
        <f t="shared" si="6"/>
        <v>139</v>
      </c>
      <c r="AG278" s="113"/>
      <c r="AH278" s="167"/>
    </row>
    <row r="279" spans="1:34" s="18" customFormat="1" ht="28.8" hidden="1">
      <c r="A279" s="53">
        <v>2087</v>
      </c>
      <c r="B279" s="54" t="s">
        <v>2868</v>
      </c>
      <c r="C279" s="54" t="s">
        <v>2868</v>
      </c>
      <c r="D279" s="54" t="s">
        <v>2869</v>
      </c>
      <c r="E279" s="53">
        <v>2</v>
      </c>
      <c r="F279" s="110">
        <v>4</v>
      </c>
      <c r="G279" s="56">
        <v>87</v>
      </c>
      <c r="H279" s="111" t="s">
        <v>1682</v>
      </c>
      <c r="I279" s="112" t="s">
        <v>1683</v>
      </c>
      <c r="J279" s="113">
        <v>20500100196602</v>
      </c>
      <c r="K279" s="114" t="s">
        <v>89</v>
      </c>
      <c r="L279" s="115"/>
      <c r="M279" s="114">
        <v>50</v>
      </c>
      <c r="N279" s="116" t="s">
        <v>1684</v>
      </c>
      <c r="O279" s="117" t="s">
        <v>1685</v>
      </c>
      <c r="P279" s="116" t="s">
        <v>1686</v>
      </c>
      <c r="Q279" s="117" t="s">
        <v>1687</v>
      </c>
      <c r="R279" s="117" t="s">
        <v>1688</v>
      </c>
      <c r="S279" s="118" t="s">
        <v>1689</v>
      </c>
      <c r="T279" s="260">
        <v>10</v>
      </c>
      <c r="U279" s="163">
        <v>6</v>
      </c>
      <c r="V279" s="163">
        <v>0</v>
      </c>
      <c r="W279" s="241" t="s">
        <v>2869</v>
      </c>
      <c r="X279" s="241" t="s">
        <v>2868</v>
      </c>
      <c r="Y279" s="261">
        <v>16</v>
      </c>
      <c r="Z279" s="260">
        <v>0</v>
      </c>
      <c r="AA279" s="163">
        <v>0</v>
      </c>
      <c r="AB279" s="163">
        <v>0</v>
      </c>
      <c r="AC279" s="241"/>
      <c r="AD279" s="241"/>
      <c r="AE279" s="261">
        <v>0</v>
      </c>
      <c r="AF279" s="262">
        <f t="shared" si="6"/>
        <v>16</v>
      </c>
      <c r="AG279" s="113"/>
      <c r="AH279" s="167"/>
    </row>
    <row r="280" spans="1:34" s="18" customFormat="1" ht="28.8" hidden="1">
      <c r="A280" s="53">
        <v>2088</v>
      </c>
      <c r="B280" s="54" t="s">
        <v>2868</v>
      </c>
      <c r="C280" s="54" t="s">
        <v>2868</v>
      </c>
      <c r="D280" s="54" t="s">
        <v>2869</v>
      </c>
      <c r="E280" s="53">
        <v>2</v>
      </c>
      <c r="F280" s="110">
        <v>4</v>
      </c>
      <c r="G280" s="56">
        <v>88</v>
      </c>
      <c r="H280" s="111" t="s">
        <v>1690</v>
      </c>
      <c r="I280" s="112" t="s">
        <v>1690</v>
      </c>
      <c r="J280" s="113">
        <v>20500100196603</v>
      </c>
      <c r="K280" s="114" t="s">
        <v>89</v>
      </c>
      <c r="L280" s="115"/>
      <c r="M280" s="114">
        <v>50</v>
      </c>
      <c r="N280" s="116" t="s">
        <v>1684</v>
      </c>
      <c r="O280" s="117" t="s">
        <v>1691</v>
      </c>
      <c r="P280" s="116">
        <v>4463248</v>
      </c>
      <c r="Q280" s="117" t="s">
        <v>1687</v>
      </c>
      <c r="R280" s="117" t="s">
        <v>1692</v>
      </c>
      <c r="S280" s="118" t="s">
        <v>1693</v>
      </c>
      <c r="T280" s="260">
        <v>12</v>
      </c>
      <c r="U280" s="163">
        <v>5</v>
      </c>
      <c r="V280" s="163">
        <v>0</v>
      </c>
      <c r="W280" s="241" t="s">
        <v>2869</v>
      </c>
      <c r="X280" s="241" t="s">
        <v>2868</v>
      </c>
      <c r="Y280" s="261">
        <v>17</v>
      </c>
      <c r="Z280" s="260">
        <v>0</v>
      </c>
      <c r="AA280" s="163">
        <v>0</v>
      </c>
      <c r="AB280" s="163">
        <v>0</v>
      </c>
      <c r="AC280" s="241"/>
      <c r="AD280" s="241"/>
      <c r="AE280" s="261">
        <v>0</v>
      </c>
      <c r="AF280" s="262">
        <f t="shared" si="6"/>
        <v>17</v>
      </c>
      <c r="AG280" s="113"/>
      <c r="AH280" s="167"/>
    </row>
    <row r="281" spans="1:34" s="18" customFormat="1" ht="57.6">
      <c r="A281" s="53">
        <v>2089</v>
      </c>
      <c r="B281" s="54" t="s">
        <v>2868</v>
      </c>
      <c r="C281" s="54" t="s">
        <v>2868</v>
      </c>
      <c r="D281" s="54" t="s">
        <v>2869</v>
      </c>
      <c r="E281" s="53">
        <v>2</v>
      </c>
      <c r="F281" s="282">
        <v>4</v>
      </c>
      <c r="G281" s="70">
        <v>89</v>
      </c>
      <c r="H281" s="111" t="s">
        <v>1682</v>
      </c>
      <c r="I281" s="283" t="s">
        <v>1682</v>
      </c>
      <c r="J281" s="284">
        <v>20500100196605</v>
      </c>
      <c r="K281" s="285" t="s">
        <v>89</v>
      </c>
      <c r="L281" s="115"/>
      <c r="M281" s="285">
        <v>50</v>
      </c>
      <c r="N281" s="286" t="s">
        <v>1684</v>
      </c>
      <c r="O281" s="287" t="s">
        <v>1694</v>
      </c>
      <c r="P281" s="286">
        <v>4463712</v>
      </c>
      <c r="Q281" s="287" t="s">
        <v>1687</v>
      </c>
      <c r="R281" s="287" t="s">
        <v>1695</v>
      </c>
      <c r="S281" s="288" t="s">
        <v>1696</v>
      </c>
      <c r="T281" s="289">
        <v>18</v>
      </c>
      <c r="U281" s="290">
        <v>5</v>
      </c>
      <c r="V281" s="290">
        <v>0</v>
      </c>
      <c r="W281" s="241" t="s">
        <v>2869</v>
      </c>
      <c r="X281" s="241" t="s">
        <v>2868</v>
      </c>
      <c r="Y281" s="291">
        <v>23</v>
      </c>
      <c r="Z281" s="289">
        <v>0</v>
      </c>
      <c r="AA281" s="290">
        <v>0</v>
      </c>
      <c r="AB281" s="290">
        <v>0</v>
      </c>
      <c r="AC281" s="241"/>
      <c r="AD281" s="241"/>
      <c r="AE281" s="291">
        <v>0</v>
      </c>
      <c r="AF281" s="292">
        <f t="shared" si="6"/>
        <v>23</v>
      </c>
      <c r="AG281" s="284"/>
      <c r="AH281" s="381" t="s">
        <v>1697</v>
      </c>
    </row>
    <row r="282" spans="1:34" s="18" customFormat="1" ht="43.2">
      <c r="A282" s="53">
        <v>2090</v>
      </c>
      <c r="B282" s="54" t="s">
        <v>2868</v>
      </c>
      <c r="C282" s="54" t="s">
        <v>2868</v>
      </c>
      <c r="D282" s="54" t="s">
        <v>2869</v>
      </c>
      <c r="E282" s="53">
        <v>2</v>
      </c>
      <c r="F282" s="282">
        <v>4</v>
      </c>
      <c r="G282" s="70">
        <v>90</v>
      </c>
      <c r="H282" s="111" t="s">
        <v>1682</v>
      </c>
      <c r="I282" s="283" t="s">
        <v>1698</v>
      </c>
      <c r="J282" s="284">
        <v>30500102560601</v>
      </c>
      <c r="K282" s="285" t="s">
        <v>89</v>
      </c>
      <c r="L282" s="115"/>
      <c r="M282" s="285">
        <v>50</v>
      </c>
      <c r="N282" s="286" t="s">
        <v>1684</v>
      </c>
      <c r="O282" s="287" t="s">
        <v>1694</v>
      </c>
      <c r="P282" s="286">
        <v>4463712</v>
      </c>
      <c r="Q282" s="287" t="s">
        <v>1687</v>
      </c>
      <c r="R282" s="287" t="s">
        <v>1695</v>
      </c>
      <c r="S282" s="288" t="s">
        <v>1696</v>
      </c>
      <c r="T282" s="289">
        <v>0</v>
      </c>
      <c r="U282" s="290">
        <v>15</v>
      </c>
      <c r="V282" s="290">
        <v>15</v>
      </c>
      <c r="W282" s="241" t="s">
        <v>2869</v>
      </c>
      <c r="X282" s="241" t="s">
        <v>2868</v>
      </c>
      <c r="Y282" s="291">
        <v>30</v>
      </c>
      <c r="Z282" s="289">
        <v>0</v>
      </c>
      <c r="AA282" s="290">
        <v>0</v>
      </c>
      <c r="AB282" s="290">
        <v>0</v>
      </c>
      <c r="AC282" s="241"/>
      <c r="AD282" s="241"/>
      <c r="AE282" s="291">
        <v>0</v>
      </c>
      <c r="AF282" s="292">
        <f t="shared" si="6"/>
        <v>30</v>
      </c>
      <c r="AG282" s="284"/>
      <c r="AH282" s="381" t="s">
        <v>1699</v>
      </c>
    </row>
    <row r="283" spans="1:34" s="18" customFormat="1" ht="57" hidden="1">
      <c r="A283" s="53">
        <v>2091</v>
      </c>
      <c r="B283" s="54" t="s">
        <v>2868</v>
      </c>
      <c r="C283" s="54" t="s">
        <v>2868</v>
      </c>
      <c r="D283" s="54" t="s">
        <v>2869</v>
      </c>
      <c r="E283" s="53">
        <v>2</v>
      </c>
      <c r="F283" s="282">
        <v>4</v>
      </c>
      <c r="G283" s="70">
        <v>91</v>
      </c>
      <c r="H283" s="111" t="s">
        <v>1700</v>
      </c>
      <c r="I283" s="286" t="s">
        <v>1700</v>
      </c>
      <c r="J283" s="286">
        <v>20500100196601</v>
      </c>
      <c r="K283" s="285" t="s">
        <v>89</v>
      </c>
      <c r="L283" s="115"/>
      <c r="M283" s="285">
        <v>50</v>
      </c>
      <c r="N283" s="286" t="s">
        <v>1684</v>
      </c>
      <c r="O283" s="286" t="s">
        <v>1701</v>
      </c>
      <c r="P283" s="286">
        <v>3870129</v>
      </c>
      <c r="Q283" s="286" t="s">
        <v>1687</v>
      </c>
      <c r="R283" s="285" t="s">
        <v>1702</v>
      </c>
      <c r="S283" s="286" t="s">
        <v>1689</v>
      </c>
      <c r="T283" s="285">
        <v>48</v>
      </c>
      <c r="U283" s="285">
        <v>18</v>
      </c>
      <c r="V283" s="285">
        <v>0</v>
      </c>
      <c r="W283" s="241" t="s">
        <v>2869</v>
      </c>
      <c r="X283" s="241" t="s">
        <v>2868</v>
      </c>
      <c r="Y283" s="285">
        <v>66</v>
      </c>
      <c r="Z283" s="285">
        <v>0</v>
      </c>
      <c r="AA283" s="285">
        <v>0</v>
      </c>
      <c r="AB283" s="285">
        <v>0</v>
      </c>
      <c r="AC283" s="241"/>
      <c r="AD283" s="241"/>
      <c r="AE283" s="285">
        <v>0</v>
      </c>
      <c r="AF283" s="285">
        <f t="shared" si="6"/>
        <v>66</v>
      </c>
      <c r="AG283" s="285" t="s">
        <v>140</v>
      </c>
      <c r="AH283" s="382" t="s">
        <v>1703</v>
      </c>
    </row>
    <row r="284" spans="1:34" s="18" customFormat="1" ht="28.8" hidden="1">
      <c r="A284" s="53">
        <v>2092</v>
      </c>
      <c r="B284" s="54" t="s">
        <v>2868</v>
      </c>
      <c r="C284" s="54" t="s">
        <v>2868</v>
      </c>
      <c r="D284" s="54" t="s">
        <v>2869</v>
      </c>
      <c r="E284" s="53">
        <v>2</v>
      </c>
      <c r="F284" s="110">
        <v>4</v>
      </c>
      <c r="G284" s="56">
        <v>92</v>
      </c>
      <c r="H284" s="111" t="s">
        <v>1704</v>
      </c>
      <c r="I284" s="112" t="s">
        <v>1704</v>
      </c>
      <c r="J284" s="113">
        <v>20500100196607</v>
      </c>
      <c r="K284" s="114" t="s">
        <v>89</v>
      </c>
      <c r="L284" s="115"/>
      <c r="M284" s="114">
        <v>50</v>
      </c>
      <c r="N284" s="116" t="s">
        <v>1684</v>
      </c>
      <c r="O284" s="117" t="s">
        <v>1705</v>
      </c>
      <c r="P284" s="116">
        <v>3870825</v>
      </c>
      <c r="Q284" s="117" t="s">
        <v>1687</v>
      </c>
      <c r="R284" s="117" t="s">
        <v>1706</v>
      </c>
      <c r="S284" s="118" t="s">
        <v>1689</v>
      </c>
      <c r="T284" s="260">
        <v>10</v>
      </c>
      <c r="U284" s="163">
        <v>6</v>
      </c>
      <c r="V284" s="163">
        <v>0</v>
      </c>
      <c r="W284" s="241" t="s">
        <v>2869</v>
      </c>
      <c r="X284" s="241" t="s">
        <v>2868</v>
      </c>
      <c r="Y284" s="261">
        <v>16</v>
      </c>
      <c r="Z284" s="260">
        <v>0</v>
      </c>
      <c r="AA284" s="163">
        <v>0</v>
      </c>
      <c r="AB284" s="163">
        <v>0</v>
      </c>
      <c r="AC284" s="241"/>
      <c r="AD284" s="241"/>
      <c r="AE284" s="261">
        <v>0</v>
      </c>
      <c r="AF284" s="262">
        <f t="shared" si="6"/>
        <v>16</v>
      </c>
      <c r="AG284" s="113"/>
      <c r="AH284" s="167"/>
    </row>
    <row r="285" spans="1:34" s="18" customFormat="1" ht="28.8" hidden="1">
      <c r="A285" s="53">
        <v>2093</v>
      </c>
      <c r="B285" s="54" t="s">
        <v>2868</v>
      </c>
      <c r="C285" s="54" t="s">
        <v>2868</v>
      </c>
      <c r="D285" s="54" t="s">
        <v>2869</v>
      </c>
      <c r="E285" s="53">
        <v>2</v>
      </c>
      <c r="F285" s="110">
        <v>4</v>
      </c>
      <c r="G285" s="56">
        <v>93</v>
      </c>
      <c r="H285" s="111" t="s">
        <v>1707</v>
      </c>
      <c r="I285" s="112" t="s">
        <v>1707</v>
      </c>
      <c r="J285" s="113">
        <v>20500100196606</v>
      </c>
      <c r="K285" s="114" t="s">
        <v>89</v>
      </c>
      <c r="L285" s="115"/>
      <c r="M285" s="114">
        <v>50</v>
      </c>
      <c r="N285" s="116" t="s">
        <v>1684</v>
      </c>
      <c r="O285" s="117" t="s">
        <v>1708</v>
      </c>
      <c r="P285" s="116">
        <v>3871105</v>
      </c>
      <c r="Q285" s="117" t="s">
        <v>1687</v>
      </c>
      <c r="R285" s="117" t="s">
        <v>1709</v>
      </c>
      <c r="S285" s="118" t="s">
        <v>1689</v>
      </c>
      <c r="T285" s="260">
        <v>12</v>
      </c>
      <c r="U285" s="163">
        <v>6</v>
      </c>
      <c r="V285" s="163">
        <v>0</v>
      </c>
      <c r="W285" s="241" t="s">
        <v>2869</v>
      </c>
      <c r="X285" s="241" t="s">
        <v>2868</v>
      </c>
      <c r="Y285" s="261">
        <v>18</v>
      </c>
      <c r="Z285" s="260">
        <v>0</v>
      </c>
      <c r="AA285" s="163">
        <v>0</v>
      </c>
      <c r="AB285" s="163">
        <v>0</v>
      </c>
      <c r="AC285" s="241"/>
      <c r="AD285" s="241"/>
      <c r="AE285" s="261">
        <v>0</v>
      </c>
      <c r="AF285" s="262">
        <f t="shared" si="6"/>
        <v>18</v>
      </c>
      <c r="AG285" s="113"/>
      <c r="AH285" s="167"/>
    </row>
    <row r="286" spans="1:34" s="18" customFormat="1" ht="28.8" hidden="1">
      <c r="A286" s="53">
        <v>2094</v>
      </c>
      <c r="B286" s="54" t="s">
        <v>2868</v>
      </c>
      <c r="C286" s="54" t="s">
        <v>2868</v>
      </c>
      <c r="D286" s="54" t="s">
        <v>2869</v>
      </c>
      <c r="E286" s="53">
        <v>2</v>
      </c>
      <c r="F286" s="110">
        <v>4</v>
      </c>
      <c r="G286" s="56">
        <v>94</v>
      </c>
      <c r="H286" s="111" t="s">
        <v>1710</v>
      </c>
      <c r="I286" s="112" t="s">
        <v>1710</v>
      </c>
      <c r="J286" s="113">
        <v>20500100196604</v>
      </c>
      <c r="K286" s="114" t="s">
        <v>89</v>
      </c>
      <c r="L286" s="115"/>
      <c r="M286" s="114">
        <v>50</v>
      </c>
      <c r="N286" s="116" t="s">
        <v>1684</v>
      </c>
      <c r="O286" s="117" t="s">
        <v>1711</v>
      </c>
      <c r="P286" s="116">
        <v>4461379</v>
      </c>
      <c r="Q286" s="117" t="s">
        <v>1687</v>
      </c>
      <c r="R286" s="117" t="s">
        <v>1712</v>
      </c>
      <c r="S286" s="118" t="s">
        <v>1689</v>
      </c>
      <c r="T286" s="260">
        <v>10</v>
      </c>
      <c r="U286" s="163">
        <v>10</v>
      </c>
      <c r="V286" s="163">
        <v>0</v>
      </c>
      <c r="W286" s="241" t="s">
        <v>2869</v>
      </c>
      <c r="X286" s="241" t="s">
        <v>2868</v>
      </c>
      <c r="Y286" s="261">
        <v>20</v>
      </c>
      <c r="Z286" s="260">
        <v>0</v>
      </c>
      <c r="AA286" s="163">
        <v>0</v>
      </c>
      <c r="AB286" s="163">
        <v>0</v>
      </c>
      <c r="AC286" s="241"/>
      <c r="AD286" s="241"/>
      <c r="AE286" s="261">
        <v>0</v>
      </c>
      <c r="AF286" s="262">
        <f t="shared" si="6"/>
        <v>20</v>
      </c>
      <c r="AG286" s="113"/>
      <c r="AH286" s="167"/>
    </row>
    <row r="287" spans="1:34" s="18" customFormat="1" ht="28.8" hidden="1">
      <c r="A287" s="53">
        <v>2095</v>
      </c>
      <c r="B287" s="54" t="s">
        <v>2868</v>
      </c>
      <c r="C287" s="54" t="s">
        <v>2868</v>
      </c>
      <c r="D287" s="54" t="s">
        <v>2869</v>
      </c>
      <c r="E287" s="53">
        <v>2</v>
      </c>
      <c r="F287" s="110">
        <v>4</v>
      </c>
      <c r="G287" s="56">
        <v>95</v>
      </c>
      <c r="H287" s="111" t="s">
        <v>1713</v>
      </c>
      <c r="I287" s="112" t="s">
        <v>1713</v>
      </c>
      <c r="J287" s="113">
        <v>10500101363301</v>
      </c>
      <c r="K287" s="114" t="s">
        <v>89</v>
      </c>
      <c r="L287" s="115"/>
      <c r="M287" s="114">
        <v>60</v>
      </c>
      <c r="N287" s="116" t="s">
        <v>1105</v>
      </c>
      <c r="O287" s="117" t="s">
        <v>1714</v>
      </c>
      <c r="P287" s="116" t="s">
        <v>1715</v>
      </c>
      <c r="Q287" s="117" t="s">
        <v>1716</v>
      </c>
      <c r="R287" s="117" t="s">
        <v>1717</v>
      </c>
      <c r="S287" s="118" t="s">
        <v>1718</v>
      </c>
      <c r="T287" s="260">
        <v>122</v>
      </c>
      <c r="U287" s="163">
        <v>111</v>
      </c>
      <c r="V287" s="163">
        <v>27</v>
      </c>
      <c r="W287" s="241" t="s">
        <v>2869</v>
      </c>
      <c r="X287" s="241" t="s">
        <v>2868</v>
      </c>
      <c r="Y287" s="261">
        <v>260</v>
      </c>
      <c r="Z287" s="260">
        <v>0</v>
      </c>
      <c r="AA287" s="163">
        <v>0</v>
      </c>
      <c r="AB287" s="163">
        <v>0</v>
      </c>
      <c r="AC287" s="241"/>
      <c r="AD287" s="241"/>
      <c r="AE287" s="261">
        <v>0</v>
      </c>
      <c r="AF287" s="262">
        <f t="shared" si="6"/>
        <v>260</v>
      </c>
      <c r="AG287" s="113"/>
      <c r="AH287" s="167"/>
    </row>
    <row r="288" spans="1:34" s="18" customFormat="1" ht="28.8" hidden="1">
      <c r="A288" s="53">
        <v>2096</v>
      </c>
      <c r="B288" s="54" t="s">
        <v>2868</v>
      </c>
      <c r="C288" s="54" t="s">
        <v>2868</v>
      </c>
      <c r="D288" s="54" t="s">
        <v>2869</v>
      </c>
      <c r="E288" s="53">
        <v>2</v>
      </c>
      <c r="F288" s="110">
        <v>4</v>
      </c>
      <c r="G288" s="56">
        <v>96</v>
      </c>
      <c r="H288" s="111" t="s">
        <v>1719</v>
      </c>
      <c r="I288" s="112" t="s">
        <v>1719</v>
      </c>
      <c r="J288" s="113">
        <v>10500101363302</v>
      </c>
      <c r="K288" s="114" t="s">
        <v>89</v>
      </c>
      <c r="L288" s="115"/>
      <c r="M288" s="114">
        <v>60</v>
      </c>
      <c r="N288" s="116" t="s">
        <v>1105</v>
      </c>
      <c r="O288" s="117" t="s">
        <v>1720</v>
      </c>
      <c r="P288" s="116">
        <v>2530223</v>
      </c>
      <c r="Q288" s="117" t="s">
        <v>1716</v>
      </c>
      <c r="R288" s="117" t="s">
        <v>1721</v>
      </c>
      <c r="S288" s="118" t="s">
        <v>1722</v>
      </c>
      <c r="T288" s="260">
        <v>102</v>
      </c>
      <c r="U288" s="163">
        <v>138</v>
      </c>
      <c r="V288" s="163">
        <v>9</v>
      </c>
      <c r="W288" s="241" t="s">
        <v>2869</v>
      </c>
      <c r="X288" s="241" t="s">
        <v>2868</v>
      </c>
      <c r="Y288" s="261">
        <v>249</v>
      </c>
      <c r="Z288" s="260">
        <v>0</v>
      </c>
      <c r="AA288" s="163">
        <v>0</v>
      </c>
      <c r="AB288" s="163">
        <v>0</v>
      </c>
      <c r="AC288" s="241"/>
      <c r="AD288" s="241"/>
      <c r="AE288" s="261">
        <v>0</v>
      </c>
      <c r="AF288" s="262">
        <f t="shared" si="6"/>
        <v>249</v>
      </c>
      <c r="AG288" s="113"/>
      <c r="AH288" s="167"/>
    </row>
    <row r="289" spans="1:34" s="18" customFormat="1" ht="28.8" hidden="1">
      <c r="A289" s="53">
        <v>2097</v>
      </c>
      <c r="B289" s="54" t="s">
        <v>2868</v>
      </c>
      <c r="C289" s="54" t="s">
        <v>2868</v>
      </c>
      <c r="D289" s="54" t="s">
        <v>2869</v>
      </c>
      <c r="E289" s="53">
        <v>2</v>
      </c>
      <c r="F289" s="110">
        <v>4</v>
      </c>
      <c r="G289" s="56">
        <v>97</v>
      </c>
      <c r="H289" s="111" t="s">
        <v>1723</v>
      </c>
      <c r="I289" s="112" t="s">
        <v>1723</v>
      </c>
      <c r="J289" s="113">
        <v>20500100623201</v>
      </c>
      <c r="K289" s="114" t="s">
        <v>89</v>
      </c>
      <c r="L289" s="115"/>
      <c r="M289" s="114">
        <v>60</v>
      </c>
      <c r="N289" s="116" t="s">
        <v>1105</v>
      </c>
      <c r="O289" s="117" t="s">
        <v>1724</v>
      </c>
      <c r="P289" s="116" t="s">
        <v>1725</v>
      </c>
      <c r="Q289" s="117" t="s">
        <v>1726</v>
      </c>
      <c r="R289" s="117" t="s">
        <v>1727</v>
      </c>
      <c r="S289" s="118" t="s">
        <v>1728</v>
      </c>
      <c r="T289" s="260">
        <v>30</v>
      </c>
      <c r="U289" s="163">
        <v>140</v>
      </c>
      <c r="V289" s="163">
        <v>170</v>
      </c>
      <c r="W289" s="241" t="s">
        <v>2869</v>
      </c>
      <c r="X289" s="241" t="s">
        <v>2868</v>
      </c>
      <c r="Y289" s="261">
        <v>340</v>
      </c>
      <c r="Z289" s="260">
        <v>0</v>
      </c>
      <c r="AA289" s="163">
        <v>0</v>
      </c>
      <c r="AB289" s="163">
        <v>0</v>
      </c>
      <c r="AC289" s="241"/>
      <c r="AD289" s="241"/>
      <c r="AE289" s="261">
        <v>0</v>
      </c>
      <c r="AF289" s="262">
        <f t="shared" si="6"/>
        <v>340</v>
      </c>
      <c r="AG289" s="113" t="s">
        <v>140</v>
      </c>
      <c r="AH289" s="167"/>
    </row>
    <row r="290" spans="1:34" s="18" customFormat="1" ht="28.8" hidden="1">
      <c r="A290" s="53">
        <v>2098</v>
      </c>
      <c r="B290" s="54" t="s">
        <v>2868</v>
      </c>
      <c r="C290" s="54" t="s">
        <v>2868</v>
      </c>
      <c r="D290" s="54" t="s">
        <v>2869</v>
      </c>
      <c r="E290" s="53">
        <v>2</v>
      </c>
      <c r="F290" s="110">
        <v>4</v>
      </c>
      <c r="G290" s="56">
        <v>98</v>
      </c>
      <c r="H290" s="111" t="s">
        <v>1729</v>
      </c>
      <c r="I290" s="112" t="s">
        <v>1729</v>
      </c>
      <c r="J290" s="113">
        <v>20500101998901</v>
      </c>
      <c r="K290" s="114" t="s">
        <v>89</v>
      </c>
      <c r="L290" s="115"/>
      <c r="M290" s="114">
        <v>60</v>
      </c>
      <c r="N290" s="116" t="s">
        <v>1105</v>
      </c>
      <c r="O290" s="117" t="s">
        <v>1730</v>
      </c>
      <c r="P290" s="116">
        <v>4273766</v>
      </c>
      <c r="Q290" s="117" t="s">
        <v>1731</v>
      </c>
      <c r="R290" s="117" t="s">
        <v>1732</v>
      </c>
      <c r="S290" s="118" t="s">
        <v>1733</v>
      </c>
      <c r="T290" s="260">
        <v>130</v>
      </c>
      <c r="U290" s="163">
        <v>70</v>
      </c>
      <c r="V290" s="163">
        <v>0</v>
      </c>
      <c r="W290" s="241" t="s">
        <v>2869</v>
      </c>
      <c r="X290" s="241" t="s">
        <v>2868</v>
      </c>
      <c r="Y290" s="261">
        <v>200</v>
      </c>
      <c r="Z290" s="260">
        <v>0</v>
      </c>
      <c r="AA290" s="163">
        <v>0</v>
      </c>
      <c r="AB290" s="163">
        <v>0</v>
      </c>
      <c r="AC290" s="241"/>
      <c r="AD290" s="241"/>
      <c r="AE290" s="261">
        <v>0</v>
      </c>
      <c r="AF290" s="262">
        <f t="shared" si="6"/>
        <v>200</v>
      </c>
      <c r="AG290" s="113"/>
      <c r="AH290" s="167"/>
    </row>
    <row r="291" spans="1:34" s="18" customFormat="1" ht="28.8" hidden="1">
      <c r="A291" s="53">
        <v>2099</v>
      </c>
      <c r="B291" s="54" t="s">
        <v>2868</v>
      </c>
      <c r="C291" s="54" t="s">
        <v>2868</v>
      </c>
      <c r="D291" s="54" t="s">
        <v>2869</v>
      </c>
      <c r="E291" s="53">
        <v>2</v>
      </c>
      <c r="F291" s="110">
        <v>4</v>
      </c>
      <c r="G291" s="56">
        <v>99</v>
      </c>
      <c r="H291" s="111" t="s">
        <v>1734</v>
      </c>
      <c r="I291" s="112" t="s">
        <v>1734</v>
      </c>
      <c r="J291" s="113">
        <v>20500101998902</v>
      </c>
      <c r="K291" s="114" t="s">
        <v>89</v>
      </c>
      <c r="L291" s="115"/>
      <c r="M291" s="114">
        <v>60</v>
      </c>
      <c r="N291" s="116" t="s">
        <v>1105</v>
      </c>
      <c r="O291" s="117" t="s">
        <v>1735</v>
      </c>
      <c r="P291" s="116">
        <v>4271840</v>
      </c>
      <c r="Q291" s="117" t="s">
        <v>1731</v>
      </c>
      <c r="R291" s="117" t="s">
        <v>1736</v>
      </c>
      <c r="S291" s="118" t="s">
        <v>1737</v>
      </c>
      <c r="T291" s="260">
        <v>57</v>
      </c>
      <c r="U291" s="163">
        <v>39</v>
      </c>
      <c r="V291" s="163">
        <v>0</v>
      </c>
      <c r="W291" s="241" t="s">
        <v>2869</v>
      </c>
      <c r="X291" s="241" t="s">
        <v>2868</v>
      </c>
      <c r="Y291" s="261">
        <v>96</v>
      </c>
      <c r="Z291" s="260">
        <v>0</v>
      </c>
      <c r="AA291" s="163">
        <v>0</v>
      </c>
      <c r="AB291" s="163">
        <v>0</v>
      </c>
      <c r="AC291" s="241"/>
      <c r="AD291" s="241"/>
      <c r="AE291" s="261">
        <v>0</v>
      </c>
      <c r="AF291" s="262">
        <f t="shared" si="6"/>
        <v>96</v>
      </c>
      <c r="AG291" s="113"/>
      <c r="AH291" s="167"/>
    </row>
    <row r="292" spans="1:34" s="18" customFormat="1" ht="28.8" hidden="1">
      <c r="A292" s="53">
        <v>2100</v>
      </c>
      <c r="B292" s="54" t="s">
        <v>2868</v>
      </c>
      <c r="C292" s="54" t="s">
        <v>2868</v>
      </c>
      <c r="D292" s="54" t="s">
        <v>2869</v>
      </c>
      <c r="E292" s="53">
        <v>2</v>
      </c>
      <c r="F292" s="110">
        <v>4</v>
      </c>
      <c r="G292" s="56">
        <v>100</v>
      </c>
      <c r="H292" s="111" t="s">
        <v>1738</v>
      </c>
      <c r="I292" s="112" t="s">
        <v>1738</v>
      </c>
      <c r="J292" s="113">
        <v>40500101391201</v>
      </c>
      <c r="K292" s="114" t="s">
        <v>167</v>
      </c>
      <c r="L292" s="115"/>
      <c r="M292" s="114">
        <v>60</v>
      </c>
      <c r="N292" s="116" t="s">
        <v>1118</v>
      </c>
      <c r="O292" s="117" t="s">
        <v>1739</v>
      </c>
      <c r="P292" s="116">
        <v>4260788</v>
      </c>
      <c r="Q292" s="117" t="s">
        <v>1740</v>
      </c>
      <c r="R292" s="117" t="s">
        <v>1741</v>
      </c>
      <c r="S292" s="118" t="s">
        <v>1742</v>
      </c>
      <c r="T292" s="260">
        <v>50</v>
      </c>
      <c r="U292" s="163">
        <v>15</v>
      </c>
      <c r="V292" s="163">
        <v>0</v>
      </c>
      <c r="W292" s="241" t="s">
        <v>2869</v>
      </c>
      <c r="X292" s="241" t="s">
        <v>2868</v>
      </c>
      <c r="Y292" s="261">
        <v>65</v>
      </c>
      <c r="Z292" s="260">
        <v>0</v>
      </c>
      <c r="AA292" s="163">
        <v>0</v>
      </c>
      <c r="AB292" s="163">
        <v>0</v>
      </c>
      <c r="AC292" s="241"/>
      <c r="AD292" s="241"/>
      <c r="AE292" s="261">
        <v>0</v>
      </c>
      <c r="AF292" s="262">
        <f t="shared" si="6"/>
        <v>65</v>
      </c>
      <c r="AG292" s="171" t="s">
        <v>140</v>
      </c>
      <c r="AH292" s="167"/>
    </row>
    <row r="293" spans="1:34" s="18" customFormat="1" ht="28.8" hidden="1">
      <c r="A293" s="53">
        <v>2101</v>
      </c>
      <c r="B293" s="54" t="s">
        <v>2868</v>
      </c>
      <c r="C293" s="54" t="s">
        <v>2868</v>
      </c>
      <c r="D293" s="54" t="s">
        <v>2869</v>
      </c>
      <c r="E293" s="53">
        <v>2</v>
      </c>
      <c r="F293" s="110">
        <v>4</v>
      </c>
      <c r="G293" s="56">
        <v>101</v>
      </c>
      <c r="H293" s="111" t="s">
        <v>1743</v>
      </c>
      <c r="I293" s="112" t="s">
        <v>1743</v>
      </c>
      <c r="J293" s="113">
        <v>20500102145201</v>
      </c>
      <c r="K293" s="114" t="s">
        <v>89</v>
      </c>
      <c r="L293" s="115"/>
      <c r="M293" s="114">
        <v>60</v>
      </c>
      <c r="N293" s="116" t="s">
        <v>1105</v>
      </c>
      <c r="O293" s="117" t="s">
        <v>1744</v>
      </c>
      <c r="P293" s="116">
        <v>4274457</v>
      </c>
      <c r="Q293" s="117" t="s">
        <v>1745</v>
      </c>
      <c r="R293" s="117" t="s">
        <v>1746</v>
      </c>
      <c r="S293" s="118" t="s">
        <v>1747</v>
      </c>
      <c r="T293" s="260">
        <v>48</v>
      </c>
      <c r="U293" s="163">
        <v>49</v>
      </c>
      <c r="V293" s="163">
        <v>0</v>
      </c>
      <c r="W293" s="241" t="s">
        <v>2869</v>
      </c>
      <c r="X293" s="241" t="s">
        <v>2868</v>
      </c>
      <c r="Y293" s="261">
        <v>97</v>
      </c>
      <c r="Z293" s="260">
        <v>0</v>
      </c>
      <c r="AA293" s="163">
        <v>0</v>
      </c>
      <c r="AB293" s="163">
        <v>0</v>
      </c>
      <c r="AC293" s="241"/>
      <c r="AD293" s="241"/>
      <c r="AE293" s="261">
        <v>0</v>
      </c>
      <c r="AF293" s="262">
        <f t="shared" si="6"/>
        <v>97</v>
      </c>
      <c r="AG293" s="113"/>
      <c r="AH293" s="167"/>
    </row>
    <row r="294" spans="1:34" s="18" customFormat="1" ht="28.8" hidden="1">
      <c r="A294" s="53">
        <v>2102</v>
      </c>
      <c r="B294" s="54" t="s">
        <v>2868</v>
      </c>
      <c r="C294" s="54" t="s">
        <v>2868</v>
      </c>
      <c r="D294" s="54" t="s">
        <v>2869</v>
      </c>
      <c r="E294" s="53">
        <v>2</v>
      </c>
      <c r="F294" s="110">
        <v>4</v>
      </c>
      <c r="G294" s="56">
        <v>102</v>
      </c>
      <c r="H294" s="111" t="s">
        <v>1748</v>
      </c>
      <c r="I294" s="112" t="s">
        <v>1748</v>
      </c>
      <c r="J294" s="113">
        <v>20500102145203</v>
      </c>
      <c r="K294" s="114" t="s">
        <v>89</v>
      </c>
      <c r="L294" s="115"/>
      <c r="M294" s="114">
        <v>60</v>
      </c>
      <c r="N294" s="116" t="s">
        <v>1105</v>
      </c>
      <c r="O294" s="117" t="s">
        <v>1749</v>
      </c>
      <c r="P294" s="116">
        <v>4262653</v>
      </c>
      <c r="Q294" s="117" t="s">
        <v>1745</v>
      </c>
      <c r="R294" s="117" t="s">
        <v>1750</v>
      </c>
      <c r="S294" s="118" t="s">
        <v>1751</v>
      </c>
      <c r="T294" s="260">
        <v>10</v>
      </c>
      <c r="U294" s="163">
        <v>14</v>
      </c>
      <c r="V294" s="163">
        <v>0</v>
      </c>
      <c r="W294" s="241" t="s">
        <v>2869</v>
      </c>
      <c r="X294" s="241" t="s">
        <v>2868</v>
      </c>
      <c r="Y294" s="261">
        <v>24</v>
      </c>
      <c r="Z294" s="260">
        <v>0</v>
      </c>
      <c r="AA294" s="163">
        <v>0</v>
      </c>
      <c r="AB294" s="163">
        <v>0</v>
      </c>
      <c r="AC294" s="241"/>
      <c r="AD294" s="241"/>
      <c r="AE294" s="261">
        <v>0</v>
      </c>
      <c r="AF294" s="262">
        <f t="shared" si="6"/>
        <v>24</v>
      </c>
      <c r="AG294" s="113"/>
      <c r="AH294" s="167"/>
    </row>
    <row r="295" spans="1:34" s="18" customFormat="1" ht="28.8" hidden="1">
      <c r="A295" s="53">
        <v>2103</v>
      </c>
      <c r="B295" s="54" t="s">
        <v>2868</v>
      </c>
      <c r="C295" s="54" t="s">
        <v>2868</v>
      </c>
      <c r="D295" s="54" t="s">
        <v>2869</v>
      </c>
      <c r="E295" s="53">
        <v>2</v>
      </c>
      <c r="F295" s="110">
        <v>4</v>
      </c>
      <c r="G295" s="56">
        <v>103</v>
      </c>
      <c r="H295" s="111" t="s">
        <v>1752</v>
      </c>
      <c r="I295" s="112" t="s">
        <v>1752</v>
      </c>
      <c r="J295" s="113">
        <v>20500102145204</v>
      </c>
      <c r="K295" s="114" t="s">
        <v>89</v>
      </c>
      <c r="L295" s="115"/>
      <c r="M295" s="114">
        <v>60</v>
      </c>
      <c r="N295" s="116" t="s">
        <v>1105</v>
      </c>
      <c r="O295" s="117" t="s">
        <v>1753</v>
      </c>
      <c r="P295" s="116">
        <v>4261632</v>
      </c>
      <c r="Q295" s="117" t="s">
        <v>1745</v>
      </c>
      <c r="R295" s="117" t="s">
        <v>1754</v>
      </c>
      <c r="S295" s="118" t="s">
        <v>1755</v>
      </c>
      <c r="T295" s="260">
        <v>67</v>
      </c>
      <c r="U295" s="163">
        <v>49</v>
      </c>
      <c r="V295" s="163">
        <v>0</v>
      </c>
      <c r="W295" s="241" t="s">
        <v>2869</v>
      </c>
      <c r="X295" s="241" t="s">
        <v>2868</v>
      </c>
      <c r="Y295" s="261">
        <v>116</v>
      </c>
      <c r="Z295" s="260">
        <v>0</v>
      </c>
      <c r="AA295" s="163">
        <v>0</v>
      </c>
      <c r="AB295" s="163">
        <v>0</v>
      </c>
      <c r="AC295" s="241"/>
      <c r="AD295" s="241"/>
      <c r="AE295" s="261">
        <v>0</v>
      </c>
      <c r="AF295" s="262">
        <f t="shared" si="6"/>
        <v>116</v>
      </c>
      <c r="AG295" s="113"/>
      <c r="AH295" s="167"/>
    </row>
    <row r="296" spans="1:34" s="18" customFormat="1" ht="28.8" hidden="1">
      <c r="A296" s="53">
        <v>2104</v>
      </c>
      <c r="B296" s="54" t="s">
        <v>2868</v>
      </c>
      <c r="C296" s="54" t="s">
        <v>2868</v>
      </c>
      <c r="D296" s="54" t="s">
        <v>2869</v>
      </c>
      <c r="E296" s="53">
        <v>2</v>
      </c>
      <c r="F296" s="110">
        <v>4</v>
      </c>
      <c r="G296" s="56">
        <v>104</v>
      </c>
      <c r="H296" s="111" t="s">
        <v>1756</v>
      </c>
      <c r="I296" s="112" t="s">
        <v>1756</v>
      </c>
      <c r="J296" s="113">
        <v>20500102145202</v>
      </c>
      <c r="K296" s="114" t="s">
        <v>89</v>
      </c>
      <c r="L296" s="115"/>
      <c r="M296" s="114">
        <v>60</v>
      </c>
      <c r="N296" s="116" t="s">
        <v>1105</v>
      </c>
      <c r="O296" s="117" t="s">
        <v>1757</v>
      </c>
      <c r="P296" s="116">
        <v>4261307</v>
      </c>
      <c r="Q296" s="117" t="s">
        <v>1745</v>
      </c>
      <c r="R296" s="117" t="s">
        <v>1758</v>
      </c>
      <c r="S296" s="118" t="s">
        <v>1759</v>
      </c>
      <c r="T296" s="260">
        <v>14</v>
      </c>
      <c r="U296" s="163">
        <v>9</v>
      </c>
      <c r="V296" s="163">
        <v>0</v>
      </c>
      <c r="W296" s="241" t="s">
        <v>2869</v>
      </c>
      <c r="X296" s="241" t="s">
        <v>2868</v>
      </c>
      <c r="Y296" s="261">
        <v>23</v>
      </c>
      <c r="Z296" s="260">
        <v>0</v>
      </c>
      <c r="AA296" s="163">
        <v>0</v>
      </c>
      <c r="AB296" s="163">
        <v>0</v>
      </c>
      <c r="AC296" s="241"/>
      <c r="AD296" s="241"/>
      <c r="AE296" s="261">
        <v>0</v>
      </c>
      <c r="AF296" s="262">
        <f t="shared" si="6"/>
        <v>23</v>
      </c>
      <c r="AG296" s="113"/>
      <c r="AH296" s="167"/>
    </row>
    <row r="297" spans="1:34" s="18" customFormat="1" ht="28.8" hidden="1">
      <c r="A297" s="53">
        <v>2105</v>
      </c>
      <c r="B297" s="54" t="s">
        <v>2868</v>
      </c>
      <c r="C297" s="54" t="s">
        <v>2868</v>
      </c>
      <c r="D297" s="54" t="s">
        <v>2869</v>
      </c>
      <c r="E297" s="53">
        <v>2</v>
      </c>
      <c r="F297" s="110">
        <v>4</v>
      </c>
      <c r="G297" s="56">
        <v>105</v>
      </c>
      <c r="H297" s="111" t="s">
        <v>1760</v>
      </c>
      <c r="I297" s="112" t="s">
        <v>1760</v>
      </c>
      <c r="J297" s="113">
        <v>10500102600002</v>
      </c>
      <c r="K297" s="114" t="s">
        <v>89</v>
      </c>
      <c r="L297" s="115"/>
      <c r="M297" s="114">
        <v>60</v>
      </c>
      <c r="N297" s="116" t="s">
        <v>1105</v>
      </c>
      <c r="O297" s="117" t="s">
        <v>1761</v>
      </c>
      <c r="P297" s="116">
        <v>4273044</v>
      </c>
      <c r="Q297" s="117" t="s">
        <v>1762</v>
      </c>
      <c r="R297" s="117" t="s">
        <v>1763</v>
      </c>
      <c r="S297" s="118" t="s">
        <v>1764</v>
      </c>
      <c r="T297" s="260">
        <v>200</v>
      </c>
      <c r="U297" s="163">
        <v>111</v>
      </c>
      <c r="V297" s="163">
        <v>0</v>
      </c>
      <c r="W297" s="241" t="s">
        <v>2869</v>
      </c>
      <c r="X297" s="241" t="s">
        <v>2868</v>
      </c>
      <c r="Y297" s="261">
        <v>311</v>
      </c>
      <c r="Z297" s="260">
        <v>0</v>
      </c>
      <c r="AA297" s="163">
        <v>0</v>
      </c>
      <c r="AB297" s="163">
        <v>0</v>
      </c>
      <c r="AC297" s="241"/>
      <c r="AD297" s="241"/>
      <c r="AE297" s="261">
        <v>0</v>
      </c>
      <c r="AF297" s="262">
        <f t="shared" si="6"/>
        <v>311</v>
      </c>
      <c r="AG297" s="113"/>
      <c r="AH297" s="167"/>
    </row>
    <row r="298" spans="1:34" s="18" customFormat="1" ht="28.8" hidden="1">
      <c r="A298" s="53">
        <v>2106</v>
      </c>
      <c r="B298" s="54" t="s">
        <v>2868</v>
      </c>
      <c r="C298" s="54" t="s">
        <v>2868</v>
      </c>
      <c r="D298" s="54" t="s">
        <v>2869</v>
      </c>
      <c r="E298" s="53">
        <v>2</v>
      </c>
      <c r="F298" s="110">
        <v>4</v>
      </c>
      <c r="G298" s="56">
        <v>106</v>
      </c>
      <c r="H298" s="111" t="s">
        <v>1765</v>
      </c>
      <c r="I298" s="112" t="s">
        <v>1765</v>
      </c>
      <c r="J298" s="113">
        <v>20500101430801</v>
      </c>
      <c r="K298" s="114" t="s">
        <v>89</v>
      </c>
      <c r="L298" s="115"/>
      <c r="M298" s="114">
        <v>60</v>
      </c>
      <c r="N298" s="116" t="s">
        <v>1105</v>
      </c>
      <c r="O298" s="117" t="s">
        <v>1766</v>
      </c>
      <c r="P298" s="116" t="s">
        <v>1767</v>
      </c>
      <c r="Q298" s="117" t="s">
        <v>1768</v>
      </c>
      <c r="R298" s="117" t="s">
        <v>1769</v>
      </c>
      <c r="S298" s="118" t="s">
        <v>1770</v>
      </c>
      <c r="T298" s="260">
        <v>58</v>
      </c>
      <c r="U298" s="163">
        <v>22</v>
      </c>
      <c r="V298" s="163">
        <v>0</v>
      </c>
      <c r="W298" s="241" t="s">
        <v>2869</v>
      </c>
      <c r="X298" s="241" t="s">
        <v>2868</v>
      </c>
      <c r="Y298" s="261">
        <v>80</v>
      </c>
      <c r="Z298" s="260">
        <v>0</v>
      </c>
      <c r="AA298" s="163">
        <v>0</v>
      </c>
      <c r="AB298" s="163">
        <v>0</v>
      </c>
      <c r="AC298" s="241"/>
      <c r="AD298" s="241"/>
      <c r="AE298" s="261">
        <v>0</v>
      </c>
      <c r="AF298" s="262">
        <f t="shared" si="6"/>
        <v>80</v>
      </c>
      <c r="AG298" s="113"/>
      <c r="AH298" s="167"/>
    </row>
    <row r="299" spans="1:34" s="18" customFormat="1" ht="28.8" hidden="1">
      <c r="A299" s="53">
        <v>2107</v>
      </c>
      <c r="B299" s="54" t="s">
        <v>2868</v>
      </c>
      <c r="C299" s="54" t="s">
        <v>2868</v>
      </c>
      <c r="D299" s="54" t="s">
        <v>2869</v>
      </c>
      <c r="E299" s="53">
        <v>2</v>
      </c>
      <c r="F299" s="110">
        <v>4</v>
      </c>
      <c r="G299" s="56">
        <v>107</v>
      </c>
      <c r="H299" s="111" t="s">
        <v>1771</v>
      </c>
      <c r="I299" s="112" t="s">
        <v>1771</v>
      </c>
      <c r="J299" s="113">
        <v>20500101430802</v>
      </c>
      <c r="K299" s="114" t="s">
        <v>89</v>
      </c>
      <c r="L299" s="115"/>
      <c r="M299" s="114">
        <v>60</v>
      </c>
      <c r="N299" s="116" t="s">
        <v>1105</v>
      </c>
      <c r="O299" s="117" t="s">
        <v>1772</v>
      </c>
      <c r="P299" s="116" t="s">
        <v>1773</v>
      </c>
      <c r="Q299" s="117" t="s">
        <v>1768</v>
      </c>
      <c r="R299" s="117" t="s">
        <v>1774</v>
      </c>
      <c r="S299" s="118" t="s">
        <v>1775</v>
      </c>
      <c r="T299" s="260">
        <v>29</v>
      </c>
      <c r="U299" s="163">
        <v>21</v>
      </c>
      <c r="V299" s="163">
        <v>0</v>
      </c>
      <c r="W299" s="241" t="s">
        <v>2869</v>
      </c>
      <c r="X299" s="241" t="s">
        <v>2868</v>
      </c>
      <c r="Y299" s="261">
        <v>50</v>
      </c>
      <c r="Z299" s="260">
        <v>0</v>
      </c>
      <c r="AA299" s="163">
        <v>0</v>
      </c>
      <c r="AB299" s="163">
        <v>0</v>
      </c>
      <c r="AC299" s="241"/>
      <c r="AD299" s="241"/>
      <c r="AE299" s="261">
        <v>0</v>
      </c>
      <c r="AF299" s="262">
        <f t="shared" si="6"/>
        <v>50</v>
      </c>
      <c r="AG299" s="113"/>
      <c r="AH299" s="167"/>
    </row>
    <row r="300" spans="1:34" s="18" customFormat="1" ht="28.8" hidden="1">
      <c r="A300" s="53">
        <v>2108</v>
      </c>
      <c r="B300" s="54" t="s">
        <v>2868</v>
      </c>
      <c r="C300" s="54" t="s">
        <v>2868</v>
      </c>
      <c r="D300" s="54" t="s">
        <v>2869</v>
      </c>
      <c r="E300" s="53">
        <v>2</v>
      </c>
      <c r="F300" s="110">
        <v>4</v>
      </c>
      <c r="G300" s="56">
        <v>108</v>
      </c>
      <c r="H300" s="111" t="s">
        <v>1776</v>
      </c>
      <c r="I300" s="112" t="s">
        <v>1776</v>
      </c>
      <c r="J300" s="113">
        <v>20500101430803</v>
      </c>
      <c r="K300" s="114" t="s">
        <v>89</v>
      </c>
      <c r="L300" s="115"/>
      <c r="M300" s="114">
        <v>60</v>
      </c>
      <c r="N300" s="116" t="s">
        <v>1105</v>
      </c>
      <c r="O300" s="117" t="s">
        <v>1777</v>
      </c>
      <c r="P300" s="116">
        <v>4272773</v>
      </c>
      <c r="Q300" s="117" t="s">
        <v>1768</v>
      </c>
      <c r="R300" s="117" t="s">
        <v>1778</v>
      </c>
      <c r="S300" s="118" t="s">
        <v>1779</v>
      </c>
      <c r="T300" s="260">
        <v>22</v>
      </c>
      <c r="U300" s="163">
        <v>13</v>
      </c>
      <c r="V300" s="163">
        <v>0</v>
      </c>
      <c r="W300" s="241" t="s">
        <v>2869</v>
      </c>
      <c r="X300" s="241" t="s">
        <v>2868</v>
      </c>
      <c r="Y300" s="261">
        <v>35</v>
      </c>
      <c r="Z300" s="260">
        <v>0</v>
      </c>
      <c r="AA300" s="163">
        <v>0</v>
      </c>
      <c r="AB300" s="163">
        <v>0</v>
      </c>
      <c r="AC300" s="241"/>
      <c r="AD300" s="241"/>
      <c r="AE300" s="261">
        <v>0</v>
      </c>
      <c r="AF300" s="262">
        <f t="shared" si="6"/>
        <v>35</v>
      </c>
      <c r="AG300" s="113"/>
      <c r="AH300" s="167"/>
    </row>
    <row r="301" spans="1:34" s="18" customFormat="1" ht="28.8" hidden="1">
      <c r="A301" s="53">
        <v>2109</v>
      </c>
      <c r="B301" s="54" t="s">
        <v>2868</v>
      </c>
      <c r="C301" s="54" t="s">
        <v>2868</v>
      </c>
      <c r="D301" s="54" t="s">
        <v>2869</v>
      </c>
      <c r="E301" s="53">
        <v>2</v>
      </c>
      <c r="F301" s="110">
        <v>4</v>
      </c>
      <c r="G301" s="56">
        <v>109</v>
      </c>
      <c r="H301" s="111" t="s">
        <v>1780</v>
      </c>
      <c r="I301" s="112" t="s">
        <v>1780</v>
      </c>
      <c r="J301" s="113">
        <v>20500100219901</v>
      </c>
      <c r="K301" s="114" t="s">
        <v>89</v>
      </c>
      <c r="L301" s="115"/>
      <c r="M301" s="114">
        <v>60</v>
      </c>
      <c r="N301" s="116" t="s">
        <v>1105</v>
      </c>
      <c r="O301" s="117" t="s">
        <v>1781</v>
      </c>
      <c r="P301" s="116">
        <v>4273235</v>
      </c>
      <c r="Q301" s="117" t="s">
        <v>1782</v>
      </c>
      <c r="R301" s="117" t="s">
        <v>1783</v>
      </c>
      <c r="S301" s="118" t="s">
        <v>1784</v>
      </c>
      <c r="T301" s="260">
        <v>32</v>
      </c>
      <c r="U301" s="163">
        <v>98</v>
      </c>
      <c r="V301" s="163">
        <v>80</v>
      </c>
      <c r="W301" s="241" t="s">
        <v>2869</v>
      </c>
      <c r="X301" s="241" t="s">
        <v>2868</v>
      </c>
      <c r="Y301" s="261">
        <v>210</v>
      </c>
      <c r="Z301" s="260">
        <v>0</v>
      </c>
      <c r="AA301" s="163">
        <v>0</v>
      </c>
      <c r="AB301" s="163">
        <v>0</v>
      </c>
      <c r="AC301" s="241"/>
      <c r="AD301" s="241"/>
      <c r="AE301" s="261">
        <v>0</v>
      </c>
      <c r="AF301" s="262">
        <f t="shared" si="6"/>
        <v>210</v>
      </c>
      <c r="AG301" s="113"/>
      <c r="AH301" s="167"/>
    </row>
    <row r="302" spans="1:34" s="18" customFormat="1" ht="28.8" hidden="1">
      <c r="A302" s="53">
        <v>2110</v>
      </c>
      <c r="B302" s="54" t="s">
        <v>2868</v>
      </c>
      <c r="C302" s="54" t="s">
        <v>2868</v>
      </c>
      <c r="D302" s="54" t="s">
        <v>2869</v>
      </c>
      <c r="E302" s="53">
        <v>2</v>
      </c>
      <c r="F302" s="178">
        <v>4</v>
      </c>
      <c r="G302" s="56">
        <v>110</v>
      </c>
      <c r="H302" s="111" t="s">
        <v>1785</v>
      </c>
      <c r="I302" s="293" t="s">
        <v>1785</v>
      </c>
      <c r="J302" s="180">
        <v>20500100991602</v>
      </c>
      <c r="K302" s="181" t="s">
        <v>89</v>
      </c>
      <c r="L302" s="115"/>
      <c r="M302" s="181">
        <v>70</v>
      </c>
      <c r="N302" s="179" t="s">
        <v>1786</v>
      </c>
      <c r="O302" s="182" t="s">
        <v>1787</v>
      </c>
      <c r="P302" s="179">
        <v>4911556</v>
      </c>
      <c r="Q302" s="182" t="s">
        <v>1788</v>
      </c>
      <c r="R302" s="182" t="s">
        <v>1789</v>
      </c>
      <c r="S302" s="183" t="s">
        <v>1790</v>
      </c>
      <c r="T302" s="294">
        <v>29</v>
      </c>
      <c r="U302" s="295">
        <v>4</v>
      </c>
      <c r="V302" s="295">
        <v>0</v>
      </c>
      <c r="W302" s="241" t="s">
        <v>2869</v>
      </c>
      <c r="X302" s="241" t="s">
        <v>2868</v>
      </c>
      <c r="Y302" s="296">
        <v>33</v>
      </c>
      <c r="Z302" s="294">
        <v>0</v>
      </c>
      <c r="AA302" s="295">
        <v>0</v>
      </c>
      <c r="AB302" s="295">
        <v>0</v>
      </c>
      <c r="AC302" s="241"/>
      <c r="AD302" s="241"/>
      <c r="AE302" s="296">
        <v>0</v>
      </c>
      <c r="AF302" s="297">
        <f t="shared" si="6"/>
        <v>33</v>
      </c>
      <c r="AG302" s="180"/>
      <c r="AH302" s="376"/>
    </row>
    <row r="303" spans="1:34" s="18" customFormat="1" ht="28.8" hidden="1">
      <c r="A303" s="53">
        <v>2111</v>
      </c>
      <c r="B303" s="54" t="s">
        <v>2868</v>
      </c>
      <c r="C303" s="54" t="s">
        <v>2868</v>
      </c>
      <c r="D303" s="54" t="s">
        <v>2869</v>
      </c>
      <c r="E303" s="53">
        <v>2</v>
      </c>
      <c r="F303" s="55">
        <v>6</v>
      </c>
      <c r="G303" s="56">
        <v>111</v>
      </c>
      <c r="H303" s="57" t="s">
        <v>1791</v>
      </c>
      <c r="I303" s="57" t="s">
        <v>1791</v>
      </c>
      <c r="J303" s="58">
        <v>10500100039601</v>
      </c>
      <c r="K303" s="59" t="s">
        <v>89</v>
      </c>
      <c r="L303" s="59" t="s">
        <v>63</v>
      </c>
      <c r="M303" s="59">
        <v>15</v>
      </c>
      <c r="N303" s="57" t="s">
        <v>1792</v>
      </c>
      <c r="O303" s="57" t="s">
        <v>1793</v>
      </c>
      <c r="P303" s="57" t="s">
        <v>1794</v>
      </c>
      <c r="Q303" s="57" t="s">
        <v>1795</v>
      </c>
      <c r="R303" s="57" t="s">
        <v>1796</v>
      </c>
      <c r="S303" s="61" t="s">
        <v>1797</v>
      </c>
      <c r="T303" s="246">
        <v>0</v>
      </c>
      <c r="U303" s="247">
        <v>160</v>
      </c>
      <c r="V303" s="247">
        <v>80</v>
      </c>
      <c r="W303" s="241" t="s">
        <v>2869</v>
      </c>
      <c r="X303" s="241" t="s">
        <v>2868</v>
      </c>
      <c r="Y303" s="242">
        <v>240</v>
      </c>
      <c r="Z303" s="246">
        <v>0</v>
      </c>
      <c r="AA303" s="247">
        <v>0</v>
      </c>
      <c r="AB303" s="247">
        <v>0</v>
      </c>
      <c r="AC303" s="241"/>
      <c r="AD303" s="241"/>
      <c r="AE303" s="242">
        <v>0</v>
      </c>
      <c r="AF303" s="243">
        <f t="shared" si="6"/>
        <v>240</v>
      </c>
      <c r="AG303" s="67"/>
      <c r="AH303" s="234"/>
    </row>
    <row r="304" spans="1:34" s="18" customFormat="1" ht="34.200000000000003" hidden="1">
      <c r="A304" s="53">
        <v>2112</v>
      </c>
      <c r="B304" s="54" t="s">
        <v>2868</v>
      </c>
      <c r="C304" s="54" t="s">
        <v>2868</v>
      </c>
      <c r="D304" s="54" t="s">
        <v>2869</v>
      </c>
      <c r="E304" s="53">
        <v>2</v>
      </c>
      <c r="F304" s="55">
        <v>6</v>
      </c>
      <c r="G304" s="56">
        <v>112</v>
      </c>
      <c r="H304" s="57" t="s">
        <v>1798</v>
      </c>
      <c r="I304" s="57" t="s">
        <v>1798</v>
      </c>
      <c r="J304" s="58">
        <v>10500100039604</v>
      </c>
      <c r="K304" s="59" t="s">
        <v>89</v>
      </c>
      <c r="L304" s="59" t="s">
        <v>63</v>
      </c>
      <c r="M304" s="59">
        <v>15</v>
      </c>
      <c r="N304" s="57" t="s">
        <v>1158</v>
      </c>
      <c r="O304" s="57" t="s">
        <v>1799</v>
      </c>
      <c r="P304" s="57" t="s">
        <v>1800</v>
      </c>
      <c r="Q304" s="57" t="s">
        <v>1801</v>
      </c>
      <c r="R304" s="57" t="s">
        <v>1801</v>
      </c>
      <c r="S304" s="61" t="s">
        <v>1802</v>
      </c>
      <c r="T304" s="246">
        <v>210</v>
      </c>
      <c r="U304" s="247">
        <v>120</v>
      </c>
      <c r="V304" s="247">
        <v>0</v>
      </c>
      <c r="W304" s="241" t="s">
        <v>2869</v>
      </c>
      <c r="X304" s="241" t="s">
        <v>2868</v>
      </c>
      <c r="Y304" s="242">
        <v>330</v>
      </c>
      <c r="Z304" s="246">
        <v>0</v>
      </c>
      <c r="AA304" s="247">
        <v>0</v>
      </c>
      <c r="AB304" s="247">
        <v>0</v>
      </c>
      <c r="AC304" s="241"/>
      <c r="AD304" s="241"/>
      <c r="AE304" s="242">
        <v>0</v>
      </c>
      <c r="AF304" s="243">
        <f t="shared" si="6"/>
        <v>330</v>
      </c>
      <c r="AG304" s="67"/>
      <c r="AH304" s="234"/>
    </row>
    <row r="305" spans="1:34" s="18" customFormat="1" ht="28.8" hidden="1">
      <c r="A305" s="53">
        <v>2113</v>
      </c>
      <c r="B305" s="54" t="s">
        <v>2868</v>
      </c>
      <c r="C305" s="54" t="s">
        <v>2868</v>
      </c>
      <c r="D305" s="54" t="s">
        <v>2870</v>
      </c>
      <c r="E305" s="53">
        <v>2</v>
      </c>
      <c r="F305" s="55">
        <v>6</v>
      </c>
      <c r="G305" s="56">
        <v>113</v>
      </c>
      <c r="H305" s="57" t="s">
        <v>1803</v>
      </c>
      <c r="I305" s="57" t="s">
        <v>1803</v>
      </c>
      <c r="J305" s="58">
        <v>10500100249601</v>
      </c>
      <c r="K305" s="59" t="s">
        <v>89</v>
      </c>
      <c r="L305" s="59" t="s">
        <v>63</v>
      </c>
      <c r="M305" s="59">
        <v>15</v>
      </c>
      <c r="N305" s="57" t="s">
        <v>1804</v>
      </c>
      <c r="O305" s="57" t="s">
        <v>1805</v>
      </c>
      <c r="P305" s="57" t="s">
        <v>1806</v>
      </c>
      <c r="Q305" s="57" t="s">
        <v>1807</v>
      </c>
      <c r="R305" s="57" t="s">
        <v>1808</v>
      </c>
      <c r="S305" s="61" t="s">
        <v>1809</v>
      </c>
      <c r="T305" s="246">
        <v>0</v>
      </c>
      <c r="U305" s="247">
        <v>50</v>
      </c>
      <c r="V305" s="247">
        <v>50</v>
      </c>
      <c r="W305" s="241" t="s">
        <v>2869</v>
      </c>
      <c r="X305" s="241" t="s">
        <v>2868</v>
      </c>
      <c r="Y305" s="242">
        <v>100</v>
      </c>
      <c r="Z305" s="246">
        <v>0</v>
      </c>
      <c r="AA305" s="247">
        <v>149</v>
      </c>
      <c r="AB305" s="247">
        <v>116</v>
      </c>
      <c r="AC305" s="241" t="s">
        <v>2866</v>
      </c>
      <c r="AD305" s="241" t="s">
        <v>2868</v>
      </c>
      <c r="AE305" s="242">
        <v>265</v>
      </c>
      <c r="AF305" s="243">
        <f t="shared" si="6"/>
        <v>365</v>
      </c>
      <c r="AG305" s="56" t="s">
        <v>140</v>
      </c>
      <c r="AH305" s="298"/>
    </row>
    <row r="306" spans="1:34" s="18" customFormat="1" ht="45.6" hidden="1">
      <c r="A306" s="53">
        <v>2114</v>
      </c>
      <c r="B306" s="54" t="s">
        <v>2868</v>
      </c>
      <c r="C306" s="54" t="s">
        <v>2868</v>
      </c>
      <c r="D306" s="54" t="s">
        <v>2870</v>
      </c>
      <c r="E306" s="53">
        <v>2</v>
      </c>
      <c r="F306" s="55">
        <v>6</v>
      </c>
      <c r="G306" s="56">
        <v>114</v>
      </c>
      <c r="H306" s="57" t="s">
        <v>1810</v>
      </c>
      <c r="I306" s="57" t="s">
        <v>1810</v>
      </c>
      <c r="J306" s="58">
        <v>10500100327101</v>
      </c>
      <c r="K306" s="59" t="s">
        <v>89</v>
      </c>
      <c r="L306" s="59" t="s">
        <v>63</v>
      </c>
      <c r="M306" s="59">
        <v>16</v>
      </c>
      <c r="N306" s="57" t="s">
        <v>1811</v>
      </c>
      <c r="O306" s="57" t="s">
        <v>1812</v>
      </c>
      <c r="P306" s="57" t="s">
        <v>1813</v>
      </c>
      <c r="Q306" s="57" t="s">
        <v>1814</v>
      </c>
      <c r="R306" s="57" t="s">
        <v>1815</v>
      </c>
      <c r="S306" s="61" t="s">
        <v>1816</v>
      </c>
      <c r="T306" s="246">
        <v>70</v>
      </c>
      <c r="U306" s="247">
        <v>80</v>
      </c>
      <c r="V306" s="247">
        <v>50</v>
      </c>
      <c r="W306" s="241" t="s">
        <v>2869</v>
      </c>
      <c r="X306" s="241" t="s">
        <v>2868</v>
      </c>
      <c r="Y306" s="242">
        <v>200</v>
      </c>
      <c r="Z306" s="246">
        <v>19</v>
      </c>
      <c r="AA306" s="247">
        <v>121</v>
      </c>
      <c r="AB306" s="247">
        <v>68</v>
      </c>
      <c r="AC306" s="241" t="s">
        <v>2866</v>
      </c>
      <c r="AD306" s="241" t="s">
        <v>2868</v>
      </c>
      <c r="AE306" s="242">
        <v>208</v>
      </c>
      <c r="AF306" s="243">
        <f t="shared" si="6"/>
        <v>408</v>
      </c>
      <c r="AG306" s="232"/>
      <c r="AH306" s="230"/>
    </row>
    <row r="307" spans="1:34" s="18" customFormat="1" ht="28.8" hidden="1">
      <c r="A307" s="53">
        <v>2115</v>
      </c>
      <c r="B307" s="54" t="s">
        <v>2868</v>
      </c>
      <c r="C307" s="54" t="s">
        <v>2868</v>
      </c>
      <c r="D307" s="54" t="s">
        <v>2869</v>
      </c>
      <c r="E307" s="53">
        <v>2</v>
      </c>
      <c r="F307" s="55">
        <v>6</v>
      </c>
      <c r="G307" s="56">
        <v>115</v>
      </c>
      <c r="H307" s="57" t="s">
        <v>1817</v>
      </c>
      <c r="I307" s="57" t="s">
        <v>1817</v>
      </c>
      <c r="J307" s="58">
        <v>10500100327103</v>
      </c>
      <c r="K307" s="59" t="s">
        <v>89</v>
      </c>
      <c r="L307" s="59" t="s">
        <v>63</v>
      </c>
      <c r="M307" s="59">
        <v>16</v>
      </c>
      <c r="N307" s="57" t="s">
        <v>1811</v>
      </c>
      <c r="O307" s="57" t="s">
        <v>1818</v>
      </c>
      <c r="P307" s="57" t="s">
        <v>1819</v>
      </c>
      <c r="Q307" s="57" t="s">
        <v>1814</v>
      </c>
      <c r="R307" s="57" t="s">
        <v>1814</v>
      </c>
      <c r="S307" s="61" t="s">
        <v>1816</v>
      </c>
      <c r="T307" s="246">
        <v>94</v>
      </c>
      <c r="U307" s="247">
        <v>86</v>
      </c>
      <c r="V307" s="247">
        <v>0</v>
      </c>
      <c r="W307" s="241" t="s">
        <v>2869</v>
      </c>
      <c r="X307" s="241" t="s">
        <v>2868</v>
      </c>
      <c r="Y307" s="242">
        <v>180</v>
      </c>
      <c r="Z307" s="246">
        <v>0</v>
      </c>
      <c r="AA307" s="247">
        <v>0</v>
      </c>
      <c r="AB307" s="247">
        <v>0</v>
      </c>
      <c r="AC307" s="241"/>
      <c r="AD307" s="241"/>
      <c r="AE307" s="242">
        <v>0</v>
      </c>
      <c r="AF307" s="243">
        <f t="shared" si="6"/>
        <v>180</v>
      </c>
      <c r="AG307" s="56" t="s">
        <v>140</v>
      </c>
      <c r="AH307" s="230"/>
    </row>
    <row r="308" spans="1:34" s="18" customFormat="1" ht="34.200000000000003" hidden="1">
      <c r="A308" s="53">
        <v>2116</v>
      </c>
      <c r="B308" s="54" t="s">
        <v>2868</v>
      </c>
      <c r="C308" s="54" t="s">
        <v>2868</v>
      </c>
      <c r="D308" s="54" t="s">
        <v>2870</v>
      </c>
      <c r="E308" s="53">
        <v>2</v>
      </c>
      <c r="F308" s="55">
        <v>6</v>
      </c>
      <c r="G308" s="56">
        <v>116</v>
      </c>
      <c r="H308" s="57" t="s">
        <v>1820</v>
      </c>
      <c r="I308" s="57" t="s">
        <v>1820</v>
      </c>
      <c r="J308" s="58">
        <v>10500100163501</v>
      </c>
      <c r="K308" s="59" t="s">
        <v>89</v>
      </c>
      <c r="L308" s="59" t="s">
        <v>63</v>
      </c>
      <c r="M308" s="59">
        <v>16</v>
      </c>
      <c r="N308" s="57" t="s">
        <v>1191</v>
      </c>
      <c r="O308" s="57" t="s">
        <v>1821</v>
      </c>
      <c r="P308" s="57">
        <v>3433187</v>
      </c>
      <c r="Q308" s="57" t="s">
        <v>1822</v>
      </c>
      <c r="R308" s="57" t="s">
        <v>1823</v>
      </c>
      <c r="S308" s="61" t="s">
        <v>1824</v>
      </c>
      <c r="T308" s="246">
        <v>0</v>
      </c>
      <c r="U308" s="247">
        <v>0</v>
      </c>
      <c r="V308" s="247">
        <v>252</v>
      </c>
      <c r="W308" s="241" t="s">
        <v>2869</v>
      </c>
      <c r="X308" s="241" t="s">
        <v>2868</v>
      </c>
      <c r="Y308" s="242">
        <v>252</v>
      </c>
      <c r="Z308" s="246">
        <v>0</v>
      </c>
      <c r="AA308" s="247">
        <v>188</v>
      </c>
      <c r="AB308" s="247">
        <v>30</v>
      </c>
      <c r="AC308" s="241" t="s">
        <v>2866</v>
      </c>
      <c r="AD308" s="241" t="s">
        <v>2868</v>
      </c>
      <c r="AE308" s="242">
        <v>218</v>
      </c>
      <c r="AF308" s="243">
        <f t="shared" si="6"/>
        <v>470</v>
      </c>
      <c r="AG308" s="56"/>
      <c r="AH308" s="298"/>
    </row>
    <row r="309" spans="1:34" s="18" customFormat="1" ht="28.8" hidden="1">
      <c r="A309" s="53">
        <v>2117</v>
      </c>
      <c r="B309" s="54" t="s">
        <v>2868</v>
      </c>
      <c r="C309" s="54" t="s">
        <v>2868</v>
      </c>
      <c r="D309" s="54" t="s">
        <v>2870</v>
      </c>
      <c r="E309" s="53">
        <v>2</v>
      </c>
      <c r="F309" s="55">
        <v>6</v>
      </c>
      <c r="G309" s="56">
        <v>117</v>
      </c>
      <c r="H309" s="57" t="s">
        <v>1825</v>
      </c>
      <c r="I309" s="57" t="s">
        <v>1825</v>
      </c>
      <c r="J309" s="58">
        <v>10500100345001</v>
      </c>
      <c r="K309" s="59" t="s">
        <v>89</v>
      </c>
      <c r="L309" s="68"/>
      <c r="M309" s="59">
        <v>16</v>
      </c>
      <c r="N309" s="57" t="s">
        <v>1191</v>
      </c>
      <c r="O309" s="57" t="s">
        <v>1826</v>
      </c>
      <c r="P309" s="57" t="s">
        <v>1827</v>
      </c>
      <c r="Q309" s="57" t="s">
        <v>1828</v>
      </c>
      <c r="R309" s="57" t="s">
        <v>1829</v>
      </c>
      <c r="S309" s="61" t="s">
        <v>1830</v>
      </c>
      <c r="T309" s="246">
        <v>40</v>
      </c>
      <c r="U309" s="247">
        <v>50</v>
      </c>
      <c r="V309" s="247">
        <v>0</v>
      </c>
      <c r="W309" s="241" t="s">
        <v>2869</v>
      </c>
      <c r="X309" s="241" t="s">
        <v>2868</v>
      </c>
      <c r="Y309" s="242">
        <v>90</v>
      </c>
      <c r="Z309" s="246">
        <v>340</v>
      </c>
      <c r="AA309" s="247">
        <v>150</v>
      </c>
      <c r="AB309" s="247">
        <v>0</v>
      </c>
      <c r="AC309" s="241" t="s">
        <v>2866</v>
      </c>
      <c r="AD309" s="241" t="s">
        <v>2868</v>
      </c>
      <c r="AE309" s="242">
        <v>490</v>
      </c>
      <c r="AF309" s="243">
        <f t="shared" si="6"/>
        <v>580</v>
      </c>
      <c r="AG309" s="56" t="s">
        <v>140</v>
      </c>
      <c r="AH309" s="230"/>
    </row>
    <row r="310" spans="1:34" s="18" customFormat="1" ht="45.6" hidden="1">
      <c r="A310" s="53">
        <v>2118</v>
      </c>
      <c r="B310" s="54" t="s">
        <v>2868</v>
      </c>
      <c r="C310" s="54" t="s">
        <v>2868</v>
      </c>
      <c r="D310" s="54" t="s">
        <v>2869</v>
      </c>
      <c r="E310" s="53">
        <v>2</v>
      </c>
      <c r="F310" s="55">
        <v>6</v>
      </c>
      <c r="G310" s="56">
        <v>118</v>
      </c>
      <c r="H310" s="57" t="s">
        <v>1831</v>
      </c>
      <c r="I310" s="57" t="s">
        <v>1831</v>
      </c>
      <c r="J310" s="58">
        <v>10500100312301</v>
      </c>
      <c r="K310" s="59" t="s">
        <v>89</v>
      </c>
      <c r="L310" s="59" t="s">
        <v>63</v>
      </c>
      <c r="M310" s="59">
        <v>16</v>
      </c>
      <c r="N310" s="57" t="s">
        <v>1832</v>
      </c>
      <c r="O310" s="57" t="s">
        <v>1833</v>
      </c>
      <c r="P310" s="57" t="s">
        <v>1834</v>
      </c>
      <c r="Q310" s="57" t="s">
        <v>1835</v>
      </c>
      <c r="R310" s="57" t="s">
        <v>1836</v>
      </c>
      <c r="S310" s="61" t="s">
        <v>1837</v>
      </c>
      <c r="T310" s="246">
        <v>116</v>
      </c>
      <c r="U310" s="247">
        <v>69</v>
      </c>
      <c r="V310" s="247">
        <v>0</v>
      </c>
      <c r="W310" s="241" t="s">
        <v>2869</v>
      </c>
      <c r="X310" s="241" t="s">
        <v>2868</v>
      </c>
      <c r="Y310" s="242">
        <v>185</v>
      </c>
      <c r="Z310" s="246">
        <v>0</v>
      </c>
      <c r="AA310" s="247">
        <v>0</v>
      </c>
      <c r="AB310" s="247">
        <v>0</v>
      </c>
      <c r="AC310" s="241"/>
      <c r="AD310" s="241"/>
      <c r="AE310" s="242">
        <v>0</v>
      </c>
      <c r="AF310" s="243">
        <f t="shared" si="6"/>
        <v>185</v>
      </c>
      <c r="AG310" s="67"/>
      <c r="AH310" s="68"/>
    </row>
    <row r="311" spans="1:34" s="18" customFormat="1" ht="34.200000000000003" hidden="1">
      <c r="A311" s="53">
        <v>2119</v>
      </c>
      <c r="B311" s="54" t="s">
        <v>2868</v>
      </c>
      <c r="C311" s="54" t="s">
        <v>2868</v>
      </c>
      <c r="D311" s="54" t="s">
        <v>2869</v>
      </c>
      <c r="E311" s="53">
        <v>2</v>
      </c>
      <c r="F311" s="55">
        <v>6</v>
      </c>
      <c r="G311" s="56">
        <v>119</v>
      </c>
      <c r="H311" s="57" t="s">
        <v>1838</v>
      </c>
      <c r="I311" s="57" t="s">
        <v>1838</v>
      </c>
      <c r="J311" s="58">
        <v>10500101210601</v>
      </c>
      <c r="K311" s="59" t="s">
        <v>89</v>
      </c>
      <c r="L311" s="59" t="s">
        <v>63</v>
      </c>
      <c r="M311" s="59">
        <v>16</v>
      </c>
      <c r="N311" s="57" t="s">
        <v>1839</v>
      </c>
      <c r="O311" s="57" t="s">
        <v>1840</v>
      </c>
      <c r="P311" s="57" t="s">
        <v>1841</v>
      </c>
      <c r="Q311" s="57" t="s">
        <v>1842</v>
      </c>
      <c r="R311" s="228" t="s">
        <v>1843</v>
      </c>
      <c r="S311" s="231" t="s">
        <v>1844</v>
      </c>
      <c r="T311" s="246">
        <v>100</v>
      </c>
      <c r="U311" s="247">
        <v>50</v>
      </c>
      <c r="V311" s="247">
        <v>50</v>
      </c>
      <c r="W311" s="241" t="s">
        <v>2869</v>
      </c>
      <c r="X311" s="241" t="s">
        <v>2868</v>
      </c>
      <c r="Y311" s="242">
        <v>200</v>
      </c>
      <c r="Z311" s="246">
        <v>0</v>
      </c>
      <c r="AA311" s="247">
        <v>0</v>
      </c>
      <c r="AB311" s="247">
        <v>0</v>
      </c>
      <c r="AC311" s="241"/>
      <c r="AD311" s="241"/>
      <c r="AE311" s="242">
        <v>0</v>
      </c>
      <c r="AF311" s="243">
        <f t="shared" si="6"/>
        <v>200</v>
      </c>
      <c r="AG311" s="67"/>
      <c r="AH311" s="68"/>
    </row>
    <row r="312" spans="1:34" s="18" customFormat="1" ht="46.2" hidden="1">
      <c r="A312" s="53">
        <v>2120</v>
      </c>
      <c r="B312" s="54" t="s">
        <v>2868</v>
      </c>
      <c r="C312" s="54" t="s">
        <v>2868</v>
      </c>
      <c r="D312" s="54" t="s">
        <v>2870</v>
      </c>
      <c r="E312" s="53">
        <v>2</v>
      </c>
      <c r="F312" s="55">
        <v>6</v>
      </c>
      <c r="G312" s="56">
        <v>120</v>
      </c>
      <c r="H312" s="57" t="s">
        <v>1845</v>
      </c>
      <c r="I312" s="57" t="s">
        <v>1845</v>
      </c>
      <c r="J312" s="58">
        <v>10500102576301</v>
      </c>
      <c r="K312" s="59" t="s">
        <v>89</v>
      </c>
      <c r="L312" s="59" t="s">
        <v>63</v>
      </c>
      <c r="M312" s="59">
        <v>70</v>
      </c>
      <c r="N312" s="57" t="s">
        <v>1786</v>
      </c>
      <c r="O312" s="57" t="s">
        <v>1846</v>
      </c>
      <c r="P312" s="228" t="s">
        <v>1847</v>
      </c>
      <c r="Q312" s="57" t="s">
        <v>1848</v>
      </c>
      <c r="R312" s="228" t="s">
        <v>1849</v>
      </c>
      <c r="S312" s="231" t="s">
        <v>1850</v>
      </c>
      <c r="T312" s="246">
        <v>97</v>
      </c>
      <c r="U312" s="247">
        <v>203</v>
      </c>
      <c r="V312" s="247">
        <v>120</v>
      </c>
      <c r="W312" s="241" t="s">
        <v>2869</v>
      </c>
      <c r="X312" s="241" t="s">
        <v>2868</v>
      </c>
      <c r="Y312" s="242">
        <v>420</v>
      </c>
      <c r="Z312" s="246">
        <v>69</v>
      </c>
      <c r="AA312" s="247">
        <v>261</v>
      </c>
      <c r="AB312" s="247">
        <v>0</v>
      </c>
      <c r="AC312" s="241" t="s">
        <v>2866</v>
      </c>
      <c r="AD312" s="241" t="s">
        <v>2868</v>
      </c>
      <c r="AE312" s="242">
        <v>330</v>
      </c>
      <c r="AF312" s="243">
        <f t="shared" si="6"/>
        <v>750</v>
      </c>
      <c r="AG312" s="67"/>
      <c r="AH312" s="68"/>
    </row>
    <row r="313" spans="1:34" s="18" customFormat="1" ht="46.2" hidden="1">
      <c r="A313" s="53">
        <v>2121</v>
      </c>
      <c r="B313" s="54" t="s">
        <v>2868</v>
      </c>
      <c r="C313" s="54" t="s">
        <v>2868</v>
      </c>
      <c r="D313" s="54" t="s">
        <v>2870</v>
      </c>
      <c r="E313" s="53">
        <v>2</v>
      </c>
      <c r="F313" s="55">
        <v>6</v>
      </c>
      <c r="G313" s="56">
        <v>121</v>
      </c>
      <c r="H313" s="57" t="s">
        <v>1851</v>
      </c>
      <c r="I313" s="57" t="s">
        <v>1851</v>
      </c>
      <c r="J313" s="58">
        <v>10500101160601</v>
      </c>
      <c r="K313" s="59" t="s">
        <v>89</v>
      </c>
      <c r="L313" s="59" t="s">
        <v>63</v>
      </c>
      <c r="M313" s="59">
        <v>70</v>
      </c>
      <c r="N313" s="57" t="s">
        <v>1852</v>
      </c>
      <c r="O313" s="57" t="s">
        <v>1853</v>
      </c>
      <c r="P313" s="228" t="s">
        <v>1854</v>
      </c>
      <c r="Q313" s="228" t="s">
        <v>1855</v>
      </c>
      <c r="R313" s="228" t="s">
        <v>1856</v>
      </c>
      <c r="S313" s="231" t="s">
        <v>1857</v>
      </c>
      <c r="T313" s="246">
        <v>150</v>
      </c>
      <c r="U313" s="247">
        <v>200</v>
      </c>
      <c r="V313" s="247">
        <v>100</v>
      </c>
      <c r="W313" s="241" t="s">
        <v>2869</v>
      </c>
      <c r="X313" s="241" t="s">
        <v>2868</v>
      </c>
      <c r="Y313" s="242">
        <v>450</v>
      </c>
      <c r="Z313" s="246">
        <v>57</v>
      </c>
      <c r="AA313" s="247">
        <v>220</v>
      </c>
      <c r="AB313" s="247">
        <v>173</v>
      </c>
      <c r="AC313" s="241" t="s">
        <v>2866</v>
      </c>
      <c r="AD313" s="241" t="s">
        <v>2868</v>
      </c>
      <c r="AE313" s="242">
        <v>450</v>
      </c>
      <c r="AF313" s="243">
        <f t="shared" si="6"/>
        <v>900</v>
      </c>
      <c r="AG313" s="67"/>
      <c r="AH313" s="234"/>
    </row>
    <row r="314" spans="1:34" s="18" customFormat="1" ht="46.2" hidden="1">
      <c r="A314" s="53">
        <v>2122</v>
      </c>
      <c r="B314" s="54" t="s">
        <v>2868</v>
      </c>
      <c r="C314" s="54" t="s">
        <v>2868</v>
      </c>
      <c r="D314" s="54" t="s">
        <v>2869</v>
      </c>
      <c r="E314" s="53">
        <v>2</v>
      </c>
      <c r="F314" s="55">
        <v>6</v>
      </c>
      <c r="G314" s="56">
        <v>122</v>
      </c>
      <c r="H314" s="57" t="s">
        <v>1858</v>
      </c>
      <c r="I314" s="57" t="s">
        <v>1858</v>
      </c>
      <c r="J314" s="58">
        <v>10500101160602</v>
      </c>
      <c r="K314" s="59" t="s">
        <v>89</v>
      </c>
      <c r="L314" s="59" t="s">
        <v>63</v>
      </c>
      <c r="M314" s="59">
        <v>70</v>
      </c>
      <c r="N314" s="57" t="s">
        <v>1859</v>
      </c>
      <c r="O314" s="57" t="s">
        <v>1860</v>
      </c>
      <c r="P314" s="228" t="s">
        <v>1861</v>
      </c>
      <c r="Q314" s="228" t="s">
        <v>1862</v>
      </c>
      <c r="R314" s="228" t="s">
        <v>1863</v>
      </c>
      <c r="S314" s="231" t="s">
        <v>1864</v>
      </c>
      <c r="T314" s="246">
        <v>120</v>
      </c>
      <c r="U314" s="247">
        <v>40</v>
      </c>
      <c r="V314" s="247">
        <v>0</v>
      </c>
      <c r="W314" s="241" t="s">
        <v>2869</v>
      </c>
      <c r="X314" s="241" t="s">
        <v>2868</v>
      </c>
      <c r="Y314" s="242">
        <v>160</v>
      </c>
      <c r="Z314" s="246">
        <v>0</v>
      </c>
      <c r="AA314" s="247">
        <v>0</v>
      </c>
      <c r="AB314" s="247">
        <v>0</v>
      </c>
      <c r="AC314" s="241"/>
      <c r="AD314" s="241"/>
      <c r="AE314" s="242">
        <v>0</v>
      </c>
      <c r="AF314" s="243">
        <f t="shared" si="6"/>
        <v>160</v>
      </c>
      <c r="AG314" s="67"/>
      <c r="AH314" s="234"/>
    </row>
    <row r="315" spans="1:34" s="18" customFormat="1" ht="46.2" hidden="1">
      <c r="A315" s="53">
        <v>2123</v>
      </c>
      <c r="B315" s="54" t="s">
        <v>2868</v>
      </c>
      <c r="C315" s="54" t="s">
        <v>2868</v>
      </c>
      <c r="D315" s="54" t="s">
        <v>2869</v>
      </c>
      <c r="E315" s="53">
        <v>2</v>
      </c>
      <c r="F315" s="55">
        <v>6</v>
      </c>
      <c r="G315" s="56">
        <v>123</v>
      </c>
      <c r="H315" s="57" t="s">
        <v>1865</v>
      </c>
      <c r="I315" s="57" t="s">
        <v>1865</v>
      </c>
      <c r="J315" s="58">
        <v>20500100652601</v>
      </c>
      <c r="K315" s="59" t="s">
        <v>89</v>
      </c>
      <c r="L315" s="68"/>
      <c r="M315" s="59">
        <v>70</v>
      </c>
      <c r="N315" s="57" t="s">
        <v>1859</v>
      </c>
      <c r="O315" s="57" t="s">
        <v>1866</v>
      </c>
      <c r="P315" s="228" t="s">
        <v>1867</v>
      </c>
      <c r="Q315" s="228" t="s">
        <v>1868</v>
      </c>
      <c r="R315" s="228" t="s">
        <v>1869</v>
      </c>
      <c r="S315" s="231" t="s">
        <v>1870</v>
      </c>
      <c r="T315" s="246">
        <v>63</v>
      </c>
      <c r="U315" s="247">
        <v>120</v>
      </c>
      <c r="V315" s="247">
        <v>23</v>
      </c>
      <c r="W315" s="241" t="s">
        <v>2869</v>
      </c>
      <c r="X315" s="241" t="s">
        <v>2868</v>
      </c>
      <c r="Y315" s="242">
        <v>206</v>
      </c>
      <c r="Z315" s="246">
        <v>0</v>
      </c>
      <c r="AA315" s="247">
        <v>0</v>
      </c>
      <c r="AB315" s="247">
        <v>0</v>
      </c>
      <c r="AC315" s="241"/>
      <c r="AD315" s="241"/>
      <c r="AE315" s="242">
        <v>0</v>
      </c>
      <c r="AF315" s="243">
        <f t="shared" si="6"/>
        <v>206</v>
      </c>
      <c r="AG315" s="67"/>
      <c r="AH315" s="234"/>
    </row>
    <row r="316" spans="1:34" s="18" customFormat="1" ht="46.2" hidden="1">
      <c r="A316" s="53">
        <v>2124</v>
      </c>
      <c r="B316" s="54" t="s">
        <v>2868</v>
      </c>
      <c r="C316" s="54" t="s">
        <v>2868</v>
      </c>
      <c r="D316" s="54" t="s">
        <v>2869</v>
      </c>
      <c r="E316" s="53">
        <v>2</v>
      </c>
      <c r="F316" s="55">
        <v>6</v>
      </c>
      <c r="G316" s="56">
        <v>124</v>
      </c>
      <c r="H316" s="57" t="s">
        <v>1871</v>
      </c>
      <c r="I316" s="57" t="s">
        <v>1871</v>
      </c>
      <c r="J316" s="58">
        <v>20500100652602</v>
      </c>
      <c r="K316" s="59" t="s">
        <v>89</v>
      </c>
      <c r="L316" s="68"/>
      <c r="M316" s="59">
        <v>70</v>
      </c>
      <c r="N316" s="57" t="s">
        <v>1872</v>
      </c>
      <c r="O316" s="57" t="s">
        <v>1866</v>
      </c>
      <c r="P316" s="228" t="s">
        <v>1873</v>
      </c>
      <c r="Q316" s="228" t="s">
        <v>1868</v>
      </c>
      <c r="R316" s="228" t="s">
        <v>1874</v>
      </c>
      <c r="S316" s="231" t="s">
        <v>1875</v>
      </c>
      <c r="T316" s="246">
        <v>24</v>
      </c>
      <c r="U316" s="247">
        <v>16</v>
      </c>
      <c r="V316" s="247">
        <v>0</v>
      </c>
      <c r="W316" s="241" t="s">
        <v>2869</v>
      </c>
      <c r="X316" s="241" t="s">
        <v>2868</v>
      </c>
      <c r="Y316" s="242">
        <v>40</v>
      </c>
      <c r="Z316" s="246">
        <v>0</v>
      </c>
      <c r="AA316" s="247">
        <v>0</v>
      </c>
      <c r="AB316" s="247">
        <v>0</v>
      </c>
      <c r="AC316" s="241"/>
      <c r="AD316" s="241"/>
      <c r="AE316" s="242">
        <v>0</v>
      </c>
      <c r="AF316" s="243">
        <f t="shared" si="6"/>
        <v>40</v>
      </c>
      <c r="AG316" s="67"/>
      <c r="AH316" s="234"/>
    </row>
    <row r="317" spans="1:34" s="18" customFormat="1" ht="57.6" hidden="1">
      <c r="A317" s="53">
        <v>2125</v>
      </c>
      <c r="B317" s="54" t="s">
        <v>2868</v>
      </c>
      <c r="C317" s="54" t="s">
        <v>2868</v>
      </c>
      <c r="D317" s="54" t="s">
        <v>2869</v>
      </c>
      <c r="E317" s="53">
        <v>2</v>
      </c>
      <c r="F317" s="55">
        <v>6</v>
      </c>
      <c r="G317" s="56">
        <v>125</v>
      </c>
      <c r="H317" s="57" t="s">
        <v>1876</v>
      </c>
      <c r="I317" s="57" t="s">
        <v>1876</v>
      </c>
      <c r="J317" s="58">
        <v>20500100991601</v>
      </c>
      <c r="K317" s="59" t="s">
        <v>89</v>
      </c>
      <c r="L317" s="68"/>
      <c r="M317" s="59">
        <v>70</v>
      </c>
      <c r="N317" s="57" t="s">
        <v>1877</v>
      </c>
      <c r="O317" s="57" t="s">
        <v>1878</v>
      </c>
      <c r="P317" s="228" t="s">
        <v>1879</v>
      </c>
      <c r="Q317" s="228" t="s">
        <v>1880</v>
      </c>
      <c r="R317" s="228" t="s">
        <v>1881</v>
      </c>
      <c r="S317" s="231" t="s">
        <v>1882</v>
      </c>
      <c r="T317" s="246">
        <v>110</v>
      </c>
      <c r="U317" s="247">
        <v>60</v>
      </c>
      <c r="V317" s="247">
        <v>0</v>
      </c>
      <c r="W317" s="241" t="s">
        <v>2869</v>
      </c>
      <c r="X317" s="241" t="s">
        <v>2868</v>
      </c>
      <c r="Y317" s="242">
        <v>170</v>
      </c>
      <c r="Z317" s="246">
        <v>0</v>
      </c>
      <c r="AA317" s="247">
        <v>0</v>
      </c>
      <c r="AB317" s="247">
        <v>0</v>
      </c>
      <c r="AC317" s="241"/>
      <c r="AD317" s="241"/>
      <c r="AE317" s="242">
        <v>0</v>
      </c>
      <c r="AF317" s="243">
        <f t="shared" si="6"/>
        <v>170</v>
      </c>
      <c r="AG317" s="67"/>
      <c r="AH317" s="234"/>
    </row>
    <row r="318" spans="1:34" s="18" customFormat="1" ht="46.2" hidden="1">
      <c r="A318" s="53">
        <v>2126</v>
      </c>
      <c r="B318" s="54" t="s">
        <v>2868</v>
      </c>
      <c r="C318" s="54" t="s">
        <v>2868</v>
      </c>
      <c r="D318" s="54" t="s">
        <v>2869</v>
      </c>
      <c r="E318" s="53">
        <v>2</v>
      </c>
      <c r="F318" s="55">
        <v>6</v>
      </c>
      <c r="G318" s="56">
        <v>126</v>
      </c>
      <c r="H318" s="57" t="s">
        <v>1883</v>
      </c>
      <c r="I318" s="57" t="s">
        <v>1883</v>
      </c>
      <c r="J318" s="58">
        <v>10500102660301</v>
      </c>
      <c r="K318" s="59" t="s">
        <v>89</v>
      </c>
      <c r="L318" s="59" t="s">
        <v>63</v>
      </c>
      <c r="M318" s="59">
        <v>70</v>
      </c>
      <c r="N318" s="57" t="s">
        <v>1884</v>
      </c>
      <c r="O318" s="57" t="s">
        <v>1866</v>
      </c>
      <c r="P318" s="228" t="s">
        <v>1885</v>
      </c>
      <c r="Q318" s="228" t="s">
        <v>1886</v>
      </c>
      <c r="R318" s="228" t="s">
        <v>1887</v>
      </c>
      <c r="S318" s="231" t="s">
        <v>1888</v>
      </c>
      <c r="T318" s="246">
        <v>110</v>
      </c>
      <c r="U318" s="247">
        <v>179</v>
      </c>
      <c r="V318" s="247">
        <v>81</v>
      </c>
      <c r="W318" s="241" t="s">
        <v>2869</v>
      </c>
      <c r="X318" s="241" t="s">
        <v>2868</v>
      </c>
      <c r="Y318" s="242">
        <v>370</v>
      </c>
      <c r="Z318" s="246">
        <v>0</v>
      </c>
      <c r="AA318" s="247">
        <v>0</v>
      </c>
      <c r="AB318" s="247">
        <v>0</v>
      </c>
      <c r="AC318" s="241"/>
      <c r="AD318" s="241"/>
      <c r="AE318" s="242">
        <v>0</v>
      </c>
      <c r="AF318" s="243">
        <f t="shared" si="6"/>
        <v>370</v>
      </c>
      <c r="AG318" s="67"/>
      <c r="AH318" s="234"/>
    </row>
    <row r="319" spans="1:34" s="18" customFormat="1" ht="57.6" hidden="1">
      <c r="A319" s="53">
        <v>2127</v>
      </c>
      <c r="B319" s="54" t="s">
        <v>2868</v>
      </c>
      <c r="C319" s="54" t="s">
        <v>2868</v>
      </c>
      <c r="D319" s="54" t="s">
        <v>2869</v>
      </c>
      <c r="E319" s="53">
        <v>2</v>
      </c>
      <c r="F319" s="55">
        <v>6</v>
      </c>
      <c r="G319" s="56">
        <v>127</v>
      </c>
      <c r="H319" s="57" t="s">
        <v>1889</v>
      </c>
      <c r="I319" s="57" t="s">
        <v>1889</v>
      </c>
      <c r="J319" s="58">
        <v>20500100991603</v>
      </c>
      <c r="K319" s="59" t="s">
        <v>89</v>
      </c>
      <c r="L319" s="68"/>
      <c r="M319" s="59">
        <v>70</v>
      </c>
      <c r="N319" s="57" t="s">
        <v>1890</v>
      </c>
      <c r="O319" s="57" t="s">
        <v>1866</v>
      </c>
      <c r="P319" s="228" t="s">
        <v>1891</v>
      </c>
      <c r="Q319" s="228" t="s">
        <v>1880</v>
      </c>
      <c r="R319" s="228" t="s">
        <v>1892</v>
      </c>
      <c r="S319" s="229" t="s">
        <v>1893</v>
      </c>
      <c r="T319" s="246">
        <v>13</v>
      </c>
      <c r="U319" s="247">
        <v>13</v>
      </c>
      <c r="V319" s="247">
        <v>0</v>
      </c>
      <c r="W319" s="241" t="s">
        <v>2869</v>
      </c>
      <c r="X319" s="241" t="s">
        <v>2868</v>
      </c>
      <c r="Y319" s="242">
        <v>26</v>
      </c>
      <c r="Z319" s="246">
        <v>0</v>
      </c>
      <c r="AA319" s="247">
        <v>0</v>
      </c>
      <c r="AB319" s="247">
        <v>0</v>
      </c>
      <c r="AC319" s="241"/>
      <c r="AD319" s="241"/>
      <c r="AE319" s="242">
        <v>0</v>
      </c>
      <c r="AF319" s="243">
        <f t="shared" si="6"/>
        <v>26</v>
      </c>
      <c r="AG319" s="67"/>
      <c r="AH319" s="234"/>
    </row>
    <row r="320" spans="1:34" s="18" customFormat="1" ht="28.8" hidden="1">
      <c r="A320" s="53">
        <v>2128</v>
      </c>
      <c r="B320" s="54" t="s">
        <v>2868</v>
      </c>
      <c r="C320" s="54" t="s">
        <v>2868</v>
      </c>
      <c r="D320" s="54" t="s">
        <v>2869</v>
      </c>
      <c r="E320" s="53">
        <v>2</v>
      </c>
      <c r="F320" s="55">
        <v>6</v>
      </c>
      <c r="G320" s="56">
        <v>128</v>
      </c>
      <c r="H320" s="57" t="s">
        <v>1894</v>
      </c>
      <c r="I320" s="57" t="s">
        <v>1894</v>
      </c>
      <c r="J320" s="58">
        <v>20500100276802</v>
      </c>
      <c r="K320" s="59" t="s">
        <v>89</v>
      </c>
      <c r="L320" s="68"/>
      <c r="M320" s="59">
        <v>80</v>
      </c>
      <c r="N320" s="57" t="s">
        <v>1895</v>
      </c>
      <c r="O320" s="57" t="s">
        <v>1896</v>
      </c>
      <c r="P320" s="57">
        <v>3224346</v>
      </c>
      <c r="Q320" s="57" t="s">
        <v>1897</v>
      </c>
      <c r="R320" s="57" t="s">
        <v>1898</v>
      </c>
      <c r="S320" s="61" t="s">
        <v>1899</v>
      </c>
      <c r="T320" s="246">
        <v>32</v>
      </c>
      <c r="U320" s="247">
        <v>16</v>
      </c>
      <c r="V320" s="247">
        <v>0</v>
      </c>
      <c r="W320" s="241" t="s">
        <v>2869</v>
      </c>
      <c r="X320" s="241" t="s">
        <v>2868</v>
      </c>
      <c r="Y320" s="242">
        <v>48</v>
      </c>
      <c r="Z320" s="246">
        <v>0</v>
      </c>
      <c r="AA320" s="247">
        <v>0</v>
      </c>
      <c r="AB320" s="247">
        <v>0</v>
      </c>
      <c r="AC320" s="241"/>
      <c r="AD320" s="241"/>
      <c r="AE320" s="242">
        <v>0</v>
      </c>
      <c r="AF320" s="243">
        <f t="shared" si="6"/>
        <v>48</v>
      </c>
      <c r="AG320" s="67"/>
      <c r="AH320" s="234"/>
    </row>
    <row r="321" spans="1:34" s="18" customFormat="1" ht="28.8" hidden="1">
      <c r="A321" s="53">
        <v>2129</v>
      </c>
      <c r="B321" s="54" t="s">
        <v>2868</v>
      </c>
      <c r="C321" s="54" t="s">
        <v>2868</v>
      </c>
      <c r="D321" s="54" t="s">
        <v>2869</v>
      </c>
      <c r="E321" s="53">
        <v>2</v>
      </c>
      <c r="F321" s="55">
        <v>6</v>
      </c>
      <c r="G321" s="56">
        <v>129</v>
      </c>
      <c r="H321" s="57" t="s">
        <v>1900</v>
      </c>
      <c r="I321" s="57" t="s">
        <v>1900</v>
      </c>
      <c r="J321" s="58">
        <v>20500100276806</v>
      </c>
      <c r="K321" s="59" t="s">
        <v>89</v>
      </c>
      <c r="L321" s="68"/>
      <c r="M321" s="59">
        <v>80</v>
      </c>
      <c r="N321" s="57" t="s">
        <v>1901</v>
      </c>
      <c r="O321" s="57" t="s">
        <v>1896</v>
      </c>
      <c r="P321" s="57">
        <v>3028518</v>
      </c>
      <c r="Q321" s="57" t="s">
        <v>1897</v>
      </c>
      <c r="R321" s="57" t="s">
        <v>1902</v>
      </c>
      <c r="S321" s="61" t="s">
        <v>1903</v>
      </c>
      <c r="T321" s="246">
        <v>22</v>
      </c>
      <c r="U321" s="247">
        <v>10</v>
      </c>
      <c r="V321" s="247">
        <v>0</v>
      </c>
      <c r="W321" s="241" t="s">
        <v>2869</v>
      </c>
      <c r="X321" s="241" t="s">
        <v>2868</v>
      </c>
      <c r="Y321" s="242">
        <v>32</v>
      </c>
      <c r="Z321" s="246">
        <v>0</v>
      </c>
      <c r="AA321" s="247">
        <v>0</v>
      </c>
      <c r="AB321" s="247">
        <v>0</v>
      </c>
      <c r="AC321" s="241"/>
      <c r="AD321" s="241"/>
      <c r="AE321" s="242">
        <v>0</v>
      </c>
      <c r="AF321" s="243">
        <f t="shared" si="6"/>
        <v>32</v>
      </c>
      <c r="AG321" s="67"/>
      <c r="AH321" s="234"/>
    </row>
    <row r="322" spans="1:34" s="18" customFormat="1" ht="34.200000000000003" hidden="1">
      <c r="A322" s="53">
        <v>2130</v>
      </c>
      <c r="B322" s="54" t="s">
        <v>2868</v>
      </c>
      <c r="C322" s="54" t="s">
        <v>2868</v>
      </c>
      <c r="D322" s="54" t="s">
        <v>2870</v>
      </c>
      <c r="E322" s="53">
        <v>2</v>
      </c>
      <c r="F322" s="55">
        <v>6</v>
      </c>
      <c r="G322" s="56">
        <v>130</v>
      </c>
      <c r="H322" s="57" t="s">
        <v>1904</v>
      </c>
      <c r="I322" s="57" t="s">
        <v>1904</v>
      </c>
      <c r="J322" s="58">
        <v>20500101253403</v>
      </c>
      <c r="K322" s="59" t="s">
        <v>89</v>
      </c>
      <c r="L322" s="68"/>
      <c r="M322" s="59">
        <v>80</v>
      </c>
      <c r="N322" s="57" t="s">
        <v>1905</v>
      </c>
      <c r="O322" s="57" t="s">
        <v>1906</v>
      </c>
      <c r="P322" s="57">
        <v>2860139</v>
      </c>
      <c r="Q322" s="57" t="s">
        <v>1907</v>
      </c>
      <c r="R322" s="57" t="s">
        <v>1908</v>
      </c>
      <c r="S322" s="61" t="s">
        <v>1909</v>
      </c>
      <c r="T322" s="246">
        <v>100</v>
      </c>
      <c r="U322" s="247">
        <v>70</v>
      </c>
      <c r="V322" s="247">
        <v>0</v>
      </c>
      <c r="W322" s="241" t="s">
        <v>2869</v>
      </c>
      <c r="X322" s="241" t="s">
        <v>2868</v>
      </c>
      <c r="Y322" s="242">
        <v>170</v>
      </c>
      <c r="Z322" s="246">
        <v>358</v>
      </c>
      <c r="AA322" s="247">
        <v>102</v>
      </c>
      <c r="AB322" s="247">
        <v>0</v>
      </c>
      <c r="AC322" s="241" t="s">
        <v>2866</v>
      </c>
      <c r="AD322" s="241" t="s">
        <v>2868</v>
      </c>
      <c r="AE322" s="242">
        <v>460</v>
      </c>
      <c r="AF322" s="243">
        <f t="shared" si="6"/>
        <v>630</v>
      </c>
      <c r="AG322" s="67"/>
      <c r="AH322" s="234"/>
    </row>
    <row r="323" spans="1:34" s="18" customFormat="1" ht="28.8" hidden="1">
      <c r="A323" s="53">
        <v>2131</v>
      </c>
      <c r="B323" s="54" t="s">
        <v>2868</v>
      </c>
      <c r="C323" s="54" t="s">
        <v>2868</v>
      </c>
      <c r="D323" s="54" t="s">
        <v>2869</v>
      </c>
      <c r="E323" s="53">
        <v>2</v>
      </c>
      <c r="F323" s="55">
        <v>6</v>
      </c>
      <c r="G323" s="56">
        <v>131</v>
      </c>
      <c r="H323" s="299" t="s">
        <v>1910</v>
      </c>
      <c r="I323" s="57" t="s">
        <v>1910</v>
      </c>
      <c r="J323" s="58">
        <v>20500100276805</v>
      </c>
      <c r="K323" s="59" t="s">
        <v>89</v>
      </c>
      <c r="L323" s="300"/>
      <c r="M323" s="59">
        <v>80</v>
      </c>
      <c r="N323" s="57" t="s">
        <v>1911</v>
      </c>
      <c r="O323" s="57" t="s">
        <v>1912</v>
      </c>
      <c r="P323" s="57">
        <v>2863725</v>
      </c>
      <c r="Q323" s="57" t="s">
        <v>1897</v>
      </c>
      <c r="R323" s="57" t="s">
        <v>1913</v>
      </c>
      <c r="S323" s="61" t="s">
        <v>1899</v>
      </c>
      <c r="T323" s="246">
        <v>25</v>
      </c>
      <c r="U323" s="247">
        <v>20</v>
      </c>
      <c r="V323" s="247">
        <v>0</v>
      </c>
      <c r="W323" s="241" t="s">
        <v>2869</v>
      </c>
      <c r="X323" s="241" t="s">
        <v>2868</v>
      </c>
      <c r="Y323" s="242">
        <v>45</v>
      </c>
      <c r="Z323" s="246">
        <v>0</v>
      </c>
      <c r="AA323" s="247">
        <v>0</v>
      </c>
      <c r="AB323" s="247">
        <v>0</v>
      </c>
      <c r="AC323" s="241"/>
      <c r="AD323" s="241"/>
      <c r="AE323" s="242">
        <v>0</v>
      </c>
      <c r="AF323" s="243">
        <f t="shared" ref="AF323:AF386" si="7">+Y323+AE323</f>
        <v>45</v>
      </c>
      <c r="AG323" s="67"/>
      <c r="AH323" s="68"/>
    </row>
    <row r="324" spans="1:34" s="18" customFormat="1" ht="34.200000000000003" hidden="1">
      <c r="A324" s="53">
        <v>2132</v>
      </c>
      <c r="B324" s="54" t="s">
        <v>2868</v>
      </c>
      <c r="C324" s="54" t="s">
        <v>2868</v>
      </c>
      <c r="D324" s="54" t="s">
        <v>2870</v>
      </c>
      <c r="E324" s="53">
        <v>2</v>
      </c>
      <c r="F324" s="55">
        <v>6</v>
      </c>
      <c r="G324" s="56">
        <v>132</v>
      </c>
      <c r="H324" s="226" t="s">
        <v>1914</v>
      </c>
      <c r="I324" s="57" t="s">
        <v>1914</v>
      </c>
      <c r="J324" s="58">
        <v>10500102579801</v>
      </c>
      <c r="K324" s="59" t="s">
        <v>89</v>
      </c>
      <c r="L324" s="233" t="s">
        <v>63</v>
      </c>
      <c r="M324" s="59">
        <v>80</v>
      </c>
      <c r="N324" s="57" t="s">
        <v>1915</v>
      </c>
      <c r="O324" s="57" t="s">
        <v>1916</v>
      </c>
      <c r="P324" s="57" t="s">
        <v>1917</v>
      </c>
      <c r="Q324" s="57" t="s">
        <v>1918</v>
      </c>
      <c r="R324" s="57" t="s">
        <v>1919</v>
      </c>
      <c r="S324" s="61" t="s">
        <v>1920</v>
      </c>
      <c r="T324" s="246">
        <v>132</v>
      </c>
      <c r="U324" s="247">
        <v>126</v>
      </c>
      <c r="V324" s="247">
        <v>117</v>
      </c>
      <c r="W324" s="241" t="s">
        <v>2869</v>
      </c>
      <c r="X324" s="241" t="s">
        <v>2868</v>
      </c>
      <c r="Y324" s="242">
        <v>375</v>
      </c>
      <c r="Z324" s="246">
        <v>86</v>
      </c>
      <c r="AA324" s="247">
        <v>404</v>
      </c>
      <c r="AB324" s="247">
        <v>110</v>
      </c>
      <c r="AC324" s="241" t="s">
        <v>2866</v>
      </c>
      <c r="AD324" s="241" t="s">
        <v>2868</v>
      </c>
      <c r="AE324" s="242">
        <v>600</v>
      </c>
      <c r="AF324" s="243">
        <f t="shared" si="7"/>
        <v>975</v>
      </c>
      <c r="AG324" s="59"/>
      <c r="AH324" s="234"/>
    </row>
    <row r="325" spans="1:34" s="18" customFormat="1" ht="34.200000000000003" hidden="1">
      <c r="A325" s="53">
        <v>2133</v>
      </c>
      <c r="B325" s="54" t="s">
        <v>2868</v>
      </c>
      <c r="C325" s="54" t="s">
        <v>2868</v>
      </c>
      <c r="D325" s="54" t="s">
        <v>2870</v>
      </c>
      <c r="E325" s="53">
        <v>2</v>
      </c>
      <c r="F325" s="55">
        <v>6</v>
      </c>
      <c r="G325" s="56">
        <v>133</v>
      </c>
      <c r="H325" s="226" t="s">
        <v>1921</v>
      </c>
      <c r="I325" s="57" t="s">
        <v>1921</v>
      </c>
      <c r="J325" s="58">
        <v>10500102579802</v>
      </c>
      <c r="K325" s="59" t="s">
        <v>89</v>
      </c>
      <c r="L325" s="233" t="s">
        <v>63</v>
      </c>
      <c r="M325" s="59">
        <v>80</v>
      </c>
      <c r="N325" s="57" t="s">
        <v>1922</v>
      </c>
      <c r="O325" s="57" t="s">
        <v>1923</v>
      </c>
      <c r="P325" s="57" t="s">
        <v>1924</v>
      </c>
      <c r="Q325" s="57" t="s">
        <v>1918</v>
      </c>
      <c r="R325" s="57" t="s">
        <v>1925</v>
      </c>
      <c r="S325" s="61" t="s">
        <v>1926</v>
      </c>
      <c r="T325" s="246">
        <v>149</v>
      </c>
      <c r="U325" s="247">
        <v>53</v>
      </c>
      <c r="V325" s="247">
        <v>0</v>
      </c>
      <c r="W325" s="241" t="s">
        <v>2869</v>
      </c>
      <c r="X325" s="241" t="s">
        <v>2868</v>
      </c>
      <c r="Y325" s="242">
        <v>202</v>
      </c>
      <c r="Z325" s="246">
        <v>88</v>
      </c>
      <c r="AA325" s="247">
        <v>91</v>
      </c>
      <c r="AB325" s="247">
        <v>0</v>
      </c>
      <c r="AC325" s="241" t="s">
        <v>2866</v>
      </c>
      <c r="AD325" s="241" t="s">
        <v>2868</v>
      </c>
      <c r="AE325" s="242">
        <v>179</v>
      </c>
      <c r="AF325" s="243">
        <f t="shared" si="7"/>
        <v>381</v>
      </c>
      <c r="AG325" s="67"/>
      <c r="AH325" s="68"/>
    </row>
    <row r="326" spans="1:34" s="18" customFormat="1" ht="57" hidden="1">
      <c r="A326" s="53">
        <v>2134</v>
      </c>
      <c r="B326" s="54" t="s">
        <v>2868</v>
      </c>
      <c r="C326" s="54" t="s">
        <v>2868</v>
      </c>
      <c r="D326" s="54" t="s">
        <v>2870</v>
      </c>
      <c r="E326" s="53">
        <v>2</v>
      </c>
      <c r="F326" s="55">
        <v>6</v>
      </c>
      <c r="G326" s="56">
        <v>134</v>
      </c>
      <c r="H326" s="226" t="s">
        <v>1927</v>
      </c>
      <c r="I326" s="57" t="s">
        <v>1927</v>
      </c>
      <c r="J326" s="58">
        <v>20500100167201</v>
      </c>
      <c r="K326" s="59" t="s">
        <v>89</v>
      </c>
      <c r="L326" s="227"/>
      <c r="M326" s="59">
        <v>80</v>
      </c>
      <c r="N326" s="57" t="s">
        <v>1928</v>
      </c>
      <c r="O326" s="57" t="s">
        <v>1929</v>
      </c>
      <c r="P326" s="57">
        <v>2860010</v>
      </c>
      <c r="Q326" s="57" t="s">
        <v>1930</v>
      </c>
      <c r="R326" s="57" t="s">
        <v>1931</v>
      </c>
      <c r="S326" s="61" t="s">
        <v>1932</v>
      </c>
      <c r="T326" s="246">
        <v>190</v>
      </c>
      <c r="U326" s="247">
        <v>170</v>
      </c>
      <c r="V326" s="247">
        <v>60</v>
      </c>
      <c r="W326" s="241" t="s">
        <v>2869</v>
      </c>
      <c r="X326" s="241" t="s">
        <v>2868</v>
      </c>
      <c r="Y326" s="242">
        <v>420</v>
      </c>
      <c r="Z326" s="246">
        <v>60</v>
      </c>
      <c r="AA326" s="247">
        <v>400</v>
      </c>
      <c r="AB326" s="247">
        <v>190</v>
      </c>
      <c r="AC326" s="241" t="s">
        <v>2866</v>
      </c>
      <c r="AD326" s="241" t="s">
        <v>2868</v>
      </c>
      <c r="AE326" s="242">
        <v>650</v>
      </c>
      <c r="AF326" s="243">
        <f t="shared" si="7"/>
        <v>1070</v>
      </c>
      <c r="AG326" s="67"/>
      <c r="AH326" s="234"/>
    </row>
    <row r="327" spans="1:34" s="18" customFormat="1" ht="28.8" hidden="1">
      <c r="A327" s="53">
        <v>2135</v>
      </c>
      <c r="B327" s="54" t="s">
        <v>2868</v>
      </c>
      <c r="C327" s="54" t="s">
        <v>2868</v>
      </c>
      <c r="D327" s="54" t="s">
        <v>2870</v>
      </c>
      <c r="E327" s="53">
        <v>2</v>
      </c>
      <c r="F327" s="55">
        <v>6</v>
      </c>
      <c r="G327" s="56">
        <v>135</v>
      </c>
      <c r="H327" s="226" t="s">
        <v>1933</v>
      </c>
      <c r="I327" s="57" t="s">
        <v>1933</v>
      </c>
      <c r="J327" s="58">
        <v>20500101931801</v>
      </c>
      <c r="K327" s="59" t="s">
        <v>89</v>
      </c>
      <c r="L327" s="233" t="s">
        <v>63</v>
      </c>
      <c r="M327" s="59">
        <v>80</v>
      </c>
      <c r="N327" s="57" t="s">
        <v>1934</v>
      </c>
      <c r="O327" s="57" t="s">
        <v>1935</v>
      </c>
      <c r="P327" s="57" t="s">
        <v>1936</v>
      </c>
      <c r="Q327" s="57" t="s">
        <v>1937</v>
      </c>
      <c r="R327" s="57" t="s">
        <v>1938</v>
      </c>
      <c r="S327" s="61" t="s">
        <v>1939</v>
      </c>
      <c r="T327" s="246">
        <v>202</v>
      </c>
      <c r="U327" s="247">
        <v>257</v>
      </c>
      <c r="V327" s="247">
        <v>100</v>
      </c>
      <c r="W327" s="241" t="s">
        <v>2869</v>
      </c>
      <c r="X327" s="241" t="s">
        <v>2868</v>
      </c>
      <c r="Y327" s="242">
        <v>559</v>
      </c>
      <c r="Z327" s="246">
        <v>22</v>
      </c>
      <c r="AA327" s="247">
        <v>203</v>
      </c>
      <c r="AB327" s="247">
        <v>170</v>
      </c>
      <c r="AC327" s="241" t="s">
        <v>2866</v>
      </c>
      <c r="AD327" s="241" t="s">
        <v>2868</v>
      </c>
      <c r="AE327" s="242">
        <v>395</v>
      </c>
      <c r="AF327" s="243">
        <f t="shared" si="7"/>
        <v>954</v>
      </c>
      <c r="AG327" s="67"/>
      <c r="AH327" s="68"/>
    </row>
    <row r="328" spans="1:34" s="18" customFormat="1" ht="28.8" hidden="1">
      <c r="A328" s="53">
        <v>2136</v>
      </c>
      <c r="B328" s="54" t="s">
        <v>2868</v>
      </c>
      <c r="C328" s="54" t="s">
        <v>2868</v>
      </c>
      <c r="D328" s="54" t="s">
        <v>2870</v>
      </c>
      <c r="E328" s="53">
        <v>2</v>
      </c>
      <c r="F328" s="55">
        <v>6</v>
      </c>
      <c r="G328" s="56">
        <v>136</v>
      </c>
      <c r="H328" s="226" t="s">
        <v>1940</v>
      </c>
      <c r="I328" s="57" t="s">
        <v>1940</v>
      </c>
      <c r="J328" s="58">
        <v>20500101931802</v>
      </c>
      <c r="K328" s="59" t="s">
        <v>89</v>
      </c>
      <c r="L328" s="233" t="s">
        <v>63</v>
      </c>
      <c r="M328" s="59">
        <v>80</v>
      </c>
      <c r="N328" s="57" t="s">
        <v>1941</v>
      </c>
      <c r="O328" s="57" t="s">
        <v>1942</v>
      </c>
      <c r="P328" s="57" t="s">
        <v>1943</v>
      </c>
      <c r="Q328" s="57" t="s">
        <v>1944</v>
      </c>
      <c r="R328" s="57" t="s">
        <v>1945</v>
      </c>
      <c r="S328" s="61" t="s">
        <v>502</v>
      </c>
      <c r="T328" s="246">
        <v>112</v>
      </c>
      <c r="U328" s="247">
        <v>70</v>
      </c>
      <c r="V328" s="247">
        <v>30</v>
      </c>
      <c r="W328" s="241" t="s">
        <v>2869</v>
      </c>
      <c r="X328" s="241" t="s">
        <v>2868</v>
      </c>
      <c r="Y328" s="242">
        <v>212</v>
      </c>
      <c r="Z328" s="246">
        <v>0</v>
      </c>
      <c r="AA328" s="247">
        <v>95</v>
      </c>
      <c r="AB328" s="247">
        <v>73</v>
      </c>
      <c r="AC328" s="241" t="s">
        <v>2866</v>
      </c>
      <c r="AD328" s="241" t="s">
        <v>2868</v>
      </c>
      <c r="AE328" s="242">
        <v>168</v>
      </c>
      <c r="AF328" s="243">
        <f t="shared" si="7"/>
        <v>380</v>
      </c>
      <c r="AG328" s="67"/>
      <c r="AH328" s="68"/>
    </row>
    <row r="329" spans="1:34" s="18" customFormat="1" ht="45.6" hidden="1">
      <c r="A329" s="53">
        <v>2137</v>
      </c>
      <c r="B329" s="54" t="s">
        <v>2868</v>
      </c>
      <c r="C329" s="54" t="s">
        <v>2868</v>
      </c>
      <c r="D329" s="54" t="s">
        <v>2869</v>
      </c>
      <c r="E329" s="53">
        <v>2</v>
      </c>
      <c r="F329" s="55">
        <v>6</v>
      </c>
      <c r="G329" s="56">
        <v>137</v>
      </c>
      <c r="H329" s="226" t="s">
        <v>1946</v>
      </c>
      <c r="I329" s="57" t="s">
        <v>1946</v>
      </c>
      <c r="J329" s="58">
        <v>20500101874501</v>
      </c>
      <c r="K329" s="59" t="s">
        <v>89</v>
      </c>
      <c r="L329" s="227"/>
      <c r="M329" s="59">
        <v>80</v>
      </c>
      <c r="N329" s="57" t="s">
        <v>1947</v>
      </c>
      <c r="O329" s="57" t="s">
        <v>1948</v>
      </c>
      <c r="P329" s="57">
        <v>2862293</v>
      </c>
      <c r="Q329" s="57" t="s">
        <v>1949</v>
      </c>
      <c r="R329" s="57" t="s">
        <v>1950</v>
      </c>
      <c r="S329" s="61" t="s">
        <v>1951</v>
      </c>
      <c r="T329" s="246">
        <v>100</v>
      </c>
      <c r="U329" s="247">
        <v>110</v>
      </c>
      <c r="V329" s="247">
        <v>0</v>
      </c>
      <c r="W329" s="241" t="s">
        <v>2869</v>
      </c>
      <c r="X329" s="241" t="s">
        <v>2868</v>
      </c>
      <c r="Y329" s="242">
        <v>210</v>
      </c>
      <c r="Z329" s="246">
        <v>0</v>
      </c>
      <c r="AA329" s="247">
        <v>0</v>
      </c>
      <c r="AB329" s="247">
        <v>0</v>
      </c>
      <c r="AC329" s="241"/>
      <c r="AD329" s="241"/>
      <c r="AE329" s="242">
        <v>0</v>
      </c>
      <c r="AF329" s="243">
        <f t="shared" si="7"/>
        <v>210</v>
      </c>
      <c r="AG329" s="67"/>
      <c r="AH329" s="234"/>
    </row>
    <row r="330" spans="1:34" s="18" customFormat="1" ht="28.8" hidden="1">
      <c r="A330" s="53">
        <v>2138</v>
      </c>
      <c r="B330" s="54" t="s">
        <v>2868</v>
      </c>
      <c r="C330" s="54" t="s">
        <v>2868</v>
      </c>
      <c r="D330" s="54" t="s">
        <v>2869</v>
      </c>
      <c r="E330" s="53">
        <v>2</v>
      </c>
      <c r="F330" s="55">
        <v>6</v>
      </c>
      <c r="G330" s="56">
        <v>138</v>
      </c>
      <c r="H330" s="226" t="s">
        <v>1952</v>
      </c>
      <c r="I330" s="57" t="s">
        <v>1952</v>
      </c>
      <c r="J330" s="58">
        <v>10500101875902</v>
      </c>
      <c r="K330" s="59" t="s">
        <v>89</v>
      </c>
      <c r="L330" s="227"/>
      <c r="M330" s="59">
        <v>80</v>
      </c>
      <c r="N330" s="57" t="s">
        <v>1953</v>
      </c>
      <c r="O330" s="57" t="s">
        <v>1954</v>
      </c>
      <c r="P330" s="57" t="s">
        <v>1955</v>
      </c>
      <c r="Q330" s="57" t="s">
        <v>1956</v>
      </c>
      <c r="R330" s="57" t="s">
        <v>1957</v>
      </c>
      <c r="S330" s="61" t="s">
        <v>1958</v>
      </c>
      <c r="T330" s="246">
        <v>251</v>
      </c>
      <c r="U330" s="247">
        <v>53</v>
      </c>
      <c r="V330" s="247">
        <v>0</v>
      </c>
      <c r="W330" s="241" t="s">
        <v>2869</v>
      </c>
      <c r="X330" s="241" t="s">
        <v>2868</v>
      </c>
      <c r="Y330" s="242">
        <v>304</v>
      </c>
      <c r="Z330" s="246">
        <v>0</v>
      </c>
      <c r="AA330" s="247">
        <v>0</v>
      </c>
      <c r="AB330" s="247">
        <v>0</v>
      </c>
      <c r="AC330" s="241"/>
      <c r="AD330" s="241"/>
      <c r="AE330" s="242">
        <v>0</v>
      </c>
      <c r="AF330" s="243">
        <f t="shared" si="7"/>
        <v>304</v>
      </c>
      <c r="AG330" s="67"/>
      <c r="AH330" s="68"/>
    </row>
    <row r="331" spans="1:34" s="18" customFormat="1" ht="28.8" hidden="1">
      <c r="A331" s="53">
        <v>2139</v>
      </c>
      <c r="B331" s="54" t="s">
        <v>2868</v>
      </c>
      <c r="C331" s="54" t="s">
        <v>2868</v>
      </c>
      <c r="D331" s="54" t="s">
        <v>2869</v>
      </c>
      <c r="E331" s="53">
        <v>2</v>
      </c>
      <c r="F331" s="55">
        <v>6</v>
      </c>
      <c r="G331" s="56">
        <v>139</v>
      </c>
      <c r="H331" s="226" t="s">
        <v>1959</v>
      </c>
      <c r="I331" s="57" t="s">
        <v>1959</v>
      </c>
      <c r="J331" s="58">
        <v>20500100276801</v>
      </c>
      <c r="K331" s="59" t="s">
        <v>89</v>
      </c>
      <c r="L331" s="227"/>
      <c r="M331" s="59">
        <v>80</v>
      </c>
      <c r="N331" s="57" t="s">
        <v>1960</v>
      </c>
      <c r="O331" s="57" t="s">
        <v>1912</v>
      </c>
      <c r="P331" s="57">
        <v>3373048</v>
      </c>
      <c r="Q331" s="57" t="s">
        <v>1897</v>
      </c>
      <c r="R331" s="57" t="s">
        <v>1961</v>
      </c>
      <c r="S331" s="61" t="s">
        <v>1962</v>
      </c>
      <c r="T331" s="246">
        <v>46</v>
      </c>
      <c r="U331" s="247">
        <v>37</v>
      </c>
      <c r="V331" s="247">
        <v>0</v>
      </c>
      <c r="W331" s="241" t="s">
        <v>2869</v>
      </c>
      <c r="X331" s="241" t="s">
        <v>2868</v>
      </c>
      <c r="Y331" s="242">
        <v>83</v>
      </c>
      <c r="Z331" s="246">
        <v>0</v>
      </c>
      <c r="AA331" s="247">
        <v>0</v>
      </c>
      <c r="AB331" s="247">
        <v>0</v>
      </c>
      <c r="AC331" s="241"/>
      <c r="AD331" s="241"/>
      <c r="AE331" s="242">
        <v>0</v>
      </c>
      <c r="AF331" s="243">
        <f t="shared" si="7"/>
        <v>83</v>
      </c>
      <c r="AG331" s="59"/>
      <c r="AH331" s="234"/>
    </row>
    <row r="332" spans="1:34" s="18" customFormat="1" ht="34.200000000000003" hidden="1">
      <c r="A332" s="53">
        <v>2140</v>
      </c>
      <c r="B332" s="54" t="s">
        <v>2868</v>
      </c>
      <c r="C332" s="54" t="s">
        <v>2868</v>
      </c>
      <c r="D332" s="54" t="s">
        <v>2869</v>
      </c>
      <c r="E332" s="53">
        <v>2</v>
      </c>
      <c r="F332" s="55">
        <v>6</v>
      </c>
      <c r="G332" s="56">
        <v>140</v>
      </c>
      <c r="H332" s="226" t="s">
        <v>1963</v>
      </c>
      <c r="I332" s="57" t="s">
        <v>1963</v>
      </c>
      <c r="J332" s="58">
        <v>20500100276804</v>
      </c>
      <c r="K332" s="59" t="s">
        <v>89</v>
      </c>
      <c r="L332" s="227"/>
      <c r="M332" s="59">
        <v>80</v>
      </c>
      <c r="N332" s="57" t="s">
        <v>1964</v>
      </c>
      <c r="O332" s="57" t="s">
        <v>1912</v>
      </c>
      <c r="P332" s="57" t="s">
        <v>1965</v>
      </c>
      <c r="Q332" s="57" t="s">
        <v>1897</v>
      </c>
      <c r="R332" s="57" t="s">
        <v>1966</v>
      </c>
      <c r="S332" s="61" t="s">
        <v>1962</v>
      </c>
      <c r="T332" s="246">
        <v>12</v>
      </c>
      <c r="U332" s="247">
        <v>14</v>
      </c>
      <c r="V332" s="247">
        <v>0</v>
      </c>
      <c r="W332" s="241" t="s">
        <v>2869</v>
      </c>
      <c r="X332" s="241" t="s">
        <v>2868</v>
      </c>
      <c r="Y332" s="242">
        <v>26</v>
      </c>
      <c r="Z332" s="246">
        <v>0</v>
      </c>
      <c r="AA332" s="247">
        <v>0</v>
      </c>
      <c r="AB332" s="247">
        <v>0</v>
      </c>
      <c r="AC332" s="241"/>
      <c r="AD332" s="241"/>
      <c r="AE332" s="242">
        <v>0</v>
      </c>
      <c r="AF332" s="243">
        <f t="shared" si="7"/>
        <v>26</v>
      </c>
      <c r="AG332" s="67"/>
      <c r="AH332" s="234"/>
    </row>
    <row r="333" spans="1:34" s="18" customFormat="1" ht="28.8" hidden="1">
      <c r="A333" s="53">
        <v>2141</v>
      </c>
      <c r="B333" s="54" t="s">
        <v>2868</v>
      </c>
      <c r="C333" s="54" t="s">
        <v>2868</v>
      </c>
      <c r="D333" s="54" t="s">
        <v>2869</v>
      </c>
      <c r="E333" s="53">
        <v>2</v>
      </c>
      <c r="F333" s="55">
        <v>6</v>
      </c>
      <c r="G333" s="56">
        <v>141</v>
      </c>
      <c r="H333" s="226" t="s">
        <v>1967</v>
      </c>
      <c r="I333" s="57" t="s">
        <v>1967</v>
      </c>
      <c r="J333" s="58">
        <v>20500102664101</v>
      </c>
      <c r="K333" s="59" t="s">
        <v>89</v>
      </c>
      <c r="L333" s="233" t="s">
        <v>63</v>
      </c>
      <c r="M333" s="59">
        <v>80</v>
      </c>
      <c r="N333" s="57" t="s">
        <v>1928</v>
      </c>
      <c r="O333" s="57" t="s">
        <v>1968</v>
      </c>
      <c r="P333" s="57">
        <v>2865071</v>
      </c>
      <c r="Q333" s="57" t="s">
        <v>1969</v>
      </c>
      <c r="R333" s="57" t="s">
        <v>1970</v>
      </c>
      <c r="S333" s="61" t="s">
        <v>1971</v>
      </c>
      <c r="T333" s="246">
        <v>125</v>
      </c>
      <c r="U333" s="247">
        <v>181</v>
      </c>
      <c r="V333" s="247">
        <v>84</v>
      </c>
      <c r="W333" s="241" t="s">
        <v>2869</v>
      </c>
      <c r="X333" s="241" t="s">
        <v>2868</v>
      </c>
      <c r="Y333" s="242">
        <v>390</v>
      </c>
      <c r="Z333" s="246">
        <v>0</v>
      </c>
      <c r="AA333" s="247">
        <v>0</v>
      </c>
      <c r="AB333" s="247">
        <v>0</v>
      </c>
      <c r="AC333" s="241"/>
      <c r="AD333" s="241"/>
      <c r="AE333" s="242">
        <v>0</v>
      </c>
      <c r="AF333" s="243">
        <f t="shared" si="7"/>
        <v>390</v>
      </c>
      <c r="AG333" s="67"/>
      <c r="AH333" s="68"/>
    </row>
    <row r="334" spans="1:34" s="18" customFormat="1" ht="34.200000000000003" hidden="1">
      <c r="A334" s="53">
        <v>2142</v>
      </c>
      <c r="B334" s="54" t="s">
        <v>2868</v>
      </c>
      <c r="C334" s="54" t="s">
        <v>2868</v>
      </c>
      <c r="D334" s="54" t="s">
        <v>2870</v>
      </c>
      <c r="E334" s="53">
        <v>2</v>
      </c>
      <c r="F334" s="55">
        <v>6</v>
      </c>
      <c r="G334" s="56">
        <v>142</v>
      </c>
      <c r="H334" s="226" t="s">
        <v>1972</v>
      </c>
      <c r="I334" s="57" t="s">
        <v>1973</v>
      </c>
      <c r="J334" s="58">
        <v>20500100979701</v>
      </c>
      <c r="K334" s="59" t="s">
        <v>89</v>
      </c>
      <c r="L334" s="227"/>
      <c r="M334" s="59">
        <v>80</v>
      </c>
      <c r="N334" s="57" t="s">
        <v>1905</v>
      </c>
      <c r="O334" s="57" t="s">
        <v>1974</v>
      </c>
      <c r="P334" s="57" t="s">
        <v>1975</v>
      </c>
      <c r="Q334" s="57" t="s">
        <v>1976</v>
      </c>
      <c r="R334" s="57" t="s">
        <v>1977</v>
      </c>
      <c r="S334" s="61" t="s">
        <v>1978</v>
      </c>
      <c r="T334" s="246">
        <v>0</v>
      </c>
      <c r="U334" s="247">
        <v>130</v>
      </c>
      <c r="V334" s="247">
        <v>120</v>
      </c>
      <c r="W334" s="241" t="s">
        <v>2869</v>
      </c>
      <c r="X334" s="241" t="s">
        <v>2868</v>
      </c>
      <c r="Y334" s="242">
        <v>250</v>
      </c>
      <c r="Z334" s="246">
        <v>0</v>
      </c>
      <c r="AA334" s="247">
        <v>0</v>
      </c>
      <c r="AB334" s="247">
        <v>250</v>
      </c>
      <c r="AC334" s="241" t="s">
        <v>2866</v>
      </c>
      <c r="AD334" s="241" t="s">
        <v>2868</v>
      </c>
      <c r="AE334" s="242">
        <v>250</v>
      </c>
      <c r="AF334" s="243">
        <f t="shared" si="7"/>
        <v>500</v>
      </c>
      <c r="AG334" s="67"/>
      <c r="AH334" s="68"/>
    </row>
    <row r="335" spans="1:34" s="18" customFormat="1" ht="68.400000000000006" hidden="1">
      <c r="A335" s="53">
        <v>2143</v>
      </c>
      <c r="B335" s="54" t="s">
        <v>2868</v>
      </c>
      <c r="C335" s="54" t="s">
        <v>2868</v>
      </c>
      <c r="D335" s="54" t="s">
        <v>2869</v>
      </c>
      <c r="E335" s="53">
        <v>2</v>
      </c>
      <c r="F335" s="55">
        <v>6</v>
      </c>
      <c r="G335" s="56">
        <v>143</v>
      </c>
      <c r="H335" s="226" t="s">
        <v>1979</v>
      </c>
      <c r="I335" s="57" t="s">
        <v>1979</v>
      </c>
      <c r="J335" s="58">
        <v>20500100979702</v>
      </c>
      <c r="K335" s="59" t="s">
        <v>89</v>
      </c>
      <c r="L335" s="227"/>
      <c r="M335" s="59">
        <v>80</v>
      </c>
      <c r="N335" s="57" t="s">
        <v>1905</v>
      </c>
      <c r="O335" s="57" t="s">
        <v>1980</v>
      </c>
      <c r="P335" s="57" t="s">
        <v>1981</v>
      </c>
      <c r="Q335" s="57" t="s">
        <v>1976</v>
      </c>
      <c r="R335" s="57" t="s">
        <v>1982</v>
      </c>
      <c r="S335" s="61" t="s">
        <v>1983</v>
      </c>
      <c r="T335" s="246">
        <v>202</v>
      </c>
      <c r="U335" s="247">
        <v>102</v>
      </c>
      <c r="V335" s="247">
        <v>0</v>
      </c>
      <c r="W335" s="241" t="s">
        <v>2869</v>
      </c>
      <c r="X335" s="241" t="s">
        <v>2868</v>
      </c>
      <c r="Y335" s="242">
        <v>304</v>
      </c>
      <c r="Z335" s="246">
        <v>0</v>
      </c>
      <c r="AA335" s="247">
        <v>0</v>
      </c>
      <c r="AB335" s="247">
        <v>0</v>
      </c>
      <c r="AC335" s="241"/>
      <c r="AD335" s="241"/>
      <c r="AE335" s="242">
        <v>0</v>
      </c>
      <c r="AF335" s="243">
        <f t="shared" si="7"/>
        <v>304</v>
      </c>
      <c r="AG335" s="67"/>
      <c r="AH335" s="68"/>
    </row>
    <row r="336" spans="1:34" s="18" customFormat="1" ht="34.200000000000003" hidden="1">
      <c r="A336" s="53">
        <v>2144</v>
      </c>
      <c r="B336" s="54" t="s">
        <v>2868</v>
      </c>
      <c r="C336" s="54" t="s">
        <v>2868</v>
      </c>
      <c r="D336" s="54" t="s">
        <v>2869</v>
      </c>
      <c r="E336" s="53">
        <v>2</v>
      </c>
      <c r="F336" s="55">
        <v>6</v>
      </c>
      <c r="G336" s="56">
        <v>144</v>
      </c>
      <c r="H336" s="226" t="s">
        <v>1984</v>
      </c>
      <c r="I336" s="57" t="s">
        <v>1984</v>
      </c>
      <c r="J336" s="58">
        <v>20500100276803</v>
      </c>
      <c r="K336" s="59" t="s">
        <v>89</v>
      </c>
      <c r="L336" s="227"/>
      <c r="M336" s="59">
        <v>80</v>
      </c>
      <c r="N336" s="57" t="s">
        <v>1985</v>
      </c>
      <c r="O336" s="57" t="s">
        <v>1912</v>
      </c>
      <c r="P336" s="57">
        <v>3240635</v>
      </c>
      <c r="Q336" s="57" t="s">
        <v>1897</v>
      </c>
      <c r="R336" s="57" t="s">
        <v>1986</v>
      </c>
      <c r="S336" s="61" t="s">
        <v>1987</v>
      </c>
      <c r="T336" s="246">
        <v>5</v>
      </c>
      <c r="U336" s="247">
        <v>5</v>
      </c>
      <c r="V336" s="247">
        <v>0</v>
      </c>
      <c r="W336" s="241" t="s">
        <v>2869</v>
      </c>
      <c r="X336" s="241" t="s">
        <v>2868</v>
      </c>
      <c r="Y336" s="242">
        <v>10</v>
      </c>
      <c r="Z336" s="246">
        <v>0</v>
      </c>
      <c r="AA336" s="247">
        <v>0</v>
      </c>
      <c r="AB336" s="247">
        <v>0</v>
      </c>
      <c r="AC336" s="241"/>
      <c r="AD336" s="241"/>
      <c r="AE336" s="242">
        <v>0</v>
      </c>
      <c r="AF336" s="243">
        <f t="shared" si="7"/>
        <v>10</v>
      </c>
      <c r="AG336" s="235"/>
      <c r="AH336" s="234"/>
    </row>
    <row r="337" spans="1:34" s="18" customFormat="1" ht="45.6" hidden="1">
      <c r="A337" s="301">
        <v>3001</v>
      </c>
      <c r="B337" s="54" t="s">
        <v>2663</v>
      </c>
      <c r="C337" s="54" t="s">
        <v>2663</v>
      </c>
      <c r="D337" s="54" t="s">
        <v>2871</v>
      </c>
      <c r="E337" s="301">
        <v>3</v>
      </c>
      <c r="F337" s="302">
        <v>1</v>
      </c>
      <c r="G337" s="56">
        <v>1</v>
      </c>
      <c r="H337" s="57" t="s">
        <v>1988</v>
      </c>
      <c r="I337" s="57" t="s">
        <v>1989</v>
      </c>
      <c r="J337" s="58">
        <v>40500101694601</v>
      </c>
      <c r="K337" s="59" t="s">
        <v>167</v>
      </c>
      <c r="L337" s="59"/>
      <c r="M337" s="59">
        <v>1</v>
      </c>
      <c r="N337" s="57" t="s">
        <v>124</v>
      </c>
      <c r="O337" s="57" t="s">
        <v>1990</v>
      </c>
      <c r="P337" s="60" t="s">
        <v>1991</v>
      </c>
      <c r="Q337" s="57" t="s">
        <v>1992</v>
      </c>
      <c r="R337" s="57" t="s">
        <v>1993</v>
      </c>
      <c r="S337" s="61" t="s">
        <v>1994</v>
      </c>
      <c r="T337" s="84">
        <v>135</v>
      </c>
      <c r="U337" s="85">
        <v>60</v>
      </c>
      <c r="V337" s="85">
        <v>0</v>
      </c>
      <c r="W337" s="303" t="s">
        <v>2871</v>
      </c>
      <c r="X337" s="303" t="s">
        <v>2663</v>
      </c>
      <c r="Y337" s="65">
        <v>195</v>
      </c>
      <c r="Z337" s="62">
        <v>0</v>
      </c>
      <c r="AA337" s="63">
        <v>0</v>
      </c>
      <c r="AB337" s="63">
        <v>0</v>
      </c>
      <c r="AC337" s="64"/>
      <c r="AD337" s="303"/>
      <c r="AE337" s="65">
        <v>0</v>
      </c>
      <c r="AF337" s="66">
        <f t="shared" si="7"/>
        <v>195</v>
      </c>
      <c r="AG337" s="68"/>
      <c r="AH337" s="383"/>
    </row>
    <row r="338" spans="1:34" s="18" customFormat="1" ht="129.6" hidden="1">
      <c r="A338" s="301">
        <v>3002</v>
      </c>
      <c r="B338" s="54" t="s">
        <v>2663</v>
      </c>
      <c r="C338" s="54" t="s">
        <v>2663</v>
      </c>
      <c r="D338" s="54" t="s">
        <v>2871</v>
      </c>
      <c r="E338" s="301">
        <v>3</v>
      </c>
      <c r="F338" s="304">
        <v>1</v>
      </c>
      <c r="G338" s="70">
        <v>2</v>
      </c>
      <c r="H338" s="71" t="s">
        <v>1222</v>
      </c>
      <c r="I338" s="71" t="s">
        <v>1222</v>
      </c>
      <c r="J338" s="236">
        <v>10500102584401</v>
      </c>
      <c r="K338" s="74" t="s">
        <v>89</v>
      </c>
      <c r="L338" s="74" t="s">
        <v>63</v>
      </c>
      <c r="M338" s="74">
        <v>1</v>
      </c>
      <c r="N338" s="71" t="s">
        <v>97</v>
      </c>
      <c r="O338" s="71" t="s">
        <v>1223</v>
      </c>
      <c r="P338" s="237" t="s">
        <v>1224</v>
      </c>
      <c r="Q338" s="71" t="s">
        <v>100</v>
      </c>
      <c r="R338" s="71" t="s">
        <v>1225</v>
      </c>
      <c r="S338" s="238" t="s">
        <v>1226</v>
      </c>
      <c r="T338" s="305">
        <v>0</v>
      </c>
      <c r="U338" s="306">
        <v>212</v>
      </c>
      <c r="V338" s="306">
        <v>88</v>
      </c>
      <c r="W338" s="303" t="s">
        <v>2871</v>
      </c>
      <c r="X338" s="303" t="s">
        <v>2663</v>
      </c>
      <c r="Y338" s="65">
        <v>300</v>
      </c>
      <c r="Z338" s="305">
        <v>0</v>
      </c>
      <c r="AA338" s="306">
        <v>0</v>
      </c>
      <c r="AB338" s="306">
        <v>0</v>
      </c>
      <c r="AC338" s="64"/>
      <c r="AD338" s="303"/>
      <c r="AE338" s="65">
        <v>0</v>
      </c>
      <c r="AF338" s="66">
        <f t="shared" si="7"/>
        <v>300</v>
      </c>
      <c r="AG338" s="245" t="s">
        <v>1227</v>
      </c>
      <c r="AH338" s="383"/>
    </row>
    <row r="339" spans="1:34" s="18" customFormat="1" ht="45.6" hidden="1">
      <c r="A339" s="301">
        <v>3003</v>
      </c>
      <c r="B339" s="54" t="s">
        <v>2663</v>
      </c>
      <c r="C339" s="54" t="s">
        <v>2663</v>
      </c>
      <c r="D339" s="54" t="s">
        <v>2871</v>
      </c>
      <c r="E339" s="301">
        <v>3</v>
      </c>
      <c r="F339" s="304">
        <v>1</v>
      </c>
      <c r="G339" s="70">
        <v>3</v>
      </c>
      <c r="H339" s="71" t="s">
        <v>1995</v>
      </c>
      <c r="I339" s="71" t="s">
        <v>1995</v>
      </c>
      <c r="J339" s="236">
        <v>10500102584403</v>
      </c>
      <c r="K339" s="74" t="s">
        <v>89</v>
      </c>
      <c r="L339" s="74"/>
      <c r="M339" s="74">
        <v>1</v>
      </c>
      <c r="N339" s="71" t="s">
        <v>97</v>
      </c>
      <c r="O339" s="71" t="s">
        <v>1996</v>
      </c>
      <c r="P339" s="237">
        <v>5280020</v>
      </c>
      <c r="Q339" s="71" t="s">
        <v>100</v>
      </c>
      <c r="R339" s="71" t="s">
        <v>1997</v>
      </c>
      <c r="S339" s="238" t="s">
        <v>102</v>
      </c>
      <c r="T339" s="305">
        <v>0</v>
      </c>
      <c r="U339" s="306">
        <v>453</v>
      </c>
      <c r="V339" s="306">
        <v>47</v>
      </c>
      <c r="W339" s="303" t="s">
        <v>2871</v>
      </c>
      <c r="X339" s="303" t="s">
        <v>2663</v>
      </c>
      <c r="Y339" s="65">
        <v>500</v>
      </c>
      <c r="Z339" s="305">
        <v>0</v>
      </c>
      <c r="AA339" s="306">
        <v>0</v>
      </c>
      <c r="AB339" s="306">
        <v>0</v>
      </c>
      <c r="AC339" s="64"/>
      <c r="AD339" s="303"/>
      <c r="AE339" s="65">
        <v>0</v>
      </c>
      <c r="AF339" s="66">
        <f t="shared" si="7"/>
        <v>500</v>
      </c>
      <c r="AG339" s="307"/>
      <c r="AH339" s="383"/>
    </row>
    <row r="340" spans="1:34" s="18" customFormat="1" ht="86.4" hidden="1">
      <c r="A340" s="301">
        <v>3004</v>
      </c>
      <c r="B340" s="54" t="s">
        <v>2663</v>
      </c>
      <c r="C340" s="54" t="s">
        <v>2663</v>
      </c>
      <c r="D340" s="54" t="s">
        <v>2871</v>
      </c>
      <c r="E340" s="301">
        <v>3</v>
      </c>
      <c r="F340" s="304">
        <v>1</v>
      </c>
      <c r="G340" s="70">
        <v>4</v>
      </c>
      <c r="H340" s="71" t="s">
        <v>96</v>
      </c>
      <c r="I340" s="71" t="s">
        <v>96</v>
      </c>
      <c r="J340" s="236">
        <v>10500102584402</v>
      </c>
      <c r="K340" s="74" t="s">
        <v>89</v>
      </c>
      <c r="L340" s="74"/>
      <c r="M340" s="74">
        <v>1</v>
      </c>
      <c r="N340" s="71" t="s">
        <v>97</v>
      </c>
      <c r="O340" s="71" t="s">
        <v>98</v>
      </c>
      <c r="P340" s="237" t="s">
        <v>99</v>
      </c>
      <c r="Q340" s="71" t="s">
        <v>100</v>
      </c>
      <c r="R340" s="71" t="s">
        <v>101</v>
      </c>
      <c r="S340" s="238" t="s">
        <v>102</v>
      </c>
      <c r="T340" s="305">
        <v>309</v>
      </c>
      <c r="U340" s="306">
        <v>91</v>
      </c>
      <c r="V340" s="306">
        <v>0</v>
      </c>
      <c r="W340" s="303" t="s">
        <v>2871</v>
      </c>
      <c r="X340" s="303" t="s">
        <v>2663</v>
      </c>
      <c r="Y340" s="65">
        <v>400</v>
      </c>
      <c r="Z340" s="305">
        <v>0</v>
      </c>
      <c r="AA340" s="306">
        <v>0</v>
      </c>
      <c r="AB340" s="306">
        <v>0</v>
      </c>
      <c r="AC340" s="64"/>
      <c r="AD340" s="303"/>
      <c r="AE340" s="65">
        <v>0</v>
      </c>
      <c r="AF340" s="66">
        <f t="shared" si="7"/>
        <v>400</v>
      </c>
      <c r="AG340" s="308" t="s">
        <v>103</v>
      </c>
      <c r="AH340" s="383"/>
    </row>
    <row r="341" spans="1:34" s="18" customFormat="1" ht="22.8" hidden="1">
      <c r="A341" s="301">
        <v>3005</v>
      </c>
      <c r="B341" s="54" t="s">
        <v>2663</v>
      </c>
      <c r="C341" s="54" t="s">
        <v>2663</v>
      </c>
      <c r="D341" s="54" t="s">
        <v>2871</v>
      </c>
      <c r="E341" s="301">
        <v>3</v>
      </c>
      <c r="F341" s="302">
        <v>1</v>
      </c>
      <c r="G341" s="56">
        <v>5</v>
      </c>
      <c r="H341" s="57" t="s">
        <v>1998</v>
      </c>
      <c r="I341" s="57" t="s">
        <v>1998</v>
      </c>
      <c r="J341" s="58">
        <v>10500101270001</v>
      </c>
      <c r="K341" s="59" t="s">
        <v>89</v>
      </c>
      <c r="L341" s="59"/>
      <c r="M341" s="59">
        <v>1</v>
      </c>
      <c r="N341" s="57" t="s">
        <v>136</v>
      </c>
      <c r="O341" s="57" t="s">
        <v>1999</v>
      </c>
      <c r="P341" s="60" t="s">
        <v>2000</v>
      </c>
      <c r="Q341" s="57" t="s">
        <v>2001</v>
      </c>
      <c r="R341" s="57" t="s">
        <v>2002</v>
      </c>
      <c r="S341" s="61" t="s">
        <v>2003</v>
      </c>
      <c r="T341" s="86">
        <v>0</v>
      </c>
      <c r="U341" s="87">
        <v>577</v>
      </c>
      <c r="V341" s="87">
        <v>203</v>
      </c>
      <c r="W341" s="303" t="s">
        <v>2871</v>
      </c>
      <c r="X341" s="303" t="s">
        <v>2663</v>
      </c>
      <c r="Y341" s="65">
        <v>780</v>
      </c>
      <c r="Z341" s="62">
        <v>0</v>
      </c>
      <c r="AA341" s="63">
        <v>0</v>
      </c>
      <c r="AB341" s="63">
        <v>0</v>
      </c>
      <c r="AC341" s="64"/>
      <c r="AD341" s="303"/>
      <c r="AE341" s="65">
        <v>0</v>
      </c>
      <c r="AF341" s="66">
        <f t="shared" si="7"/>
        <v>780</v>
      </c>
      <c r="AG341" s="68"/>
      <c r="AH341" s="383"/>
    </row>
    <row r="342" spans="1:34" s="18" customFormat="1" ht="68.400000000000006" hidden="1">
      <c r="A342" s="301">
        <v>3006</v>
      </c>
      <c r="B342" s="54" t="s">
        <v>2663</v>
      </c>
      <c r="C342" s="54" t="s">
        <v>2663</v>
      </c>
      <c r="D342" s="54" t="s">
        <v>2871</v>
      </c>
      <c r="E342" s="301">
        <v>3</v>
      </c>
      <c r="F342" s="302">
        <v>1</v>
      </c>
      <c r="G342" s="56">
        <v>6</v>
      </c>
      <c r="H342" s="57" t="s">
        <v>2004</v>
      </c>
      <c r="I342" s="57" t="s">
        <v>2004</v>
      </c>
      <c r="J342" s="58">
        <v>10500101270003</v>
      </c>
      <c r="K342" s="59" t="s">
        <v>89</v>
      </c>
      <c r="L342" s="59"/>
      <c r="M342" s="59">
        <v>1</v>
      </c>
      <c r="N342" s="57" t="s">
        <v>136</v>
      </c>
      <c r="O342" s="57" t="s">
        <v>2005</v>
      </c>
      <c r="P342" s="60">
        <v>2586525</v>
      </c>
      <c r="Q342" s="57" t="s">
        <v>2006</v>
      </c>
      <c r="R342" s="57" t="s">
        <v>2007</v>
      </c>
      <c r="S342" s="61" t="s">
        <v>2008</v>
      </c>
      <c r="T342" s="62">
        <v>260</v>
      </c>
      <c r="U342" s="63">
        <v>0</v>
      </c>
      <c r="V342" s="63">
        <v>0</v>
      </c>
      <c r="W342" s="303" t="s">
        <v>2871</v>
      </c>
      <c r="X342" s="303" t="s">
        <v>2663</v>
      </c>
      <c r="Y342" s="65">
        <v>260</v>
      </c>
      <c r="Z342" s="62">
        <v>0</v>
      </c>
      <c r="AA342" s="63">
        <v>0</v>
      </c>
      <c r="AB342" s="63">
        <v>0</v>
      </c>
      <c r="AC342" s="64"/>
      <c r="AD342" s="303"/>
      <c r="AE342" s="65">
        <v>0</v>
      </c>
      <c r="AF342" s="66">
        <f t="shared" si="7"/>
        <v>260</v>
      </c>
      <c r="AG342" s="68"/>
      <c r="AH342" s="383"/>
    </row>
    <row r="343" spans="1:34" s="18" customFormat="1" ht="57" hidden="1">
      <c r="A343" s="301">
        <v>3007</v>
      </c>
      <c r="B343" s="54" t="s">
        <v>2663</v>
      </c>
      <c r="C343" s="54" t="s">
        <v>2663</v>
      </c>
      <c r="D343" s="54" t="s">
        <v>2871</v>
      </c>
      <c r="E343" s="301">
        <v>3</v>
      </c>
      <c r="F343" s="302">
        <v>1</v>
      </c>
      <c r="G343" s="56">
        <v>7</v>
      </c>
      <c r="H343" s="57" t="s">
        <v>1239</v>
      </c>
      <c r="I343" s="57" t="s">
        <v>1239</v>
      </c>
      <c r="J343" s="58">
        <v>10500100234801</v>
      </c>
      <c r="K343" s="59" t="s">
        <v>89</v>
      </c>
      <c r="L343" s="68"/>
      <c r="M343" s="59">
        <v>1</v>
      </c>
      <c r="N343" s="57" t="s">
        <v>118</v>
      </c>
      <c r="O343" s="57" t="s">
        <v>1240</v>
      </c>
      <c r="P343" s="60" t="s">
        <v>1241</v>
      </c>
      <c r="Q343" s="57" t="s">
        <v>1242</v>
      </c>
      <c r="R343" s="57" t="s">
        <v>1243</v>
      </c>
      <c r="S343" s="61" t="s">
        <v>1244</v>
      </c>
      <c r="T343" s="84">
        <v>13</v>
      </c>
      <c r="U343" s="85">
        <v>337</v>
      </c>
      <c r="V343" s="85">
        <v>0</v>
      </c>
      <c r="W343" s="303" t="s">
        <v>2871</v>
      </c>
      <c r="X343" s="303" t="s">
        <v>2663</v>
      </c>
      <c r="Y343" s="65">
        <v>350</v>
      </c>
      <c r="Z343" s="62">
        <v>0</v>
      </c>
      <c r="AA343" s="63">
        <v>0</v>
      </c>
      <c r="AB343" s="63">
        <v>0</v>
      </c>
      <c r="AC343" s="64"/>
      <c r="AD343" s="303"/>
      <c r="AE343" s="65">
        <v>0</v>
      </c>
      <c r="AF343" s="66">
        <f t="shared" si="7"/>
        <v>350</v>
      </c>
      <c r="AG343" s="68"/>
      <c r="AH343" s="383"/>
    </row>
    <row r="344" spans="1:34" s="18" customFormat="1" ht="57" hidden="1">
      <c r="A344" s="301">
        <v>3008</v>
      </c>
      <c r="B344" s="54" t="s">
        <v>2663</v>
      </c>
      <c r="C344" s="54" t="s">
        <v>2663</v>
      </c>
      <c r="D344" s="54" t="s">
        <v>2871</v>
      </c>
      <c r="E344" s="301">
        <v>3</v>
      </c>
      <c r="F344" s="302">
        <v>1</v>
      </c>
      <c r="G344" s="56">
        <v>8</v>
      </c>
      <c r="H344" s="57" t="s">
        <v>1245</v>
      </c>
      <c r="I344" s="57" t="s">
        <v>1245</v>
      </c>
      <c r="J344" s="58">
        <v>10500100234802</v>
      </c>
      <c r="K344" s="59" t="s">
        <v>89</v>
      </c>
      <c r="L344" s="59" t="s">
        <v>63</v>
      </c>
      <c r="M344" s="59">
        <v>1</v>
      </c>
      <c r="N344" s="57" t="s">
        <v>118</v>
      </c>
      <c r="O344" s="57" t="s">
        <v>1246</v>
      </c>
      <c r="P344" s="60" t="s">
        <v>1247</v>
      </c>
      <c r="Q344" s="57" t="s">
        <v>1242</v>
      </c>
      <c r="R344" s="57" t="s">
        <v>1248</v>
      </c>
      <c r="S344" s="61" t="s">
        <v>1249</v>
      </c>
      <c r="T344" s="84">
        <v>0</v>
      </c>
      <c r="U344" s="85">
        <v>200</v>
      </c>
      <c r="V344" s="85">
        <v>60</v>
      </c>
      <c r="W344" s="303" t="s">
        <v>2871</v>
      </c>
      <c r="X344" s="303" t="s">
        <v>2663</v>
      </c>
      <c r="Y344" s="65">
        <v>260</v>
      </c>
      <c r="Z344" s="62">
        <v>0</v>
      </c>
      <c r="AA344" s="63">
        <v>0</v>
      </c>
      <c r="AB344" s="63">
        <v>0</v>
      </c>
      <c r="AC344" s="64"/>
      <c r="AD344" s="303"/>
      <c r="AE344" s="65">
        <v>0</v>
      </c>
      <c r="AF344" s="66">
        <f t="shared" si="7"/>
        <v>260</v>
      </c>
      <c r="AG344" s="250"/>
      <c r="AH344" s="383"/>
    </row>
    <row r="345" spans="1:34" s="18" customFormat="1" ht="102.6" hidden="1">
      <c r="A345" s="301">
        <v>3009</v>
      </c>
      <c r="B345" s="54" t="s">
        <v>2663</v>
      </c>
      <c r="C345" s="54" t="s">
        <v>2663</v>
      </c>
      <c r="D345" s="54" t="s">
        <v>2871</v>
      </c>
      <c r="E345" s="301">
        <v>3</v>
      </c>
      <c r="F345" s="302">
        <v>1</v>
      </c>
      <c r="G345" s="56">
        <v>9</v>
      </c>
      <c r="H345" s="57" t="s">
        <v>130</v>
      </c>
      <c r="I345" s="57" t="s">
        <v>130</v>
      </c>
      <c r="J345" s="58">
        <v>10500101216501</v>
      </c>
      <c r="K345" s="59" t="s">
        <v>89</v>
      </c>
      <c r="L345" s="59"/>
      <c r="M345" s="59">
        <v>1</v>
      </c>
      <c r="N345" s="57" t="s">
        <v>90</v>
      </c>
      <c r="O345" s="57" t="s">
        <v>131</v>
      </c>
      <c r="P345" s="60">
        <v>5211353</v>
      </c>
      <c r="Q345" s="57" t="s">
        <v>132</v>
      </c>
      <c r="R345" s="57" t="s">
        <v>133</v>
      </c>
      <c r="S345" s="61" t="s">
        <v>134</v>
      </c>
      <c r="T345" s="86">
        <v>0</v>
      </c>
      <c r="U345" s="87">
        <v>91</v>
      </c>
      <c r="V345" s="87">
        <v>59</v>
      </c>
      <c r="W345" s="303" t="s">
        <v>2871</v>
      </c>
      <c r="X345" s="303" t="s">
        <v>2663</v>
      </c>
      <c r="Y345" s="65">
        <v>150</v>
      </c>
      <c r="Z345" s="62">
        <v>0</v>
      </c>
      <c r="AA345" s="63">
        <v>0</v>
      </c>
      <c r="AB345" s="63">
        <v>0</v>
      </c>
      <c r="AC345" s="64"/>
      <c r="AD345" s="303"/>
      <c r="AE345" s="65">
        <v>0</v>
      </c>
      <c r="AF345" s="66">
        <f t="shared" si="7"/>
        <v>150</v>
      </c>
      <c r="AG345" s="68"/>
      <c r="AH345" s="383"/>
    </row>
    <row r="346" spans="1:34" s="18" customFormat="1" ht="68.400000000000006" hidden="1">
      <c r="A346" s="301">
        <v>3010</v>
      </c>
      <c r="B346" s="54" t="s">
        <v>2663</v>
      </c>
      <c r="C346" s="54" t="s">
        <v>2663</v>
      </c>
      <c r="D346" s="54" t="s">
        <v>2871</v>
      </c>
      <c r="E346" s="301">
        <v>3</v>
      </c>
      <c r="F346" s="302">
        <v>1</v>
      </c>
      <c r="G346" s="56">
        <v>10</v>
      </c>
      <c r="H346" s="57" t="s">
        <v>2009</v>
      </c>
      <c r="I346" s="57" t="s">
        <v>2009</v>
      </c>
      <c r="J346" s="58">
        <v>10500101216502</v>
      </c>
      <c r="K346" s="59" t="s">
        <v>89</v>
      </c>
      <c r="L346" s="59"/>
      <c r="M346" s="59">
        <v>1</v>
      </c>
      <c r="N346" s="57" t="s">
        <v>90</v>
      </c>
      <c r="O346" s="57" t="s">
        <v>2010</v>
      </c>
      <c r="P346" s="60">
        <v>5211321</v>
      </c>
      <c r="Q346" s="57" t="s">
        <v>132</v>
      </c>
      <c r="R346" s="57" t="s">
        <v>2011</v>
      </c>
      <c r="S346" s="61" t="s">
        <v>2012</v>
      </c>
      <c r="T346" s="86">
        <v>200</v>
      </c>
      <c r="U346" s="87">
        <v>125</v>
      </c>
      <c r="V346" s="87">
        <v>0</v>
      </c>
      <c r="W346" s="303" t="s">
        <v>2871</v>
      </c>
      <c r="X346" s="303" t="s">
        <v>2663</v>
      </c>
      <c r="Y346" s="65">
        <v>325</v>
      </c>
      <c r="Z346" s="62">
        <v>0</v>
      </c>
      <c r="AA346" s="63">
        <v>0</v>
      </c>
      <c r="AB346" s="63">
        <v>0</v>
      </c>
      <c r="AC346" s="64"/>
      <c r="AD346" s="303"/>
      <c r="AE346" s="65">
        <v>0</v>
      </c>
      <c r="AF346" s="66">
        <f t="shared" si="7"/>
        <v>325</v>
      </c>
      <c r="AG346" s="68"/>
      <c r="AH346" s="383"/>
    </row>
    <row r="347" spans="1:34" s="18" customFormat="1" ht="45.6" hidden="1">
      <c r="A347" s="301">
        <v>3011</v>
      </c>
      <c r="B347" s="54" t="s">
        <v>2663</v>
      </c>
      <c r="C347" s="54" t="s">
        <v>2663</v>
      </c>
      <c r="D347" s="54" t="s">
        <v>2871</v>
      </c>
      <c r="E347" s="301">
        <v>3</v>
      </c>
      <c r="F347" s="302">
        <v>1</v>
      </c>
      <c r="G347" s="56">
        <v>11</v>
      </c>
      <c r="H347" s="57" t="s">
        <v>1268</v>
      </c>
      <c r="I347" s="57" t="s">
        <v>1268</v>
      </c>
      <c r="J347" s="58">
        <v>10500100721801</v>
      </c>
      <c r="K347" s="59" t="s">
        <v>89</v>
      </c>
      <c r="L347" s="59" t="s">
        <v>63</v>
      </c>
      <c r="M347" s="59">
        <v>1</v>
      </c>
      <c r="N347" s="57" t="s">
        <v>149</v>
      </c>
      <c r="O347" s="57" t="s">
        <v>1269</v>
      </c>
      <c r="P347" s="60" t="s">
        <v>1270</v>
      </c>
      <c r="Q347" s="57" t="s">
        <v>1271</v>
      </c>
      <c r="R347" s="57" t="s">
        <v>1272</v>
      </c>
      <c r="S347" s="61" t="s">
        <v>1273</v>
      </c>
      <c r="T347" s="62">
        <v>0</v>
      </c>
      <c r="U347" s="63">
        <v>720</v>
      </c>
      <c r="V347" s="63">
        <v>280</v>
      </c>
      <c r="W347" s="303" t="s">
        <v>2871</v>
      </c>
      <c r="X347" s="303" t="s">
        <v>2663</v>
      </c>
      <c r="Y347" s="65">
        <v>1000</v>
      </c>
      <c r="Z347" s="62">
        <v>0</v>
      </c>
      <c r="AA347" s="63">
        <v>0</v>
      </c>
      <c r="AB347" s="63">
        <v>0</v>
      </c>
      <c r="AC347" s="64"/>
      <c r="AD347" s="303"/>
      <c r="AE347" s="65">
        <v>0</v>
      </c>
      <c r="AF347" s="66">
        <f t="shared" si="7"/>
        <v>1000</v>
      </c>
      <c r="AG347" s="68"/>
      <c r="AH347" s="383"/>
    </row>
    <row r="348" spans="1:34" s="18" customFormat="1" ht="34.200000000000003" hidden="1">
      <c r="A348" s="301">
        <v>3012</v>
      </c>
      <c r="B348" s="54" t="s">
        <v>2663</v>
      </c>
      <c r="C348" s="54" t="s">
        <v>2663</v>
      </c>
      <c r="D348" s="54" t="s">
        <v>2871</v>
      </c>
      <c r="E348" s="301">
        <v>3</v>
      </c>
      <c r="F348" s="302">
        <v>1</v>
      </c>
      <c r="G348" s="56">
        <v>12</v>
      </c>
      <c r="H348" s="57" t="s">
        <v>2013</v>
      </c>
      <c r="I348" s="57" t="s">
        <v>2013</v>
      </c>
      <c r="J348" s="58">
        <v>30500101698401</v>
      </c>
      <c r="K348" s="59" t="s">
        <v>167</v>
      </c>
      <c r="L348" s="59"/>
      <c r="M348" s="59">
        <v>1</v>
      </c>
      <c r="N348" s="57" t="s">
        <v>124</v>
      </c>
      <c r="O348" s="57" t="s">
        <v>2014</v>
      </c>
      <c r="P348" s="60">
        <v>2366036</v>
      </c>
      <c r="Q348" s="57" t="s">
        <v>2015</v>
      </c>
      <c r="R348" s="57" t="s">
        <v>2016</v>
      </c>
      <c r="S348" s="61" t="s">
        <v>2017</v>
      </c>
      <c r="T348" s="84">
        <v>72</v>
      </c>
      <c r="U348" s="85">
        <v>113</v>
      </c>
      <c r="V348" s="85">
        <v>0</v>
      </c>
      <c r="W348" s="303" t="s">
        <v>2871</v>
      </c>
      <c r="X348" s="303" t="s">
        <v>2663</v>
      </c>
      <c r="Y348" s="65">
        <v>185</v>
      </c>
      <c r="Z348" s="62">
        <v>0</v>
      </c>
      <c r="AA348" s="63">
        <v>0</v>
      </c>
      <c r="AB348" s="63">
        <v>0</v>
      </c>
      <c r="AC348" s="64"/>
      <c r="AD348" s="303"/>
      <c r="AE348" s="65">
        <v>0</v>
      </c>
      <c r="AF348" s="66">
        <f t="shared" si="7"/>
        <v>185</v>
      </c>
      <c r="AG348" s="68"/>
      <c r="AH348" s="383"/>
    </row>
    <row r="349" spans="1:34" s="18" customFormat="1" ht="45.6" hidden="1">
      <c r="A349" s="301">
        <v>3013</v>
      </c>
      <c r="B349" s="54" t="s">
        <v>2663</v>
      </c>
      <c r="C349" s="54" t="s">
        <v>2663</v>
      </c>
      <c r="D349" s="54" t="s">
        <v>2871</v>
      </c>
      <c r="E349" s="301">
        <v>3</v>
      </c>
      <c r="F349" s="302">
        <v>1</v>
      </c>
      <c r="G349" s="56">
        <v>13</v>
      </c>
      <c r="H349" s="57" t="s">
        <v>1287</v>
      </c>
      <c r="I349" s="57" t="s">
        <v>1287</v>
      </c>
      <c r="J349" s="58">
        <v>30500102182101</v>
      </c>
      <c r="K349" s="59" t="s">
        <v>167</v>
      </c>
      <c r="L349" s="59"/>
      <c r="M349" s="59">
        <v>1</v>
      </c>
      <c r="N349" s="57" t="s">
        <v>1229</v>
      </c>
      <c r="O349" s="57" t="s">
        <v>1288</v>
      </c>
      <c r="P349" s="60">
        <v>5285471</v>
      </c>
      <c r="Q349" s="57" t="s">
        <v>1289</v>
      </c>
      <c r="R349" s="57" t="s">
        <v>1290</v>
      </c>
      <c r="S349" s="61" t="s">
        <v>1291</v>
      </c>
      <c r="T349" s="62">
        <v>7</v>
      </c>
      <c r="U349" s="63">
        <v>160</v>
      </c>
      <c r="V349" s="63">
        <v>103</v>
      </c>
      <c r="W349" s="303" t="s">
        <v>2871</v>
      </c>
      <c r="X349" s="303" t="s">
        <v>2663</v>
      </c>
      <c r="Y349" s="65">
        <v>270</v>
      </c>
      <c r="Z349" s="62">
        <v>0</v>
      </c>
      <c r="AA349" s="63">
        <v>0</v>
      </c>
      <c r="AB349" s="63">
        <v>0</v>
      </c>
      <c r="AC349" s="64"/>
      <c r="AD349" s="303"/>
      <c r="AE349" s="65">
        <v>0</v>
      </c>
      <c r="AF349" s="66">
        <f t="shared" si="7"/>
        <v>270</v>
      </c>
      <c r="AG349" s="251"/>
      <c r="AH349" s="383"/>
    </row>
    <row r="350" spans="1:34" s="18" customFormat="1" ht="45.6" hidden="1">
      <c r="A350" s="301">
        <v>3014</v>
      </c>
      <c r="B350" s="54" t="s">
        <v>2663</v>
      </c>
      <c r="C350" s="54" t="s">
        <v>2663</v>
      </c>
      <c r="D350" s="54" t="s">
        <v>2871</v>
      </c>
      <c r="E350" s="301">
        <v>3</v>
      </c>
      <c r="F350" s="302">
        <v>1</v>
      </c>
      <c r="G350" s="56">
        <v>14</v>
      </c>
      <c r="H350" s="57" t="s">
        <v>2018</v>
      </c>
      <c r="I350" s="57" t="s">
        <v>2018</v>
      </c>
      <c r="J350" s="58">
        <v>30500102249601</v>
      </c>
      <c r="K350" s="59" t="s">
        <v>167</v>
      </c>
      <c r="L350" s="59"/>
      <c r="M350" s="59">
        <v>1</v>
      </c>
      <c r="N350" s="57" t="s">
        <v>1229</v>
      </c>
      <c r="O350" s="57" t="s">
        <v>2019</v>
      </c>
      <c r="P350" s="60" t="s">
        <v>2020</v>
      </c>
      <c r="Q350" s="57" t="s">
        <v>2021</v>
      </c>
      <c r="R350" s="57" t="s">
        <v>2022</v>
      </c>
      <c r="S350" s="61" t="s">
        <v>2023</v>
      </c>
      <c r="T350" s="62">
        <v>520</v>
      </c>
      <c r="U350" s="63">
        <v>719</v>
      </c>
      <c r="V350" s="63">
        <v>91</v>
      </c>
      <c r="W350" s="303" t="s">
        <v>2871</v>
      </c>
      <c r="X350" s="303" t="s">
        <v>2663</v>
      </c>
      <c r="Y350" s="65">
        <v>1330</v>
      </c>
      <c r="Z350" s="62">
        <v>0</v>
      </c>
      <c r="AA350" s="63">
        <v>0</v>
      </c>
      <c r="AB350" s="63">
        <v>0</v>
      </c>
      <c r="AC350" s="64"/>
      <c r="AD350" s="303"/>
      <c r="AE350" s="65">
        <v>0</v>
      </c>
      <c r="AF350" s="66">
        <f t="shared" si="7"/>
        <v>1330</v>
      </c>
      <c r="AG350" s="68"/>
      <c r="AH350" s="383"/>
    </row>
    <row r="351" spans="1:34" s="18" customFormat="1" ht="57" hidden="1">
      <c r="A351" s="301">
        <v>3015</v>
      </c>
      <c r="B351" s="54" t="s">
        <v>2663</v>
      </c>
      <c r="C351" s="54" t="s">
        <v>2663</v>
      </c>
      <c r="D351" s="54" t="s">
        <v>2871</v>
      </c>
      <c r="E351" s="301">
        <v>3</v>
      </c>
      <c r="F351" s="302">
        <v>1</v>
      </c>
      <c r="G351" s="56">
        <v>15</v>
      </c>
      <c r="H351" s="57" t="s">
        <v>2024</v>
      </c>
      <c r="I351" s="57" t="s">
        <v>2024</v>
      </c>
      <c r="J351" s="58">
        <v>10500102665401</v>
      </c>
      <c r="K351" s="59" t="s">
        <v>89</v>
      </c>
      <c r="L351" s="59"/>
      <c r="M351" s="59">
        <v>2</v>
      </c>
      <c r="N351" s="57" t="s">
        <v>2025</v>
      </c>
      <c r="O351" s="57" t="s">
        <v>2026</v>
      </c>
      <c r="P351" s="60" t="s">
        <v>2027</v>
      </c>
      <c r="Q351" s="57" t="s">
        <v>2028</v>
      </c>
      <c r="R351" s="57" t="s">
        <v>2029</v>
      </c>
      <c r="S351" s="61" t="s">
        <v>2030</v>
      </c>
      <c r="T351" s="62">
        <v>137</v>
      </c>
      <c r="U351" s="63">
        <v>252</v>
      </c>
      <c r="V351" s="63">
        <v>111</v>
      </c>
      <c r="W351" s="303" t="s">
        <v>2871</v>
      </c>
      <c r="X351" s="303" t="s">
        <v>2663</v>
      </c>
      <c r="Y351" s="65">
        <v>500</v>
      </c>
      <c r="Z351" s="62">
        <v>0</v>
      </c>
      <c r="AA351" s="63">
        <v>0</v>
      </c>
      <c r="AB351" s="63">
        <v>0</v>
      </c>
      <c r="AC351" s="64"/>
      <c r="AD351" s="303"/>
      <c r="AE351" s="65">
        <v>0</v>
      </c>
      <c r="AF351" s="66">
        <f t="shared" si="7"/>
        <v>500</v>
      </c>
      <c r="AG351" s="68"/>
      <c r="AH351" s="383"/>
    </row>
    <row r="352" spans="1:34" s="18" customFormat="1" ht="331.2" hidden="1">
      <c r="A352" s="301">
        <v>3016</v>
      </c>
      <c r="B352" s="54" t="s">
        <v>2663</v>
      </c>
      <c r="C352" s="54" t="s">
        <v>2663</v>
      </c>
      <c r="D352" s="54" t="s">
        <v>2871</v>
      </c>
      <c r="E352" s="301">
        <v>3</v>
      </c>
      <c r="F352" s="309">
        <v>1</v>
      </c>
      <c r="G352" s="70">
        <v>16</v>
      </c>
      <c r="H352" s="88" t="s">
        <v>173</v>
      </c>
      <c r="I352" s="88" t="s">
        <v>173</v>
      </c>
      <c r="J352" s="89">
        <v>10500100671801</v>
      </c>
      <c r="K352" s="90" t="s">
        <v>89</v>
      </c>
      <c r="L352" s="90"/>
      <c r="M352" s="90">
        <v>2</v>
      </c>
      <c r="N352" s="88" t="s">
        <v>174</v>
      </c>
      <c r="O352" s="88" t="s">
        <v>175</v>
      </c>
      <c r="P352" s="92" t="s">
        <v>176</v>
      </c>
      <c r="Q352" s="88" t="s">
        <v>177</v>
      </c>
      <c r="R352" s="88" t="s">
        <v>178</v>
      </c>
      <c r="S352" s="93" t="s">
        <v>179</v>
      </c>
      <c r="T352" s="94">
        <v>0</v>
      </c>
      <c r="U352" s="95">
        <v>0</v>
      </c>
      <c r="V352" s="95">
        <v>86</v>
      </c>
      <c r="W352" s="303" t="s">
        <v>2871</v>
      </c>
      <c r="X352" s="303" t="s">
        <v>2663</v>
      </c>
      <c r="Y352" s="65">
        <v>86</v>
      </c>
      <c r="Z352" s="94">
        <v>0</v>
      </c>
      <c r="AA352" s="95">
        <v>0</v>
      </c>
      <c r="AB352" s="95">
        <v>0</v>
      </c>
      <c r="AC352" s="64"/>
      <c r="AD352" s="303"/>
      <c r="AE352" s="65">
        <v>0</v>
      </c>
      <c r="AF352" s="66">
        <f t="shared" si="7"/>
        <v>86</v>
      </c>
      <c r="AG352" s="91" t="s">
        <v>2031</v>
      </c>
      <c r="AH352" s="383"/>
    </row>
    <row r="353" spans="1:34" s="18" customFormat="1" ht="331.2" hidden="1">
      <c r="A353" s="301">
        <v>3017</v>
      </c>
      <c r="B353" s="54" t="s">
        <v>2663</v>
      </c>
      <c r="C353" s="54" t="s">
        <v>2663</v>
      </c>
      <c r="D353" s="54" t="s">
        <v>2871</v>
      </c>
      <c r="E353" s="301">
        <v>3</v>
      </c>
      <c r="F353" s="309">
        <v>1</v>
      </c>
      <c r="G353" s="70">
        <v>17</v>
      </c>
      <c r="H353" s="88" t="s">
        <v>173</v>
      </c>
      <c r="I353" s="88" t="s">
        <v>2032</v>
      </c>
      <c r="J353" s="89">
        <v>10500100671804</v>
      </c>
      <c r="K353" s="90" t="s">
        <v>89</v>
      </c>
      <c r="L353" s="90"/>
      <c r="M353" s="90">
        <v>2</v>
      </c>
      <c r="N353" s="88" t="s">
        <v>174</v>
      </c>
      <c r="O353" s="88" t="s">
        <v>175</v>
      </c>
      <c r="P353" s="92" t="s">
        <v>176</v>
      </c>
      <c r="Q353" s="88" t="s">
        <v>177</v>
      </c>
      <c r="R353" s="88" t="s">
        <v>178</v>
      </c>
      <c r="S353" s="93" t="s">
        <v>179</v>
      </c>
      <c r="T353" s="94">
        <v>57</v>
      </c>
      <c r="U353" s="95">
        <v>0</v>
      </c>
      <c r="V353" s="95">
        <v>0</v>
      </c>
      <c r="W353" s="303" t="s">
        <v>2871</v>
      </c>
      <c r="X353" s="303" t="s">
        <v>2663</v>
      </c>
      <c r="Y353" s="65">
        <v>57</v>
      </c>
      <c r="Z353" s="94">
        <v>0</v>
      </c>
      <c r="AA353" s="95">
        <v>0</v>
      </c>
      <c r="AB353" s="95">
        <v>0</v>
      </c>
      <c r="AC353" s="64"/>
      <c r="AD353" s="303"/>
      <c r="AE353" s="65">
        <v>0</v>
      </c>
      <c r="AF353" s="66">
        <f t="shared" si="7"/>
        <v>57</v>
      </c>
      <c r="AG353" s="91" t="s">
        <v>2031</v>
      </c>
      <c r="AH353" s="383"/>
    </row>
    <row r="354" spans="1:34" s="18" customFormat="1" ht="331.2" hidden="1">
      <c r="A354" s="301">
        <v>3018</v>
      </c>
      <c r="B354" s="54" t="s">
        <v>2663</v>
      </c>
      <c r="C354" s="54" t="s">
        <v>2663</v>
      </c>
      <c r="D354" s="54" t="s">
        <v>2871</v>
      </c>
      <c r="E354" s="301">
        <v>3</v>
      </c>
      <c r="F354" s="310">
        <v>1</v>
      </c>
      <c r="G354" s="70">
        <v>18</v>
      </c>
      <c r="H354" s="88" t="s">
        <v>173</v>
      </c>
      <c r="I354" s="88" t="s">
        <v>181</v>
      </c>
      <c r="J354" s="89">
        <v>10500100671803</v>
      </c>
      <c r="K354" s="90" t="s">
        <v>89</v>
      </c>
      <c r="L354" s="91"/>
      <c r="M354" s="90">
        <v>2</v>
      </c>
      <c r="N354" s="88" t="s">
        <v>174</v>
      </c>
      <c r="O354" s="88" t="s">
        <v>175</v>
      </c>
      <c r="P354" s="92" t="s">
        <v>176</v>
      </c>
      <c r="Q354" s="88" t="s">
        <v>177</v>
      </c>
      <c r="R354" s="88" t="s">
        <v>178</v>
      </c>
      <c r="S354" s="93" t="s">
        <v>179</v>
      </c>
      <c r="T354" s="94">
        <v>60</v>
      </c>
      <c r="U354" s="95">
        <v>200</v>
      </c>
      <c r="V354" s="95">
        <v>0</v>
      </c>
      <c r="W354" s="303" t="s">
        <v>2871</v>
      </c>
      <c r="X354" s="303" t="s">
        <v>2663</v>
      </c>
      <c r="Y354" s="65">
        <v>260</v>
      </c>
      <c r="Z354" s="94">
        <v>0</v>
      </c>
      <c r="AA354" s="95">
        <v>0</v>
      </c>
      <c r="AB354" s="95">
        <v>0</v>
      </c>
      <c r="AC354" s="64"/>
      <c r="AD354" s="303"/>
      <c r="AE354" s="65">
        <v>0</v>
      </c>
      <c r="AF354" s="66">
        <f t="shared" si="7"/>
        <v>260</v>
      </c>
      <c r="AG354" s="91" t="s">
        <v>2031</v>
      </c>
      <c r="AH354" s="383"/>
    </row>
    <row r="355" spans="1:34" s="18" customFormat="1" ht="45.6" hidden="1">
      <c r="A355" s="301">
        <v>3019</v>
      </c>
      <c r="B355" s="54" t="s">
        <v>2663</v>
      </c>
      <c r="C355" s="54" t="s">
        <v>2663</v>
      </c>
      <c r="D355" s="54" t="s">
        <v>2871</v>
      </c>
      <c r="E355" s="301">
        <v>3</v>
      </c>
      <c r="F355" s="302">
        <v>1</v>
      </c>
      <c r="G355" s="56">
        <v>19</v>
      </c>
      <c r="H355" s="57" t="s">
        <v>2033</v>
      </c>
      <c r="I355" s="57" t="s">
        <v>2033</v>
      </c>
      <c r="J355" s="58">
        <v>10500101945301</v>
      </c>
      <c r="K355" s="59" t="s">
        <v>89</v>
      </c>
      <c r="L355" s="59"/>
      <c r="M355" s="59">
        <v>2</v>
      </c>
      <c r="N355" s="57" t="s">
        <v>186</v>
      </c>
      <c r="O355" s="57" t="s">
        <v>2034</v>
      </c>
      <c r="P355" s="60">
        <v>5218673</v>
      </c>
      <c r="Q355" s="57" t="s">
        <v>189</v>
      </c>
      <c r="R355" s="57" t="s">
        <v>2035</v>
      </c>
      <c r="S355" s="61" t="s">
        <v>2036</v>
      </c>
      <c r="T355" s="84">
        <v>0</v>
      </c>
      <c r="U355" s="85">
        <v>408</v>
      </c>
      <c r="V355" s="85">
        <v>442</v>
      </c>
      <c r="W355" s="303" t="s">
        <v>2871</v>
      </c>
      <c r="X355" s="303" t="s">
        <v>2663</v>
      </c>
      <c r="Y355" s="65">
        <v>850</v>
      </c>
      <c r="Z355" s="62">
        <v>0</v>
      </c>
      <c r="AA355" s="63">
        <v>0</v>
      </c>
      <c r="AB355" s="63">
        <v>0</v>
      </c>
      <c r="AC355" s="64"/>
      <c r="AD355" s="303"/>
      <c r="AE355" s="65">
        <v>0</v>
      </c>
      <c r="AF355" s="66">
        <f t="shared" si="7"/>
        <v>850</v>
      </c>
      <c r="AG355" s="68"/>
      <c r="AH355" s="383"/>
    </row>
    <row r="356" spans="1:34" s="18" customFormat="1" ht="45.6" hidden="1">
      <c r="A356" s="301">
        <v>3020</v>
      </c>
      <c r="B356" s="54" t="s">
        <v>2663</v>
      </c>
      <c r="C356" s="54" t="s">
        <v>2663</v>
      </c>
      <c r="D356" s="54" t="s">
        <v>2871</v>
      </c>
      <c r="E356" s="301">
        <v>3</v>
      </c>
      <c r="F356" s="302">
        <v>1</v>
      </c>
      <c r="G356" s="56">
        <v>20</v>
      </c>
      <c r="H356" s="57" t="s">
        <v>2037</v>
      </c>
      <c r="I356" s="57" t="s">
        <v>2037</v>
      </c>
      <c r="J356" s="58">
        <v>10500100127903</v>
      </c>
      <c r="K356" s="59" t="s">
        <v>89</v>
      </c>
      <c r="L356" s="59"/>
      <c r="M356" s="59">
        <v>2</v>
      </c>
      <c r="N356" s="57" t="s">
        <v>200</v>
      </c>
      <c r="O356" s="57" t="s">
        <v>2038</v>
      </c>
      <c r="P356" s="60">
        <v>2360755</v>
      </c>
      <c r="Q356" s="57" t="s">
        <v>203</v>
      </c>
      <c r="R356" s="57" t="s">
        <v>2039</v>
      </c>
      <c r="S356" s="61" t="s">
        <v>2040</v>
      </c>
      <c r="T356" s="84">
        <v>375</v>
      </c>
      <c r="U356" s="85">
        <v>260</v>
      </c>
      <c r="V356" s="85">
        <v>0</v>
      </c>
      <c r="W356" s="303" t="s">
        <v>2871</v>
      </c>
      <c r="X356" s="303" t="s">
        <v>2663</v>
      </c>
      <c r="Y356" s="65">
        <v>635</v>
      </c>
      <c r="Z356" s="62">
        <v>0</v>
      </c>
      <c r="AA356" s="63">
        <v>0</v>
      </c>
      <c r="AB356" s="63">
        <v>0</v>
      </c>
      <c r="AC356" s="64"/>
      <c r="AD356" s="303"/>
      <c r="AE356" s="65">
        <v>0</v>
      </c>
      <c r="AF356" s="66">
        <f t="shared" si="7"/>
        <v>635</v>
      </c>
      <c r="AG356" s="68"/>
      <c r="AH356" s="383"/>
    </row>
    <row r="357" spans="1:34" s="18" customFormat="1" ht="45.6" hidden="1">
      <c r="A357" s="301">
        <v>3021</v>
      </c>
      <c r="B357" s="54" t="s">
        <v>2663</v>
      </c>
      <c r="C357" s="54" t="s">
        <v>2663</v>
      </c>
      <c r="D357" s="54" t="s">
        <v>2871</v>
      </c>
      <c r="E357" s="301">
        <v>3</v>
      </c>
      <c r="F357" s="302">
        <v>1</v>
      </c>
      <c r="G357" s="56">
        <v>21</v>
      </c>
      <c r="H357" s="57" t="s">
        <v>2041</v>
      </c>
      <c r="I357" s="57" t="s">
        <v>2041</v>
      </c>
      <c r="J357" s="58">
        <v>10500100116301</v>
      </c>
      <c r="K357" s="59" t="s">
        <v>89</v>
      </c>
      <c r="L357" s="59"/>
      <c r="M357" s="59">
        <v>2</v>
      </c>
      <c r="N357" s="57" t="s">
        <v>200</v>
      </c>
      <c r="O357" s="57" t="s">
        <v>2042</v>
      </c>
      <c r="P357" s="60">
        <v>5217466</v>
      </c>
      <c r="Q357" s="57" t="s">
        <v>2043</v>
      </c>
      <c r="R357" s="57" t="s">
        <v>2044</v>
      </c>
      <c r="S357" s="61" t="s">
        <v>2045</v>
      </c>
      <c r="T357" s="103">
        <v>216</v>
      </c>
      <c r="U357" s="104">
        <v>189</v>
      </c>
      <c r="V357" s="104">
        <v>130</v>
      </c>
      <c r="W357" s="303" t="s">
        <v>2871</v>
      </c>
      <c r="X357" s="303" t="s">
        <v>2663</v>
      </c>
      <c r="Y357" s="65">
        <v>535</v>
      </c>
      <c r="Z357" s="62">
        <v>0</v>
      </c>
      <c r="AA357" s="63">
        <v>0</v>
      </c>
      <c r="AB357" s="63">
        <v>0</v>
      </c>
      <c r="AC357" s="64"/>
      <c r="AD357" s="303"/>
      <c r="AE357" s="65">
        <v>0</v>
      </c>
      <c r="AF357" s="66">
        <f t="shared" si="7"/>
        <v>535</v>
      </c>
      <c r="AG357" s="68"/>
      <c r="AH357" s="383"/>
    </row>
    <row r="358" spans="1:34" s="18" customFormat="1" ht="45.6" hidden="1">
      <c r="A358" s="301">
        <v>3022</v>
      </c>
      <c r="B358" s="54" t="s">
        <v>2663</v>
      </c>
      <c r="C358" s="54" t="s">
        <v>2663</v>
      </c>
      <c r="D358" s="54" t="s">
        <v>2871</v>
      </c>
      <c r="E358" s="301">
        <v>3</v>
      </c>
      <c r="F358" s="302">
        <v>1</v>
      </c>
      <c r="G358" s="56">
        <v>22</v>
      </c>
      <c r="H358" s="57" t="s">
        <v>218</v>
      </c>
      <c r="I358" s="57" t="s">
        <v>218</v>
      </c>
      <c r="J358" s="58">
        <v>10500100004301</v>
      </c>
      <c r="K358" s="59" t="s">
        <v>89</v>
      </c>
      <c r="L358" s="59"/>
      <c r="M358" s="59">
        <v>2</v>
      </c>
      <c r="N358" s="57" t="s">
        <v>219</v>
      </c>
      <c r="O358" s="57" t="s">
        <v>220</v>
      </c>
      <c r="P358" s="60">
        <v>5294058</v>
      </c>
      <c r="Q358" s="57" t="s">
        <v>221</v>
      </c>
      <c r="R358" s="57" t="s">
        <v>222</v>
      </c>
      <c r="S358" s="61" t="s">
        <v>223</v>
      </c>
      <c r="T358" s="62">
        <v>304</v>
      </c>
      <c r="U358" s="63">
        <v>196</v>
      </c>
      <c r="V358" s="63">
        <v>0</v>
      </c>
      <c r="W358" s="303" t="s">
        <v>2871</v>
      </c>
      <c r="X358" s="303" t="s">
        <v>2663</v>
      </c>
      <c r="Y358" s="65">
        <v>500</v>
      </c>
      <c r="Z358" s="62">
        <v>0</v>
      </c>
      <c r="AA358" s="63">
        <v>0</v>
      </c>
      <c r="AB358" s="63">
        <v>0</v>
      </c>
      <c r="AC358" s="64"/>
      <c r="AD358" s="303"/>
      <c r="AE358" s="65">
        <v>0</v>
      </c>
      <c r="AF358" s="66">
        <f t="shared" si="7"/>
        <v>500</v>
      </c>
      <c r="AG358" s="68"/>
      <c r="AH358" s="383"/>
    </row>
    <row r="359" spans="1:34" s="18" customFormat="1" ht="45.6" hidden="1">
      <c r="A359" s="301">
        <v>3023</v>
      </c>
      <c r="B359" s="54" t="s">
        <v>2663</v>
      </c>
      <c r="C359" s="54" t="s">
        <v>2663</v>
      </c>
      <c r="D359" s="54" t="s">
        <v>2871</v>
      </c>
      <c r="E359" s="301">
        <v>3</v>
      </c>
      <c r="F359" s="302">
        <v>1</v>
      </c>
      <c r="G359" s="56">
        <v>23</v>
      </c>
      <c r="H359" s="57" t="s">
        <v>2046</v>
      </c>
      <c r="I359" s="102" t="s">
        <v>2046</v>
      </c>
      <c r="J359" s="58">
        <v>10500100000101</v>
      </c>
      <c r="K359" s="59" t="s">
        <v>89</v>
      </c>
      <c r="L359" s="59"/>
      <c r="M359" s="59">
        <v>2</v>
      </c>
      <c r="N359" s="57" t="s">
        <v>1310</v>
      </c>
      <c r="O359" s="57" t="s">
        <v>2047</v>
      </c>
      <c r="P359" s="60" t="s">
        <v>2048</v>
      </c>
      <c r="Q359" s="57" t="s">
        <v>2049</v>
      </c>
      <c r="R359" s="57" t="s">
        <v>2050</v>
      </c>
      <c r="S359" s="61" t="s">
        <v>2051</v>
      </c>
      <c r="T359" s="62">
        <v>301</v>
      </c>
      <c r="U359" s="63">
        <v>484</v>
      </c>
      <c r="V359" s="63">
        <v>135</v>
      </c>
      <c r="W359" s="303" t="s">
        <v>2871</v>
      </c>
      <c r="X359" s="303" t="s">
        <v>2663</v>
      </c>
      <c r="Y359" s="65">
        <v>920</v>
      </c>
      <c r="Z359" s="62">
        <v>0</v>
      </c>
      <c r="AA359" s="63">
        <v>0</v>
      </c>
      <c r="AB359" s="63">
        <v>0</v>
      </c>
      <c r="AC359" s="64"/>
      <c r="AD359" s="303"/>
      <c r="AE359" s="65">
        <v>0</v>
      </c>
      <c r="AF359" s="66">
        <f t="shared" si="7"/>
        <v>920</v>
      </c>
      <c r="AG359" s="68"/>
      <c r="AH359" s="383"/>
    </row>
    <row r="360" spans="1:34" s="18" customFormat="1" ht="68.400000000000006" hidden="1">
      <c r="A360" s="301">
        <v>3024</v>
      </c>
      <c r="B360" s="54" t="s">
        <v>2663</v>
      </c>
      <c r="C360" s="54" t="s">
        <v>2663</v>
      </c>
      <c r="D360" s="54" t="s">
        <v>2871</v>
      </c>
      <c r="E360" s="301">
        <v>3</v>
      </c>
      <c r="F360" s="302">
        <v>1</v>
      </c>
      <c r="G360" s="56">
        <v>24</v>
      </c>
      <c r="H360" s="57" t="s">
        <v>1303</v>
      </c>
      <c r="I360" s="57" t="s">
        <v>1303</v>
      </c>
      <c r="J360" s="58">
        <v>10500102396501</v>
      </c>
      <c r="K360" s="59" t="s">
        <v>89</v>
      </c>
      <c r="L360" s="59" t="s">
        <v>63</v>
      </c>
      <c r="M360" s="59">
        <v>2</v>
      </c>
      <c r="N360" s="57" t="s">
        <v>174</v>
      </c>
      <c r="O360" s="57" t="s">
        <v>1304</v>
      </c>
      <c r="P360" s="60" t="s">
        <v>1305</v>
      </c>
      <c r="Q360" s="57" t="s">
        <v>1306</v>
      </c>
      <c r="R360" s="57" t="s">
        <v>1307</v>
      </c>
      <c r="S360" s="61" t="s">
        <v>1308</v>
      </c>
      <c r="T360" s="62">
        <v>0</v>
      </c>
      <c r="U360" s="63">
        <v>630</v>
      </c>
      <c r="V360" s="63">
        <v>370</v>
      </c>
      <c r="W360" s="303" t="s">
        <v>2871</v>
      </c>
      <c r="X360" s="303" t="s">
        <v>2663</v>
      </c>
      <c r="Y360" s="65">
        <v>1000</v>
      </c>
      <c r="Z360" s="62">
        <v>0</v>
      </c>
      <c r="AA360" s="63">
        <v>0</v>
      </c>
      <c r="AB360" s="63">
        <v>0</v>
      </c>
      <c r="AC360" s="64"/>
      <c r="AD360" s="303"/>
      <c r="AE360" s="65">
        <v>0</v>
      </c>
      <c r="AF360" s="66">
        <f t="shared" si="7"/>
        <v>1000</v>
      </c>
      <c r="AG360" s="250"/>
      <c r="AH360" s="383"/>
    </row>
    <row r="361" spans="1:34" s="18" customFormat="1" ht="79.8" hidden="1">
      <c r="A361" s="301">
        <v>3025</v>
      </c>
      <c r="B361" s="54" t="s">
        <v>2663</v>
      </c>
      <c r="C361" s="54" t="s">
        <v>2663</v>
      </c>
      <c r="D361" s="54" t="s">
        <v>2871</v>
      </c>
      <c r="E361" s="301">
        <v>3</v>
      </c>
      <c r="F361" s="302">
        <v>1</v>
      </c>
      <c r="G361" s="56">
        <v>25</v>
      </c>
      <c r="H361" s="57" t="s">
        <v>224</v>
      </c>
      <c r="I361" s="57" t="s">
        <v>224</v>
      </c>
      <c r="J361" s="58">
        <v>10500102396502</v>
      </c>
      <c r="K361" s="59" t="s">
        <v>89</v>
      </c>
      <c r="L361" s="59"/>
      <c r="M361" s="59">
        <v>2</v>
      </c>
      <c r="N361" s="57" t="s">
        <v>225</v>
      </c>
      <c r="O361" s="57" t="s">
        <v>226</v>
      </c>
      <c r="P361" s="60">
        <v>2369693</v>
      </c>
      <c r="Q361" s="57" t="s">
        <v>227</v>
      </c>
      <c r="R361" s="57" t="s">
        <v>228</v>
      </c>
      <c r="S361" s="61" t="s">
        <v>229</v>
      </c>
      <c r="T361" s="62">
        <v>130</v>
      </c>
      <c r="U361" s="63">
        <v>30</v>
      </c>
      <c r="V361" s="63">
        <v>0</v>
      </c>
      <c r="W361" s="303" t="s">
        <v>2871</v>
      </c>
      <c r="X361" s="303" t="s">
        <v>2663</v>
      </c>
      <c r="Y361" s="65">
        <v>160</v>
      </c>
      <c r="Z361" s="62">
        <v>0</v>
      </c>
      <c r="AA361" s="63">
        <v>0</v>
      </c>
      <c r="AB361" s="63">
        <v>0</v>
      </c>
      <c r="AC361" s="64"/>
      <c r="AD361" s="303"/>
      <c r="AE361" s="65">
        <v>0</v>
      </c>
      <c r="AF361" s="66">
        <f t="shared" si="7"/>
        <v>160</v>
      </c>
      <c r="AG361" s="68"/>
      <c r="AH361" s="383"/>
    </row>
    <row r="362" spans="1:34" s="18" customFormat="1" ht="57" hidden="1">
      <c r="A362" s="301">
        <v>3026</v>
      </c>
      <c r="B362" s="54" t="s">
        <v>2663</v>
      </c>
      <c r="C362" s="54" t="s">
        <v>2663</v>
      </c>
      <c r="D362" s="54" t="s">
        <v>2871</v>
      </c>
      <c r="E362" s="301">
        <v>3</v>
      </c>
      <c r="F362" s="302">
        <v>1</v>
      </c>
      <c r="G362" s="56">
        <v>26</v>
      </c>
      <c r="H362" s="57" t="s">
        <v>2052</v>
      </c>
      <c r="I362" s="57" t="s">
        <v>2052</v>
      </c>
      <c r="J362" s="58">
        <v>10500102396504</v>
      </c>
      <c r="K362" s="59" t="s">
        <v>89</v>
      </c>
      <c r="L362" s="59"/>
      <c r="M362" s="59">
        <v>2</v>
      </c>
      <c r="N362" s="57" t="s">
        <v>2053</v>
      </c>
      <c r="O362" s="57" t="s">
        <v>2054</v>
      </c>
      <c r="P362" s="60">
        <v>5217992</v>
      </c>
      <c r="Q362" s="57" t="s">
        <v>1312</v>
      </c>
      <c r="R362" s="57" t="s">
        <v>2055</v>
      </c>
      <c r="S362" s="61" t="s">
        <v>2056</v>
      </c>
      <c r="T362" s="62">
        <v>328</v>
      </c>
      <c r="U362" s="63">
        <v>97</v>
      </c>
      <c r="V362" s="63">
        <v>0</v>
      </c>
      <c r="W362" s="303" t="s">
        <v>2871</v>
      </c>
      <c r="X362" s="303" t="s">
        <v>2663</v>
      </c>
      <c r="Y362" s="65">
        <v>425</v>
      </c>
      <c r="Z362" s="62">
        <v>0</v>
      </c>
      <c r="AA362" s="63">
        <v>0</v>
      </c>
      <c r="AB362" s="63">
        <v>0</v>
      </c>
      <c r="AC362" s="64"/>
      <c r="AD362" s="303"/>
      <c r="AE362" s="65">
        <v>0</v>
      </c>
      <c r="AF362" s="66">
        <f t="shared" si="7"/>
        <v>425</v>
      </c>
      <c r="AG362" s="68"/>
      <c r="AH362" s="383"/>
    </row>
    <row r="363" spans="1:34" s="18" customFormat="1" ht="79.8" hidden="1">
      <c r="A363" s="301">
        <v>3027</v>
      </c>
      <c r="B363" s="54" t="s">
        <v>2663</v>
      </c>
      <c r="C363" s="54" t="s">
        <v>2663</v>
      </c>
      <c r="D363" s="54" t="s">
        <v>2871</v>
      </c>
      <c r="E363" s="301">
        <v>3</v>
      </c>
      <c r="F363" s="302">
        <v>1</v>
      </c>
      <c r="G363" s="56">
        <v>27</v>
      </c>
      <c r="H363" s="57" t="s">
        <v>230</v>
      </c>
      <c r="I363" s="57" t="s">
        <v>230</v>
      </c>
      <c r="J363" s="58">
        <v>10500100538001</v>
      </c>
      <c r="K363" s="59" t="s">
        <v>89</v>
      </c>
      <c r="L363" s="59"/>
      <c r="M363" s="59">
        <v>2</v>
      </c>
      <c r="N363" s="57" t="s">
        <v>231</v>
      </c>
      <c r="O363" s="57" t="s">
        <v>232</v>
      </c>
      <c r="P363" s="60">
        <v>2581854</v>
      </c>
      <c r="Q363" s="57" t="s">
        <v>233</v>
      </c>
      <c r="R363" s="57" t="s">
        <v>234</v>
      </c>
      <c r="S363" s="61" t="s">
        <v>235</v>
      </c>
      <c r="T363" s="84">
        <v>6</v>
      </c>
      <c r="U363" s="85">
        <v>290</v>
      </c>
      <c r="V363" s="85">
        <v>244</v>
      </c>
      <c r="W363" s="303" t="s">
        <v>2871</v>
      </c>
      <c r="X363" s="303" t="s">
        <v>2663</v>
      </c>
      <c r="Y363" s="65">
        <v>540</v>
      </c>
      <c r="Z363" s="62">
        <v>0</v>
      </c>
      <c r="AA363" s="63">
        <v>0</v>
      </c>
      <c r="AB363" s="63">
        <v>0</v>
      </c>
      <c r="AC363" s="64"/>
      <c r="AD363" s="303"/>
      <c r="AE363" s="65">
        <v>0</v>
      </c>
      <c r="AF363" s="66">
        <f t="shared" si="7"/>
        <v>540</v>
      </c>
      <c r="AG363" s="68"/>
      <c r="AH363" s="383"/>
    </row>
    <row r="364" spans="1:34" s="18" customFormat="1" ht="68.400000000000006" hidden="1">
      <c r="A364" s="301">
        <v>3028</v>
      </c>
      <c r="B364" s="54" t="s">
        <v>2663</v>
      </c>
      <c r="C364" s="54" t="s">
        <v>2663</v>
      </c>
      <c r="D364" s="54" t="s">
        <v>2871</v>
      </c>
      <c r="E364" s="301">
        <v>3</v>
      </c>
      <c r="F364" s="302">
        <v>1</v>
      </c>
      <c r="G364" s="56">
        <v>28</v>
      </c>
      <c r="H364" s="57" t="s">
        <v>236</v>
      </c>
      <c r="I364" s="57" t="s">
        <v>236</v>
      </c>
      <c r="J364" s="58">
        <v>10500100538002</v>
      </c>
      <c r="K364" s="59" t="s">
        <v>89</v>
      </c>
      <c r="L364" s="59"/>
      <c r="M364" s="59">
        <v>2</v>
      </c>
      <c r="N364" s="57" t="s">
        <v>225</v>
      </c>
      <c r="O364" s="57" t="s">
        <v>237</v>
      </c>
      <c r="P364" s="60">
        <v>5213916</v>
      </c>
      <c r="Q364" s="57" t="s">
        <v>238</v>
      </c>
      <c r="R364" s="57" t="s">
        <v>239</v>
      </c>
      <c r="S364" s="61" t="s">
        <v>240</v>
      </c>
      <c r="T364" s="84">
        <v>56</v>
      </c>
      <c r="U364" s="85">
        <v>104</v>
      </c>
      <c r="V364" s="85">
        <v>0</v>
      </c>
      <c r="W364" s="303" t="s">
        <v>2871</v>
      </c>
      <c r="X364" s="303" t="s">
        <v>2663</v>
      </c>
      <c r="Y364" s="65">
        <v>160</v>
      </c>
      <c r="Z364" s="62">
        <v>0</v>
      </c>
      <c r="AA364" s="63">
        <v>0</v>
      </c>
      <c r="AB364" s="63">
        <v>0</v>
      </c>
      <c r="AC364" s="64"/>
      <c r="AD364" s="303"/>
      <c r="AE364" s="65">
        <v>0</v>
      </c>
      <c r="AF364" s="66">
        <f t="shared" si="7"/>
        <v>160</v>
      </c>
      <c r="AG364" s="68"/>
      <c r="AH364" s="383"/>
    </row>
    <row r="365" spans="1:34" s="18" customFormat="1" ht="22.8" hidden="1">
      <c r="A365" s="301">
        <v>3029</v>
      </c>
      <c r="B365" s="54" t="s">
        <v>2663</v>
      </c>
      <c r="C365" s="54" t="s">
        <v>2663</v>
      </c>
      <c r="D365" s="54" t="s">
        <v>2871</v>
      </c>
      <c r="E365" s="301">
        <v>3</v>
      </c>
      <c r="F365" s="302">
        <v>1</v>
      </c>
      <c r="G365" s="56">
        <v>29</v>
      </c>
      <c r="H365" s="57" t="s">
        <v>241</v>
      </c>
      <c r="I365" s="102" t="s">
        <v>2057</v>
      </c>
      <c r="J365" s="58">
        <v>10500102654901</v>
      </c>
      <c r="K365" s="59" t="s">
        <v>89</v>
      </c>
      <c r="L365" s="59"/>
      <c r="M365" s="59">
        <v>3</v>
      </c>
      <c r="N365" s="57" t="s">
        <v>242</v>
      </c>
      <c r="O365" s="57" t="s">
        <v>2058</v>
      </c>
      <c r="P365" s="60">
        <v>5288234</v>
      </c>
      <c r="Q365" s="57" t="s">
        <v>2059</v>
      </c>
      <c r="R365" s="57" t="s">
        <v>2060</v>
      </c>
      <c r="S365" s="61" t="s">
        <v>2061</v>
      </c>
      <c r="T365" s="84">
        <v>276</v>
      </c>
      <c r="U365" s="85">
        <v>495</v>
      </c>
      <c r="V365" s="85">
        <v>129</v>
      </c>
      <c r="W365" s="303" t="s">
        <v>2871</v>
      </c>
      <c r="X365" s="303" t="s">
        <v>2663</v>
      </c>
      <c r="Y365" s="65">
        <v>900</v>
      </c>
      <c r="Z365" s="62">
        <v>0</v>
      </c>
      <c r="AA365" s="63">
        <v>0</v>
      </c>
      <c r="AB365" s="63">
        <v>0</v>
      </c>
      <c r="AC365" s="64"/>
      <c r="AD365" s="303"/>
      <c r="AE365" s="65">
        <v>0</v>
      </c>
      <c r="AF365" s="66">
        <f t="shared" si="7"/>
        <v>900</v>
      </c>
      <c r="AG365" s="68"/>
      <c r="AH365" s="383"/>
    </row>
    <row r="366" spans="1:34" s="18" customFormat="1" ht="68.400000000000006" hidden="1">
      <c r="A366" s="301">
        <v>3030</v>
      </c>
      <c r="B366" s="54" t="s">
        <v>2663</v>
      </c>
      <c r="C366" s="54" t="s">
        <v>2663</v>
      </c>
      <c r="D366" s="54" t="s">
        <v>2871</v>
      </c>
      <c r="E366" s="301">
        <v>3</v>
      </c>
      <c r="F366" s="302">
        <v>1</v>
      </c>
      <c r="G366" s="56">
        <v>30</v>
      </c>
      <c r="H366" s="57" t="s">
        <v>2062</v>
      </c>
      <c r="I366" s="57" t="s">
        <v>2062</v>
      </c>
      <c r="J366" s="58">
        <v>30500102562201</v>
      </c>
      <c r="K366" s="59" t="s">
        <v>167</v>
      </c>
      <c r="L366" s="59"/>
      <c r="M366" s="59">
        <v>3</v>
      </c>
      <c r="N366" s="57" t="s">
        <v>105</v>
      </c>
      <c r="O366" s="57" t="s">
        <v>2063</v>
      </c>
      <c r="P366" s="60" t="s">
        <v>2064</v>
      </c>
      <c r="Q366" s="57" t="s">
        <v>2065</v>
      </c>
      <c r="R366" s="57" t="s">
        <v>2066</v>
      </c>
      <c r="S366" s="61" t="s">
        <v>2067</v>
      </c>
      <c r="T366" s="84">
        <v>175</v>
      </c>
      <c r="U366" s="85">
        <v>95</v>
      </c>
      <c r="V366" s="85">
        <v>0</v>
      </c>
      <c r="W366" s="303" t="s">
        <v>2871</v>
      </c>
      <c r="X366" s="303" t="s">
        <v>2663</v>
      </c>
      <c r="Y366" s="65">
        <v>270</v>
      </c>
      <c r="Z366" s="62">
        <v>0</v>
      </c>
      <c r="AA366" s="63">
        <v>0</v>
      </c>
      <c r="AB366" s="63">
        <v>0</v>
      </c>
      <c r="AC366" s="64"/>
      <c r="AD366" s="303"/>
      <c r="AE366" s="65">
        <v>0</v>
      </c>
      <c r="AF366" s="66">
        <f t="shared" si="7"/>
        <v>270</v>
      </c>
      <c r="AG366" s="68"/>
      <c r="AH366" s="383"/>
    </row>
    <row r="367" spans="1:34" s="18" customFormat="1" ht="68.400000000000006" hidden="1">
      <c r="A367" s="301">
        <v>3031</v>
      </c>
      <c r="B367" s="54" t="s">
        <v>2663</v>
      </c>
      <c r="C367" s="54" t="s">
        <v>2663</v>
      </c>
      <c r="D367" s="54" t="s">
        <v>2871</v>
      </c>
      <c r="E367" s="301">
        <v>3</v>
      </c>
      <c r="F367" s="302">
        <v>1</v>
      </c>
      <c r="G367" s="56">
        <v>31</v>
      </c>
      <c r="H367" s="57" t="s">
        <v>247</v>
      </c>
      <c r="I367" s="57" t="s">
        <v>247</v>
      </c>
      <c r="J367" s="58">
        <v>10500100147301</v>
      </c>
      <c r="K367" s="59" t="s">
        <v>89</v>
      </c>
      <c r="L367" s="59"/>
      <c r="M367" s="59">
        <v>3</v>
      </c>
      <c r="N367" s="57" t="s">
        <v>248</v>
      </c>
      <c r="O367" s="57" t="s">
        <v>249</v>
      </c>
      <c r="P367" s="60" t="s">
        <v>250</v>
      </c>
      <c r="Q367" s="57" t="s">
        <v>251</v>
      </c>
      <c r="R367" s="57" t="s">
        <v>252</v>
      </c>
      <c r="S367" s="61" t="s">
        <v>253</v>
      </c>
      <c r="T367" s="62">
        <v>0</v>
      </c>
      <c r="U367" s="63">
        <v>400</v>
      </c>
      <c r="V367" s="63">
        <v>100</v>
      </c>
      <c r="W367" s="303" t="s">
        <v>2871</v>
      </c>
      <c r="X367" s="303" t="s">
        <v>2663</v>
      </c>
      <c r="Y367" s="65">
        <v>500</v>
      </c>
      <c r="Z367" s="62">
        <v>0</v>
      </c>
      <c r="AA367" s="63">
        <v>0</v>
      </c>
      <c r="AB367" s="63">
        <v>0</v>
      </c>
      <c r="AC367" s="64"/>
      <c r="AD367" s="303"/>
      <c r="AE367" s="65">
        <v>0</v>
      </c>
      <c r="AF367" s="66">
        <f t="shared" si="7"/>
        <v>500</v>
      </c>
      <c r="AG367" s="68"/>
      <c r="AH367" s="383"/>
    </row>
    <row r="368" spans="1:34" s="18" customFormat="1" ht="45.6" hidden="1">
      <c r="A368" s="301">
        <v>3032</v>
      </c>
      <c r="B368" s="54" t="s">
        <v>2663</v>
      </c>
      <c r="C368" s="54" t="s">
        <v>2663</v>
      </c>
      <c r="D368" s="54" t="s">
        <v>2871</v>
      </c>
      <c r="E368" s="301">
        <v>3</v>
      </c>
      <c r="F368" s="302">
        <v>1</v>
      </c>
      <c r="G368" s="56">
        <v>32</v>
      </c>
      <c r="H368" s="57" t="s">
        <v>1940</v>
      </c>
      <c r="I368" s="57" t="s">
        <v>1940</v>
      </c>
      <c r="J368" s="58">
        <v>10500100147302</v>
      </c>
      <c r="K368" s="59" t="s">
        <v>89</v>
      </c>
      <c r="L368" s="59"/>
      <c r="M368" s="59">
        <v>3</v>
      </c>
      <c r="N368" s="57" t="s">
        <v>255</v>
      </c>
      <c r="O368" s="57" t="s">
        <v>2068</v>
      </c>
      <c r="P368" s="60">
        <v>2841206</v>
      </c>
      <c r="Q368" s="57" t="s">
        <v>2069</v>
      </c>
      <c r="R368" s="57" t="s">
        <v>2070</v>
      </c>
      <c r="S368" s="61" t="s">
        <v>2071</v>
      </c>
      <c r="T368" s="62">
        <v>320</v>
      </c>
      <c r="U368" s="63">
        <v>0</v>
      </c>
      <c r="V368" s="63">
        <v>0</v>
      </c>
      <c r="W368" s="303" t="s">
        <v>2871</v>
      </c>
      <c r="X368" s="303" t="s">
        <v>2663</v>
      </c>
      <c r="Y368" s="65">
        <v>320</v>
      </c>
      <c r="Z368" s="62">
        <v>0</v>
      </c>
      <c r="AA368" s="63">
        <v>0</v>
      </c>
      <c r="AB368" s="63">
        <v>0</v>
      </c>
      <c r="AC368" s="64"/>
      <c r="AD368" s="303"/>
      <c r="AE368" s="65">
        <v>0</v>
      </c>
      <c r="AF368" s="66">
        <f t="shared" si="7"/>
        <v>320</v>
      </c>
      <c r="AG368" s="68"/>
      <c r="AH368" s="383"/>
    </row>
    <row r="369" spans="1:34" s="18" customFormat="1" ht="136.80000000000001" hidden="1">
      <c r="A369" s="301">
        <v>3033</v>
      </c>
      <c r="B369" s="54" t="s">
        <v>2663</v>
      </c>
      <c r="C369" s="54" t="s">
        <v>2663</v>
      </c>
      <c r="D369" s="54" t="s">
        <v>2871</v>
      </c>
      <c r="E369" s="301">
        <v>3</v>
      </c>
      <c r="F369" s="302">
        <v>1</v>
      </c>
      <c r="G369" s="56">
        <v>33</v>
      </c>
      <c r="H369" s="57" t="s">
        <v>2072</v>
      </c>
      <c r="I369" s="57" t="s">
        <v>2072</v>
      </c>
      <c r="J369" s="58">
        <v>10500100248801</v>
      </c>
      <c r="K369" s="59" t="s">
        <v>89</v>
      </c>
      <c r="L369" s="59"/>
      <c r="M369" s="59">
        <v>3</v>
      </c>
      <c r="N369" s="57" t="s">
        <v>2073</v>
      </c>
      <c r="O369" s="57" t="s">
        <v>2074</v>
      </c>
      <c r="P369" s="60" t="s">
        <v>2075</v>
      </c>
      <c r="Q369" s="57" t="s">
        <v>2076</v>
      </c>
      <c r="R369" s="57" t="s">
        <v>2077</v>
      </c>
      <c r="S369" s="61" t="s">
        <v>2078</v>
      </c>
      <c r="T369" s="62">
        <v>128</v>
      </c>
      <c r="U369" s="63">
        <v>492</v>
      </c>
      <c r="V369" s="63">
        <v>180</v>
      </c>
      <c r="W369" s="303" t="s">
        <v>2871</v>
      </c>
      <c r="X369" s="303" t="s">
        <v>2663</v>
      </c>
      <c r="Y369" s="65">
        <v>800</v>
      </c>
      <c r="Z369" s="62">
        <v>0</v>
      </c>
      <c r="AA369" s="63">
        <v>0</v>
      </c>
      <c r="AB369" s="63">
        <v>0</v>
      </c>
      <c r="AC369" s="64"/>
      <c r="AD369" s="303"/>
      <c r="AE369" s="65">
        <v>0</v>
      </c>
      <c r="AF369" s="66">
        <f t="shared" si="7"/>
        <v>800</v>
      </c>
      <c r="AG369" s="68"/>
      <c r="AH369" s="383"/>
    </row>
    <row r="370" spans="1:34" s="18" customFormat="1" ht="91.2" hidden="1">
      <c r="A370" s="301">
        <v>3034</v>
      </c>
      <c r="B370" s="54" t="s">
        <v>2663</v>
      </c>
      <c r="C370" s="54" t="s">
        <v>2663</v>
      </c>
      <c r="D370" s="54" t="s">
        <v>2871</v>
      </c>
      <c r="E370" s="301">
        <v>3</v>
      </c>
      <c r="F370" s="302">
        <v>1</v>
      </c>
      <c r="G370" s="56">
        <v>34</v>
      </c>
      <c r="H370" s="57" t="s">
        <v>2004</v>
      </c>
      <c r="I370" s="57" t="s">
        <v>2004</v>
      </c>
      <c r="J370" s="58">
        <v>10500100248802</v>
      </c>
      <c r="K370" s="59" t="s">
        <v>89</v>
      </c>
      <c r="L370" s="59"/>
      <c r="M370" s="59">
        <v>3</v>
      </c>
      <c r="N370" s="57" t="s">
        <v>2073</v>
      </c>
      <c r="O370" s="57" t="s">
        <v>2079</v>
      </c>
      <c r="P370" s="60">
        <v>2331640</v>
      </c>
      <c r="Q370" s="57" t="s">
        <v>257</v>
      </c>
      <c r="R370" s="57" t="s">
        <v>2080</v>
      </c>
      <c r="S370" s="61" t="s">
        <v>2081</v>
      </c>
      <c r="T370" s="62">
        <v>200</v>
      </c>
      <c r="U370" s="63">
        <v>100</v>
      </c>
      <c r="V370" s="63">
        <v>0</v>
      </c>
      <c r="W370" s="303" t="s">
        <v>2871</v>
      </c>
      <c r="X370" s="303" t="s">
        <v>2663</v>
      </c>
      <c r="Y370" s="65">
        <v>300</v>
      </c>
      <c r="Z370" s="62">
        <v>0</v>
      </c>
      <c r="AA370" s="63">
        <v>0</v>
      </c>
      <c r="AB370" s="63">
        <v>0</v>
      </c>
      <c r="AC370" s="64"/>
      <c r="AD370" s="303"/>
      <c r="AE370" s="65">
        <v>0</v>
      </c>
      <c r="AF370" s="66">
        <f t="shared" si="7"/>
        <v>300</v>
      </c>
      <c r="AG370" s="68"/>
      <c r="AH370" s="383"/>
    </row>
    <row r="371" spans="1:34" s="18" customFormat="1" ht="34.200000000000003" hidden="1">
      <c r="A371" s="301">
        <v>3035</v>
      </c>
      <c r="B371" s="54" t="s">
        <v>2663</v>
      </c>
      <c r="C371" s="54" t="s">
        <v>2663</v>
      </c>
      <c r="D371" s="54" t="s">
        <v>2871</v>
      </c>
      <c r="E371" s="301">
        <v>3</v>
      </c>
      <c r="F371" s="302">
        <v>1</v>
      </c>
      <c r="G371" s="56">
        <v>35</v>
      </c>
      <c r="H371" s="57" t="s">
        <v>2082</v>
      </c>
      <c r="I371" s="57" t="s">
        <v>2082</v>
      </c>
      <c r="J371" s="58">
        <v>10500100112102</v>
      </c>
      <c r="K371" s="59" t="s">
        <v>89</v>
      </c>
      <c r="L371" s="59"/>
      <c r="M371" s="59">
        <v>3</v>
      </c>
      <c r="N371" s="57" t="s">
        <v>305</v>
      </c>
      <c r="O371" s="57" t="s">
        <v>2083</v>
      </c>
      <c r="P371" s="60" t="s">
        <v>2084</v>
      </c>
      <c r="Q371" s="57" t="s">
        <v>2085</v>
      </c>
      <c r="R371" s="57" t="s">
        <v>2086</v>
      </c>
      <c r="S371" s="61" t="s">
        <v>2087</v>
      </c>
      <c r="T371" s="84">
        <v>220</v>
      </c>
      <c r="U371" s="85">
        <v>160</v>
      </c>
      <c r="V371" s="85">
        <v>0</v>
      </c>
      <c r="W371" s="303" t="s">
        <v>2871</v>
      </c>
      <c r="X371" s="303" t="s">
        <v>2663</v>
      </c>
      <c r="Y371" s="65">
        <v>380</v>
      </c>
      <c r="Z371" s="62">
        <v>0</v>
      </c>
      <c r="AA371" s="63">
        <v>0</v>
      </c>
      <c r="AB371" s="63">
        <v>0</v>
      </c>
      <c r="AC371" s="64"/>
      <c r="AD371" s="303"/>
      <c r="AE371" s="65">
        <v>0</v>
      </c>
      <c r="AF371" s="66">
        <f t="shared" si="7"/>
        <v>380</v>
      </c>
      <c r="AG371" s="68"/>
      <c r="AH371" s="383"/>
    </row>
    <row r="372" spans="1:34" s="18" customFormat="1" ht="114" hidden="1">
      <c r="A372" s="301">
        <v>3036</v>
      </c>
      <c r="B372" s="54" t="s">
        <v>2663</v>
      </c>
      <c r="C372" s="54" t="s">
        <v>2663</v>
      </c>
      <c r="D372" s="54" t="s">
        <v>2871</v>
      </c>
      <c r="E372" s="301">
        <v>3</v>
      </c>
      <c r="F372" s="302">
        <v>1</v>
      </c>
      <c r="G372" s="56">
        <v>36</v>
      </c>
      <c r="H372" s="57" t="s">
        <v>2088</v>
      </c>
      <c r="I372" s="57" t="s">
        <v>2088</v>
      </c>
      <c r="J372" s="58">
        <v>10500100112103</v>
      </c>
      <c r="K372" s="59" t="s">
        <v>89</v>
      </c>
      <c r="L372" s="59"/>
      <c r="M372" s="59">
        <v>3</v>
      </c>
      <c r="N372" s="57" t="s">
        <v>294</v>
      </c>
      <c r="O372" s="57" t="s">
        <v>2089</v>
      </c>
      <c r="P372" s="60" t="s">
        <v>2090</v>
      </c>
      <c r="Q372" s="57" t="s">
        <v>2091</v>
      </c>
      <c r="R372" s="57" t="s">
        <v>2092</v>
      </c>
      <c r="S372" s="61" t="s">
        <v>2093</v>
      </c>
      <c r="T372" s="84">
        <v>249</v>
      </c>
      <c r="U372" s="85">
        <v>146</v>
      </c>
      <c r="V372" s="85">
        <v>0</v>
      </c>
      <c r="W372" s="303" t="s">
        <v>2871</v>
      </c>
      <c r="X372" s="303" t="s">
        <v>2663</v>
      </c>
      <c r="Y372" s="65">
        <v>395</v>
      </c>
      <c r="Z372" s="62">
        <v>0</v>
      </c>
      <c r="AA372" s="63">
        <v>0</v>
      </c>
      <c r="AB372" s="63">
        <v>0</v>
      </c>
      <c r="AC372" s="64"/>
      <c r="AD372" s="303"/>
      <c r="AE372" s="65">
        <v>0</v>
      </c>
      <c r="AF372" s="66">
        <f t="shared" si="7"/>
        <v>395</v>
      </c>
      <c r="AG372" s="68"/>
      <c r="AH372" s="383"/>
    </row>
    <row r="373" spans="1:34" s="18" customFormat="1" ht="79.8" hidden="1">
      <c r="A373" s="301">
        <v>3037</v>
      </c>
      <c r="B373" s="54" t="s">
        <v>2663</v>
      </c>
      <c r="C373" s="54" t="s">
        <v>2663</v>
      </c>
      <c r="D373" s="54" t="s">
        <v>2871</v>
      </c>
      <c r="E373" s="301">
        <v>3</v>
      </c>
      <c r="F373" s="302">
        <v>1</v>
      </c>
      <c r="G373" s="56">
        <v>37</v>
      </c>
      <c r="H373" s="57" t="s">
        <v>281</v>
      </c>
      <c r="I373" s="57" t="s">
        <v>281</v>
      </c>
      <c r="J373" s="58">
        <v>10500100115501</v>
      </c>
      <c r="K373" s="59" t="s">
        <v>89</v>
      </c>
      <c r="L373" s="59"/>
      <c r="M373" s="59">
        <v>3</v>
      </c>
      <c r="N373" s="57" t="s">
        <v>282</v>
      </c>
      <c r="O373" s="57" t="s">
        <v>283</v>
      </c>
      <c r="P373" s="60" t="s">
        <v>284</v>
      </c>
      <c r="Q373" s="57" t="s">
        <v>285</v>
      </c>
      <c r="R373" s="57" t="s">
        <v>286</v>
      </c>
      <c r="S373" s="61" t="s">
        <v>287</v>
      </c>
      <c r="T373" s="62">
        <v>270</v>
      </c>
      <c r="U373" s="63">
        <v>350</v>
      </c>
      <c r="V373" s="63">
        <v>0</v>
      </c>
      <c r="W373" s="303" t="s">
        <v>2871</v>
      </c>
      <c r="X373" s="303" t="s">
        <v>2663</v>
      </c>
      <c r="Y373" s="65">
        <v>620</v>
      </c>
      <c r="Z373" s="62">
        <v>0</v>
      </c>
      <c r="AA373" s="63">
        <v>0</v>
      </c>
      <c r="AB373" s="63">
        <v>0</v>
      </c>
      <c r="AC373" s="64"/>
      <c r="AD373" s="303"/>
      <c r="AE373" s="65">
        <v>0</v>
      </c>
      <c r="AF373" s="66">
        <f t="shared" si="7"/>
        <v>620</v>
      </c>
      <c r="AG373" s="68"/>
      <c r="AH373" s="383"/>
    </row>
    <row r="374" spans="1:34" s="18" customFormat="1" ht="68.400000000000006" hidden="1">
      <c r="A374" s="301">
        <v>3038</v>
      </c>
      <c r="B374" s="54" t="s">
        <v>2663</v>
      </c>
      <c r="C374" s="54" t="s">
        <v>2663</v>
      </c>
      <c r="D374" s="54" t="s">
        <v>2871</v>
      </c>
      <c r="E374" s="301">
        <v>3</v>
      </c>
      <c r="F374" s="302">
        <v>1</v>
      </c>
      <c r="G374" s="56">
        <v>38</v>
      </c>
      <c r="H374" s="57" t="s">
        <v>2094</v>
      </c>
      <c r="I374" s="57" t="s">
        <v>2094</v>
      </c>
      <c r="J374" s="58">
        <v>10500100136801</v>
      </c>
      <c r="K374" s="59" t="s">
        <v>89</v>
      </c>
      <c r="L374" s="59"/>
      <c r="M374" s="59">
        <v>3</v>
      </c>
      <c r="N374" s="57" t="s">
        <v>294</v>
      </c>
      <c r="O374" s="57" t="s">
        <v>2095</v>
      </c>
      <c r="P374" s="60">
        <v>2118264</v>
      </c>
      <c r="Q374" s="311" t="s">
        <v>2096</v>
      </c>
      <c r="R374" s="57" t="s">
        <v>2097</v>
      </c>
      <c r="S374" s="61" t="s">
        <v>2098</v>
      </c>
      <c r="T374" s="62">
        <v>104</v>
      </c>
      <c r="U374" s="63">
        <v>426</v>
      </c>
      <c r="V374" s="63">
        <v>50</v>
      </c>
      <c r="W374" s="303" t="s">
        <v>2871</v>
      </c>
      <c r="X374" s="303" t="s">
        <v>2663</v>
      </c>
      <c r="Y374" s="65">
        <v>580</v>
      </c>
      <c r="Z374" s="62">
        <v>0</v>
      </c>
      <c r="AA374" s="63">
        <v>0</v>
      </c>
      <c r="AB374" s="63">
        <v>0</v>
      </c>
      <c r="AC374" s="64"/>
      <c r="AD374" s="303"/>
      <c r="AE374" s="65">
        <v>0</v>
      </c>
      <c r="AF374" s="66">
        <f t="shared" si="7"/>
        <v>580</v>
      </c>
      <c r="AG374" s="68"/>
      <c r="AH374" s="383"/>
    </row>
    <row r="375" spans="1:34" s="18" customFormat="1" ht="68.400000000000006" hidden="1">
      <c r="A375" s="301">
        <v>3039</v>
      </c>
      <c r="B375" s="54" t="s">
        <v>2663</v>
      </c>
      <c r="C375" s="54" t="s">
        <v>2663</v>
      </c>
      <c r="D375" s="54" t="s">
        <v>2871</v>
      </c>
      <c r="E375" s="301">
        <v>3</v>
      </c>
      <c r="F375" s="302">
        <v>1</v>
      </c>
      <c r="G375" s="56">
        <v>39</v>
      </c>
      <c r="H375" s="57" t="s">
        <v>293</v>
      </c>
      <c r="I375" s="57" t="s">
        <v>293</v>
      </c>
      <c r="J375" s="58">
        <v>10500100986501</v>
      </c>
      <c r="K375" s="59" t="s">
        <v>89</v>
      </c>
      <c r="L375" s="59"/>
      <c r="M375" s="59">
        <v>3</v>
      </c>
      <c r="N375" s="57" t="s">
        <v>294</v>
      </c>
      <c r="O375" s="57" t="s">
        <v>295</v>
      </c>
      <c r="P375" s="60"/>
      <c r="Q375" s="57" t="s">
        <v>296</v>
      </c>
      <c r="R375" s="57" t="s">
        <v>297</v>
      </c>
      <c r="S375" s="61" t="s">
        <v>298</v>
      </c>
      <c r="T375" s="62">
        <v>0</v>
      </c>
      <c r="U375" s="63">
        <v>215</v>
      </c>
      <c r="V375" s="63">
        <v>115</v>
      </c>
      <c r="W375" s="303" t="s">
        <v>2871</v>
      </c>
      <c r="X375" s="303" t="s">
        <v>2663</v>
      </c>
      <c r="Y375" s="65">
        <v>330</v>
      </c>
      <c r="Z375" s="62">
        <v>0</v>
      </c>
      <c r="AA375" s="63">
        <v>0</v>
      </c>
      <c r="AB375" s="63">
        <v>0</v>
      </c>
      <c r="AC375" s="64"/>
      <c r="AD375" s="303"/>
      <c r="AE375" s="65">
        <v>0</v>
      </c>
      <c r="AF375" s="66">
        <f t="shared" si="7"/>
        <v>330</v>
      </c>
      <c r="AG375" s="68"/>
      <c r="AH375" s="383"/>
    </row>
    <row r="376" spans="1:34" s="18" customFormat="1" ht="158.4" hidden="1">
      <c r="A376" s="301">
        <v>3040</v>
      </c>
      <c r="B376" s="54" t="s">
        <v>2663</v>
      </c>
      <c r="C376" s="54" t="s">
        <v>2663</v>
      </c>
      <c r="D376" s="54" t="s">
        <v>2871</v>
      </c>
      <c r="E376" s="301">
        <v>3</v>
      </c>
      <c r="F376" s="309">
        <v>1</v>
      </c>
      <c r="G376" s="70">
        <v>40</v>
      </c>
      <c r="H376" s="88" t="s">
        <v>2099</v>
      </c>
      <c r="I376" s="88" t="s">
        <v>2099</v>
      </c>
      <c r="J376" s="89">
        <v>10500100986502</v>
      </c>
      <c r="K376" s="90" t="s">
        <v>89</v>
      </c>
      <c r="L376" s="90"/>
      <c r="M376" s="90">
        <v>3</v>
      </c>
      <c r="N376" s="88" t="s">
        <v>2100</v>
      </c>
      <c r="O376" s="88" t="s">
        <v>2101</v>
      </c>
      <c r="P376" s="92">
        <v>2118250</v>
      </c>
      <c r="Q376" s="88" t="s">
        <v>296</v>
      </c>
      <c r="R376" s="88" t="s">
        <v>2102</v>
      </c>
      <c r="S376" s="93" t="s">
        <v>2103</v>
      </c>
      <c r="T376" s="94">
        <v>170</v>
      </c>
      <c r="U376" s="95">
        <v>0</v>
      </c>
      <c r="V376" s="95">
        <v>0</v>
      </c>
      <c r="W376" s="303" t="s">
        <v>2871</v>
      </c>
      <c r="X376" s="303" t="s">
        <v>2663</v>
      </c>
      <c r="Y376" s="65">
        <v>170</v>
      </c>
      <c r="Z376" s="94">
        <v>0</v>
      </c>
      <c r="AA376" s="95">
        <v>0</v>
      </c>
      <c r="AB376" s="95">
        <v>0</v>
      </c>
      <c r="AC376" s="64"/>
      <c r="AD376" s="303"/>
      <c r="AE376" s="65">
        <v>0</v>
      </c>
      <c r="AF376" s="66">
        <f t="shared" si="7"/>
        <v>170</v>
      </c>
      <c r="AG376" s="91" t="s">
        <v>2104</v>
      </c>
      <c r="AH376" s="383"/>
    </row>
    <row r="377" spans="1:34" s="18" customFormat="1" ht="158.4" hidden="1">
      <c r="A377" s="301">
        <v>3041</v>
      </c>
      <c r="B377" s="54" t="s">
        <v>2663</v>
      </c>
      <c r="C377" s="54" t="s">
        <v>2663</v>
      </c>
      <c r="D377" s="54" t="s">
        <v>2871</v>
      </c>
      <c r="E377" s="301">
        <v>3</v>
      </c>
      <c r="F377" s="310">
        <v>1</v>
      </c>
      <c r="G377" s="70">
        <v>41</v>
      </c>
      <c r="H377" s="88" t="s">
        <v>2099</v>
      </c>
      <c r="I377" s="88" t="s">
        <v>2105</v>
      </c>
      <c r="J377" s="89">
        <v>10500100986503</v>
      </c>
      <c r="K377" s="90" t="s">
        <v>89</v>
      </c>
      <c r="L377" s="91"/>
      <c r="M377" s="90">
        <v>3</v>
      </c>
      <c r="N377" s="88" t="s">
        <v>2100</v>
      </c>
      <c r="O377" s="88" t="s">
        <v>2101</v>
      </c>
      <c r="P377" s="92">
        <v>2118250</v>
      </c>
      <c r="Q377" s="88" t="s">
        <v>296</v>
      </c>
      <c r="R377" s="88" t="s">
        <v>2102</v>
      </c>
      <c r="S377" s="93" t="s">
        <v>2106</v>
      </c>
      <c r="T377" s="94">
        <v>91</v>
      </c>
      <c r="U377" s="95">
        <v>9</v>
      </c>
      <c r="V377" s="95">
        <v>0</v>
      </c>
      <c r="W377" s="303" t="s">
        <v>2871</v>
      </c>
      <c r="X377" s="303" t="s">
        <v>2663</v>
      </c>
      <c r="Y377" s="65">
        <v>100</v>
      </c>
      <c r="Z377" s="94">
        <v>0</v>
      </c>
      <c r="AA377" s="95">
        <v>0</v>
      </c>
      <c r="AB377" s="95">
        <v>0</v>
      </c>
      <c r="AC377" s="64"/>
      <c r="AD377" s="303"/>
      <c r="AE377" s="65">
        <v>0</v>
      </c>
      <c r="AF377" s="66">
        <f t="shared" si="7"/>
        <v>100</v>
      </c>
      <c r="AG377" s="91" t="s">
        <v>2104</v>
      </c>
      <c r="AH377" s="383"/>
    </row>
    <row r="378" spans="1:34" s="18" customFormat="1" ht="57" hidden="1">
      <c r="A378" s="301">
        <v>3042</v>
      </c>
      <c r="B378" s="54" t="s">
        <v>2663</v>
      </c>
      <c r="C378" s="54" t="s">
        <v>2663</v>
      </c>
      <c r="D378" s="54" t="s">
        <v>2866</v>
      </c>
      <c r="E378" s="301">
        <v>3</v>
      </c>
      <c r="F378" s="302">
        <v>1</v>
      </c>
      <c r="G378" s="56">
        <v>42</v>
      </c>
      <c r="H378" s="57" t="s">
        <v>2107</v>
      </c>
      <c r="I378" s="57" t="s">
        <v>2108</v>
      </c>
      <c r="J378" s="58">
        <v>10500100123601</v>
      </c>
      <c r="K378" s="59" t="s">
        <v>89</v>
      </c>
      <c r="L378" s="59"/>
      <c r="M378" s="59">
        <v>3</v>
      </c>
      <c r="N378" s="57" t="s">
        <v>274</v>
      </c>
      <c r="O378" s="57" t="s">
        <v>1341</v>
      </c>
      <c r="P378" s="60" t="s">
        <v>2109</v>
      </c>
      <c r="Q378" s="57" t="s">
        <v>1342</v>
      </c>
      <c r="R378" s="57" t="s">
        <v>1343</v>
      </c>
      <c r="S378" s="61" t="s">
        <v>2110</v>
      </c>
      <c r="T378" s="62">
        <v>0</v>
      </c>
      <c r="U378" s="63">
        <v>0</v>
      </c>
      <c r="V378" s="63">
        <v>0</v>
      </c>
      <c r="W378" s="303"/>
      <c r="X378" s="303"/>
      <c r="Y378" s="65">
        <v>0</v>
      </c>
      <c r="Z378" s="62">
        <v>0</v>
      </c>
      <c r="AA378" s="63">
        <v>230</v>
      </c>
      <c r="AB378" s="63">
        <v>220</v>
      </c>
      <c r="AC378" s="64" t="s">
        <v>2866</v>
      </c>
      <c r="AD378" s="303" t="s">
        <v>2663</v>
      </c>
      <c r="AE378" s="65">
        <v>450</v>
      </c>
      <c r="AF378" s="66">
        <f t="shared" si="7"/>
        <v>450</v>
      </c>
      <c r="AG378" s="68"/>
      <c r="AH378" s="383"/>
    </row>
    <row r="379" spans="1:34" s="18" customFormat="1" ht="68.400000000000006" hidden="1">
      <c r="A379" s="301">
        <v>3043</v>
      </c>
      <c r="B379" s="54" t="s">
        <v>2663</v>
      </c>
      <c r="C379" s="54" t="s">
        <v>2663</v>
      </c>
      <c r="D379" s="54" t="s">
        <v>2871</v>
      </c>
      <c r="E379" s="301">
        <v>3</v>
      </c>
      <c r="F379" s="302">
        <v>1</v>
      </c>
      <c r="G379" s="56">
        <v>43</v>
      </c>
      <c r="H379" s="57" t="s">
        <v>2111</v>
      </c>
      <c r="I379" s="57" t="s">
        <v>2112</v>
      </c>
      <c r="J379" s="58">
        <v>10500101953401</v>
      </c>
      <c r="K379" s="59" t="s">
        <v>89</v>
      </c>
      <c r="L379" s="59"/>
      <c r="M379" s="59">
        <v>3</v>
      </c>
      <c r="N379" s="57" t="s">
        <v>248</v>
      </c>
      <c r="O379" s="57" t="s">
        <v>2113</v>
      </c>
      <c r="P379" s="60" t="s">
        <v>2114</v>
      </c>
      <c r="Q379" s="57" t="s">
        <v>1349</v>
      </c>
      <c r="R379" s="57" t="s">
        <v>2115</v>
      </c>
      <c r="S379" s="61" t="s">
        <v>2116</v>
      </c>
      <c r="T379" s="62">
        <v>0</v>
      </c>
      <c r="U379" s="63">
        <v>318</v>
      </c>
      <c r="V379" s="63">
        <v>182</v>
      </c>
      <c r="W379" s="303" t="s">
        <v>2871</v>
      </c>
      <c r="X379" s="303" t="s">
        <v>2663</v>
      </c>
      <c r="Y379" s="65">
        <v>500</v>
      </c>
      <c r="Z379" s="62">
        <v>0</v>
      </c>
      <c r="AA379" s="63">
        <v>0</v>
      </c>
      <c r="AB379" s="63">
        <v>0</v>
      </c>
      <c r="AC379" s="64"/>
      <c r="AD379" s="303"/>
      <c r="AE379" s="65">
        <v>0</v>
      </c>
      <c r="AF379" s="66">
        <f t="shared" si="7"/>
        <v>500</v>
      </c>
      <c r="AG379" s="68"/>
      <c r="AH379" s="383"/>
    </row>
    <row r="380" spans="1:34" s="18" customFormat="1" ht="57" hidden="1">
      <c r="A380" s="301">
        <v>3044</v>
      </c>
      <c r="B380" s="54" t="s">
        <v>2663</v>
      </c>
      <c r="C380" s="54" t="s">
        <v>2663</v>
      </c>
      <c r="D380" s="54" t="s">
        <v>2871</v>
      </c>
      <c r="E380" s="301">
        <v>3</v>
      </c>
      <c r="F380" s="302">
        <v>1</v>
      </c>
      <c r="G380" s="56">
        <v>44</v>
      </c>
      <c r="H380" s="57" t="s">
        <v>1358</v>
      </c>
      <c r="I380" s="57" t="s">
        <v>1358</v>
      </c>
      <c r="J380" s="58">
        <v>30500102246101</v>
      </c>
      <c r="K380" s="59" t="s">
        <v>167</v>
      </c>
      <c r="L380" s="59"/>
      <c r="M380" s="59">
        <v>3</v>
      </c>
      <c r="N380" s="57" t="s">
        <v>310</v>
      </c>
      <c r="O380" s="57" t="s">
        <v>1359</v>
      </c>
      <c r="P380" s="60" t="s">
        <v>1360</v>
      </c>
      <c r="Q380" s="57" t="s">
        <v>1361</v>
      </c>
      <c r="R380" s="57" t="s">
        <v>1362</v>
      </c>
      <c r="S380" s="61" t="s">
        <v>1363</v>
      </c>
      <c r="T380" s="62">
        <v>0</v>
      </c>
      <c r="U380" s="63">
        <v>0</v>
      </c>
      <c r="V380" s="63">
        <v>200</v>
      </c>
      <c r="W380" s="303" t="s">
        <v>2871</v>
      </c>
      <c r="X380" s="303" t="s">
        <v>2663</v>
      </c>
      <c r="Y380" s="65">
        <v>200</v>
      </c>
      <c r="Z380" s="62">
        <v>0</v>
      </c>
      <c r="AA380" s="63">
        <v>0</v>
      </c>
      <c r="AB380" s="63">
        <v>0</v>
      </c>
      <c r="AC380" s="64"/>
      <c r="AD380" s="303"/>
      <c r="AE380" s="65">
        <v>0</v>
      </c>
      <c r="AF380" s="66">
        <f t="shared" si="7"/>
        <v>200</v>
      </c>
      <c r="AG380" s="251"/>
      <c r="AH380" s="383"/>
    </row>
    <row r="381" spans="1:34" s="18" customFormat="1" ht="34.200000000000003" hidden="1">
      <c r="A381" s="301">
        <v>3045</v>
      </c>
      <c r="B381" s="54" t="s">
        <v>2663</v>
      </c>
      <c r="C381" s="54" t="s">
        <v>2663</v>
      </c>
      <c r="D381" s="54" t="s">
        <v>2871</v>
      </c>
      <c r="E381" s="301">
        <v>3</v>
      </c>
      <c r="F381" s="302">
        <v>1</v>
      </c>
      <c r="G381" s="56">
        <v>45</v>
      </c>
      <c r="H381" s="57" t="s">
        <v>2117</v>
      </c>
      <c r="I381" s="57" t="s">
        <v>2117</v>
      </c>
      <c r="J381" s="58">
        <v>30500102245301</v>
      </c>
      <c r="K381" s="59" t="s">
        <v>167</v>
      </c>
      <c r="L381" s="59"/>
      <c r="M381" s="59">
        <v>3</v>
      </c>
      <c r="N381" s="57" t="s">
        <v>255</v>
      </c>
      <c r="O381" s="57" t="s">
        <v>2118</v>
      </c>
      <c r="P381" s="60" t="s">
        <v>2119</v>
      </c>
      <c r="Q381" s="57" t="s">
        <v>2120</v>
      </c>
      <c r="R381" s="57" t="s">
        <v>2121</v>
      </c>
      <c r="S381" s="61" t="s">
        <v>2122</v>
      </c>
      <c r="T381" s="84">
        <v>117</v>
      </c>
      <c r="U381" s="85">
        <v>53</v>
      </c>
      <c r="V381" s="85">
        <v>0</v>
      </c>
      <c r="W381" s="303" t="s">
        <v>2871</v>
      </c>
      <c r="X381" s="303" t="s">
        <v>2663</v>
      </c>
      <c r="Y381" s="65">
        <v>170</v>
      </c>
      <c r="Z381" s="62">
        <v>0</v>
      </c>
      <c r="AA381" s="63">
        <v>0</v>
      </c>
      <c r="AB381" s="63">
        <v>0</v>
      </c>
      <c r="AC381" s="64"/>
      <c r="AD381" s="303"/>
      <c r="AE381" s="65">
        <v>0</v>
      </c>
      <c r="AF381" s="66">
        <f t="shared" si="7"/>
        <v>170</v>
      </c>
      <c r="AG381" s="68"/>
      <c r="AH381" s="383"/>
    </row>
    <row r="382" spans="1:34" s="18" customFormat="1" ht="57" hidden="1">
      <c r="A382" s="301">
        <v>3046</v>
      </c>
      <c r="B382" s="54" t="s">
        <v>2663</v>
      </c>
      <c r="C382" s="54" t="s">
        <v>2663</v>
      </c>
      <c r="D382" s="54" t="s">
        <v>2871</v>
      </c>
      <c r="E382" s="301">
        <v>3</v>
      </c>
      <c r="F382" s="302">
        <v>1</v>
      </c>
      <c r="G382" s="56">
        <v>46</v>
      </c>
      <c r="H382" s="57" t="s">
        <v>2123</v>
      </c>
      <c r="I382" s="57" t="s">
        <v>2123</v>
      </c>
      <c r="J382" s="58">
        <v>10500100342501</v>
      </c>
      <c r="K382" s="59" t="s">
        <v>89</v>
      </c>
      <c r="L382" s="59"/>
      <c r="M382" s="59">
        <v>4</v>
      </c>
      <c r="N382" s="57" t="s">
        <v>330</v>
      </c>
      <c r="O382" s="57" t="s">
        <v>2124</v>
      </c>
      <c r="P382" s="60" t="s">
        <v>2125</v>
      </c>
      <c r="Q382" s="57" t="s">
        <v>2126</v>
      </c>
      <c r="R382" s="57" t="s">
        <v>2127</v>
      </c>
      <c r="S382" s="61" t="s">
        <v>2128</v>
      </c>
      <c r="T382" s="62">
        <v>0</v>
      </c>
      <c r="U382" s="63">
        <v>531</v>
      </c>
      <c r="V382" s="63">
        <v>234</v>
      </c>
      <c r="W382" s="303" t="s">
        <v>2871</v>
      </c>
      <c r="X382" s="303" t="s">
        <v>2663</v>
      </c>
      <c r="Y382" s="65">
        <v>765</v>
      </c>
      <c r="Z382" s="62">
        <v>0</v>
      </c>
      <c r="AA382" s="63">
        <v>0</v>
      </c>
      <c r="AB382" s="63">
        <v>0</v>
      </c>
      <c r="AC382" s="64"/>
      <c r="AD382" s="303"/>
      <c r="AE382" s="65">
        <v>0</v>
      </c>
      <c r="AF382" s="66">
        <f t="shared" si="7"/>
        <v>765</v>
      </c>
      <c r="AG382" s="68"/>
      <c r="AH382" s="383"/>
    </row>
    <row r="383" spans="1:34" s="18" customFormat="1" ht="45.6" hidden="1">
      <c r="A383" s="301">
        <v>3047</v>
      </c>
      <c r="B383" s="54" t="s">
        <v>2663</v>
      </c>
      <c r="C383" s="54" t="s">
        <v>2663</v>
      </c>
      <c r="D383" s="54" t="s">
        <v>2871</v>
      </c>
      <c r="E383" s="301">
        <v>3</v>
      </c>
      <c r="F383" s="302">
        <v>1</v>
      </c>
      <c r="G383" s="56">
        <v>47</v>
      </c>
      <c r="H383" s="57" t="s">
        <v>2129</v>
      </c>
      <c r="I383" s="57" t="s">
        <v>2129</v>
      </c>
      <c r="J383" s="58">
        <v>10500100342503</v>
      </c>
      <c r="K383" s="59" t="s">
        <v>89</v>
      </c>
      <c r="L383" s="59"/>
      <c r="M383" s="59">
        <v>4</v>
      </c>
      <c r="N383" s="57" t="s">
        <v>330</v>
      </c>
      <c r="O383" s="57" t="s">
        <v>2130</v>
      </c>
      <c r="P383" s="60" t="s">
        <v>2131</v>
      </c>
      <c r="Q383" s="57" t="s">
        <v>2126</v>
      </c>
      <c r="R383" s="57" t="s">
        <v>2132</v>
      </c>
      <c r="S383" s="61" t="s">
        <v>2133</v>
      </c>
      <c r="T383" s="62">
        <v>354</v>
      </c>
      <c r="U383" s="63">
        <v>261</v>
      </c>
      <c r="V383" s="63">
        <v>0</v>
      </c>
      <c r="W383" s="303" t="s">
        <v>2871</v>
      </c>
      <c r="X383" s="303" t="s">
        <v>2663</v>
      </c>
      <c r="Y383" s="65">
        <v>615</v>
      </c>
      <c r="Z383" s="62">
        <v>0</v>
      </c>
      <c r="AA383" s="63">
        <v>0</v>
      </c>
      <c r="AB383" s="63">
        <v>0</v>
      </c>
      <c r="AC383" s="64"/>
      <c r="AD383" s="303"/>
      <c r="AE383" s="65">
        <v>0</v>
      </c>
      <c r="AF383" s="66">
        <f t="shared" si="7"/>
        <v>615</v>
      </c>
      <c r="AG383" s="68"/>
      <c r="AH383" s="383"/>
    </row>
    <row r="384" spans="1:34" s="18" customFormat="1" ht="57" hidden="1">
      <c r="A384" s="301">
        <v>3048</v>
      </c>
      <c r="B384" s="54" t="s">
        <v>2663</v>
      </c>
      <c r="C384" s="54" t="s">
        <v>2663</v>
      </c>
      <c r="D384" s="54" t="s">
        <v>2871</v>
      </c>
      <c r="E384" s="301">
        <v>3</v>
      </c>
      <c r="F384" s="302">
        <v>1</v>
      </c>
      <c r="G384" s="56">
        <v>48</v>
      </c>
      <c r="H384" s="57" t="s">
        <v>334</v>
      </c>
      <c r="I384" s="57" t="s">
        <v>334</v>
      </c>
      <c r="J384" s="58">
        <v>10500100529101</v>
      </c>
      <c r="K384" s="59" t="s">
        <v>89</v>
      </c>
      <c r="L384" s="59"/>
      <c r="M384" s="59">
        <v>4</v>
      </c>
      <c r="N384" s="57" t="s">
        <v>323</v>
      </c>
      <c r="O384" s="57" t="s">
        <v>335</v>
      </c>
      <c r="P384" s="60" t="s">
        <v>336</v>
      </c>
      <c r="Q384" s="57" t="s">
        <v>337</v>
      </c>
      <c r="R384" s="57" t="s">
        <v>338</v>
      </c>
      <c r="S384" s="61" t="s">
        <v>339</v>
      </c>
      <c r="T384" s="84">
        <v>111</v>
      </c>
      <c r="U384" s="85">
        <v>212</v>
      </c>
      <c r="V384" s="85">
        <v>67</v>
      </c>
      <c r="W384" s="303" t="s">
        <v>2871</v>
      </c>
      <c r="X384" s="303" t="s">
        <v>2663</v>
      </c>
      <c r="Y384" s="65">
        <v>390</v>
      </c>
      <c r="Z384" s="62">
        <v>0</v>
      </c>
      <c r="AA384" s="63">
        <v>0</v>
      </c>
      <c r="AB384" s="63">
        <v>0</v>
      </c>
      <c r="AC384" s="64"/>
      <c r="AD384" s="303"/>
      <c r="AE384" s="65">
        <v>0</v>
      </c>
      <c r="AF384" s="66">
        <f t="shared" si="7"/>
        <v>390</v>
      </c>
      <c r="AG384" s="68"/>
      <c r="AH384" s="383"/>
    </row>
    <row r="385" spans="1:34" s="18" customFormat="1" ht="34.200000000000003" hidden="1">
      <c r="A385" s="301">
        <v>3049</v>
      </c>
      <c r="B385" s="54" t="s">
        <v>2663</v>
      </c>
      <c r="C385" s="54" t="s">
        <v>2663</v>
      </c>
      <c r="D385" s="54" t="s">
        <v>2871</v>
      </c>
      <c r="E385" s="301">
        <v>3</v>
      </c>
      <c r="F385" s="302">
        <v>1</v>
      </c>
      <c r="G385" s="56">
        <v>49</v>
      </c>
      <c r="H385" s="57" t="s">
        <v>351</v>
      </c>
      <c r="I385" s="57" t="s">
        <v>351</v>
      </c>
      <c r="J385" s="58">
        <v>10500100210101</v>
      </c>
      <c r="K385" s="59" t="s">
        <v>89</v>
      </c>
      <c r="L385" s="59"/>
      <c r="M385" s="59">
        <v>4</v>
      </c>
      <c r="N385" s="57" t="s">
        <v>352</v>
      </c>
      <c r="O385" s="57" t="s">
        <v>353</v>
      </c>
      <c r="P385" s="60" t="s">
        <v>354</v>
      </c>
      <c r="Q385" s="57" t="s">
        <v>355</v>
      </c>
      <c r="R385" s="57" t="s">
        <v>356</v>
      </c>
      <c r="S385" s="61" t="s">
        <v>357</v>
      </c>
      <c r="T385" s="62">
        <v>293</v>
      </c>
      <c r="U385" s="63">
        <v>207</v>
      </c>
      <c r="V385" s="63">
        <v>100</v>
      </c>
      <c r="W385" s="303" t="s">
        <v>2871</v>
      </c>
      <c r="X385" s="303" t="s">
        <v>2663</v>
      </c>
      <c r="Y385" s="65">
        <v>600</v>
      </c>
      <c r="Z385" s="62">
        <v>0</v>
      </c>
      <c r="AA385" s="63">
        <v>0</v>
      </c>
      <c r="AB385" s="63">
        <v>0</v>
      </c>
      <c r="AC385" s="64"/>
      <c r="AD385" s="303"/>
      <c r="AE385" s="65">
        <v>0</v>
      </c>
      <c r="AF385" s="66">
        <f t="shared" si="7"/>
        <v>600</v>
      </c>
      <c r="AG385" s="68"/>
      <c r="AH385" s="383"/>
    </row>
    <row r="386" spans="1:34" s="18" customFormat="1" ht="91.2" hidden="1">
      <c r="A386" s="301">
        <v>3050</v>
      </c>
      <c r="B386" s="54" t="s">
        <v>2663</v>
      </c>
      <c r="C386" s="54" t="s">
        <v>2663</v>
      </c>
      <c r="D386" s="54" t="s">
        <v>2871</v>
      </c>
      <c r="E386" s="301">
        <v>3</v>
      </c>
      <c r="F386" s="302">
        <v>1</v>
      </c>
      <c r="G386" s="56">
        <v>50</v>
      </c>
      <c r="H386" s="57" t="s">
        <v>2134</v>
      </c>
      <c r="I386" s="57" t="s">
        <v>2134</v>
      </c>
      <c r="J386" s="58">
        <v>10500100969501</v>
      </c>
      <c r="K386" s="59" t="s">
        <v>89</v>
      </c>
      <c r="L386" s="59"/>
      <c r="M386" s="59">
        <v>4</v>
      </c>
      <c r="N386" s="57" t="s">
        <v>341</v>
      </c>
      <c r="O386" s="57" t="s">
        <v>2135</v>
      </c>
      <c r="P386" s="60" t="s">
        <v>2136</v>
      </c>
      <c r="Q386" s="57" t="s">
        <v>2137</v>
      </c>
      <c r="R386" s="57" t="s">
        <v>2138</v>
      </c>
      <c r="S386" s="61" t="s">
        <v>2139</v>
      </c>
      <c r="T386" s="62">
        <v>168</v>
      </c>
      <c r="U386" s="63">
        <v>151</v>
      </c>
      <c r="V386" s="63">
        <v>81</v>
      </c>
      <c r="W386" s="303" t="s">
        <v>2871</v>
      </c>
      <c r="X386" s="303" t="s">
        <v>2663</v>
      </c>
      <c r="Y386" s="65">
        <v>400</v>
      </c>
      <c r="Z386" s="62">
        <v>0</v>
      </c>
      <c r="AA386" s="63">
        <v>0</v>
      </c>
      <c r="AB386" s="63">
        <v>0</v>
      </c>
      <c r="AC386" s="64"/>
      <c r="AD386" s="303"/>
      <c r="AE386" s="65">
        <v>0</v>
      </c>
      <c r="AF386" s="66">
        <f t="shared" si="7"/>
        <v>400</v>
      </c>
      <c r="AG386" s="68"/>
      <c r="AH386" s="383"/>
    </row>
    <row r="387" spans="1:34" s="18" customFormat="1" ht="91.2" hidden="1">
      <c r="A387" s="301">
        <v>3051</v>
      </c>
      <c r="B387" s="54" t="s">
        <v>2663</v>
      </c>
      <c r="C387" s="54" t="s">
        <v>2663</v>
      </c>
      <c r="D387" s="54" t="s">
        <v>2871</v>
      </c>
      <c r="E387" s="301">
        <v>3</v>
      </c>
      <c r="F387" s="302">
        <v>1</v>
      </c>
      <c r="G387" s="56">
        <v>51</v>
      </c>
      <c r="H387" s="57" t="s">
        <v>2140</v>
      </c>
      <c r="I387" s="57" t="s">
        <v>2140</v>
      </c>
      <c r="J387" s="58">
        <v>30500100485401</v>
      </c>
      <c r="K387" s="59" t="s">
        <v>89</v>
      </c>
      <c r="L387" s="59"/>
      <c r="M387" s="59">
        <v>4</v>
      </c>
      <c r="N387" s="57" t="s">
        <v>2141</v>
      </c>
      <c r="O387" s="57" t="s">
        <v>2142</v>
      </c>
      <c r="P387" s="60" t="s">
        <v>2143</v>
      </c>
      <c r="Q387" s="57" t="s">
        <v>2144</v>
      </c>
      <c r="R387" s="57" t="s">
        <v>2145</v>
      </c>
      <c r="S387" s="61" t="s">
        <v>2146</v>
      </c>
      <c r="T387" s="62">
        <v>217</v>
      </c>
      <c r="U387" s="63">
        <v>174</v>
      </c>
      <c r="V387" s="63">
        <v>109</v>
      </c>
      <c r="W387" s="303" t="s">
        <v>2871</v>
      </c>
      <c r="X387" s="303" t="s">
        <v>2663</v>
      </c>
      <c r="Y387" s="65">
        <v>500</v>
      </c>
      <c r="Z387" s="62">
        <v>0</v>
      </c>
      <c r="AA387" s="63">
        <v>0</v>
      </c>
      <c r="AB387" s="63">
        <v>0</v>
      </c>
      <c r="AC387" s="64"/>
      <c r="AD387" s="303"/>
      <c r="AE387" s="65">
        <v>0</v>
      </c>
      <c r="AF387" s="66">
        <f t="shared" ref="AF387:AF450" si="8">+Y387+AE387</f>
        <v>500</v>
      </c>
      <c r="AG387" s="68"/>
      <c r="AH387" s="383"/>
    </row>
    <row r="388" spans="1:34" s="18" customFormat="1" ht="68.400000000000006" hidden="1">
      <c r="A388" s="301">
        <v>3052</v>
      </c>
      <c r="B388" s="54" t="s">
        <v>2663</v>
      </c>
      <c r="C388" s="54" t="s">
        <v>2663</v>
      </c>
      <c r="D388" s="54" t="s">
        <v>2871</v>
      </c>
      <c r="E388" s="301">
        <v>3</v>
      </c>
      <c r="F388" s="302">
        <v>1</v>
      </c>
      <c r="G388" s="56">
        <v>52</v>
      </c>
      <c r="H388" s="57" t="s">
        <v>358</v>
      </c>
      <c r="I388" s="57" t="s">
        <v>358</v>
      </c>
      <c r="J388" s="58">
        <v>10500100014101</v>
      </c>
      <c r="K388" s="59" t="s">
        <v>89</v>
      </c>
      <c r="L388" s="59"/>
      <c r="M388" s="59">
        <v>4</v>
      </c>
      <c r="N388" s="57" t="s">
        <v>323</v>
      </c>
      <c r="O388" s="57" t="s">
        <v>359</v>
      </c>
      <c r="P388" s="60">
        <v>2338044</v>
      </c>
      <c r="Q388" s="57" t="s">
        <v>360</v>
      </c>
      <c r="R388" s="57" t="s">
        <v>361</v>
      </c>
      <c r="S388" s="61" t="s">
        <v>362</v>
      </c>
      <c r="T388" s="84">
        <v>43</v>
      </c>
      <c r="U388" s="85">
        <v>90</v>
      </c>
      <c r="V388" s="85">
        <v>47</v>
      </c>
      <c r="W388" s="303" t="s">
        <v>2871</v>
      </c>
      <c r="X388" s="303" t="s">
        <v>2663</v>
      </c>
      <c r="Y388" s="65">
        <v>180</v>
      </c>
      <c r="Z388" s="62">
        <v>0</v>
      </c>
      <c r="AA388" s="63">
        <v>0</v>
      </c>
      <c r="AB388" s="63">
        <v>0</v>
      </c>
      <c r="AC388" s="64"/>
      <c r="AD388" s="303"/>
      <c r="AE388" s="65">
        <v>0</v>
      </c>
      <c r="AF388" s="66">
        <f t="shared" si="8"/>
        <v>180</v>
      </c>
      <c r="AG388" s="68"/>
      <c r="AH388" s="383"/>
    </row>
    <row r="389" spans="1:34" s="18" customFormat="1" ht="45.6" hidden="1">
      <c r="A389" s="301">
        <v>3053</v>
      </c>
      <c r="B389" s="54" t="s">
        <v>2663</v>
      </c>
      <c r="C389" s="54" t="s">
        <v>2663</v>
      </c>
      <c r="D389" s="54" t="s">
        <v>2871</v>
      </c>
      <c r="E389" s="301">
        <v>3</v>
      </c>
      <c r="F389" s="302">
        <v>1</v>
      </c>
      <c r="G389" s="56">
        <v>53</v>
      </c>
      <c r="H389" s="57" t="s">
        <v>2147</v>
      </c>
      <c r="I389" s="57" t="s">
        <v>2147</v>
      </c>
      <c r="J389" s="58">
        <v>30500102264001</v>
      </c>
      <c r="K389" s="59" t="s">
        <v>89</v>
      </c>
      <c r="L389" s="59"/>
      <c r="M389" s="59">
        <v>4</v>
      </c>
      <c r="N389" s="57" t="s">
        <v>2148</v>
      </c>
      <c r="O389" s="57" t="s">
        <v>2149</v>
      </c>
      <c r="P389" s="60" t="s">
        <v>2150</v>
      </c>
      <c r="Q389" s="57" t="s">
        <v>2151</v>
      </c>
      <c r="R389" s="57" t="s">
        <v>2152</v>
      </c>
      <c r="S389" s="61" t="s">
        <v>2153</v>
      </c>
      <c r="T389" s="312">
        <v>419</v>
      </c>
      <c r="U389" s="313">
        <v>430</v>
      </c>
      <c r="V389" s="313">
        <v>51</v>
      </c>
      <c r="W389" s="303" t="s">
        <v>2871</v>
      </c>
      <c r="X389" s="303" t="s">
        <v>2663</v>
      </c>
      <c r="Y389" s="65">
        <v>900</v>
      </c>
      <c r="Z389" s="62">
        <v>0</v>
      </c>
      <c r="AA389" s="63">
        <v>0</v>
      </c>
      <c r="AB389" s="63">
        <v>0</v>
      </c>
      <c r="AC389" s="64"/>
      <c r="AD389" s="303"/>
      <c r="AE389" s="65">
        <v>0</v>
      </c>
      <c r="AF389" s="66">
        <f t="shared" si="8"/>
        <v>900</v>
      </c>
      <c r="AG389" s="68"/>
      <c r="AH389" s="383"/>
    </row>
    <row r="390" spans="1:34" s="18" customFormat="1" ht="68.400000000000006" hidden="1">
      <c r="A390" s="301">
        <v>3054</v>
      </c>
      <c r="B390" s="54" t="s">
        <v>2663</v>
      </c>
      <c r="C390" s="54" t="s">
        <v>2663</v>
      </c>
      <c r="D390" s="54" t="s">
        <v>2871</v>
      </c>
      <c r="E390" s="301">
        <v>3</v>
      </c>
      <c r="F390" s="302">
        <v>1</v>
      </c>
      <c r="G390" s="56">
        <v>54</v>
      </c>
      <c r="H390" s="252" t="s">
        <v>1369</v>
      </c>
      <c r="I390" s="57" t="s">
        <v>1369</v>
      </c>
      <c r="J390" s="58">
        <v>10500100098101</v>
      </c>
      <c r="K390" s="59" t="s">
        <v>89</v>
      </c>
      <c r="L390" s="253"/>
      <c r="M390" s="59">
        <v>4</v>
      </c>
      <c r="N390" s="57" t="s">
        <v>377</v>
      </c>
      <c r="O390" s="57" t="s">
        <v>1370</v>
      </c>
      <c r="P390" s="60" t="s">
        <v>1371</v>
      </c>
      <c r="Q390" s="57" t="s">
        <v>373</v>
      </c>
      <c r="R390" s="57" t="s">
        <v>1372</v>
      </c>
      <c r="S390" s="61" t="s">
        <v>1373</v>
      </c>
      <c r="T390" s="84">
        <v>0</v>
      </c>
      <c r="U390" s="314">
        <v>766</v>
      </c>
      <c r="V390" s="315">
        <v>184</v>
      </c>
      <c r="W390" s="303" t="s">
        <v>2871</v>
      </c>
      <c r="X390" s="303" t="s">
        <v>2663</v>
      </c>
      <c r="Y390" s="65">
        <f>U390+V390</f>
        <v>950</v>
      </c>
      <c r="Z390" s="62">
        <v>0</v>
      </c>
      <c r="AA390" s="63">
        <v>0</v>
      </c>
      <c r="AB390" s="63">
        <v>0</v>
      </c>
      <c r="AC390" s="64"/>
      <c r="AD390" s="303"/>
      <c r="AE390" s="65">
        <v>0</v>
      </c>
      <c r="AF390" s="66">
        <f t="shared" si="8"/>
        <v>950</v>
      </c>
      <c r="AG390" s="68"/>
      <c r="AH390" s="383"/>
    </row>
    <row r="391" spans="1:34" s="18" customFormat="1" ht="22.8" hidden="1">
      <c r="A391" s="301">
        <v>3055</v>
      </c>
      <c r="B391" s="54" t="s">
        <v>2663</v>
      </c>
      <c r="C391" s="54" t="s">
        <v>2663</v>
      </c>
      <c r="D391" s="54" t="s">
        <v>2871</v>
      </c>
      <c r="E391" s="301">
        <v>3</v>
      </c>
      <c r="F391" s="302">
        <v>1</v>
      </c>
      <c r="G391" s="56">
        <v>55</v>
      </c>
      <c r="H391" s="57" t="s">
        <v>370</v>
      </c>
      <c r="I391" s="57" t="s">
        <v>370</v>
      </c>
      <c r="J391" s="58">
        <v>10500100098105</v>
      </c>
      <c r="K391" s="59" t="s">
        <v>89</v>
      </c>
      <c r="L391" s="59"/>
      <c r="M391" s="59">
        <v>4</v>
      </c>
      <c r="N391" s="57" t="s">
        <v>371</v>
      </c>
      <c r="O391" s="57" t="s">
        <v>372</v>
      </c>
      <c r="P391" s="60">
        <v>3668358</v>
      </c>
      <c r="Q391" s="57" t="s">
        <v>373</v>
      </c>
      <c r="R391" s="57" t="s">
        <v>374</v>
      </c>
      <c r="S391" s="61" t="s">
        <v>375</v>
      </c>
      <c r="T391" s="84">
        <v>250</v>
      </c>
      <c r="U391" s="85">
        <v>0</v>
      </c>
      <c r="V391" s="85">
        <v>0</v>
      </c>
      <c r="W391" s="303" t="s">
        <v>2871</v>
      </c>
      <c r="X391" s="303" t="s">
        <v>2663</v>
      </c>
      <c r="Y391" s="65">
        <v>250</v>
      </c>
      <c r="Z391" s="62">
        <v>0</v>
      </c>
      <c r="AA391" s="63">
        <v>0</v>
      </c>
      <c r="AB391" s="63">
        <v>0</v>
      </c>
      <c r="AC391" s="64"/>
      <c r="AD391" s="303"/>
      <c r="AE391" s="65">
        <v>0</v>
      </c>
      <c r="AF391" s="66">
        <f t="shared" si="8"/>
        <v>250</v>
      </c>
      <c r="AG391" s="68"/>
      <c r="AH391" s="383"/>
    </row>
    <row r="392" spans="1:34" s="18" customFormat="1" ht="34.200000000000003" hidden="1">
      <c r="A392" s="301">
        <v>3056</v>
      </c>
      <c r="B392" s="54" t="s">
        <v>2663</v>
      </c>
      <c r="C392" s="54" t="s">
        <v>2663</v>
      </c>
      <c r="D392" s="54" t="s">
        <v>2871</v>
      </c>
      <c r="E392" s="301">
        <v>3</v>
      </c>
      <c r="F392" s="55">
        <v>1</v>
      </c>
      <c r="G392" s="56">
        <v>56</v>
      </c>
      <c r="H392" s="252" t="s">
        <v>2154</v>
      </c>
      <c r="I392" s="316" t="s">
        <v>2154</v>
      </c>
      <c r="J392" s="58">
        <v>10500100098102</v>
      </c>
      <c r="K392" s="59" t="s">
        <v>89</v>
      </c>
      <c r="L392" s="59"/>
      <c r="M392" s="59">
        <v>4</v>
      </c>
      <c r="N392" s="57" t="s">
        <v>377</v>
      </c>
      <c r="O392" s="68"/>
      <c r="P392" s="60" t="s">
        <v>2155</v>
      </c>
      <c r="Q392" s="57" t="s">
        <v>373</v>
      </c>
      <c r="R392" s="57" t="s">
        <v>379</v>
      </c>
      <c r="S392" s="61" t="s">
        <v>2156</v>
      </c>
      <c r="T392" s="317">
        <v>0</v>
      </c>
      <c r="U392" s="106">
        <v>230</v>
      </c>
      <c r="V392" s="318">
        <v>0</v>
      </c>
      <c r="W392" s="303" t="s">
        <v>2871</v>
      </c>
      <c r="X392" s="303" t="s">
        <v>2663</v>
      </c>
      <c r="Y392" s="242">
        <f t="shared" ref="Y392" si="9">T392+U392+V392</f>
        <v>230</v>
      </c>
      <c r="Z392" s="319">
        <v>0</v>
      </c>
      <c r="AA392" s="63">
        <v>0</v>
      </c>
      <c r="AB392" s="63">
        <v>0</v>
      </c>
      <c r="AC392" s="64"/>
      <c r="AD392" s="303"/>
      <c r="AE392" s="65">
        <v>0</v>
      </c>
      <c r="AF392" s="66">
        <v>230</v>
      </c>
      <c r="AG392" s="68"/>
      <c r="AH392" s="383"/>
    </row>
    <row r="393" spans="1:34" s="18" customFormat="1" ht="34.200000000000003" hidden="1">
      <c r="A393" s="301">
        <v>3057</v>
      </c>
      <c r="B393" s="54" t="s">
        <v>2663</v>
      </c>
      <c r="C393" s="54" t="s">
        <v>2663</v>
      </c>
      <c r="D393" s="54" t="s">
        <v>2871</v>
      </c>
      <c r="E393" s="301">
        <v>3</v>
      </c>
      <c r="F393" s="302">
        <v>1</v>
      </c>
      <c r="G393" s="56">
        <v>57</v>
      </c>
      <c r="H393" s="57" t="s">
        <v>2157</v>
      </c>
      <c r="I393" s="57" t="s">
        <v>2157</v>
      </c>
      <c r="J393" s="58">
        <v>10500100098104</v>
      </c>
      <c r="K393" s="59" t="s">
        <v>89</v>
      </c>
      <c r="L393" s="59"/>
      <c r="M393" s="59">
        <v>4</v>
      </c>
      <c r="N393" s="57" t="s">
        <v>2158</v>
      </c>
      <c r="O393" s="57" t="s">
        <v>2159</v>
      </c>
      <c r="P393" s="60">
        <v>2637256</v>
      </c>
      <c r="Q393" s="57" t="s">
        <v>373</v>
      </c>
      <c r="R393" s="57" t="s">
        <v>2160</v>
      </c>
      <c r="S393" s="61" t="s">
        <v>2161</v>
      </c>
      <c r="T393" s="84">
        <v>299</v>
      </c>
      <c r="U393" s="85">
        <v>46</v>
      </c>
      <c r="V393" s="85">
        <v>0</v>
      </c>
      <c r="W393" s="303" t="s">
        <v>2871</v>
      </c>
      <c r="X393" s="303" t="s">
        <v>2663</v>
      </c>
      <c r="Y393" s="65">
        <v>345</v>
      </c>
      <c r="Z393" s="62">
        <v>0</v>
      </c>
      <c r="AA393" s="63">
        <v>0</v>
      </c>
      <c r="AB393" s="63">
        <v>0</v>
      </c>
      <c r="AC393" s="64"/>
      <c r="AD393" s="303"/>
      <c r="AE393" s="65">
        <v>0</v>
      </c>
      <c r="AF393" s="66">
        <f t="shared" si="8"/>
        <v>345</v>
      </c>
      <c r="AG393" s="68"/>
      <c r="AH393" s="383"/>
    </row>
    <row r="394" spans="1:34" s="18" customFormat="1" ht="102.6" hidden="1">
      <c r="A394" s="301">
        <v>3058</v>
      </c>
      <c r="B394" s="54" t="s">
        <v>2663</v>
      </c>
      <c r="C394" s="54" t="s">
        <v>2663</v>
      </c>
      <c r="D394" s="54" t="s">
        <v>2871</v>
      </c>
      <c r="E394" s="301">
        <v>3</v>
      </c>
      <c r="F394" s="302">
        <v>1</v>
      </c>
      <c r="G394" s="56">
        <v>58</v>
      </c>
      <c r="H394" s="57" t="s">
        <v>2162</v>
      </c>
      <c r="I394" s="57" t="s">
        <v>2162</v>
      </c>
      <c r="J394" s="58">
        <v>10500100329801</v>
      </c>
      <c r="K394" s="59" t="s">
        <v>89</v>
      </c>
      <c r="L394" s="59"/>
      <c r="M394" s="59">
        <v>4</v>
      </c>
      <c r="N394" s="57" t="s">
        <v>364</v>
      </c>
      <c r="O394" s="57" t="s">
        <v>2163</v>
      </c>
      <c r="P394" s="60" t="s">
        <v>2164</v>
      </c>
      <c r="Q394" s="57" t="s">
        <v>389</v>
      </c>
      <c r="R394" s="57" t="s">
        <v>2165</v>
      </c>
      <c r="S394" s="61" t="s">
        <v>2166</v>
      </c>
      <c r="T394" s="84">
        <v>0</v>
      </c>
      <c r="U394" s="85">
        <v>260</v>
      </c>
      <c r="V394" s="85">
        <v>290</v>
      </c>
      <c r="W394" s="303" t="s">
        <v>2871</v>
      </c>
      <c r="X394" s="303" t="s">
        <v>2663</v>
      </c>
      <c r="Y394" s="65">
        <v>550</v>
      </c>
      <c r="Z394" s="62">
        <v>0</v>
      </c>
      <c r="AA394" s="63">
        <v>0</v>
      </c>
      <c r="AB394" s="63">
        <v>0</v>
      </c>
      <c r="AC394" s="64"/>
      <c r="AD394" s="303"/>
      <c r="AE394" s="65">
        <v>0</v>
      </c>
      <c r="AF394" s="66">
        <f t="shared" si="8"/>
        <v>550</v>
      </c>
      <c r="AG394" s="68"/>
      <c r="AH394" s="383"/>
    </row>
    <row r="395" spans="1:34" s="18" customFormat="1" ht="45.6" hidden="1">
      <c r="A395" s="301">
        <v>3059</v>
      </c>
      <c r="B395" s="54" t="s">
        <v>2663</v>
      </c>
      <c r="C395" s="54" t="s">
        <v>2663</v>
      </c>
      <c r="D395" s="54" t="s">
        <v>2871</v>
      </c>
      <c r="E395" s="301">
        <v>3</v>
      </c>
      <c r="F395" s="302">
        <v>1</v>
      </c>
      <c r="G395" s="56">
        <v>59</v>
      </c>
      <c r="H395" s="57" t="s">
        <v>2167</v>
      </c>
      <c r="I395" s="57" t="s">
        <v>2167</v>
      </c>
      <c r="J395" s="58">
        <v>10500100533902</v>
      </c>
      <c r="K395" s="59" t="s">
        <v>89</v>
      </c>
      <c r="L395" s="59"/>
      <c r="M395" s="59">
        <v>4</v>
      </c>
      <c r="N395" s="57" t="s">
        <v>364</v>
      </c>
      <c r="O395" s="57" t="s">
        <v>2168</v>
      </c>
      <c r="P395" s="60">
        <v>2362053</v>
      </c>
      <c r="Q395" s="57" t="s">
        <v>398</v>
      </c>
      <c r="R395" s="57" t="s">
        <v>2169</v>
      </c>
      <c r="S395" s="61" t="s">
        <v>2170</v>
      </c>
      <c r="T395" s="84">
        <v>320</v>
      </c>
      <c r="U395" s="85">
        <v>0</v>
      </c>
      <c r="V395" s="85">
        <v>0</v>
      </c>
      <c r="W395" s="303" t="s">
        <v>2871</v>
      </c>
      <c r="X395" s="303" t="s">
        <v>2663</v>
      </c>
      <c r="Y395" s="65">
        <v>320</v>
      </c>
      <c r="Z395" s="62">
        <v>0</v>
      </c>
      <c r="AA395" s="63">
        <v>0</v>
      </c>
      <c r="AB395" s="63">
        <v>0</v>
      </c>
      <c r="AC395" s="64"/>
      <c r="AD395" s="303"/>
      <c r="AE395" s="65">
        <v>0</v>
      </c>
      <c r="AF395" s="66">
        <f t="shared" si="8"/>
        <v>320</v>
      </c>
      <c r="AG395" s="68"/>
      <c r="AH395" s="383"/>
    </row>
    <row r="396" spans="1:34" s="18" customFormat="1" ht="34.200000000000003" hidden="1">
      <c r="A396" s="301">
        <v>3060</v>
      </c>
      <c r="B396" s="54" t="s">
        <v>2663</v>
      </c>
      <c r="C396" s="54" t="s">
        <v>2663</v>
      </c>
      <c r="D396" s="54" t="s">
        <v>2871</v>
      </c>
      <c r="E396" s="301">
        <v>3</v>
      </c>
      <c r="F396" s="302">
        <v>1</v>
      </c>
      <c r="G396" s="56">
        <v>60</v>
      </c>
      <c r="H396" s="57" t="s">
        <v>2171</v>
      </c>
      <c r="I396" s="57" t="s">
        <v>2171</v>
      </c>
      <c r="J396" s="58">
        <v>10500100533903</v>
      </c>
      <c r="K396" s="59" t="s">
        <v>89</v>
      </c>
      <c r="L396" s="59"/>
      <c r="M396" s="59">
        <v>4</v>
      </c>
      <c r="N396" s="57" t="s">
        <v>364</v>
      </c>
      <c r="O396" s="57" t="s">
        <v>2172</v>
      </c>
      <c r="P396" s="60">
        <v>2366368</v>
      </c>
      <c r="Q396" s="57" t="s">
        <v>398</v>
      </c>
      <c r="R396" s="57" t="s">
        <v>2173</v>
      </c>
      <c r="S396" s="61" t="s">
        <v>2174</v>
      </c>
      <c r="T396" s="84">
        <v>110</v>
      </c>
      <c r="U396" s="85">
        <v>190</v>
      </c>
      <c r="V396" s="85">
        <v>0</v>
      </c>
      <c r="W396" s="303" t="s">
        <v>2871</v>
      </c>
      <c r="X396" s="303" t="s">
        <v>2663</v>
      </c>
      <c r="Y396" s="65">
        <v>300</v>
      </c>
      <c r="Z396" s="62">
        <v>0</v>
      </c>
      <c r="AA396" s="63">
        <v>0</v>
      </c>
      <c r="AB396" s="63">
        <v>0</v>
      </c>
      <c r="AC396" s="64"/>
      <c r="AD396" s="303"/>
      <c r="AE396" s="65">
        <v>0</v>
      </c>
      <c r="AF396" s="66">
        <f t="shared" si="8"/>
        <v>300</v>
      </c>
      <c r="AG396" s="68"/>
      <c r="AH396" s="383"/>
    </row>
    <row r="397" spans="1:34" s="18" customFormat="1" ht="68.400000000000006" hidden="1">
      <c r="A397" s="301">
        <v>3061</v>
      </c>
      <c r="B397" s="54" t="s">
        <v>2663</v>
      </c>
      <c r="C397" s="54" t="s">
        <v>2663</v>
      </c>
      <c r="D397" s="54" t="s">
        <v>2871</v>
      </c>
      <c r="E397" s="301">
        <v>3</v>
      </c>
      <c r="F397" s="302">
        <v>1</v>
      </c>
      <c r="G397" s="56">
        <v>61</v>
      </c>
      <c r="H397" s="57" t="s">
        <v>2175</v>
      </c>
      <c r="I397" s="57" t="s">
        <v>2175</v>
      </c>
      <c r="J397" s="58">
        <v>30500101802201</v>
      </c>
      <c r="K397" s="59" t="s">
        <v>89</v>
      </c>
      <c r="L397" s="59"/>
      <c r="M397" s="59">
        <v>4</v>
      </c>
      <c r="N397" s="57" t="s">
        <v>2148</v>
      </c>
      <c r="O397" s="57" t="s">
        <v>2176</v>
      </c>
      <c r="P397" s="60">
        <v>2634812</v>
      </c>
      <c r="Q397" s="57" t="s">
        <v>2177</v>
      </c>
      <c r="R397" s="57" t="s">
        <v>2178</v>
      </c>
      <c r="S397" s="61" t="s">
        <v>2179</v>
      </c>
      <c r="T397" s="62">
        <v>255</v>
      </c>
      <c r="U397" s="63">
        <v>357</v>
      </c>
      <c r="V397" s="63">
        <v>188</v>
      </c>
      <c r="W397" s="303" t="s">
        <v>2871</v>
      </c>
      <c r="X397" s="303" t="s">
        <v>2663</v>
      </c>
      <c r="Y397" s="65">
        <v>800</v>
      </c>
      <c r="Z397" s="62">
        <v>0</v>
      </c>
      <c r="AA397" s="63">
        <v>0</v>
      </c>
      <c r="AB397" s="63">
        <v>0</v>
      </c>
      <c r="AC397" s="64"/>
      <c r="AD397" s="303"/>
      <c r="AE397" s="65">
        <v>0</v>
      </c>
      <c r="AF397" s="66">
        <f t="shared" si="8"/>
        <v>800</v>
      </c>
      <c r="AG397" s="68"/>
      <c r="AH397" s="383"/>
    </row>
    <row r="398" spans="1:34" s="18" customFormat="1" ht="91.2" hidden="1">
      <c r="A398" s="301">
        <v>3062</v>
      </c>
      <c r="B398" s="54" t="s">
        <v>2663</v>
      </c>
      <c r="C398" s="54" t="s">
        <v>2663</v>
      </c>
      <c r="D398" s="54" t="s">
        <v>2871</v>
      </c>
      <c r="E398" s="301">
        <v>3</v>
      </c>
      <c r="F398" s="302">
        <v>1</v>
      </c>
      <c r="G398" s="56">
        <v>62</v>
      </c>
      <c r="H398" s="57" t="s">
        <v>2180</v>
      </c>
      <c r="I398" s="57" t="s">
        <v>2180</v>
      </c>
      <c r="J398" s="58">
        <v>30500102126101</v>
      </c>
      <c r="K398" s="59" t="s">
        <v>167</v>
      </c>
      <c r="L398" s="59"/>
      <c r="M398" s="59">
        <v>4</v>
      </c>
      <c r="N398" s="57" t="s">
        <v>2148</v>
      </c>
      <c r="O398" s="57" t="s">
        <v>2181</v>
      </c>
      <c r="P398" s="60" t="s">
        <v>2182</v>
      </c>
      <c r="Q398" s="57" t="s">
        <v>2183</v>
      </c>
      <c r="R398" s="57" t="s">
        <v>2184</v>
      </c>
      <c r="S398" s="61" t="s">
        <v>2185</v>
      </c>
      <c r="T398" s="62">
        <v>0</v>
      </c>
      <c r="U398" s="63">
        <v>100</v>
      </c>
      <c r="V398" s="63">
        <v>0</v>
      </c>
      <c r="W398" s="303" t="s">
        <v>2871</v>
      </c>
      <c r="X398" s="303" t="s">
        <v>2663</v>
      </c>
      <c r="Y398" s="65">
        <v>100</v>
      </c>
      <c r="Z398" s="62">
        <v>0</v>
      </c>
      <c r="AA398" s="63">
        <v>0</v>
      </c>
      <c r="AB398" s="63">
        <v>0</v>
      </c>
      <c r="AC398" s="64"/>
      <c r="AD398" s="303"/>
      <c r="AE398" s="65">
        <v>0</v>
      </c>
      <c r="AF398" s="320">
        <f t="shared" si="8"/>
        <v>100</v>
      </c>
      <c r="AG398" s="251"/>
      <c r="AH398" s="383"/>
    </row>
    <row r="399" spans="1:34" s="18" customFormat="1" ht="46.2" hidden="1" thickBot="1">
      <c r="A399" s="301">
        <v>3063</v>
      </c>
      <c r="B399" s="54" t="s">
        <v>2663</v>
      </c>
      <c r="C399" s="54" t="s">
        <v>2663</v>
      </c>
      <c r="D399" s="54" t="s">
        <v>2871</v>
      </c>
      <c r="E399" s="301">
        <v>3</v>
      </c>
      <c r="F399" s="321">
        <v>1</v>
      </c>
      <c r="G399" s="56">
        <v>63</v>
      </c>
      <c r="H399" s="57" t="s">
        <v>2186</v>
      </c>
      <c r="I399" s="322" t="s">
        <v>2186</v>
      </c>
      <c r="J399" s="323">
        <v>30500100421801</v>
      </c>
      <c r="K399" s="324" t="s">
        <v>167</v>
      </c>
      <c r="L399" s="59"/>
      <c r="M399" s="324">
        <v>4</v>
      </c>
      <c r="N399" s="322" t="s">
        <v>364</v>
      </c>
      <c r="O399" s="322" t="s">
        <v>2187</v>
      </c>
      <c r="P399" s="325">
        <v>2120728</v>
      </c>
      <c r="Q399" s="322" t="s">
        <v>2188</v>
      </c>
      <c r="R399" s="322" t="s">
        <v>2189</v>
      </c>
      <c r="S399" s="326" t="s">
        <v>2190</v>
      </c>
      <c r="T399" s="327">
        <v>209</v>
      </c>
      <c r="U399" s="328">
        <v>216</v>
      </c>
      <c r="V399" s="328">
        <v>135</v>
      </c>
      <c r="W399" s="303" t="s">
        <v>2871</v>
      </c>
      <c r="X399" s="303" t="s">
        <v>2663</v>
      </c>
      <c r="Y399" s="329">
        <v>560</v>
      </c>
      <c r="Z399" s="327">
        <v>0</v>
      </c>
      <c r="AA399" s="328">
        <v>0</v>
      </c>
      <c r="AB399" s="328">
        <v>0</v>
      </c>
      <c r="AC399" s="64"/>
      <c r="AD399" s="303"/>
      <c r="AE399" s="330">
        <v>0</v>
      </c>
      <c r="AF399" s="331">
        <f t="shared" si="8"/>
        <v>560</v>
      </c>
      <c r="AG399" s="68"/>
      <c r="AH399" s="383"/>
    </row>
    <row r="400" spans="1:34" s="18" customFormat="1" hidden="1">
      <c r="A400" s="301">
        <v>3064</v>
      </c>
      <c r="B400" s="54" t="s">
        <v>2663</v>
      </c>
      <c r="C400" s="54" t="s">
        <v>2663</v>
      </c>
      <c r="D400" s="54" t="s">
        <v>2871</v>
      </c>
      <c r="E400" s="301">
        <v>3</v>
      </c>
      <c r="F400" s="332">
        <v>2</v>
      </c>
      <c r="G400" s="56">
        <v>64</v>
      </c>
      <c r="H400" s="111" t="s">
        <v>2191</v>
      </c>
      <c r="I400" s="112" t="s">
        <v>2191</v>
      </c>
      <c r="J400" s="113">
        <v>10500100328002</v>
      </c>
      <c r="K400" s="114" t="s">
        <v>89</v>
      </c>
      <c r="L400" s="115"/>
      <c r="M400" s="114">
        <v>5</v>
      </c>
      <c r="N400" s="116" t="s">
        <v>474</v>
      </c>
      <c r="O400" s="117" t="s">
        <v>2192</v>
      </c>
      <c r="P400" s="116">
        <v>2378038</v>
      </c>
      <c r="Q400" s="117" t="s">
        <v>2193</v>
      </c>
      <c r="R400" s="117" t="s">
        <v>2194</v>
      </c>
      <c r="S400" s="118" t="s">
        <v>2195</v>
      </c>
      <c r="T400" s="119">
        <v>180</v>
      </c>
      <c r="U400" s="120">
        <v>130</v>
      </c>
      <c r="V400" s="120">
        <v>0</v>
      </c>
      <c r="W400" s="303" t="s">
        <v>2871</v>
      </c>
      <c r="X400" s="303" t="s">
        <v>2663</v>
      </c>
      <c r="Y400" s="186">
        <v>310</v>
      </c>
      <c r="Z400" s="119">
        <v>0</v>
      </c>
      <c r="AA400" s="120">
        <v>0</v>
      </c>
      <c r="AB400" s="120">
        <v>0</v>
      </c>
      <c r="AC400" s="64"/>
      <c r="AD400" s="303"/>
      <c r="AE400" s="121">
        <v>0</v>
      </c>
      <c r="AF400" s="333">
        <f t="shared" si="8"/>
        <v>310</v>
      </c>
      <c r="AG400" s="124"/>
      <c r="AH400" s="383"/>
    </row>
    <row r="401" spans="1:34" s="18" customFormat="1" ht="28.8" hidden="1">
      <c r="A401" s="301">
        <v>3065</v>
      </c>
      <c r="B401" s="54" t="s">
        <v>2663</v>
      </c>
      <c r="C401" s="54" t="s">
        <v>2663</v>
      </c>
      <c r="D401" s="54" t="s">
        <v>2872</v>
      </c>
      <c r="E401" s="301">
        <v>3</v>
      </c>
      <c r="F401" s="334">
        <v>2</v>
      </c>
      <c r="G401" s="56">
        <v>65</v>
      </c>
      <c r="H401" s="111" t="s">
        <v>2196</v>
      </c>
      <c r="I401" s="112" t="s">
        <v>2196</v>
      </c>
      <c r="J401" s="113">
        <v>10500102598401</v>
      </c>
      <c r="K401" s="114" t="s">
        <v>89</v>
      </c>
      <c r="L401" s="115" t="s">
        <v>63</v>
      </c>
      <c r="M401" s="114">
        <v>5</v>
      </c>
      <c r="N401" s="116" t="s">
        <v>450</v>
      </c>
      <c r="O401" s="117" t="s">
        <v>2197</v>
      </c>
      <c r="P401" s="116">
        <v>4648274</v>
      </c>
      <c r="Q401" s="117" t="s">
        <v>2198</v>
      </c>
      <c r="R401" s="117" t="s">
        <v>2199</v>
      </c>
      <c r="S401" s="118" t="s">
        <v>2200</v>
      </c>
      <c r="T401" s="119">
        <v>0</v>
      </c>
      <c r="U401" s="120">
        <v>170</v>
      </c>
      <c r="V401" s="120">
        <v>105</v>
      </c>
      <c r="W401" s="303" t="s">
        <v>2871</v>
      </c>
      <c r="X401" s="303" t="s">
        <v>2663</v>
      </c>
      <c r="Y401" s="121">
        <v>275</v>
      </c>
      <c r="Z401" s="119">
        <v>0</v>
      </c>
      <c r="AA401" s="120">
        <v>65</v>
      </c>
      <c r="AB401" s="120">
        <v>30</v>
      </c>
      <c r="AC401" s="64" t="s">
        <v>2866</v>
      </c>
      <c r="AD401" s="303" t="s">
        <v>2663</v>
      </c>
      <c r="AE401" s="121">
        <v>95</v>
      </c>
      <c r="AF401" s="333">
        <f t="shared" si="8"/>
        <v>370</v>
      </c>
      <c r="AG401" s="124"/>
      <c r="AH401" s="383"/>
    </row>
    <row r="402" spans="1:34" s="18" customFormat="1" hidden="1">
      <c r="A402" s="301">
        <v>3066</v>
      </c>
      <c r="B402" s="54" t="s">
        <v>2663</v>
      </c>
      <c r="C402" s="54" t="s">
        <v>2663</v>
      </c>
      <c r="D402" s="54" t="s">
        <v>2866</v>
      </c>
      <c r="E402" s="301">
        <v>3</v>
      </c>
      <c r="F402" s="335">
        <v>2</v>
      </c>
      <c r="G402" s="70">
        <v>66</v>
      </c>
      <c r="H402" s="126" t="s">
        <v>420</v>
      </c>
      <c r="I402" s="127" t="s">
        <v>2201</v>
      </c>
      <c r="J402" s="128">
        <v>10500101979803</v>
      </c>
      <c r="K402" s="129" t="s">
        <v>89</v>
      </c>
      <c r="L402" s="130"/>
      <c r="M402" s="129">
        <v>5</v>
      </c>
      <c r="N402" s="131" t="s">
        <v>421</v>
      </c>
      <c r="O402" s="132" t="s">
        <v>2202</v>
      </c>
      <c r="P402" s="131" t="s">
        <v>2203</v>
      </c>
      <c r="Q402" s="132" t="s">
        <v>424</v>
      </c>
      <c r="R402" s="132" t="s">
        <v>425</v>
      </c>
      <c r="S402" s="133" t="s">
        <v>426</v>
      </c>
      <c r="T402" s="134">
        <v>0</v>
      </c>
      <c r="U402" s="135">
        <v>0</v>
      </c>
      <c r="V402" s="135">
        <v>0</v>
      </c>
      <c r="W402" s="303"/>
      <c r="X402" s="303"/>
      <c r="Y402" s="121">
        <v>0</v>
      </c>
      <c r="Z402" s="134">
        <v>0</v>
      </c>
      <c r="AA402" s="135">
        <v>30</v>
      </c>
      <c r="AB402" s="135">
        <v>60</v>
      </c>
      <c r="AC402" s="64" t="s">
        <v>2866</v>
      </c>
      <c r="AD402" s="303" t="s">
        <v>2663</v>
      </c>
      <c r="AE402" s="121">
        <v>90</v>
      </c>
      <c r="AF402" s="333">
        <f t="shared" si="8"/>
        <v>90</v>
      </c>
      <c r="AG402" s="124"/>
      <c r="AH402" s="383"/>
    </row>
    <row r="403" spans="1:34" s="18" customFormat="1" ht="28.8" hidden="1">
      <c r="A403" s="301">
        <v>3067</v>
      </c>
      <c r="B403" s="54" t="s">
        <v>2663</v>
      </c>
      <c r="C403" s="54" t="s">
        <v>2663</v>
      </c>
      <c r="D403" s="54" t="s">
        <v>2872</v>
      </c>
      <c r="E403" s="301">
        <v>3</v>
      </c>
      <c r="F403" s="334">
        <v>2</v>
      </c>
      <c r="G403" s="56">
        <v>67</v>
      </c>
      <c r="H403" s="111" t="s">
        <v>2204</v>
      </c>
      <c r="I403" s="112" t="s">
        <v>2204</v>
      </c>
      <c r="J403" s="113">
        <v>10500101343901</v>
      </c>
      <c r="K403" s="114" t="s">
        <v>89</v>
      </c>
      <c r="L403" s="115"/>
      <c r="M403" s="114">
        <v>5</v>
      </c>
      <c r="N403" s="116" t="s">
        <v>415</v>
      </c>
      <c r="O403" s="117" t="s">
        <v>2205</v>
      </c>
      <c r="P403" s="116" t="s">
        <v>2206</v>
      </c>
      <c r="Q403" s="117" t="s">
        <v>2207</v>
      </c>
      <c r="R403" s="117" t="s">
        <v>2208</v>
      </c>
      <c r="S403" s="118" t="s">
        <v>2209</v>
      </c>
      <c r="T403" s="119">
        <v>115</v>
      </c>
      <c r="U403" s="120">
        <v>110</v>
      </c>
      <c r="V403" s="120">
        <v>70</v>
      </c>
      <c r="W403" s="303" t="s">
        <v>2871</v>
      </c>
      <c r="X403" s="303" t="s">
        <v>2663</v>
      </c>
      <c r="Y403" s="121">
        <v>295</v>
      </c>
      <c r="Z403" s="119">
        <v>75</v>
      </c>
      <c r="AA403" s="120">
        <v>195</v>
      </c>
      <c r="AB403" s="120">
        <v>90</v>
      </c>
      <c r="AC403" s="64" t="s">
        <v>2866</v>
      </c>
      <c r="AD403" s="303" t="s">
        <v>2663</v>
      </c>
      <c r="AE403" s="121">
        <v>360</v>
      </c>
      <c r="AF403" s="333">
        <f t="shared" si="8"/>
        <v>655</v>
      </c>
      <c r="AG403" s="124"/>
      <c r="AH403" s="383"/>
    </row>
    <row r="404" spans="1:34" s="18" customFormat="1" ht="28.8" hidden="1">
      <c r="A404" s="301">
        <v>3068</v>
      </c>
      <c r="B404" s="54" t="s">
        <v>2663</v>
      </c>
      <c r="C404" s="54" t="s">
        <v>2663</v>
      </c>
      <c r="D404" s="54" t="s">
        <v>2872</v>
      </c>
      <c r="E404" s="301">
        <v>3</v>
      </c>
      <c r="F404" s="334">
        <v>2</v>
      </c>
      <c r="G404" s="56">
        <v>68</v>
      </c>
      <c r="H404" s="111" t="s">
        <v>2210</v>
      </c>
      <c r="I404" s="112" t="s">
        <v>2210</v>
      </c>
      <c r="J404" s="113">
        <v>10500100711101</v>
      </c>
      <c r="K404" s="114" t="s">
        <v>89</v>
      </c>
      <c r="L404" s="115"/>
      <c r="M404" s="114">
        <v>5</v>
      </c>
      <c r="N404" s="116" t="s">
        <v>2211</v>
      </c>
      <c r="O404" s="117" t="s">
        <v>2212</v>
      </c>
      <c r="P404" s="116" t="s">
        <v>2213</v>
      </c>
      <c r="Q404" s="117" t="s">
        <v>2214</v>
      </c>
      <c r="R404" s="117" t="s">
        <v>2215</v>
      </c>
      <c r="S404" s="118" t="s">
        <v>2216</v>
      </c>
      <c r="T404" s="119">
        <v>112</v>
      </c>
      <c r="U404" s="120">
        <v>130</v>
      </c>
      <c r="V404" s="120">
        <v>58</v>
      </c>
      <c r="W404" s="303" t="s">
        <v>2871</v>
      </c>
      <c r="X404" s="303" t="s">
        <v>2663</v>
      </c>
      <c r="Y404" s="121">
        <v>300</v>
      </c>
      <c r="Z404" s="119">
        <v>39</v>
      </c>
      <c r="AA404" s="120">
        <v>118</v>
      </c>
      <c r="AB404" s="120">
        <v>43</v>
      </c>
      <c r="AC404" s="64" t="s">
        <v>2866</v>
      </c>
      <c r="AD404" s="303" t="s">
        <v>2663</v>
      </c>
      <c r="AE404" s="121">
        <v>200</v>
      </c>
      <c r="AF404" s="333">
        <f t="shared" si="8"/>
        <v>500</v>
      </c>
      <c r="AG404" s="124"/>
      <c r="AH404" s="383"/>
    </row>
    <row r="405" spans="1:34" s="18" customFormat="1" ht="28.8" hidden="1">
      <c r="A405" s="301">
        <v>3069</v>
      </c>
      <c r="B405" s="54" t="s">
        <v>2663</v>
      </c>
      <c r="C405" s="54" t="s">
        <v>2663</v>
      </c>
      <c r="D405" s="54" t="s">
        <v>2872</v>
      </c>
      <c r="E405" s="301">
        <v>3</v>
      </c>
      <c r="F405" s="334">
        <v>2</v>
      </c>
      <c r="G405" s="56">
        <v>69</v>
      </c>
      <c r="H405" s="111" t="s">
        <v>2217</v>
      </c>
      <c r="I405" s="112" t="s">
        <v>2217</v>
      </c>
      <c r="J405" s="113">
        <v>10500100743901</v>
      </c>
      <c r="K405" s="114" t="s">
        <v>89</v>
      </c>
      <c r="L405" s="115"/>
      <c r="M405" s="114">
        <v>5</v>
      </c>
      <c r="N405" s="116" t="s">
        <v>474</v>
      </c>
      <c r="O405" s="117" t="s">
        <v>2218</v>
      </c>
      <c r="P405" s="116">
        <v>2372482</v>
      </c>
      <c r="Q405" s="117" t="s">
        <v>2219</v>
      </c>
      <c r="R405" s="117" t="s">
        <v>2220</v>
      </c>
      <c r="S405" s="118" t="s">
        <v>2221</v>
      </c>
      <c r="T405" s="119">
        <v>120</v>
      </c>
      <c r="U405" s="120">
        <v>140</v>
      </c>
      <c r="V405" s="120">
        <v>0</v>
      </c>
      <c r="W405" s="303" t="s">
        <v>2871</v>
      </c>
      <c r="X405" s="303" t="s">
        <v>2663</v>
      </c>
      <c r="Y405" s="121">
        <v>260</v>
      </c>
      <c r="Z405" s="119">
        <v>0</v>
      </c>
      <c r="AA405" s="120">
        <v>110</v>
      </c>
      <c r="AB405" s="120">
        <v>130</v>
      </c>
      <c r="AC405" s="64" t="s">
        <v>2866</v>
      </c>
      <c r="AD405" s="303" t="s">
        <v>2663</v>
      </c>
      <c r="AE405" s="121">
        <v>240</v>
      </c>
      <c r="AF405" s="333">
        <f t="shared" si="8"/>
        <v>500</v>
      </c>
      <c r="AG405" s="124"/>
      <c r="AH405" s="383"/>
    </row>
    <row r="406" spans="1:34" s="18" customFormat="1" ht="28.8" hidden="1">
      <c r="A406" s="301">
        <v>3070</v>
      </c>
      <c r="B406" s="54" t="s">
        <v>2663</v>
      </c>
      <c r="C406" s="54" t="s">
        <v>2663</v>
      </c>
      <c r="D406" s="54" t="s">
        <v>2872</v>
      </c>
      <c r="E406" s="301">
        <v>3</v>
      </c>
      <c r="F406" s="334">
        <v>2</v>
      </c>
      <c r="G406" s="56">
        <v>70</v>
      </c>
      <c r="H406" s="111" t="s">
        <v>2222</v>
      </c>
      <c r="I406" s="112" t="s">
        <v>2222</v>
      </c>
      <c r="J406" s="113">
        <v>10500100549501</v>
      </c>
      <c r="K406" s="114" t="s">
        <v>89</v>
      </c>
      <c r="L406" s="115"/>
      <c r="M406" s="114">
        <v>5</v>
      </c>
      <c r="N406" s="116" t="s">
        <v>421</v>
      </c>
      <c r="O406" s="117" t="s">
        <v>2223</v>
      </c>
      <c r="P406" s="116" t="s">
        <v>2224</v>
      </c>
      <c r="Q406" s="117" t="s">
        <v>2225</v>
      </c>
      <c r="R406" s="117" t="s">
        <v>2226</v>
      </c>
      <c r="S406" s="118" t="s">
        <v>2227</v>
      </c>
      <c r="T406" s="119">
        <v>160</v>
      </c>
      <c r="U406" s="120">
        <v>160</v>
      </c>
      <c r="V406" s="120">
        <v>40</v>
      </c>
      <c r="W406" s="303" t="s">
        <v>2871</v>
      </c>
      <c r="X406" s="303" t="s">
        <v>2663</v>
      </c>
      <c r="Y406" s="121">
        <v>360</v>
      </c>
      <c r="Z406" s="137">
        <v>130</v>
      </c>
      <c r="AA406" s="138">
        <v>280</v>
      </c>
      <c r="AB406" s="138">
        <v>190</v>
      </c>
      <c r="AC406" s="64" t="s">
        <v>2866</v>
      </c>
      <c r="AD406" s="303" t="s">
        <v>2663</v>
      </c>
      <c r="AE406" s="121">
        <v>600</v>
      </c>
      <c r="AF406" s="333">
        <f t="shared" si="8"/>
        <v>960</v>
      </c>
      <c r="AG406" s="124"/>
      <c r="AH406" s="383"/>
    </row>
    <row r="407" spans="1:34" s="18" customFormat="1" ht="28.8" hidden="1">
      <c r="A407" s="301">
        <v>3071</v>
      </c>
      <c r="B407" s="54" t="s">
        <v>2663</v>
      </c>
      <c r="C407" s="54" t="s">
        <v>2663</v>
      </c>
      <c r="D407" s="54" t="s">
        <v>2872</v>
      </c>
      <c r="E407" s="301">
        <v>3</v>
      </c>
      <c r="F407" s="334">
        <v>2</v>
      </c>
      <c r="G407" s="56">
        <v>71</v>
      </c>
      <c r="H407" s="111" t="s">
        <v>2228</v>
      </c>
      <c r="I407" s="112" t="s">
        <v>2228</v>
      </c>
      <c r="J407" s="113">
        <v>10500101106101</v>
      </c>
      <c r="K407" s="114" t="s">
        <v>89</v>
      </c>
      <c r="L407" s="115"/>
      <c r="M407" s="114">
        <v>5</v>
      </c>
      <c r="N407" s="116" t="s">
        <v>497</v>
      </c>
      <c r="O407" s="117" t="s">
        <v>2229</v>
      </c>
      <c r="P407" s="116">
        <v>2739576</v>
      </c>
      <c r="Q407" s="117" t="s">
        <v>2230</v>
      </c>
      <c r="R407" s="117" t="s">
        <v>2231</v>
      </c>
      <c r="S407" s="118" t="s">
        <v>2232</v>
      </c>
      <c r="T407" s="119">
        <v>80</v>
      </c>
      <c r="U407" s="120">
        <v>160</v>
      </c>
      <c r="V407" s="120">
        <v>40</v>
      </c>
      <c r="W407" s="303" t="s">
        <v>2871</v>
      </c>
      <c r="X407" s="303" t="s">
        <v>2663</v>
      </c>
      <c r="Y407" s="121">
        <v>280</v>
      </c>
      <c r="Z407" s="137">
        <v>83</v>
      </c>
      <c r="AA407" s="138">
        <v>151</v>
      </c>
      <c r="AB407" s="138">
        <v>46</v>
      </c>
      <c r="AC407" s="64" t="s">
        <v>2866</v>
      </c>
      <c r="AD407" s="303" t="s">
        <v>2663</v>
      </c>
      <c r="AE407" s="121">
        <v>280</v>
      </c>
      <c r="AF407" s="333">
        <f t="shared" si="8"/>
        <v>560</v>
      </c>
      <c r="AG407" s="124"/>
      <c r="AH407" s="383"/>
    </row>
    <row r="408" spans="1:34" s="18" customFormat="1" ht="28.8" hidden="1">
      <c r="A408" s="301">
        <v>3072</v>
      </c>
      <c r="B408" s="54" t="s">
        <v>2663</v>
      </c>
      <c r="C408" s="54" t="s">
        <v>2663</v>
      </c>
      <c r="D408" s="54" t="s">
        <v>2872</v>
      </c>
      <c r="E408" s="301">
        <v>3</v>
      </c>
      <c r="F408" s="334">
        <v>2</v>
      </c>
      <c r="G408" s="56">
        <v>72</v>
      </c>
      <c r="H408" s="111" t="s">
        <v>2233</v>
      </c>
      <c r="I408" s="112" t="s">
        <v>2233</v>
      </c>
      <c r="J408" s="113">
        <v>10500101796501</v>
      </c>
      <c r="K408" s="114" t="s">
        <v>89</v>
      </c>
      <c r="L408" s="115"/>
      <c r="M408" s="114">
        <v>5</v>
      </c>
      <c r="N408" s="116" t="s">
        <v>474</v>
      </c>
      <c r="O408" s="117" t="s">
        <v>2234</v>
      </c>
      <c r="P408" s="116" t="s">
        <v>2235</v>
      </c>
      <c r="Q408" s="117" t="s">
        <v>2236</v>
      </c>
      <c r="R408" s="117" t="s">
        <v>2237</v>
      </c>
      <c r="S408" s="118" t="s">
        <v>2238</v>
      </c>
      <c r="T408" s="119">
        <v>0</v>
      </c>
      <c r="U408" s="120">
        <v>180</v>
      </c>
      <c r="V408" s="120">
        <v>120</v>
      </c>
      <c r="W408" s="303" t="s">
        <v>2871</v>
      </c>
      <c r="X408" s="303" t="s">
        <v>2663</v>
      </c>
      <c r="Y408" s="121">
        <v>300</v>
      </c>
      <c r="Z408" s="119">
        <v>0</v>
      </c>
      <c r="AA408" s="120">
        <v>60</v>
      </c>
      <c r="AB408" s="120">
        <v>90</v>
      </c>
      <c r="AC408" s="64" t="s">
        <v>2866</v>
      </c>
      <c r="AD408" s="303" t="s">
        <v>2663</v>
      </c>
      <c r="AE408" s="121">
        <v>150</v>
      </c>
      <c r="AF408" s="333">
        <f t="shared" si="8"/>
        <v>450</v>
      </c>
      <c r="AG408" s="124"/>
      <c r="AH408" s="383"/>
    </row>
    <row r="409" spans="1:34" s="18" customFormat="1" hidden="1">
      <c r="A409" s="301">
        <v>3073</v>
      </c>
      <c r="B409" s="54" t="s">
        <v>2663</v>
      </c>
      <c r="C409" s="54" t="s">
        <v>2663</v>
      </c>
      <c r="D409" s="54" t="s">
        <v>2871</v>
      </c>
      <c r="E409" s="301">
        <v>3</v>
      </c>
      <c r="F409" s="334">
        <v>2</v>
      </c>
      <c r="G409" s="56">
        <v>73</v>
      </c>
      <c r="H409" s="111" t="s">
        <v>2239</v>
      </c>
      <c r="I409" s="112" t="s">
        <v>2239</v>
      </c>
      <c r="J409" s="113">
        <v>10500100184801</v>
      </c>
      <c r="K409" s="114" t="s">
        <v>89</v>
      </c>
      <c r="L409" s="115"/>
      <c r="M409" s="114">
        <v>5</v>
      </c>
      <c r="N409" s="116" t="s">
        <v>2240</v>
      </c>
      <c r="O409" s="117" t="s">
        <v>2241</v>
      </c>
      <c r="P409" s="116" t="s">
        <v>2242</v>
      </c>
      <c r="Q409" s="117" t="s">
        <v>2243</v>
      </c>
      <c r="R409" s="117"/>
      <c r="S409" s="118" t="s">
        <v>2244</v>
      </c>
      <c r="T409" s="119">
        <v>100</v>
      </c>
      <c r="U409" s="120">
        <v>220</v>
      </c>
      <c r="V409" s="120">
        <v>180</v>
      </c>
      <c r="W409" s="303" t="s">
        <v>2871</v>
      </c>
      <c r="X409" s="303" t="s">
        <v>2663</v>
      </c>
      <c r="Y409" s="121">
        <v>500</v>
      </c>
      <c r="Z409" s="119">
        <v>0</v>
      </c>
      <c r="AA409" s="120">
        <v>0</v>
      </c>
      <c r="AB409" s="120">
        <v>0</v>
      </c>
      <c r="AC409" s="64"/>
      <c r="AD409" s="303"/>
      <c r="AE409" s="121">
        <v>0</v>
      </c>
      <c r="AF409" s="333">
        <f t="shared" si="8"/>
        <v>500</v>
      </c>
      <c r="AG409" s="124"/>
      <c r="AH409" s="383"/>
    </row>
    <row r="410" spans="1:34" s="18" customFormat="1" hidden="1">
      <c r="A410" s="301">
        <v>3074</v>
      </c>
      <c r="B410" s="54" t="s">
        <v>2663</v>
      </c>
      <c r="C410" s="54" t="s">
        <v>2663</v>
      </c>
      <c r="D410" s="54" t="s">
        <v>2871</v>
      </c>
      <c r="E410" s="301">
        <v>3</v>
      </c>
      <c r="F410" s="334">
        <v>2</v>
      </c>
      <c r="G410" s="56">
        <v>74</v>
      </c>
      <c r="H410" s="111" t="s">
        <v>2245</v>
      </c>
      <c r="I410" s="112" t="s">
        <v>2245</v>
      </c>
      <c r="J410" s="113">
        <v>10500100184802</v>
      </c>
      <c r="K410" s="114" t="s">
        <v>89</v>
      </c>
      <c r="L410" s="115"/>
      <c r="M410" s="114">
        <v>5</v>
      </c>
      <c r="N410" s="116" t="s">
        <v>2240</v>
      </c>
      <c r="O410" s="117"/>
      <c r="P410" s="116"/>
      <c r="Q410" s="117"/>
      <c r="R410" s="117"/>
      <c r="S410" s="118"/>
      <c r="T410" s="119">
        <v>110</v>
      </c>
      <c r="U410" s="120">
        <v>0</v>
      </c>
      <c r="V410" s="120">
        <v>0</v>
      </c>
      <c r="W410" s="303" t="s">
        <v>2871</v>
      </c>
      <c r="X410" s="303" t="s">
        <v>2663</v>
      </c>
      <c r="Y410" s="121">
        <v>110</v>
      </c>
      <c r="Z410" s="119">
        <v>0</v>
      </c>
      <c r="AA410" s="120">
        <v>0</v>
      </c>
      <c r="AB410" s="120">
        <v>0</v>
      </c>
      <c r="AC410" s="64"/>
      <c r="AD410" s="303"/>
      <c r="AE410" s="121">
        <v>0</v>
      </c>
      <c r="AF410" s="333">
        <f t="shared" si="8"/>
        <v>110</v>
      </c>
      <c r="AG410" s="124"/>
      <c r="AH410" s="383"/>
    </row>
    <row r="411" spans="1:34" s="18" customFormat="1" hidden="1">
      <c r="A411" s="301">
        <v>3075</v>
      </c>
      <c r="B411" s="54" t="s">
        <v>2663</v>
      </c>
      <c r="C411" s="54" t="s">
        <v>2663</v>
      </c>
      <c r="D411" s="54" t="s">
        <v>2871</v>
      </c>
      <c r="E411" s="301">
        <v>3</v>
      </c>
      <c r="F411" s="334">
        <v>2</v>
      </c>
      <c r="G411" s="56">
        <v>75</v>
      </c>
      <c r="H411" s="111" t="s">
        <v>2246</v>
      </c>
      <c r="I411" s="112" t="s">
        <v>2246</v>
      </c>
      <c r="J411" s="113">
        <v>30500101842101</v>
      </c>
      <c r="K411" s="114" t="s">
        <v>167</v>
      </c>
      <c r="L411" s="115"/>
      <c r="M411" s="114">
        <v>6</v>
      </c>
      <c r="N411" s="116" t="s">
        <v>511</v>
      </c>
      <c r="O411" s="117" t="s">
        <v>2247</v>
      </c>
      <c r="P411" s="116">
        <v>2673204</v>
      </c>
      <c r="Q411" s="117" t="s">
        <v>2248</v>
      </c>
      <c r="R411" s="117" t="s">
        <v>2249</v>
      </c>
      <c r="S411" s="118" t="s">
        <v>2250</v>
      </c>
      <c r="T411" s="119">
        <v>25</v>
      </c>
      <c r="U411" s="120">
        <v>255</v>
      </c>
      <c r="V411" s="120">
        <v>0</v>
      </c>
      <c r="W411" s="303" t="s">
        <v>2871</v>
      </c>
      <c r="X411" s="303" t="s">
        <v>2663</v>
      </c>
      <c r="Y411" s="121">
        <v>280</v>
      </c>
      <c r="Z411" s="119">
        <v>0</v>
      </c>
      <c r="AA411" s="120">
        <v>0</v>
      </c>
      <c r="AB411" s="120">
        <v>0</v>
      </c>
      <c r="AC411" s="64"/>
      <c r="AD411" s="303"/>
      <c r="AE411" s="121">
        <v>0</v>
      </c>
      <c r="AF411" s="333">
        <f t="shared" si="8"/>
        <v>280</v>
      </c>
      <c r="AG411" s="124"/>
      <c r="AH411" s="383"/>
    </row>
    <row r="412" spans="1:34" s="18" customFormat="1" hidden="1">
      <c r="A412" s="301">
        <v>3076</v>
      </c>
      <c r="B412" s="54" t="s">
        <v>2663</v>
      </c>
      <c r="C412" s="54" t="s">
        <v>2663</v>
      </c>
      <c r="D412" s="54" t="s">
        <v>2871</v>
      </c>
      <c r="E412" s="301">
        <v>3</v>
      </c>
      <c r="F412" s="334">
        <v>2</v>
      </c>
      <c r="G412" s="56">
        <v>76</v>
      </c>
      <c r="H412" s="111" t="s">
        <v>2251</v>
      </c>
      <c r="I412" s="112" t="s">
        <v>2251</v>
      </c>
      <c r="J412" s="113">
        <v>10500100230502</v>
      </c>
      <c r="K412" s="114" t="s">
        <v>89</v>
      </c>
      <c r="L412" s="115"/>
      <c r="M412" s="114">
        <v>7</v>
      </c>
      <c r="N412" s="116" t="s">
        <v>665</v>
      </c>
      <c r="O412" s="117" t="s">
        <v>2252</v>
      </c>
      <c r="P412" s="116" t="s">
        <v>2253</v>
      </c>
      <c r="Q412" s="117" t="s">
        <v>681</v>
      </c>
      <c r="R412" s="117" t="s">
        <v>2254</v>
      </c>
      <c r="S412" s="118" t="s">
        <v>2255</v>
      </c>
      <c r="T412" s="119">
        <v>247</v>
      </c>
      <c r="U412" s="120">
        <v>373</v>
      </c>
      <c r="V412" s="120">
        <v>0</v>
      </c>
      <c r="W412" s="303" t="s">
        <v>2871</v>
      </c>
      <c r="X412" s="303" t="s">
        <v>2663</v>
      </c>
      <c r="Y412" s="121">
        <v>620</v>
      </c>
      <c r="Z412" s="119">
        <v>0</v>
      </c>
      <c r="AA412" s="120">
        <v>0</v>
      </c>
      <c r="AB412" s="120">
        <v>0</v>
      </c>
      <c r="AC412" s="64"/>
      <c r="AD412" s="303"/>
      <c r="AE412" s="121">
        <v>0</v>
      </c>
      <c r="AF412" s="333">
        <f t="shared" si="8"/>
        <v>620</v>
      </c>
      <c r="AG412" s="124"/>
      <c r="AH412" s="383"/>
    </row>
    <row r="413" spans="1:34" s="18" customFormat="1" ht="28.8" hidden="1">
      <c r="A413" s="301">
        <v>3077</v>
      </c>
      <c r="B413" s="54" t="s">
        <v>2663</v>
      </c>
      <c r="C413" s="54" t="s">
        <v>2663</v>
      </c>
      <c r="D413" s="54" t="s">
        <v>2872</v>
      </c>
      <c r="E413" s="301">
        <v>3</v>
      </c>
      <c r="F413" s="334">
        <v>2</v>
      </c>
      <c r="G413" s="56">
        <v>77</v>
      </c>
      <c r="H413" s="111" t="s">
        <v>2256</v>
      </c>
      <c r="I413" s="112" t="s">
        <v>2256</v>
      </c>
      <c r="J413" s="113">
        <v>10500101439701</v>
      </c>
      <c r="K413" s="114" t="s">
        <v>89</v>
      </c>
      <c r="L413" s="115"/>
      <c r="M413" s="114">
        <v>7</v>
      </c>
      <c r="N413" s="116" t="s">
        <v>2257</v>
      </c>
      <c r="O413" s="117" t="s">
        <v>2258</v>
      </c>
      <c r="P413" s="116">
        <v>4417456</v>
      </c>
      <c r="Q413" s="117" t="s">
        <v>2259</v>
      </c>
      <c r="R413" s="117" t="s">
        <v>2260</v>
      </c>
      <c r="S413" s="118" t="s">
        <v>2261</v>
      </c>
      <c r="T413" s="119">
        <v>231</v>
      </c>
      <c r="U413" s="120">
        <v>219</v>
      </c>
      <c r="V413" s="120">
        <v>100</v>
      </c>
      <c r="W413" s="303" t="s">
        <v>2871</v>
      </c>
      <c r="X413" s="303" t="s">
        <v>2663</v>
      </c>
      <c r="Y413" s="121">
        <v>550</v>
      </c>
      <c r="Z413" s="119">
        <v>0</v>
      </c>
      <c r="AA413" s="120">
        <v>260</v>
      </c>
      <c r="AB413" s="120">
        <v>190</v>
      </c>
      <c r="AC413" s="64" t="s">
        <v>2866</v>
      </c>
      <c r="AD413" s="303" t="s">
        <v>2663</v>
      </c>
      <c r="AE413" s="121">
        <v>450</v>
      </c>
      <c r="AF413" s="333">
        <f t="shared" si="8"/>
        <v>1000</v>
      </c>
      <c r="AG413" s="124"/>
      <c r="AH413" s="383"/>
    </row>
    <row r="414" spans="1:34" s="18" customFormat="1" hidden="1">
      <c r="A414" s="301">
        <v>3078</v>
      </c>
      <c r="B414" s="54" t="s">
        <v>2663</v>
      </c>
      <c r="C414" s="54" t="s">
        <v>2663</v>
      </c>
      <c r="D414" s="54" t="s">
        <v>2871</v>
      </c>
      <c r="E414" s="301">
        <v>3</v>
      </c>
      <c r="F414" s="334">
        <v>2</v>
      </c>
      <c r="G414" s="56">
        <v>78</v>
      </c>
      <c r="H414" s="111" t="s">
        <v>2262</v>
      </c>
      <c r="I414" s="112" t="s">
        <v>2262</v>
      </c>
      <c r="J414" s="113">
        <v>10500100247002</v>
      </c>
      <c r="K414" s="114" t="s">
        <v>89</v>
      </c>
      <c r="L414" s="115"/>
      <c r="M414" s="114">
        <v>7</v>
      </c>
      <c r="N414" s="116" t="s">
        <v>733</v>
      </c>
      <c r="O414" s="117" t="s">
        <v>2263</v>
      </c>
      <c r="P414" s="116">
        <v>2571207</v>
      </c>
      <c r="Q414" s="117" t="s">
        <v>2264</v>
      </c>
      <c r="R414" s="117" t="s">
        <v>2265</v>
      </c>
      <c r="S414" s="118" t="s">
        <v>2266</v>
      </c>
      <c r="T414" s="119">
        <v>238</v>
      </c>
      <c r="U414" s="120">
        <v>122</v>
      </c>
      <c r="V414" s="120">
        <v>0</v>
      </c>
      <c r="W414" s="303" t="s">
        <v>2871</v>
      </c>
      <c r="X414" s="303" t="s">
        <v>2663</v>
      </c>
      <c r="Y414" s="121">
        <v>360</v>
      </c>
      <c r="Z414" s="119">
        <v>0</v>
      </c>
      <c r="AA414" s="120">
        <v>0</v>
      </c>
      <c r="AB414" s="120">
        <v>0</v>
      </c>
      <c r="AC414" s="64"/>
      <c r="AD414" s="303"/>
      <c r="AE414" s="121">
        <v>0</v>
      </c>
      <c r="AF414" s="333">
        <f t="shared" si="8"/>
        <v>360</v>
      </c>
      <c r="AG414" s="124"/>
      <c r="AH414" s="383"/>
    </row>
    <row r="415" spans="1:34" s="18" customFormat="1" hidden="1">
      <c r="A415" s="301">
        <v>3079</v>
      </c>
      <c r="B415" s="54" t="s">
        <v>2663</v>
      </c>
      <c r="C415" s="54" t="s">
        <v>2663</v>
      </c>
      <c r="D415" s="54" t="s">
        <v>2871</v>
      </c>
      <c r="E415" s="301">
        <v>3</v>
      </c>
      <c r="F415" s="334">
        <v>2</v>
      </c>
      <c r="G415" s="56">
        <v>79</v>
      </c>
      <c r="H415" s="111" t="s">
        <v>2267</v>
      </c>
      <c r="I415" s="112" t="s">
        <v>2267</v>
      </c>
      <c r="J415" s="113">
        <v>10500100179101</v>
      </c>
      <c r="K415" s="114" t="s">
        <v>89</v>
      </c>
      <c r="L415" s="115"/>
      <c r="M415" s="114">
        <v>7</v>
      </c>
      <c r="N415" s="116" t="s">
        <v>2268</v>
      </c>
      <c r="O415" s="117" t="s">
        <v>2269</v>
      </c>
      <c r="P415" s="116">
        <v>2300313</v>
      </c>
      <c r="Q415" s="117" t="s">
        <v>2270</v>
      </c>
      <c r="R415" s="117" t="s">
        <v>2271</v>
      </c>
      <c r="S415" s="118" t="s">
        <v>2272</v>
      </c>
      <c r="T415" s="119">
        <v>190</v>
      </c>
      <c r="U415" s="120">
        <v>240</v>
      </c>
      <c r="V415" s="120">
        <v>130</v>
      </c>
      <c r="W415" s="303" t="s">
        <v>2871</v>
      </c>
      <c r="X415" s="303" t="s">
        <v>2663</v>
      </c>
      <c r="Y415" s="121">
        <v>560</v>
      </c>
      <c r="Z415" s="119">
        <v>0</v>
      </c>
      <c r="AA415" s="120">
        <v>0</v>
      </c>
      <c r="AB415" s="120">
        <v>0</v>
      </c>
      <c r="AC415" s="64"/>
      <c r="AD415" s="303"/>
      <c r="AE415" s="121">
        <v>0</v>
      </c>
      <c r="AF415" s="333">
        <f t="shared" si="8"/>
        <v>560</v>
      </c>
      <c r="AG415" s="124"/>
      <c r="AH415" s="383"/>
    </row>
    <row r="416" spans="1:34" s="18" customFormat="1" ht="28.8" hidden="1">
      <c r="A416" s="301">
        <v>3080</v>
      </c>
      <c r="B416" s="54" t="s">
        <v>2663</v>
      </c>
      <c r="C416" s="54" t="s">
        <v>2663</v>
      </c>
      <c r="D416" s="54" t="s">
        <v>2872</v>
      </c>
      <c r="E416" s="301">
        <v>3</v>
      </c>
      <c r="F416" s="334">
        <v>2</v>
      </c>
      <c r="G416" s="56">
        <v>80</v>
      </c>
      <c r="H416" s="111" t="s">
        <v>2273</v>
      </c>
      <c r="I416" s="112" t="s">
        <v>2273</v>
      </c>
      <c r="J416" s="113">
        <v>10500102671901</v>
      </c>
      <c r="K416" s="114" t="s">
        <v>89</v>
      </c>
      <c r="L416" s="115"/>
      <c r="M416" s="114">
        <v>7</v>
      </c>
      <c r="N416" s="116" t="s">
        <v>704</v>
      </c>
      <c r="O416" s="117" t="s">
        <v>2274</v>
      </c>
      <c r="P416" s="116">
        <v>4422199</v>
      </c>
      <c r="Q416" s="117" t="s">
        <v>2275</v>
      </c>
      <c r="R416" s="117" t="s">
        <v>2276</v>
      </c>
      <c r="S416" s="118" t="s">
        <v>2277</v>
      </c>
      <c r="T416" s="137">
        <v>224</v>
      </c>
      <c r="U416" s="138">
        <v>206</v>
      </c>
      <c r="V416" s="120">
        <v>170</v>
      </c>
      <c r="W416" s="303" t="s">
        <v>2871</v>
      </c>
      <c r="X416" s="303" t="s">
        <v>2663</v>
      </c>
      <c r="Y416" s="121">
        <v>600</v>
      </c>
      <c r="Z416" s="119">
        <v>0</v>
      </c>
      <c r="AA416" s="120">
        <v>160</v>
      </c>
      <c r="AB416" s="120">
        <v>40</v>
      </c>
      <c r="AC416" s="64" t="s">
        <v>2866</v>
      </c>
      <c r="AD416" s="303" t="s">
        <v>2663</v>
      </c>
      <c r="AE416" s="121">
        <v>200</v>
      </c>
      <c r="AF416" s="333">
        <f t="shared" si="8"/>
        <v>800</v>
      </c>
      <c r="AG416" s="124"/>
      <c r="AH416" s="383"/>
    </row>
    <row r="417" spans="1:34" s="18" customFormat="1" ht="28.8" hidden="1">
      <c r="A417" s="301">
        <v>3081</v>
      </c>
      <c r="B417" s="54" t="s">
        <v>2663</v>
      </c>
      <c r="C417" s="54" t="s">
        <v>2663</v>
      </c>
      <c r="D417" s="54" t="s">
        <v>2872</v>
      </c>
      <c r="E417" s="301">
        <v>3</v>
      </c>
      <c r="F417" s="334">
        <v>2</v>
      </c>
      <c r="G417" s="56">
        <v>81</v>
      </c>
      <c r="H417" s="111" t="s">
        <v>2278</v>
      </c>
      <c r="I417" s="112" t="s">
        <v>2279</v>
      </c>
      <c r="J417" s="113">
        <v>10500101485101</v>
      </c>
      <c r="K417" s="114" t="s">
        <v>89</v>
      </c>
      <c r="L417" s="115"/>
      <c r="M417" s="114">
        <v>7</v>
      </c>
      <c r="N417" s="116" t="s">
        <v>1446</v>
      </c>
      <c r="O417" s="117" t="s">
        <v>2280</v>
      </c>
      <c r="P417" s="116">
        <v>4219747</v>
      </c>
      <c r="Q417" s="117" t="s">
        <v>2281</v>
      </c>
      <c r="R417" s="117" t="s">
        <v>2282</v>
      </c>
      <c r="S417" s="118" t="s">
        <v>2283</v>
      </c>
      <c r="T417" s="137">
        <v>190</v>
      </c>
      <c r="U417" s="138">
        <v>160</v>
      </c>
      <c r="V417" s="120">
        <v>0</v>
      </c>
      <c r="W417" s="303" t="s">
        <v>2871</v>
      </c>
      <c r="X417" s="303" t="s">
        <v>2663</v>
      </c>
      <c r="Y417" s="121">
        <v>350</v>
      </c>
      <c r="Z417" s="119">
        <v>0</v>
      </c>
      <c r="AA417" s="120">
        <v>100</v>
      </c>
      <c r="AB417" s="120">
        <v>380</v>
      </c>
      <c r="AC417" s="64" t="s">
        <v>2866</v>
      </c>
      <c r="AD417" s="303" t="s">
        <v>2663</v>
      </c>
      <c r="AE417" s="121">
        <v>480</v>
      </c>
      <c r="AF417" s="333">
        <f t="shared" si="8"/>
        <v>830</v>
      </c>
      <c r="AG417" s="124"/>
      <c r="AH417" s="383"/>
    </row>
    <row r="418" spans="1:34" s="18" customFormat="1" hidden="1">
      <c r="A418" s="301">
        <v>3082</v>
      </c>
      <c r="B418" s="54" t="s">
        <v>2663</v>
      </c>
      <c r="C418" s="54" t="s">
        <v>2663</v>
      </c>
      <c r="D418" s="54" t="s">
        <v>2871</v>
      </c>
      <c r="E418" s="301">
        <v>3</v>
      </c>
      <c r="F418" s="334">
        <v>2</v>
      </c>
      <c r="G418" s="56">
        <v>82</v>
      </c>
      <c r="H418" s="111" t="s">
        <v>2284</v>
      </c>
      <c r="I418" s="112" t="s">
        <v>2285</v>
      </c>
      <c r="J418" s="113">
        <v>10500101485101</v>
      </c>
      <c r="K418" s="114" t="s">
        <v>89</v>
      </c>
      <c r="L418" s="115"/>
      <c r="M418" s="114">
        <v>7</v>
      </c>
      <c r="N418" s="116" t="s">
        <v>1446</v>
      </c>
      <c r="O418" s="117" t="s">
        <v>2286</v>
      </c>
      <c r="P418" s="116">
        <v>4214667</v>
      </c>
      <c r="Q418" s="117" t="s">
        <v>2281</v>
      </c>
      <c r="R418" s="117" t="s">
        <v>2287</v>
      </c>
      <c r="S418" s="118" t="s">
        <v>2288</v>
      </c>
      <c r="T418" s="139">
        <v>150</v>
      </c>
      <c r="U418" s="140">
        <v>110</v>
      </c>
      <c r="V418" s="120">
        <v>0</v>
      </c>
      <c r="W418" s="303" t="s">
        <v>2871</v>
      </c>
      <c r="X418" s="303" t="s">
        <v>2663</v>
      </c>
      <c r="Y418" s="121">
        <v>260</v>
      </c>
      <c r="Z418" s="119">
        <v>0</v>
      </c>
      <c r="AA418" s="120">
        <v>0</v>
      </c>
      <c r="AB418" s="120">
        <v>0</v>
      </c>
      <c r="AC418" s="64"/>
      <c r="AD418" s="303"/>
      <c r="AE418" s="121">
        <v>0</v>
      </c>
      <c r="AF418" s="333">
        <f t="shared" si="8"/>
        <v>260</v>
      </c>
      <c r="AG418" s="124"/>
      <c r="AH418" s="383"/>
    </row>
    <row r="419" spans="1:34" s="18" customFormat="1" hidden="1">
      <c r="A419" s="301">
        <v>3083</v>
      </c>
      <c r="B419" s="54" t="s">
        <v>2663</v>
      </c>
      <c r="C419" s="54" t="s">
        <v>2663</v>
      </c>
      <c r="D419" s="54" t="s">
        <v>2871</v>
      </c>
      <c r="E419" s="301">
        <v>3</v>
      </c>
      <c r="F419" s="334">
        <v>2</v>
      </c>
      <c r="G419" s="56">
        <v>83</v>
      </c>
      <c r="H419" s="111" t="s">
        <v>2289</v>
      </c>
      <c r="I419" s="112" t="s">
        <v>2289</v>
      </c>
      <c r="J419" s="113">
        <v>30500100786101</v>
      </c>
      <c r="K419" s="114" t="s">
        <v>167</v>
      </c>
      <c r="L419" s="115"/>
      <c r="M419" s="114">
        <v>7</v>
      </c>
      <c r="N419" s="116" t="s">
        <v>1446</v>
      </c>
      <c r="O419" s="117" t="s">
        <v>2290</v>
      </c>
      <c r="P419" s="116" t="s">
        <v>2291</v>
      </c>
      <c r="Q419" s="117" t="s">
        <v>2292</v>
      </c>
      <c r="R419" s="117" t="s">
        <v>2293</v>
      </c>
      <c r="S419" s="118" t="s">
        <v>2294</v>
      </c>
      <c r="T419" s="137">
        <v>30</v>
      </c>
      <c r="U419" s="138">
        <v>140</v>
      </c>
      <c r="V419" s="120">
        <v>90</v>
      </c>
      <c r="W419" s="303" t="s">
        <v>2871</v>
      </c>
      <c r="X419" s="303" t="s">
        <v>2663</v>
      </c>
      <c r="Y419" s="121">
        <v>260</v>
      </c>
      <c r="Z419" s="119">
        <v>0</v>
      </c>
      <c r="AA419" s="120">
        <v>0</v>
      </c>
      <c r="AB419" s="120">
        <v>0</v>
      </c>
      <c r="AC419" s="64"/>
      <c r="AD419" s="303"/>
      <c r="AE419" s="121">
        <v>0</v>
      </c>
      <c r="AF419" s="333">
        <f t="shared" si="8"/>
        <v>260</v>
      </c>
      <c r="AG419" s="124"/>
      <c r="AH419" s="383"/>
    </row>
    <row r="420" spans="1:34" s="18" customFormat="1" ht="28.8" hidden="1">
      <c r="A420" s="301">
        <v>3084</v>
      </c>
      <c r="B420" s="54" t="s">
        <v>2663</v>
      </c>
      <c r="C420" s="54" t="s">
        <v>2663</v>
      </c>
      <c r="D420" s="54" t="s">
        <v>2872</v>
      </c>
      <c r="E420" s="301">
        <v>3</v>
      </c>
      <c r="F420" s="334">
        <v>2</v>
      </c>
      <c r="G420" s="56">
        <v>84</v>
      </c>
      <c r="H420" s="111" t="s">
        <v>2295</v>
      </c>
      <c r="I420" s="112" t="s">
        <v>2295</v>
      </c>
      <c r="J420" s="113">
        <v>10500100344101</v>
      </c>
      <c r="K420" s="114" t="s">
        <v>89</v>
      </c>
      <c r="L420" s="115"/>
      <c r="M420" s="114">
        <v>7</v>
      </c>
      <c r="N420" s="116" t="s">
        <v>2296</v>
      </c>
      <c r="O420" s="117" t="s">
        <v>2297</v>
      </c>
      <c r="P420" s="116" t="s">
        <v>2298</v>
      </c>
      <c r="Q420" s="117" t="s">
        <v>2299</v>
      </c>
      <c r="R420" s="117" t="s">
        <v>2300</v>
      </c>
      <c r="S420" s="118" t="s">
        <v>2301</v>
      </c>
      <c r="T420" s="137">
        <v>0</v>
      </c>
      <c r="U420" s="138">
        <v>400</v>
      </c>
      <c r="V420" s="120">
        <v>100</v>
      </c>
      <c r="W420" s="303" t="s">
        <v>2871</v>
      </c>
      <c r="X420" s="303" t="s">
        <v>2663</v>
      </c>
      <c r="Y420" s="121">
        <v>500</v>
      </c>
      <c r="Z420" s="119">
        <v>0</v>
      </c>
      <c r="AA420" s="120">
        <v>340</v>
      </c>
      <c r="AB420" s="120">
        <v>410</v>
      </c>
      <c r="AC420" s="64" t="s">
        <v>2866</v>
      </c>
      <c r="AD420" s="303" t="s">
        <v>2663</v>
      </c>
      <c r="AE420" s="121">
        <v>750</v>
      </c>
      <c r="AF420" s="333">
        <f t="shared" si="8"/>
        <v>1250</v>
      </c>
      <c r="AG420" s="124"/>
      <c r="AH420" s="383"/>
    </row>
    <row r="421" spans="1:34" s="18" customFormat="1" hidden="1">
      <c r="A421" s="301">
        <v>3085</v>
      </c>
      <c r="B421" s="54" t="s">
        <v>2663</v>
      </c>
      <c r="C421" s="54" t="s">
        <v>2663</v>
      </c>
      <c r="D421" s="54" t="s">
        <v>2871</v>
      </c>
      <c r="E421" s="301">
        <v>3</v>
      </c>
      <c r="F421" s="334">
        <v>2</v>
      </c>
      <c r="G421" s="56">
        <v>85</v>
      </c>
      <c r="H421" s="111" t="s">
        <v>2302</v>
      </c>
      <c r="I421" s="112" t="s">
        <v>2302</v>
      </c>
      <c r="J421" s="113">
        <v>30500101218101</v>
      </c>
      <c r="K421" s="114" t="s">
        <v>167</v>
      </c>
      <c r="L421" s="115"/>
      <c r="M421" s="114">
        <v>7</v>
      </c>
      <c r="N421" s="116" t="s">
        <v>2303</v>
      </c>
      <c r="O421" s="117" t="s">
        <v>2304</v>
      </c>
      <c r="P421" s="116" t="s">
        <v>2305</v>
      </c>
      <c r="Q421" s="117" t="s">
        <v>2306</v>
      </c>
      <c r="R421" s="117" t="s">
        <v>2307</v>
      </c>
      <c r="S421" s="118" t="s">
        <v>2308</v>
      </c>
      <c r="T421" s="119">
        <v>120</v>
      </c>
      <c r="U421" s="120">
        <v>170</v>
      </c>
      <c r="V421" s="120">
        <v>80</v>
      </c>
      <c r="W421" s="303" t="s">
        <v>2871</v>
      </c>
      <c r="X421" s="303" t="s">
        <v>2663</v>
      </c>
      <c r="Y421" s="121">
        <v>370</v>
      </c>
      <c r="Z421" s="119">
        <v>0</v>
      </c>
      <c r="AA421" s="120">
        <v>0</v>
      </c>
      <c r="AB421" s="120">
        <v>0</v>
      </c>
      <c r="AC421" s="64"/>
      <c r="AD421" s="303"/>
      <c r="AE421" s="121">
        <v>0</v>
      </c>
      <c r="AF421" s="333">
        <f t="shared" si="8"/>
        <v>370</v>
      </c>
      <c r="AG421" s="124"/>
      <c r="AH421" s="383"/>
    </row>
    <row r="422" spans="1:34" s="18" customFormat="1" hidden="1">
      <c r="A422" s="301">
        <v>3086</v>
      </c>
      <c r="B422" s="54" t="s">
        <v>2663</v>
      </c>
      <c r="C422" s="54" t="s">
        <v>2663</v>
      </c>
      <c r="D422" s="54" t="s">
        <v>2871</v>
      </c>
      <c r="E422" s="301">
        <v>3</v>
      </c>
      <c r="F422" s="334">
        <v>3</v>
      </c>
      <c r="G422" s="56">
        <v>86</v>
      </c>
      <c r="H422" s="111" t="s">
        <v>2309</v>
      </c>
      <c r="I422" s="116" t="s">
        <v>2309</v>
      </c>
      <c r="J422" s="113">
        <v>10500101942902</v>
      </c>
      <c r="K422" s="114" t="s">
        <v>89</v>
      </c>
      <c r="L422" s="115"/>
      <c r="M422" s="114">
        <v>8</v>
      </c>
      <c r="N422" s="116" t="s">
        <v>758</v>
      </c>
      <c r="O422" s="117" t="s">
        <v>2310</v>
      </c>
      <c r="P422" s="116">
        <v>2842112</v>
      </c>
      <c r="Q422" s="117" t="s">
        <v>760</v>
      </c>
      <c r="R422" s="117" t="s">
        <v>2311</v>
      </c>
      <c r="S422" s="118" t="s">
        <v>2312</v>
      </c>
      <c r="T422" s="119">
        <v>300</v>
      </c>
      <c r="U422" s="120">
        <v>120</v>
      </c>
      <c r="V422" s="120">
        <v>0</v>
      </c>
      <c r="W422" s="303" t="s">
        <v>2871</v>
      </c>
      <c r="X422" s="303" t="s">
        <v>2663</v>
      </c>
      <c r="Y422" s="121">
        <v>420</v>
      </c>
      <c r="Z422" s="119">
        <v>0</v>
      </c>
      <c r="AA422" s="120">
        <v>0</v>
      </c>
      <c r="AB422" s="120">
        <v>0</v>
      </c>
      <c r="AC422" s="64"/>
      <c r="AD422" s="303"/>
      <c r="AE422" s="121">
        <v>0</v>
      </c>
      <c r="AF422" s="333">
        <f t="shared" si="8"/>
        <v>420</v>
      </c>
      <c r="AG422" s="162"/>
      <c r="AH422" s="383"/>
    </row>
    <row r="423" spans="1:34" s="18" customFormat="1" hidden="1">
      <c r="A423" s="301">
        <v>3087</v>
      </c>
      <c r="B423" s="54" t="s">
        <v>2663</v>
      </c>
      <c r="C423" s="54" t="s">
        <v>2663</v>
      </c>
      <c r="D423" s="54" t="s">
        <v>2871</v>
      </c>
      <c r="E423" s="301">
        <v>3</v>
      </c>
      <c r="F423" s="334">
        <v>3</v>
      </c>
      <c r="G423" s="56">
        <v>87</v>
      </c>
      <c r="H423" s="111" t="s">
        <v>2313</v>
      </c>
      <c r="I423" s="116" t="s">
        <v>2313</v>
      </c>
      <c r="J423" s="113">
        <v>10500102613102</v>
      </c>
      <c r="K423" s="114" t="s">
        <v>89</v>
      </c>
      <c r="L423" s="115"/>
      <c r="M423" s="114">
        <v>8</v>
      </c>
      <c r="N423" s="116" t="s">
        <v>768</v>
      </c>
      <c r="O423" s="117" t="s">
        <v>2314</v>
      </c>
      <c r="P423" s="116">
        <v>2210099</v>
      </c>
      <c r="Q423" s="117" t="s">
        <v>770</v>
      </c>
      <c r="R423" s="117" t="s">
        <v>2315</v>
      </c>
      <c r="S423" s="118" t="s">
        <v>2316</v>
      </c>
      <c r="T423" s="119">
        <v>213</v>
      </c>
      <c r="U423" s="120">
        <v>63</v>
      </c>
      <c r="V423" s="120">
        <v>0</v>
      </c>
      <c r="W423" s="303" t="s">
        <v>2871</v>
      </c>
      <c r="X423" s="303" t="s">
        <v>2663</v>
      </c>
      <c r="Y423" s="121">
        <v>276</v>
      </c>
      <c r="Z423" s="119">
        <v>0</v>
      </c>
      <c r="AA423" s="120">
        <v>0</v>
      </c>
      <c r="AB423" s="120">
        <v>0</v>
      </c>
      <c r="AC423" s="64"/>
      <c r="AD423" s="303"/>
      <c r="AE423" s="121">
        <v>0</v>
      </c>
      <c r="AF423" s="333">
        <f t="shared" si="8"/>
        <v>276</v>
      </c>
      <c r="AG423" s="162"/>
      <c r="AH423" s="383"/>
    </row>
    <row r="424" spans="1:34" s="18" customFormat="1" hidden="1">
      <c r="A424" s="301">
        <v>3088</v>
      </c>
      <c r="B424" s="54" t="s">
        <v>2663</v>
      </c>
      <c r="C424" s="54" t="s">
        <v>2663</v>
      </c>
      <c r="D424" s="54" t="s">
        <v>2871</v>
      </c>
      <c r="E424" s="301">
        <v>3</v>
      </c>
      <c r="F424" s="334">
        <v>3</v>
      </c>
      <c r="G424" s="56">
        <v>88</v>
      </c>
      <c r="H424" s="111" t="s">
        <v>2317</v>
      </c>
      <c r="I424" s="116" t="s">
        <v>2317</v>
      </c>
      <c r="J424" s="113">
        <v>10500101269601</v>
      </c>
      <c r="K424" s="114" t="s">
        <v>89</v>
      </c>
      <c r="L424" s="115"/>
      <c r="M424" s="114">
        <v>8</v>
      </c>
      <c r="N424" s="116" t="s">
        <v>892</v>
      </c>
      <c r="O424" s="117" t="s">
        <v>2318</v>
      </c>
      <c r="P424" s="116">
        <v>3200510</v>
      </c>
      <c r="Q424" s="117" t="s">
        <v>776</v>
      </c>
      <c r="R424" s="117" t="s">
        <v>2319</v>
      </c>
      <c r="S424" s="118" t="s">
        <v>2320</v>
      </c>
      <c r="T424" s="119">
        <v>0</v>
      </c>
      <c r="U424" s="120">
        <v>296</v>
      </c>
      <c r="V424" s="120">
        <v>154</v>
      </c>
      <c r="W424" s="303" t="s">
        <v>2871</v>
      </c>
      <c r="X424" s="303" t="s">
        <v>2663</v>
      </c>
      <c r="Y424" s="121">
        <v>450</v>
      </c>
      <c r="Z424" s="119">
        <v>0</v>
      </c>
      <c r="AA424" s="120">
        <v>0</v>
      </c>
      <c r="AB424" s="120">
        <v>0</v>
      </c>
      <c r="AC424" s="64"/>
      <c r="AD424" s="303"/>
      <c r="AE424" s="121">
        <v>0</v>
      </c>
      <c r="AF424" s="333">
        <f t="shared" si="8"/>
        <v>450</v>
      </c>
      <c r="AG424" s="162"/>
      <c r="AH424" s="383"/>
    </row>
    <row r="425" spans="1:34" s="18" customFormat="1" ht="28.8" hidden="1">
      <c r="A425" s="301">
        <v>3089</v>
      </c>
      <c r="B425" s="54" t="s">
        <v>2663</v>
      </c>
      <c r="C425" s="54" t="s">
        <v>2663</v>
      </c>
      <c r="D425" s="54" t="s">
        <v>2872</v>
      </c>
      <c r="E425" s="301">
        <v>3</v>
      </c>
      <c r="F425" s="334">
        <v>3</v>
      </c>
      <c r="G425" s="56">
        <v>89</v>
      </c>
      <c r="H425" s="111" t="s">
        <v>2321</v>
      </c>
      <c r="I425" s="116" t="s">
        <v>2321</v>
      </c>
      <c r="J425" s="113">
        <v>10500100035303</v>
      </c>
      <c r="K425" s="114" t="s">
        <v>89</v>
      </c>
      <c r="L425" s="115"/>
      <c r="M425" s="114">
        <v>8</v>
      </c>
      <c r="N425" s="116" t="s">
        <v>2322</v>
      </c>
      <c r="O425" s="117" t="s">
        <v>2323</v>
      </c>
      <c r="P425" s="116" t="s">
        <v>2324</v>
      </c>
      <c r="Q425" s="117" t="s">
        <v>914</v>
      </c>
      <c r="R425" s="117" t="s">
        <v>2325</v>
      </c>
      <c r="S425" s="118" t="s">
        <v>2326</v>
      </c>
      <c r="T425" s="119">
        <v>91</v>
      </c>
      <c r="U425" s="120">
        <v>49</v>
      </c>
      <c r="V425" s="120">
        <v>0</v>
      </c>
      <c r="W425" s="303" t="s">
        <v>2871</v>
      </c>
      <c r="X425" s="303" t="s">
        <v>2663</v>
      </c>
      <c r="Y425" s="121">
        <v>140</v>
      </c>
      <c r="Z425" s="119">
        <v>45</v>
      </c>
      <c r="AA425" s="120">
        <v>27</v>
      </c>
      <c r="AB425" s="120">
        <v>0</v>
      </c>
      <c r="AC425" s="64" t="s">
        <v>2866</v>
      </c>
      <c r="AD425" s="303" t="s">
        <v>2663</v>
      </c>
      <c r="AE425" s="121">
        <v>72</v>
      </c>
      <c r="AF425" s="333">
        <f t="shared" si="8"/>
        <v>212</v>
      </c>
      <c r="AG425" s="162"/>
      <c r="AH425" s="383"/>
    </row>
    <row r="426" spans="1:34" s="18" customFormat="1" ht="28.8" hidden="1">
      <c r="A426" s="301">
        <v>3090</v>
      </c>
      <c r="B426" s="54" t="s">
        <v>2663</v>
      </c>
      <c r="C426" s="54" t="s">
        <v>2663</v>
      </c>
      <c r="D426" s="54" t="s">
        <v>2872</v>
      </c>
      <c r="E426" s="301">
        <v>3</v>
      </c>
      <c r="F426" s="334">
        <v>3</v>
      </c>
      <c r="G426" s="56">
        <v>90</v>
      </c>
      <c r="H426" s="111" t="s">
        <v>2327</v>
      </c>
      <c r="I426" s="116" t="s">
        <v>2327</v>
      </c>
      <c r="J426" s="113">
        <v>10500100056601</v>
      </c>
      <c r="K426" s="114" t="s">
        <v>89</v>
      </c>
      <c r="L426" s="115"/>
      <c r="M426" s="114">
        <v>8</v>
      </c>
      <c r="N426" s="116" t="s">
        <v>791</v>
      </c>
      <c r="O426" s="117" t="s">
        <v>2328</v>
      </c>
      <c r="P426" s="116">
        <v>2168993</v>
      </c>
      <c r="Q426" s="117" t="s">
        <v>793</v>
      </c>
      <c r="R426" s="117" t="s">
        <v>2329</v>
      </c>
      <c r="S426" s="118" t="s">
        <v>2330</v>
      </c>
      <c r="T426" s="119">
        <v>82</v>
      </c>
      <c r="U426" s="120">
        <v>120</v>
      </c>
      <c r="V426" s="120">
        <v>34</v>
      </c>
      <c r="W426" s="303" t="s">
        <v>2871</v>
      </c>
      <c r="X426" s="303" t="s">
        <v>2663</v>
      </c>
      <c r="Y426" s="121">
        <v>236</v>
      </c>
      <c r="Z426" s="119">
        <v>100</v>
      </c>
      <c r="AA426" s="120">
        <v>111</v>
      </c>
      <c r="AB426" s="120">
        <v>53</v>
      </c>
      <c r="AC426" s="64" t="s">
        <v>2866</v>
      </c>
      <c r="AD426" s="303" t="s">
        <v>2663</v>
      </c>
      <c r="AE426" s="121">
        <v>264</v>
      </c>
      <c r="AF426" s="333">
        <f t="shared" si="8"/>
        <v>500</v>
      </c>
      <c r="AG426" s="162"/>
      <c r="AH426" s="383"/>
    </row>
    <row r="427" spans="1:34" s="18" customFormat="1" ht="28.8" hidden="1">
      <c r="A427" s="301">
        <v>3091</v>
      </c>
      <c r="B427" s="54" t="s">
        <v>2663</v>
      </c>
      <c r="C427" s="54" t="s">
        <v>2663</v>
      </c>
      <c r="D427" s="54" t="s">
        <v>2872</v>
      </c>
      <c r="E427" s="301">
        <v>3</v>
      </c>
      <c r="F427" s="334">
        <v>3</v>
      </c>
      <c r="G427" s="56">
        <v>91</v>
      </c>
      <c r="H427" s="111" t="s">
        <v>2331</v>
      </c>
      <c r="I427" s="116" t="s">
        <v>2331</v>
      </c>
      <c r="J427" s="113">
        <v>10500100165101</v>
      </c>
      <c r="K427" s="114" t="s">
        <v>89</v>
      </c>
      <c r="L427" s="115"/>
      <c r="M427" s="114">
        <v>8</v>
      </c>
      <c r="N427" s="116" t="s">
        <v>2332</v>
      </c>
      <c r="O427" s="117" t="s">
        <v>2333</v>
      </c>
      <c r="P427" s="116">
        <v>2540988</v>
      </c>
      <c r="Q427" s="117" t="s">
        <v>2334</v>
      </c>
      <c r="R427" s="117" t="s">
        <v>2335</v>
      </c>
      <c r="S427" s="118" t="s">
        <v>2336</v>
      </c>
      <c r="T427" s="119">
        <v>200</v>
      </c>
      <c r="U427" s="120">
        <v>190</v>
      </c>
      <c r="V427" s="120">
        <v>10</v>
      </c>
      <c r="W427" s="303" t="s">
        <v>2871</v>
      </c>
      <c r="X427" s="303" t="s">
        <v>2663</v>
      </c>
      <c r="Y427" s="121">
        <v>400</v>
      </c>
      <c r="Z427" s="119">
        <v>0</v>
      </c>
      <c r="AA427" s="120">
        <v>52</v>
      </c>
      <c r="AB427" s="120">
        <v>98</v>
      </c>
      <c r="AC427" s="64" t="s">
        <v>2866</v>
      </c>
      <c r="AD427" s="303" t="s">
        <v>2663</v>
      </c>
      <c r="AE427" s="121">
        <v>150</v>
      </c>
      <c r="AF427" s="333">
        <f t="shared" si="8"/>
        <v>550</v>
      </c>
      <c r="AG427" s="162"/>
      <c r="AH427" s="383"/>
    </row>
    <row r="428" spans="1:34" s="18" customFormat="1" hidden="1">
      <c r="A428" s="301">
        <v>3092</v>
      </c>
      <c r="B428" s="54" t="s">
        <v>2663</v>
      </c>
      <c r="C428" s="54" t="s">
        <v>2663</v>
      </c>
      <c r="D428" s="54" t="s">
        <v>2871</v>
      </c>
      <c r="E428" s="301">
        <v>3</v>
      </c>
      <c r="F428" s="334">
        <v>3</v>
      </c>
      <c r="G428" s="56">
        <v>92</v>
      </c>
      <c r="H428" s="111" t="s">
        <v>2337</v>
      </c>
      <c r="I428" s="116" t="s">
        <v>2337</v>
      </c>
      <c r="J428" s="113">
        <v>10500100278001</v>
      </c>
      <c r="K428" s="114" t="s">
        <v>89</v>
      </c>
      <c r="L428" s="115"/>
      <c r="M428" s="114">
        <v>8</v>
      </c>
      <c r="N428" s="116" t="s">
        <v>808</v>
      </c>
      <c r="O428" s="117" t="s">
        <v>2338</v>
      </c>
      <c r="P428" s="116">
        <v>2690520</v>
      </c>
      <c r="Q428" s="117" t="s">
        <v>2339</v>
      </c>
      <c r="R428" s="117" t="s">
        <v>2340</v>
      </c>
      <c r="S428" s="118" t="s">
        <v>2341</v>
      </c>
      <c r="T428" s="119">
        <v>329</v>
      </c>
      <c r="U428" s="120">
        <v>246</v>
      </c>
      <c r="V428" s="120">
        <v>53</v>
      </c>
      <c r="W428" s="303" t="s">
        <v>2871</v>
      </c>
      <c r="X428" s="303" t="s">
        <v>2663</v>
      </c>
      <c r="Y428" s="121">
        <v>628</v>
      </c>
      <c r="Z428" s="119">
        <v>0</v>
      </c>
      <c r="AA428" s="120">
        <v>0</v>
      </c>
      <c r="AB428" s="120">
        <v>0</v>
      </c>
      <c r="AC428" s="64"/>
      <c r="AD428" s="303"/>
      <c r="AE428" s="121">
        <v>0</v>
      </c>
      <c r="AF428" s="333">
        <f t="shared" si="8"/>
        <v>628</v>
      </c>
      <c r="AG428" s="162"/>
      <c r="AH428" s="383"/>
    </row>
    <row r="429" spans="1:34" s="18" customFormat="1" ht="28.8" hidden="1">
      <c r="A429" s="301">
        <v>3093</v>
      </c>
      <c r="B429" s="54" t="s">
        <v>2663</v>
      </c>
      <c r="C429" s="54" t="s">
        <v>2663</v>
      </c>
      <c r="D429" s="54" t="s">
        <v>2872</v>
      </c>
      <c r="E429" s="301">
        <v>3</v>
      </c>
      <c r="F429" s="334">
        <v>3</v>
      </c>
      <c r="G429" s="56">
        <v>93</v>
      </c>
      <c r="H429" s="111" t="s">
        <v>2342</v>
      </c>
      <c r="I429" s="116" t="s">
        <v>2342</v>
      </c>
      <c r="J429" s="113">
        <v>10500100541001</v>
      </c>
      <c r="K429" s="114" t="s">
        <v>89</v>
      </c>
      <c r="L429" s="115"/>
      <c r="M429" s="114">
        <v>8</v>
      </c>
      <c r="N429" s="116" t="s">
        <v>2322</v>
      </c>
      <c r="O429" s="117" t="s">
        <v>2343</v>
      </c>
      <c r="P429" s="116" t="s">
        <v>2344</v>
      </c>
      <c r="Q429" s="117" t="s">
        <v>2345</v>
      </c>
      <c r="R429" s="117" t="s">
        <v>2346</v>
      </c>
      <c r="S429" s="118" t="s">
        <v>2347</v>
      </c>
      <c r="T429" s="119">
        <v>221</v>
      </c>
      <c r="U429" s="120">
        <v>170</v>
      </c>
      <c r="V429" s="120">
        <v>29</v>
      </c>
      <c r="W429" s="303" t="s">
        <v>2871</v>
      </c>
      <c r="X429" s="303" t="s">
        <v>2663</v>
      </c>
      <c r="Y429" s="121">
        <v>420</v>
      </c>
      <c r="Z429" s="119">
        <v>0</v>
      </c>
      <c r="AA429" s="120">
        <v>56</v>
      </c>
      <c r="AB429" s="120">
        <v>64</v>
      </c>
      <c r="AC429" s="64" t="s">
        <v>2866</v>
      </c>
      <c r="AD429" s="303" t="s">
        <v>2663</v>
      </c>
      <c r="AE429" s="121">
        <v>120</v>
      </c>
      <c r="AF429" s="333">
        <f t="shared" si="8"/>
        <v>540</v>
      </c>
      <c r="AG429" s="162"/>
      <c r="AH429" s="383"/>
    </row>
    <row r="430" spans="1:34" s="18" customFormat="1" hidden="1">
      <c r="A430" s="301">
        <v>3094</v>
      </c>
      <c r="B430" s="54" t="s">
        <v>2663</v>
      </c>
      <c r="C430" s="54" t="s">
        <v>2663</v>
      </c>
      <c r="D430" s="54" t="s">
        <v>2871</v>
      </c>
      <c r="E430" s="301">
        <v>3</v>
      </c>
      <c r="F430" s="334">
        <v>3</v>
      </c>
      <c r="G430" s="56">
        <v>94</v>
      </c>
      <c r="H430" s="111" t="s">
        <v>2348</v>
      </c>
      <c r="I430" s="116" t="s">
        <v>2348</v>
      </c>
      <c r="J430" s="113">
        <v>10500100541002</v>
      </c>
      <c r="K430" s="114" t="s">
        <v>89</v>
      </c>
      <c r="L430" s="115"/>
      <c r="M430" s="114">
        <v>8</v>
      </c>
      <c r="N430" s="116" t="s">
        <v>2322</v>
      </c>
      <c r="O430" s="117" t="s">
        <v>2349</v>
      </c>
      <c r="P430" s="116">
        <v>2546018</v>
      </c>
      <c r="Q430" s="117" t="s">
        <v>2345</v>
      </c>
      <c r="R430" s="117" t="s">
        <v>2350</v>
      </c>
      <c r="S430" s="118" t="s">
        <v>2351</v>
      </c>
      <c r="T430" s="119">
        <v>0</v>
      </c>
      <c r="U430" s="120">
        <v>230</v>
      </c>
      <c r="V430" s="120">
        <v>0</v>
      </c>
      <c r="W430" s="303" t="s">
        <v>2871</v>
      </c>
      <c r="X430" s="303" t="s">
        <v>2663</v>
      </c>
      <c r="Y430" s="121">
        <v>230</v>
      </c>
      <c r="Z430" s="119">
        <v>0</v>
      </c>
      <c r="AA430" s="120">
        <v>0</v>
      </c>
      <c r="AB430" s="120">
        <v>0</v>
      </c>
      <c r="AC430" s="64"/>
      <c r="AD430" s="303"/>
      <c r="AE430" s="121">
        <v>0</v>
      </c>
      <c r="AF430" s="333">
        <f t="shared" si="8"/>
        <v>230</v>
      </c>
      <c r="AG430" s="162"/>
      <c r="AH430" s="383"/>
    </row>
    <row r="431" spans="1:34" s="18" customFormat="1" hidden="1">
      <c r="A431" s="301">
        <v>3095</v>
      </c>
      <c r="B431" s="54" t="s">
        <v>2663</v>
      </c>
      <c r="C431" s="54" t="s">
        <v>2663</v>
      </c>
      <c r="D431" s="54" t="s">
        <v>2871</v>
      </c>
      <c r="E431" s="301">
        <v>3</v>
      </c>
      <c r="F431" s="334">
        <v>3</v>
      </c>
      <c r="G431" s="56">
        <v>95</v>
      </c>
      <c r="H431" s="111" t="s">
        <v>2352</v>
      </c>
      <c r="I431" s="116" t="s">
        <v>2352</v>
      </c>
      <c r="J431" s="113">
        <v>10500102577103</v>
      </c>
      <c r="K431" s="114" t="s">
        <v>89</v>
      </c>
      <c r="L431" s="115"/>
      <c r="M431" s="114">
        <v>8</v>
      </c>
      <c r="N431" s="116" t="s">
        <v>819</v>
      </c>
      <c r="O431" s="117" t="s">
        <v>2353</v>
      </c>
      <c r="P431" s="116">
        <v>2545311</v>
      </c>
      <c r="Q431" s="117" t="s">
        <v>821</v>
      </c>
      <c r="R431" s="117" t="s">
        <v>2354</v>
      </c>
      <c r="S431" s="118" t="s">
        <v>2355</v>
      </c>
      <c r="T431" s="119">
        <v>185</v>
      </c>
      <c r="U431" s="120">
        <v>120</v>
      </c>
      <c r="V431" s="120">
        <v>0</v>
      </c>
      <c r="W431" s="303" t="s">
        <v>2871</v>
      </c>
      <c r="X431" s="303" t="s">
        <v>2663</v>
      </c>
      <c r="Y431" s="121">
        <v>305</v>
      </c>
      <c r="Z431" s="119">
        <v>0</v>
      </c>
      <c r="AA431" s="120">
        <v>0</v>
      </c>
      <c r="AB431" s="120">
        <v>0</v>
      </c>
      <c r="AC431" s="64"/>
      <c r="AD431" s="303"/>
      <c r="AE431" s="121">
        <v>0</v>
      </c>
      <c r="AF431" s="333">
        <f t="shared" si="8"/>
        <v>305</v>
      </c>
      <c r="AG431" s="162"/>
      <c r="AH431" s="383"/>
    </row>
    <row r="432" spans="1:34" s="18" customFormat="1" hidden="1">
      <c r="A432" s="301">
        <v>3096</v>
      </c>
      <c r="B432" s="54" t="s">
        <v>2663</v>
      </c>
      <c r="C432" s="54" t="s">
        <v>2663</v>
      </c>
      <c r="D432" s="54" t="s">
        <v>2871</v>
      </c>
      <c r="E432" s="301">
        <v>3</v>
      </c>
      <c r="F432" s="334">
        <v>3</v>
      </c>
      <c r="G432" s="56">
        <v>96</v>
      </c>
      <c r="H432" s="111" t="s">
        <v>2356</v>
      </c>
      <c r="I432" s="116" t="s">
        <v>2356</v>
      </c>
      <c r="J432" s="113">
        <v>30500101969002</v>
      </c>
      <c r="K432" s="114" t="s">
        <v>89</v>
      </c>
      <c r="L432" s="115"/>
      <c r="M432" s="114">
        <v>8</v>
      </c>
      <c r="N432" s="116" t="s">
        <v>1492</v>
      </c>
      <c r="O432" s="117" t="s">
        <v>2357</v>
      </c>
      <c r="P432" s="116">
        <v>2261590</v>
      </c>
      <c r="Q432" s="117" t="s">
        <v>2358</v>
      </c>
      <c r="R432" s="117" t="s">
        <v>2359</v>
      </c>
      <c r="S432" s="118" t="s">
        <v>916</v>
      </c>
      <c r="T432" s="119">
        <v>190</v>
      </c>
      <c r="U432" s="120">
        <v>70</v>
      </c>
      <c r="V432" s="120">
        <v>0</v>
      </c>
      <c r="W432" s="303" t="s">
        <v>2871</v>
      </c>
      <c r="X432" s="303" t="s">
        <v>2663</v>
      </c>
      <c r="Y432" s="121">
        <v>260</v>
      </c>
      <c r="Z432" s="119">
        <v>0</v>
      </c>
      <c r="AA432" s="120">
        <v>0</v>
      </c>
      <c r="AB432" s="120">
        <v>0</v>
      </c>
      <c r="AC432" s="64"/>
      <c r="AD432" s="303"/>
      <c r="AE432" s="121">
        <v>0</v>
      </c>
      <c r="AF432" s="333">
        <f t="shared" si="8"/>
        <v>260</v>
      </c>
      <c r="AG432" s="161"/>
      <c r="AH432" s="383"/>
    </row>
    <row r="433" spans="1:34" s="18" customFormat="1" ht="28.8" hidden="1">
      <c r="A433" s="301">
        <v>3097</v>
      </c>
      <c r="B433" s="54" t="s">
        <v>2663</v>
      </c>
      <c r="C433" s="54" t="s">
        <v>2663</v>
      </c>
      <c r="D433" s="54" t="s">
        <v>2872</v>
      </c>
      <c r="E433" s="301">
        <v>3</v>
      </c>
      <c r="F433" s="334">
        <v>3</v>
      </c>
      <c r="G433" s="56">
        <v>97</v>
      </c>
      <c r="H433" s="111" t="s">
        <v>2360</v>
      </c>
      <c r="I433" s="116" t="s">
        <v>2360</v>
      </c>
      <c r="J433" s="113">
        <v>10500101107001</v>
      </c>
      <c r="K433" s="114" t="s">
        <v>89</v>
      </c>
      <c r="L433" s="115"/>
      <c r="M433" s="114">
        <v>9</v>
      </c>
      <c r="N433" s="116" t="s">
        <v>825</v>
      </c>
      <c r="O433" s="117" t="s">
        <v>2361</v>
      </c>
      <c r="P433" s="116">
        <v>2692880</v>
      </c>
      <c r="Q433" s="117" t="s">
        <v>827</v>
      </c>
      <c r="R433" s="117" t="s">
        <v>2362</v>
      </c>
      <c r="S433" s="118" t="s">
        <v>2363</v>
      </c>
      <c r="T433" s="119">
        <v>88</v>
      </c>
      <c r="U433" s="120">
        <v>212</v>
      </c>
      <c r="V433" s="120">
        <v>90</v>
      </c>
      <c r="W433" s="303" t="s">
        <v>2871</v>
      </c>
      <c r="X433" s="303" t="s">
        <v>2663</v>
      </c>
      <c r="Y433" s="121">
        <v>390</v>
      </c>
      <c r="Z433" s="119">
        <v>76</v>
      </c>
      <c r="AA433" s="120">
        <v>324</v>
      </c>
      <c r="AB433" s="120">
        <v>130</v>
      </c>
      <c r="AC433" s="64" t="s">
        <v>2866</v>
      </c>
      <c r="AD433" s="303" t="s">
        <v>2663</v>
      </c>
      <c r="AE433" s="121">
        <v>530</v>
      </c>
      <c r="AF433" s="122">
        <f t="shared" si="8"/>
        <v>920</v>
      </c>
      <c r="AG433" s="336"/>
      <c r="AH433" s="383"/>
    </row>
    <row r="434" spans="1:34" s="18" customFormat="1" hidden="1">
      <c r="A434" s="301">
        <v>3098</v>
      </c>
      <c r="B434" s="54" t="s">
        <v>2663</v>
      </c>
      <c r="C434" s="54" t="s">
        <v>2663</v>
      </c>
      <c r="D434" s="54" t="s">
        <v>2871</v>
      </c>
      <c r="E434" s="301">
        <v>3</v>
      </c>
      <c r="F434" s="334">
        <v>3</v>
      </c>
      <c r="G434" s="56">
        <v>98</v>
      </c>
      <c r="H434" s="111" t="s">
        <v>2364</v>
      </c>
      <c r="I434" s="116" t="s">
        <v>2364</v>
      </c>
      <c r="J434" s="113">
        <v>10500101107003</v>
      </c>
      <c r="K434" s="114" t="s">
        <v>89</v>
      </c>
      <c r="L434" s="115"/>
      <c r="M434" s="114">
        <v>9</v>
      </c>
      <c r="N434" s="116" t="s">
        <v>2365</v>
      </c>
      <c r="O434" s="117" t="s">
        <v>2366</v>
      </c>
      <c r="P434" s="116">
        <v>2167445</v>
      </c>
      <c r="Q434" s="117" t="s">
        <v>827</v>
      </c>
      <c r="R434" s="117" t="s">
        <v>2367</v>
      </c>
      <c r="S434" s="118" t="s">
        <v>2368</v>
      </c>
      <c r="T434" s="119">
        <v>94</v>
      </c>
      <c r="U434" s="120">
        <v>72</v>
      </c>
      <c r="V434" s="120">
        <v>0</v>
      </c>
      <c r="W434" s="303" t="s">
        <v>2871</v>
      </c>
      <c r="X434" s="303" t="s">
        <v>2663</v>
      </c>
      <c r="Y434" s="121">
        <v>166</v>
      </c>
      <c r="Z434" s="119">
        <v>0</v>
      </c>
      <c r="AA434" s="120">
        <v>0</v>
      </c>
      <c r="AB434" s="120">
        <v>0</v>
      </c>
      <c r="AC434" s="64"/>
      <c r="AD434" s="303"/>
      <c r="AE434" s="121">
        <v>0</v>
      </c>
      <c r="AF434" s="122">
        <f t="shared" si="8"/>
        <v>166</v>
      </c>
      <c r="AG434" s="337"/>
      <c r="AH434" s="383"/>
    </row>
    <row r="435" spans="1:34" s="18" customFormat="1" hidden="1">
      <c r="A435" s="301">
        <v>3099</v>
      </c>
      <c r="B435" s="54" t="s">
        <v>2663</v>
      </c>
      <c r="C435" s="54" t="s">
        <v>2663</v>
      </c>
      <c r="D435" s="54" t="s">
        <v>2871</v>
      </c>
      <c r="E435" s="301">
        <v>3</v>
      </c>
      <c r="F435" s="334">
        <v>3</v>
      </c>
      <c r="G435" s="56">
        <v>99</v>
      </c>
      <c r="H435" s="111" t="s">
        <v>2369</v>
      </c>
      <c r="I435" s="116" t="s">
        <v>2369</v>
      </c>
      <c r="J435" s="113">
        <v>10500101107004</v>
      </c>
      <c r="K435" s="114" t="s">
        <v>89</v>
      </c>
      <c r="L435" s="115"/>
      <c r="M435" s="114">
        <v>9</v>
      </c>
      <c r="N435" s="116" t="s">
        <v>857</v>
      </c>
      <c r="O435" s="117" t="s">
        <v>2370</v>
      </c>
      <c r="P435" s="116">
        <v>2936127</v>
      </c>
      <c r="Q435" s="117" t="s">
        <v>827</v>
      </c>
      <c r="R435" s="117" t="s">
        <v>2367</v>
      </c>
      <c r="S435" s="118" t="s">
        <v>2368</v>
      </c>
      <c r="T435" s="119">
        <v>75</v>
      </c>
      <c r="U435" s="120">
        <v>70</v>
      </c>
      <c r="V435" s="120">
        <v>0</v>
      </c>
      <c r="W435" s="303" t="s">
        <v>2871</v>
      </c>
      <c r="X435" s="303" t="s">
        <v>2663</v>
      </c>
      <c r="Y435" s="121">
        <v>145</v>
      </c>
      <c r="Z435" s="119">
        <v>0</v>
      </c>
      <c r="AA435" s="120">
        <v>0</v>
      </c>
      <c r="AB435" s="120">
        <v>0</v>
      </c>
      <c r="AC435" s="64"/>
      <c r="AD435" s="303"/>
      <c r="AE435" s="121">
        <v>0</v>
      </c>
      <c r="AF435" s="122">
        <f t="shared" si="8"/>
        <v>145</v>
      </c>
      <c r="AG435" s="337"/>
      <c r="AH435" s="383"/>
    </row>
    <row r="436" spans="1:34" s="18" customFormat="1" ht="28.8" hidden="1">
      <c r="A436" s="301">
        <v>3100</v>
      </c>
      <c r="B436" s="54" t="s">
        <v>2663</v>
      </c>
      <c r="C436" s="54" t="s">
        <v>2663</v>
      </c>
      <c r="D436" s="54" t="s">
        <v>2872</v>
      </c>
      <c r="E436" s="301">
        <v>3</v>
      </c>
      <c r="F436" s="334">
        <v>3</v>
      </c>
      <c r="G436" s="56">
        <v>100</v>
      </c>
      <c r="H436" s="111" t="s">
        <v>2371</v>
      </c>
      <c r="I436" s="116" t="s">
        <v>2371</v>
      </c>
      <c r="J436" s="113">
        <v>10500101085501</v>
      </c>
      <c r="K436" s="114" t="s">
        <v>89</v>
      </c>
      <c r="L436" s="115"/>
      <c r="M436" s="114">
        <v>9</v>
      </c>
      <c r="N436" s="116" t="s">
        <v>851</v>
      </c>
      <c r="O436" s="117" t="s">
        <v>2372</v>
      </c>
      <c r="P436" s="116">
        <v>2178032</v>
      </c>
      <c r="Q436" s="117" t="s">
        <v>1544</v>
      </c>
      <c r="R436" s="117" t="s">
        <v>2373</v>
      </c>
      <c r="S436" s="118" t="s">
        <v>2374</v>
      </c>
      <c r="T436" s="119">
        <v>0</v>
      </c>
      <c r="U436" s="120">
        <v>121</v>
      </c>
      <c r="V436" s="120">
        <v>69</v>
      </c>
      <c r="W436" s="303" t="s">
        <v>2871</v>
      </c>
      <c r="X436" s="303" t="s">
        <v>2663</v>
      </c>
      <c r="Y436" s="121">
        <v>190</v>
      </c>
      <c r="Z436" s="119">
        <v>0</v>
      </c>
      <c r="AA436" s="120">
        <v>98</v>
      </c>
      <c r="AB436" s="120">
        <v>72</v>
      </c>
      <c r="AC436" s="64" t="s">
        <v>2866</v>
      </c>
      <c r="AD436" s="303" t="s">
        <v>2663</v>
      </c>
      <c r="AE436" s="121">
        <v>170</v>
      </c>
      <c r="AF436" s="122">
        <f t="shared" si="8"/>
        <v>360</v>
      </c>
      <c r="AG436" s="337"/>
      <c r="AH436" s="383"/>
    </row>
    <row r="437" spans="1:34" s="18" customFormat="1" hidden="1">
      <c r="A437" s="301">
        <v>3101</v>
      </c>
      <c r="B437" s="54" t="s">
        <v>2663</v>
      </c>
      <c r="C437" s="54" t="s">
        <v>2663</v>
      </c>
      <c r="D437" s="54" t="s">
        <v>2871</v>
      </c>
      <c r="E437" s="301">
        <v>3</v>
      </c>
      <c r="F437" s="334">
        <v>3</v>
      </c>
      <c r="G437" s="56">
        <v>101</v>
      </c>
      <c r="H437" s="111" t="s">
        <v>2375</v>
      </c>
      <c r="I437" s="116" t="s">
        <v>2375</v>
      </c>
      <c r="J437" s="113">
        <v>10500100838902</v>
      </c>
      <c r="K437" s="114" t="s">
        <v>89</v>
      </c>
      <c r="L437" s="115"/>
      <c r="M437" s="114">
        <v>9</v>
      </c>
      <c r="N437" s="116" t="s">
        <v>1547</v>
      </c>
      <c r="O437" s="117" t="s">
        <v>2376</v>
      </c>
      <c r="P437" s="116" t="s">
        <v>2377</v>
      </c>
      <c r="Q437" s="117" t="s">
        <v>2378</v>
      </c>
      <c r="R437" s="117" t="s">
        <v>1551</v>
      </c>
      <c r="S437" s="118" t="s">
        <v>2379</v>
      </c>
      <c r="T437" s="119">
        <v>245</v>
      </c>
      <c r="U437" s="120">
        <v>0</v>
      </c>
      <c r="V437" s="120">
        <v>0</v>
      </c>
      <c r="W437" s="303" t="s">
        <v>2871</v>
      </c>
      <c r="X437" s="303" t="s">
        <v>2663</v>
      </c>
      <c r="Y437" s="121">
        <v>245</v>
      </c>
      <c r="Z437" s="119">
        <v>0</v>
      </c>
      <c r="AA437" s="120">
        <v>0</v>
      </c>
      <c r="AB437" s="120">
        <v>0</v>
      </c>
      <c r="AC437" s="64"/>
      <c r="AD437" s="303"/>
      <c r="AE437" s="121">
        <v>0</v>
      </c>
      <c r="AF437" s="122">
        <f t="shared" si="8"/>
        <v>245</v>
      </c>
      <c r="AG437" s="337"/>
      <c r="AH437" s="383"/>
    </row>
    <row r="438" spans="1:34" s="18" customFormat="1" ht="28.8" hidden="1">
      <c r="A438" s="301">
        <v>3102</v>
      </c>
      <c r="B438" s="54" t="s">
        <v>2663</v>
      </c>
      <c r="C438" s="54" t="s">
        <v>2663</v>
      </c>
      <c r="D438" s="54" t="s">
        <v>2872</v>
      </c>
      <c r="E438" s="301">
        <v>3</v>
      </c>
      <c r="F438" s="334">
        <v>3</v>
      </c>
      <c r="G438" s="56">
        <v>102</v>
      </c>
      <c r="H438" s="111" t="s">
        <v>2380</v>
      </c>
      <c r="I438" s="116" t="s">
        <v>2380</v>
      </c>
      <c r="J438" s="113">
        <v>10500101163102</v>
      </c>
      <c r="K438" s="114" t="s">
        <v>89</v>
      </c>
      <c r="L438" s="115"/>
      <c r="M438" s="114">
        <v>9</v>
      </c>
      <c r="N438" s="116" t="s">
        <v>2381</v>
      </c>
      <c r="O438" s="117" t="s">
        <v>2382</v>
      </c>
      <c r="P438" s="116" t="s">
        <v>2383</v>
      </c>
      <c r="Q438" s="117" t="s">
        <v>2384</v>
      </c>
      <c r="R438" s="117" t="s">
        <v>2385</v>
      </c>
      <c r="S438" s="118" t="s">
        <v>2386</v>
      </c>
      <c r="T438" s="119">
        <v>95</v>
      </c>
      <c r="U438" s="120">
        <v>106</v>
      </c>
      <c r="V438" s="120">
        <v>0</v>
      </c>
      <c r="W438" s="303" t="s">
        <v>2871</v>
      </c>
      <c r="X438" s="303" t="s">
        <v>2663</v>
      </c>
      <c r="Y438" s="121">
        <v>201</v>
      </c>
      <c r="Z438" s="119">
        <v>113</v>
      </c>
      <c r="AA438" s="120">
        <v>17</v>
      </c>
      <c r="AB438" s="120">
        <v>0</v>
      </c>
      <c r="AC438" s="64" t="s">
        <v>2866</v>
      </c>
      <c r="AD438" s="303" t="s">
        <v>2663</v>
      </c>
      <c r="AE438" s="121">
        <v>130</v>
      </c>
      <c r="AF438" s="122">
        <f t="shared" si="8"/>
        <v>331</v>
      </c>
      <c r="AG438" s="337"/>
      <c r="AH438" s="383"/>
    </row>
    <row r="439" spans="1:34" s="18" customFormat="1" ht="28.8" hidden="1">
      <c r="A439" s="301">
        <v>3103</v>
      </c>
      <c r="B439" s="54" t="s">
        <v>2663</v>
      </c>
      <c r="C439" s="54" t="s">
        <v>2663</v>
      </c>
      <c r="D439" s="54" t="s">
        <v>2872</v>
      </c>
      <c r="E439" s="301">
        <v>3</v>
      </c>
      <c r="F439" s="334">
        <v>3</v>
      </c>
      <c r="G439" s="56">
        <v>103</v>
      </c>
      <c r="H439" s="111" t="s">
        <v>2387</v>
      </c>
      <c r="I439" s="116" t="s">
        <v>2387</v>
      </c>
      <c r="J439" s="113">
        <v>30500101883901</v>
      </c>
      <c r="K439" s="114" t="s">
        <v>89</v>
      </c>
      <c r="L439" s="115"/>
      <c r="M439" s="114">
        <v>9</v>
      </c>
      <c r="N439" s="116" t="s">
        <v>2388</v>
      </c>
      <c r="O439" s="117" t="s">
        <v>2389</v>
      </c>
      <c r="P439" s="116">
        <v>2690627</v>
      </c>
      <c r="Q439" s="117" t="s">
        <v>2390</v>
      </c>
      <c r="R439" s="117" t="s">
        <v>2391</v>
      </c>
      <c r="S439" s="118" t="s">
        <v>2392</v>
      </c>
      <c r="T439" s="119">
        <v>117</v>
      </c>
      <c r="U439" s="120">
        <v>38</v>
      </c>
      <c r="V439" s="120">
        <v>0</v>
      </c>
      <c r="W439" s="303" t="s">
        <v>2871</v>
      </c>
      <c r="X439" s="303" t="s">
        <v>2663</v>
      </c>
      <c r="Y439" s="121">
        <v>155</v>
      </c>
      <c r="Z439" s="119">
        <v>0</v>
      </c>
      <c r="AA439" s="120">
        <v>99</v>
      </c>
      <c r="AB439" s="120">
        <v>89</v>
      </c>
      <c r="AC439" s="64" t="s">
        <v>2866</v>
      </c>
      <c r="AD439" s="303" t="s">
        <v>2663</v>
      </c>
      <c r="AE439" s="121">
        <v>188</v>
      </c>
      <c r="AF439" s="122">
        <f t="shared" si="8"/>
        <v>343</v>
      </c>
      <c r="AG439" s="337"/>
      <c r="AH439" s="383"/>
    </row>
    <row r="440" spans="1:34" s="18" customFormat="1" ht="28.8" hidden="1">
      <c r="A440" s="301">
        <v>3104</v>
      </c>
      <c r="B440" s="54" t="s">
        <v>2663</v>
      </c>
      <c r="C440" s="54" t="s">
        <v>2663</v>
      </c>
      <c r="D440" s="54" t="s">
        <v>2872</v>
      </c>
      <c r="E440" s="301">
        <v>3</v>
      </c>
      <c r="F440" s="334">
        <v>3</v>
      </c>
      <c r="G440" s="56">
        <v>104</v>
      </c>
      <c r="H440" s="111" t="s">
        <v>2393</v>
      </c>
      <c r="I440" s="116" t="s">
        <v>2393</v>
      </c>
      <c r="J440" s="113">
        <v>10500100131701</v>
      </c>
      <c r="K440" s="114" t="s">
        <v>89</v>
      </c>
      <c r="L440" s="115"/>
      <c r="M440" s="114">
        <v>9</v>
      </c>
      <c r="N440" s="116" t="s">
        <v>857</v>
      </c>
      <c r="O440" s="117" t="s">
        <v>2394</v>
      </c>
      <c r="P440" s="116" t="s">
        <v>2395</v>
      </c>
      <c r="Q440" s="117" t="s">
        <v>2396</v>
      </c>
      <c r="R440" s="117" t="s">
        <v>2397</v>
      </c>
      <c r="S440" s="118" t="s">
        <v>2398</v>
      </c>
      <c r="T440" s="119">
        <v>70</v>
      </c>
      <c r="U440" s="120">
        <v>73</v>
      </c>
      <c r="V440" s="120">
        <v>39</v>
      </c>
      <c r="W440" s="303" t="s">
        <v>2871</v>
      </c>
      <c r="X440" s="303" t="s">
        <v>2663</v>
      </c>
      <c r="Y440" s="121">
        <v>182</v>
      </c>
      <c r="Z440" s="119">
        <v>29</v>
      </c>
      <c r="AA440" s="120">
        <v>65</v>
      </c>
      <c r="AB440" s="120">
        <v>21</v>
      </c>
      <c r="AC440" s="64" t="s">
        <v>2866</v>
      </c>
      <c r="AD440" s="303" t="s">
        <v>2663</v>
      </c>
      <c r="AE440" s="121">
        <v>115</v>
      </c>
      <c r="AF440" s="122">
        <f t="shared" si="8"/>
        <v>297</v>
      </c>
      <c r="AG440" s="337"/>
      <c r="AH440" s="383"/>
    </row>
    <row r="441" spans="1:34" s="18" customFormat="1" hidden="1">
      <c r="A441" s="301">
        <v>3105</v>
      </c>
      <c r="B441" s="54" t="s">
        <v>2663</v>
      </c>
      <c r="C441" s="54" t="s">
        <v>2663</v>
      </c>
      <c r="D441" s="54" t="s">
        <v>2871</v>
      </c>
      <c r="E441" s="301">
        <v>3</v>
      </c>
      <c r="F441" s="334">
        <v>3</v>
      </c>
      <c r="G441" s="56">
        <v>105</v>
      </c>
      <c r="H441" s="111" t="s">
        <v>2399</v>
      </c>
      <c r="I441" s="116" t="s">
        <v>2399</v>
      </c>
      <c r="J441" s="113">
        <v>30500100454401</v>
      </c>
      <c r="K441" s="114" t="s">
        <v>167</v>
      </c>
      <c r="L441" s="115"/>
      <c r="M441" s="114">
        <v>9</v>
      </c>
      <c r="N441" s="116" t="s">
        <v>851</v>
      </c>
      <c r="O441" s="117" t="s">
        <v>2400</v>
      </c>
      <c r="P441" s="116">
        <v>2162583</v>
      </c>
      <c r="Q441" s="117" t="s">
        <v>2401</v>
      </c>
      <c r="R441" s="117" t="s">
        <v>2401</v>
      </c>
      <c r="S441" s="118" t="s">
        <v>2402</v>
      </c>
      <c r="T441" s="119">
        <v>18</v>
      </c>
      <c r="U441" s="120">
        <v>142</v>
      </c>
      <c r="V441" s="120">
        <v>69</v>
      </c>
      <c r="W441" s="303" t="s">
        <v>2871</v>
      </c>
      <c r="X441" s="303" t="s">
        <v>2663</v>
      </c>
      <c r="Y441" s="121">
        <v>229</v>
      </c>
      <c r="Z441" s="119">
        <v>0</v>
      </c>
      <c r="AA441" s="120">
        <v>0</v>
      </c>
      <c r="AB441" s="120">
        <v>0</v>
      </c>
      <c r="AC441" s="64"/>
      <c r="AD441" s="303"/>
      <c r="AE441" s="121">
        <v>0</v>
      </c>
      <c r="AF441" s="122">
        <f t="shared" si="8"/>
        <v>229</v>
      </c>
      <c r="AG441" s="163"/>
      <c r="AH441" s="383"/>
    </row>
    <row r="442" spans="1:34" s="18" customFormat="1" hidden="1">
      <c r="A442" s="301">
        <v>3106</v>
      </c>
      <c r="B442" s="54" t="s">
        <v>2663</v>
      </c>
      <c r="C442" s="54" t="s">
        <v>2663</v>
      </c>
      <c r="D442" s="54" t="s">
        <v>2871</v>
      </c>
      <c r="E442" s="301">
        <v>3</v>
      </c>
      <c r="F442" s="334">
        <v>4</v>
      </c>
      <c r="G442" s="56">
        <v>106</v>
      </c>
      <c r="H442" s="111" t="s">
        <v>917</v>
      </c>
      <c r="I442" s="112" t="s">
        <v>917</v>
      </c>
      <c r="J442" s="113">
        <v>10500100211904</v>
      </c>
      <c r="K442" s="114" t="s">
        <v>89</v>
      </c>
      <c r="L442" s="115"/>
      <c r="M442" s="114">
        <v>11</v>
      </c>
      <c r="N442" s="116" t="s">
        <v>918</v>
      </c>
      <c r="O442" s="117" t="s">
        <v>919</v>
      </c>
      <c r="P442" s="116">
        <v>2606802</v>
      </c>
      <c r="Q442" s="117" t="s">
        <v>920</v>
      </c>
      <c r="R442" s="117" t="s">
        <v>921</v>
      </c>
      <c r="S442" s="118" t="s">
        <v>922</v>
      </c>
      <c r="T442" s="119">
        <v>50</v>
      </c>
      <c r="U442" s="120">
        <v>50</v>
      </c>
      <c r="V442" s="120">
        <v>0</v>
      </c>
      <c r="W442" s="303" t="s">
        <v>2871</v>
      </c>
      <c r="X442" s="303" t="s">
        <v>2663</v>
      </c>
      <c r="Y442" s="121">
        <v>100</v>
      </c>
      <c r="Z442" s="119">
        <v>0</v>
      </c>
      <c r="AA442" s="120">
        <v>0</v>
      </c>
      <c r="AB442" s="120">
        <v>0</v>
      </c>
      <c r="AC442" s="64"/>
      <c r="AD442" s="303"/>
      <c r="AE442" s="121">
        <v>0</v>
      </c>
      <c r="AF442" s="122">
        <f t="shared" si="8"/>
        <v>100</v>
      </c>
      <c r="AG442" s="166"/>
      <c r="AH442" s="383"/>
    </row>
    <row r="443" spans="1:34" s="18" customFormat="1" hidden="1">
      <c r="A443" s="301">
        <v>3107</v>
      </c>
      <c r="B443" s="54" t="s">
        <v>2663</v>
      </c>
      <c r="C443" s="54" t="s">
        <v>2663</v>
      </c>
      <c r="D443" s="54" t="s">
        <v>2871</v>
      </c>
      <c r="E443" s="301">
        <v>3</v>
      </c>
      <c r="F443" s="334">
        <v>4</v>
      </c>
      <c r="G443" s="56">
        <v>107</v>
      </c>
      <c r="H443" s="111" t="s">
        <v>2403</v>
      </c>
      <c r="I443" s="112" t="s">
        <v>2403</v>
      </c>
      <c r="J443" s="113">
        <v>10500100279801</v>
      </c>
      <c r="K443" s="114" t="s">
        <v>89</v>
      </c>
      <c r="L443" s="115"/>
      <c r="M443" s="114">
        <v>11</v>
      </c>
      <c r="N443" s="116" t="s">
        <v>931</v>
      </c>
      <c r="O443" s="117" t="s">
        <v>2404</v>
      </c>
      <c r="P443" s="116">
        <v>4361257</v>
      </c>
      <c r="Q443" s="117" t="s">
        <v>2405</v>
      </c>
      <c r="R443" s="117" t="s">
        <v>2406</v>
      </c>
      <c r="S443" s="118" t="s">
        <v>2407</v>
      </c>
      <c r="T443" s="119">
        <v>35</v>
      </c>
      <c r="U443" s="120">
        <v>38</v>
      </c>
      <c r="V443" s="120">
        <v>27</v>
      </c>
      <c r="W443" s="303" t="s">
        <v>2871</v>
      </c>
      <c r="X443" s="303" t="s">
        <v>2663</v>
      </c>
      <c r="Y443" s="121">
        <v>100</v>
      </c>
      <c r="Z443" s="119">
        <v>0</v>
      </c>
      <c r="AA443" s="120">
        <v>0</v>
      </c>
      <c r="AB443" s="120">
        <v>0</v>
      </c>
      <c r="AC443" s="64"/>
      <c r="AD443" s="303"/>
      <c r="AE443" s="121">
        <v>0</v>
      </c>
      <c r="AF443" s="122">
        <f t="shared" si="8"/>
        <v>100</v>
      </c>
      <c r="AG443" s="166"/>
      <c r="AH443" s="383"/>
    </row>
    <row r="444" spans="1:34" s="18" customFormat="1" hidden="1">
      <c r="A444" s="301">
        <v>3108</v>
      </c>
      <c r="B444" s="54" t="s">
        <v>2663</v>
      </c>
      <c r="C444" s="54" t="s">
        <v>2663</v>
      </c>
      <c r="D444" s="54" t="s">
        <v>2871</v>
      </c>
      <c r="E444" s="301">
        <v>3</v>
      </c>
      <c r="F444" s="334">
        <v>4</v>
      </c>
      <c r="G444" s="56">
        <v>108</v>
      </c>
      <c r="H444" s="111" t="s">
        <v>2408</v>
      </c>
      <c r="I444" s="112" t="s">
        <v>2408</v>
      </c>
      <c r="J444" s="113">
        <v>10500100246102</v>
      </c>
      <c r="K444" s="114" t="s">
        <v>89</v>
      </c>
      <c r="L444" s="115"/>
      <c r="M444" s="114">
        <v>11</v>
      </c>
      <c r="N444" s="116" t="s">
        <v>2409</v>
      </c>
      <c r="O444" s="117" t="s">
        <v>2410</v>
      </c>
      <c r="P444" s="116">
        <v>4119222</v>
      </c>
      <c r="Q444" s="117" t="s">
        <v>2411</v>
      </c>
      <c r="R444" s="117" t="s">
        <v>2412</v>
      </c>
      <c r="S444" s="118" t="s">
        <v>2413</v>
      </c>
      <c r="T444" s="119">
        <v>55</v>
      </c>
      <c r="U444" s="120">
        <v>35</v>
      </c>
      <c r="V444" s="120">
        <v>0</v>
      </c>
      <c r="W444" s="303" t="s">
        <v>2871</v>
      </c>
      <c r="X444" s="303" t="s">
        <v>2663</v>
      </c>
      <c r="Y444" s="121">
        <v>90</v>
      </c>
      <c r="Z444" s="119">
        <v>0</v>
      </c>
      <c r="AA444" s="120">
        <v>0</v>
      </c>
      <c r="AB444" s="120">
        <v>0</v>
      </c>
      <c r="AC444" s="64"/>
      <c r="AD444" s="303"/>
      <c r="AE444" s="121">
        <v>0</v>
      </c>
      <c r="AF444" s="122">
        <f t="shared" si="8"/>
        <v>90</v>
      </c>
      <c r="AG444" s="166"/>
      <c r="AH444" s="383"/>
    </row>
    <row r="445" spans="1:34" s="18" customFormat="1" hidden="1">
      <c r="A445" s="301">
        <v>3109</v>
      </c>
      <c r="B445" s="54" t="s">
        <v>2663</v>
      </c>
      <c r="C445" s="54" t="s">
        <v>2663</v>
      </c>
      <c r="D445" s="54" t="s">
        <v>2871</v>
      </c>
      <c r="E445" s="301">
        <v>3</v>
      </c>
      <c r="F445" s="334">
        <v>4</v>
      </c>
      <c r="G445" s="56">
        <v>109</v>
      </c>
      <c r="H445" s="111" t="s">
        <v>2414</v>
      </c>
      <c r="I445" s="112" t="s">
        <v>2414</v>
      </c>
      <c r="J445" s="113">
        <v>10500100202001</v>
      </c>
      <c r="K445" s="114" t="s">
        <v>89</v>
      </c>
      <c r="L445" s="115"/>
      <c r="M445" s="114">
        <v>12</v>
      </c>
      <c r="N445" s="116" t="s">
        <v>944</v>
      </c>
      <c r="O445" s="117" t="s">
        <v>2415</v>
      </c>
      <c r="P445" s="116" t="s">
        <v>2416</v>
      </c>
      <c r="Q445" s="117" t="s">
        <v>2417</v>
      </c>
      <c r="R445" s="117" t="s">
        <v>2418</v>
      </c>
      <c r="S445" s="118" t="s">
        <v>2419</v>
      </c>
      <c r="T445" s="119">
        <v>0</v>
      </c>
      <c r="U445" s="120">
        <v>168</v>
      </c>
      <c r="V445" s="120">
        <v>132</v>
      </c>
      <c r="W445" s="303" t="s">
        <v>2871</v>
      </c>
      <c r="X445" s="303" t="s">
        <v>2663</v>
      </c>
      <c r="Y445" s="121">
        <v>300</v>
      </c>
      <c r="Z445" s="119">
        <v>0</v>
      </c>
      <c r="AA445" s="120">
        <v>0</v>
      </c>
      <c r="AB445" s="120">
        <v>0</v>
      </c>
      <c r="AC445" s="64"/>
      <c r="AD445" s="303"/>
      <c r="AE445" s="121">
        <v>0</v>
      </c>
      <c r="AF445" s="122">
        <f t="shared" si="8"/>
        <v>300</v>
      </c>
      <c r="AG445" s="166"/>
      <c r="AH445" s="383"/>
    </row>
    <row r="446" spans="1:34" s="18" customFormat="1" hidden="1">
      <c r="A446" s="301">
        <v>3110</v>
      </c>
      <c r="B446" s="54" t="s">
        <v>2663</v>
      </c>
      <c r="C446" s="54" t="s">
        <v>2663</v>
      </c>
      <c r="D446" s="54" t="s">
        <v>2871</v>
      </c>
      <c r="E446" s="301">
        <v>3</v>
      </c>
      <c r="F446" s="334">
        <v>4</v>
      </c>
      <c r="G446" s="56">
        <v>110</v>
      </c>
      <c r="H446" s="111" t="s">
        <v>943</v>
      </c>
      <c r="I446" s="112" t="s">
        <v>943</v>
      </c>
      <c r="J446" s="113">
        <v>10500100202002</v>
      </c>
      <c r="K446" s="114" t="s">
        <v>89</v>
      </c>
      <c r="L446" s="115"/>
      <c r="M446" s="114">
        <v>12</v>
      </c>
      <c r="N446" s="116" t="s">
        <v>944</v>
      </c>
      <c r="O446" s="117" t="s">
        <v>945</v>
      </c>
      <c r="P446" s="116">
        <v>2508012</v>
      </c>
      <c r="Q446" s="117" t="s">
        <v>946</v>
      </c>
      <c r="R446" s="117" t="s">
        <v>947</v>
      </c>
      <c r="S446" s="118" t="s">
        <v>948</v>
      </c>
      <c r="T446" s="119">
        <v>100</v>
      </c>
      <c r="U446" s="120">
        <v>50</v>
      </c>
      <c r="V446" s="120">
        <v>0</v>
      </c>
      <c r="W446" s="303" t="s">
        <v>2871</v>
      </c>
      <c r="X446" s="303" t="s">
        <v>2663</v>
      </c>
      <c r="Y446" s="121">
        <v>150</v>
      </c>
      <c r="Z446" s="119">
        <v>0</v>
      </c>
      <c r="AA446" s="120">
        <v>0</v>
      </c>
      <c r="AB446" s="120">
        <v>0</v>
      </c>
      <c r="AC446" s="64"/>
      <c r="AD446" s="303"/>
      <c r="AE446" s="121">
        <v>0</v>
      </c>
      <c r="AF446" s="122">
        <f t="shared" si="8"/>
        <v>150</v>
      </c>
      <c r="AG446" s="166"/>
      <c r="AH446" s="383"/>
    </row>
    <row r="447" spans="1:34" s="18" customFormat="1" hidden="1">
      <c r="A447" s="301">
        <v>3111</v>
      </c>
      <c r="B447" s="54" t="s">
        <v>2663</v>
      </c>
      <c r="C447" s="54" t="s">
        <v>2663</v>
      </c>
      <c r="D447" s="54" t="s">
        <v>2871</v>
      </c>
      <c r="E447" s="301">
        <v>3</v>
      </c>
      <c r="F447" s="334">
        <v>4</v>
      </c>
      <c r="G447" s="56">
        <v>111</v>
      </c>
      <c r="H447" s="111" t="s">
        <v>949</v>
      </c>
      <c r="I447" s="112" t="s">
        <v>949</v>
      </c>
      <c r="J447" s="113">
        <v>10500100289501</v>
      </c>
      <c r="K447" s="114" t="s">
        <v>89</v>
      </c>
      <c r="L447" s="115"/>
      <c r="M447" s="114">
        <v>12</v>
      </c>
      <c r="N447" s="116" t="s">
        <v>950</v>
      </c>
      <c r="O447" s="117" t="s">
        <v>951</v>
      </c>
      <c r="P447" s="116" t="s">
        <v>952</v>
      </c>
      <c r="Q447" s="117" t="s">
        <v>953</v>
      </c>
      <c r="R447" s="117" t="s">
        <v>954</v>
      </c>
      <c r="S447" s="118" t="s">
        <v>955</v>
      </c>
      <c r="T447" s="119">
        <v>49</v>
      </c>
      <c r="U447" s="120">
        <v>130</v>
      </c>
      <c r="V447" s="120">
        <v>121</v>
      </c>
      <c r="W447" s="303" t="s">
        <v>2871</v>
      </c>
      <c r="X447" s="303" t="s">
        <v>2663</v>
      </c>
      <c r="Y447" s="121">
        <v>300</v>
      </c>
      <c r="Z447" s="119">
        <v>0</v>
      </c>
      <c r="AA447" s="120">
        <v>0</v>
      </c>
      <c r="AB447" s="120">
        <v>0</v>
      </c>
      <c r="AC447" s="64"/>
      <c r="AD447" s="303"/>
      <c r="AE447" s="121">
        <v>0</v>
      </c>
      <c r="AF447" s="122">
        <f t="shared" si="8"/>
        <v>300</v>
      </c>
      <c r="AG447" s="166"/>
      <c r="AH447" s="383"/>
    </row>
    <row r="448" spans="1:34" s="18" customFormat="1" hidden="1">
      <c r="A448" s="301">
        <v>3112</v>
      </c>
      <c r="B448" s="54" t="s">
        <v>2663</v>
      </c>
      <c r="C448" s="54" t="s">
        <v>2663</v>
      </c>
      <c r="D448" s="54" t="s">
        <v>2871</v>
      </c>
      <c r="E448" s="301">
        <v>3</v>
      </c>
      <c r="F448" s="334">
        <v>4</v>
      </c>
      <c r="G448" s="56">
        <v>112</v>
      </c>
      <c r="H448" s="111" t="s">
        <v>2420</v>
      </c>
      <c r="I448" s="112" t="s">
        <v>2420</v>
      </c>
      <c r="J448" s="113">
        <v>10500100289502</v>
      </c>
      <c r="K448" s="114" t="s">
        <v>89</v>
      </c>
      <c r="L448" s="115"/>
      <c r="M448" s="114">
        <v>12</v>
      </c>
      <c r="N448" s="116" t="s">
        <v>2421</v>
      </c>
      <c r="O448" s="117" t="s">
        <v>2422</v>
      </c>
      <c r="P448" s="116">
        <v>2538107</v>
      </c>
      <c r="Q448" s="117" t="s">
        <v>2423</v>
      </c>
      <c r="R448" s="117" t="s">
        <v>2424</v>
      </c>
      <c r="S448" s="118" t="s">
        <v>2425</v>
      </c>
      <c r="T448" s="119">
        <v>91</v>
      </c>
      <c r="U448" s="120">
        <v>54</v>
      </c>
      <c r="V448" s="120">
        <v>0</v>
      </c>
      <c r="W448" s="303" t="s">
        <v>2871</v>
      </c>
      <c r="X448" s="303" t="s">
        <v>2663</v>
      </c>
      <c r="Y448" s="121">
        <v>145</v>
      </c>
      <c r="Z448" s="119">
        <v>0</v>
      </c>
      <c r="AA448" s="120">
        <v>0</v>
      </c>
      <c r="AB448" s="120">
        <v>0</v>
      </c>
      <c r="AC448" s="64"/>
      <c r="AD448" s="303"/>
      <c r="AE448" s="121">
        <v>0</v>
      </c>
      <c r="AF448" s="122">
        <f t="shared" si="8"/>
        <v>145</v>
      </c>
      <c r="AG448" s="166"/>
      <c r="AH448" s="383"/>
    </row>
    <row r="449" spans="1:34" s="18" customFormat="1" hidden="1">
      <c r="A449" s="301">
        <v>3113</v>
      </c>
      <c r="B449" s="54" t="s">
        <v>2663</v>
      </c>
      <c r="C449" s="54" t="s">
        <v>2663</v>
      </c>
      <c r="D449" s="54" t="s">
        <v>2871</v>
      </c>
      <c r="E449" s="301">
        <v>3</v>
      </c>
      <c r="F449" s="334">
        <v>4</v>
      </c>
      <c r="G449" s="56">
        <v>113</v>
      </c>
      <c r="H449" s="111" t="s">
        <v>1656</v>
      </c>
      <c r="I449" s="112" t="s">
        <v>1657</v>
      </c>
      <c r="J449" s="113">
        <v>10500100125201</v>
      </c>
      <c r="K449" s="114" t="s">
        <v>89</v>
      </c>
      <c r="L449" s="115" t="s">
        <v>63</v>
      </c>
      <c r="M449" s="114">
        <v>12</v>
      </c>
      <c r="N449" s="116" t="s">
        <v>1013</v>
      </c>
      <c r="O449" s="117" t="s">
        <v>1658</v>
      </c>
      <c r="P449" s="116" t="s">
        <v>1659</v>
      </c>
      <c r="Q449" s="117" t="s">
        <v>1660</v>
      </c>
      <c r="R449" s="117" t="s">
        <v>1661</v>
      </c>
      <c r="S449" s="118" t="s">
        <v>1662</v>
      </c>
      <c r="T449" s="338">
        <v>173</v>
      </c>
      <c r="U449" s="339">
        <v>511</v>
      </c>
      <c r="V449" s="339">
        <v>0</v>
      </c>
      <c r="W449" s="303" t="s">
        <v>2871</v>
      </c>
      <c r="X449" s="303" t="s">
        <v>2663</v>
      </c>
      <c r="Y449" s="121">
        <v>684</v>
      </c>
      <c r="Z449" s="119">
        <v>0</v>
      </c>
      <c r="AA449" s="120">
        <v>0</v>
      </c>
      <c r="AB449" s="120">
        <v>0</v>
      </c>
      <c r="AC449" s="64"/>
      <c r="AD449" s="303"/>
      <c r="AE449" s="121">
        <v>0</v>
      </c>
      <c r="AF449" s="122">
        <f t="shared" si="8"/>
        <v>684</v>
      </c>
      <c r="AG449" s="166"/>
      <c r="AH449" s="383"/>
    </row>
    <row r="450" spans="1:34" s="18" customFormat="1" hidden="1">
      <c r="A450" s="301">
        <v>3114</v>
      </c>
      <c r="B450" s="54" t="s">
        <v>2663</v>
      </c>
      <c r="C450" s="54" t="s">
        <v>2663</v>
      </c>
      <c r="D450" s="54" t="s">
        <v>2871</v>
      </c>
      <c r="E450" s="301">
        <v>3</v>
      </c>
      <c r="F450" s="334">
        <v>4</v>
      </c>
      <c r="G450" s="56">
        <v>114</v>
      </c>
      <c r="H450" s="111" t="s">
        <v>956</v>
      </c>
      <c r="I450" s="112" t="s">
        <v>956</v>
      </c>
      <c r="J450" s="113">
        <v>10500100338701</v>
      </c>
      <c r="K450" s="114" t="s">
        <v>89</v>
      </c>
      <c r="L450" s="115"/>
      <c r="M450" s="114">
        <v>12</v>
      </c>
      <c r="N450" s="116" t="s">
        <v>957</v>
      </c>
      <c r="O450" s="117" t="s">
        <v>958</v>
      </c>
      <c r="P450" s="116" t="s">
        <v>959</v>
      </c>
      <c r="Q450" s="117" t="s">
        <v>960</v>
      </c>
      <c r="R450" s="117" t="s">
        <v>961</v>
      </c>
      <c r="S450" s="118" t="s">
        <v>962</v>
      </c>
      <c r="T450" s="119">
        <v>0</v>
      </c>
      <c r="U450" s="120">
        <v>350</v>
      </c>
      <c r="V450" s="120">
        <v>170</v>
      </c>
      <c r="W450" s="303" t="s">
        <v>2871</v>
      </c>
      <c r="X450" s="303" t="s">
        <v>2663</v>
      </c>
      <c r="Y450" s="121">
        <v>520</v>
      </c>
      <c r="Z450" s="119">
        <v>0</v>
      </c>
      <c r="AA450" s="120">
        <v>0</v>
      </c>
      <c r="AB450" s="120">
        <v>0</v>
      </c>
      <c r="AC450" s="64"/>
      <c r="AD450" s="303"/>
      <c r="AE450" s="121">
        <v>0</v>
      </c>
      <c r="AF450" s="122">
        <f t="shared" si="8"/>
        <v>520</v>
      </c>
      <c r="AG450" s="166"/>
      <c r="AH450" s="383"/>
    </row>
    <row r="451" spans="1:34" s="18" customFormat="1" ht="28.8" hidden="1">
      <c r="A451" s="301">
        <v>3115</v>
      </c>
      <c r="B451" s="54" t="s">
        <v>2663</v>
      </c>
      <c r="C451" s="54" t="s">
        <v>2663</v>
      </c>
      <c r="D451" s="54" t="s">
        <v>2872</v>
      </c>
      <c r="E451" s="301">
        <v>3</v>
      </c>
      <c r="F451" s="334">
        <v>4</v>
      </c>
      <c r="G451" s="56">
        <v>115</v>
      </c>
      <c r="H451" s="111" t="s">
        <v>2426</v>
      </c>
      <c r="I451" s="112" t="s">
        <v>2427</v>
      </c>
      <c r="J451" s="113">
        <v>10500100698001</v>
      </c>
      <c r="K451" s="114" t="s">
        <v>89</v>
      </c>
      <c r="L451" s="115"/>
      <c r="M451" s="114">
        <v>12</v>
      </c>
      <c r="N451" s="116" t="s">
        <v>957</v>
      </c>
      <c r="O451" s="117" t="s">
        <v>2428</v>
      </c>
      <c r="P451" s="116">
        <v>4119111</v>
      </c>
      <c r="Q451" s="117" t="s">
        <v>967</v>
      </c>
      <c r="R451" s="117" t="s">
        <v>2429</v>
      </c>
      <c r="S451" s="118" t="s">
        <v>2430</v>
      </c>
      <c r="T451" s="119">
        <v>0</v>
      </c>
      <c r="U451" s="120">
        <v>100</v>
      </c>
      <c r="V451" s="120">
        <v>60</v>
      </c>
      <c r="W451" s="303" t="s">
        <v>2871</v>
      </c>
      <c r="X451" s="303" t="s">
        <v>2663</v>
      </c>
      <c r="Y451" s="121">
        <v>160</v>
      </c>
      <c r="Z451" s="119">
        <v>0</v>
      </c>
      <c r="AA451" s="120">
        <v>0</v>
      </c>
      <c r="AB451" s="120">
        <v>135</v>
      </c>
      <c r="AC451" s="64" t="s">
        <v>2866</v>
      </c>
      <c r="AD451" s="303" t="s">
        <v>2663</v>
      </c>
      <c r="AE451" s="121">
        <v>135</v>
      </c>
      <c r="AF451" s="122">
        <f t="shared" ref="AF451:AF511" si="10">+Y451+AE451</f>
        <v>295</v>
      </c>
      <c r="AG451" s="166"/>
      <c r="AH451" s="383"/>
    </row>
    <row r="452" spans="1:34" s="18" customFormat="1" hidden="1">
      <c r="A452" s="301">
        <v>3116</v>
      </c>
      <c r="B452" s="54" t="s">
        <v>2663</v>
      </c>
      <c r="C452" s="54" t="s">
        <v>2663</v>
      </c>
      <c r="D452" s="54" t="s">
        <v>2871</v>
      </c>
      <c r="E452" s="301">
        <v>3</v>
      </c>
      <c r="F452" s="334">
        <v>4</v>
      </c>
      <c r="G452" s="56">
        <v>116</v>
      </c>
      <c r="H452" s="111" t="s">
        <v>970</v>
      </c>
      <c r="I452" s="112" t="s">
        <v>970</v>
      </c>
      <c r="J452" s="113">
        <v>10500100698002</v>
      </c>
      <c r="K452" s="114" t="s">
        <v>89</v>
      </c>
      <c r="L452" s="115"/>
      <c r="M452" s="114">
        <v>12</v>
      </c>
      <c r="N452" s="116" t="s">
        <v>957</v>
      </c>
      <c r="O452" s="117" t="s">
        <v>971</v>
      </c>
      <c r="P452" s="116">
        <v>4119245</v>
      </c>
      <c r="Q452" s="117" t="s">
        <v>972</v>
      </c>
      <c r="R452" s="117" t="s">
        <v>973</v>
      </c>
      <c r="S452" s="118" t="s">
        <v>974</v>
      </c>
      <c r="T452" s="119">
        <v>145</v>
      </c>
      <c r="U452" s="120">
        <v>70</v>
      </c>
      <c r="V452" s="120">
        <v>0</v>
      </c>
      <c r="W452" s="303" t="s">
        <v>2871</v>
      </c>
      <c r="X452" s="303" t="s">
        <v>2663</v>
      </c>
      <c r="Y452" s="121">
        <v>215</v>
      </c>
      <c r="Z452" s="119">
        <v>0</v>
      </c>
      <c r="AA452" s="120">
        <v>0</v>
      </c>
      <c r="AB452" s="120">
        <v>0</v>
      </c>
      <c r="AC452" s="64"/>
      <c r="AD452" s="303"/>
      <c r="AE452" s="121">
        <v>0</v>
      </c>
      <c r="AF452" s="122">
        <f t="shared" si="10"/>
        <v>215</v>
      </c>
      <c r="AG452" s="166"/>
      <c r="AH452" s="383"/>
    </row>
    <row r="453" spans="1:34" s="18" customFormat="1" hidden="1">
      <c r="A453" s="301">
        <v>3117</v>
      </c>
      <c r="B453" s="54" t="s">
        <v>2663</v>
      </c>
      <c r="C453" s="54" t="s">
        <v>2663</v>
      </c>
      <c r="D453" s="54" t="s">
        <v>2871</v>
      </c>
      <c r="E453" s="301">
        <v>3</v>
      </c>
      <c r="F453" s="334">
        <v>4</v>
      </c>
      <c r="G453" s="56">
        <v>117</v>
      </c>
      <c r="H453" s="111" t="s">
        <v>975</v>
      </c>
      <c r="I453" s="112" t="s">
        <v>975</v>
      </c>
      <c r="J453" s="113">
        <v>10500100698004</v>
      </c>
      <c r="K453" s="114" t="s">
        <v>89</v>
      </c>
      <c r="L453" s="115"/>
      <c r="M453" s="114">
        <v>12</v>
      </c>
      <c r="N453" s="116" t="s">
        <v>976</v>
      </c>
      <c r="O453" s="117" t="s">
        <v>977</v>
      </c>
      <c r="P453" s="116" t="s">
        <v>978</v>
      </c>
      <c r="Q453" s="117" t="s">
        <v>979</v>
      </c>
      <c r="R453" s="117" t="s">
        <v>980</v>
      </c>
      <c r="S453" s="118" t="s">
        <v>981</v>
      </c>
      <c r="T453" s="119">
        <v>195</v>
      </c>
      <c r="U453" s="120">
        <v>109</v>
      </c>
      <c r="V453" s="120">
        <v>0</v>
      </c>
      <c r="W453" s="303" t="s">
        <v>2871</v>
      </c>
      <c r="X453" s="303" t="s">
        <v>2663</v>
      </c>
      <c r="Y453" s="121">
        <v>304</v>
      </c>
      <c r="Z453" s="119">
        <v>0</v>
      </c>
      <c r="AA453" s="120">
        <v>0</v>
      </c>
      <c r="AB453" s="120">
        <v>0</v>
      </c>
      <c r="AC453" s="64"/>
      <c r="AD453" s="303"/>
      <c r="AE453" s="121">
        <v>0</v>
      </c>
      <c r="AF453" s="122">
        <f t="shared" si="10"/>
        <v>304</v>
      </c>
      <c r="AG453" s="166"/>
      <c r="AH453" s="383"/>
    </row>
    <row r="454" spans="1:34" s="18" customFormat="1" hidden="1">
      <c r="A454" s="301">
        <v>3118</v>
      </c>
      <c r="B454" s="54" t="s">
        <v>2663</v>
      </c>
      <c r="C454" s="54" t="s">
        <v>2663</v>
      </c>
      <c r="D454" s="54" t="s">
        <v>2871</v>
      </c>
      <c r="E454" s="301">
        <v>3</v>
      </c>
      <c r="F454" s="334">
        <v>4</v>
      </c>
      <c r="G454" s="56">
        <v>118</v>
      </c>
      <c r="H454" s="111" t="s">
        <v>982</v>
      </c>
      <c r="I454" s="225" t="s">
        <v>982</v>
      </c>
      <c r="J454" s="113">
        <v>10500100149001</v>
      </c>
      <c r="K454" s="114" t="s">
        <v>89</v>
      </c>
      <c r="L454" s="115"/>
      <c r="M454" s="114">
        <v>12</v>
      </c>
      <c r="N454" s="116" t="s">
        <v>976</v>
      </c>
      <c r="O454" s="117" t="s">
        <v>983</v>
      </c>
      <c r="P454" s="116" t="s">
        <v>984</v>
      </c>
      <c r="Q454" s="117" t="s">
        <v>985</v>
      </c>
      <c r="R454" s="117" t="s">
        <v>986</v>
      </c>
      <c r="S454" s="118" t="s">
        <v>987</v>
      </c>
      <c r="T454" s="119">
        <v>0</v>
      </c>
      <c r="U454" s="120">
        <v>282</v>
      </c>
      <c r="V454" s="120">
        <v>408</v>
      </c>
      <c r="W454" s="303" t="s">
        <v>2871</v>
      </c>
      <c r="X454" s="303" t="s">
        <v>2663</v>
      </c>
      <c r="Y454" s="121">
        <v>690</v>
      </c>
      <c r="Z454" s="119">
        <v>0</v>
      </c>
      <c r="AA454" s="120">
        <v>0</v>
      </c>
      <c r="AB454" s="120">
        <v>0</v>
      </c>
      <c r="AC454" s="64"/>
      <c r="AD454" s="303"/>
      <c r="AE454" s="121">
        <v>0</v>
      </c>
      <c r="AF454" s="122">
        <f t="shared" si="10"/>
        <v>690</v>
      </c>
      <c r="AG454" s="166"/>
      <c r="AH454" s="383"/>
    </row>
    <row r="455" spans="1:34" s="18" customFormat="1" hidden="1">
      <c r="A455" s="301">
        <v>3119</v>
      </c>
      <c r="B455" s="54" t="s">
        <v>2663</v>
      </c>
      <c r="C455" s="54" t="s">
        <v>2663</v>
      </c>
      <c r="D455" s="54" t="s">
        <v>2871</v>
      </c>
      <c r="E455" s="301">
        <v>3</v>
      </c>
      <c r="F455" s="334">
        <v>4</v>
      </c>
      <c r="G455" s="56">
        <v>119</v>
      </c>
      <c r="H455" s="111" t="s">
        <v>988</v>
      </c>
      <c r="I455" s="112" t="s">
        <v>988</v>
      </c>
      <c r="J455" s="113">
        <v>10500100149002</v>
      </c>
      <c r="K455" s="114" t="s">
        <v>89</v>
      </c>
      <c r="L455" s="115"/>
      <c r="M455" s="114">
        <v>12</v>
      </c>
      <c r="N455" s="116" t="s">
        <v>976</v>
      </c>
      <c r="O455" s="117" t="s">
        <v>989</v>
      </c>
      <c r="P455" s="116">
        <v>2341289</v>
      </c>
      <c r="Q455" s="117" t="s">
        <v>990</v>
      </c>
      <c r="R455" s="117" t="s">
        <v>991</v>
      </c>
      <c r="S455" s="118" t="s">
        <v>992</v>
      </c>
      <c r="T455" s="119">
        <v>126</v>
      </c>
      <c r="U455" s="120">
        <v>88</v>
      </c>
      <c r="V455" s="120">
        <v>0</v>
      </c>
      <c r="W455" s="303" t="s">
        <v>2871</v>
      </c>
      <c r="X455" s="303" t="s">
        <v>2663</v>
      </c>
      <c r="Y455" s="121">
        <v>214</v>
      </c>
      <c r="Z455" s="119">
        <v>0</v>
      </c>
      <c r="AA455" s="120">
        <v>0</v>
      </c>
      <c r="AB455" s="120">
        <v>0</v>
      </c>
      <c r="AC455" s="64"/>
      <c r="AD455" s="303"/>
      <c r="AE455" s="121">
        <v>0</v>
      </c>
      <c r="AF455" s="122">
        <f t="shared" si="10"/>
        <v>214</v>
      </c>
      <c r="AG455" s="166"/>
      <c r="AH455" s="383"/>
    </row>
    <row r="456" spans="1:34" s="18" customFormat="1" hidden="1">
      <c r="A456" s="301">
        <v>3120</v>
      </c>
      <c r="B456" s="54" t="s">
        <v>2663</v>
      </c>
      <c r="C456" s="54" t="s">
        <v>2663</v>
      </c>
      <c r="D456" s="54" t="s">
        <v>2871</v>
      </c>
      <c r="E456" s="301">
        <v>3</v>
      </c>
      <c r="F456" s="334">
        <v>4</v>
      </c>
      <c r="G456" s="56">
        <v>120</v>
      </c>
      <c r="H456" s="111" t="s">
        <v>1000</v>
      </c>
      <c r="I456" s="112" t="s">
        <v>1000</v>
      </c>
      <c r="J456" s="113">
        <v>10500100718801</v>
      </c>
      <c r="K456" s="114" t="s">
        <v>89</v>
      </c>
      <c r="L456" s="115"/>
      <c r="M456" s="114">
        <v>12</v>
      </c>
      <c r="N456" s="116" t="s">
        <v>994</v>
      </c>
      <c r="O456" s="117" t="s">
        <v>1001</v>
      </c>
      <c r="P456" s="116">
        <v>4967767</v>
      </c>
      <c r="Q456" s="117" t="s">
        <v>1002</v>
      </c>
      <c r="R456" s="117" t="s">
        <v>1003</v>
      </c>
      <c r="S456" s="118" t="s">
        <v>1004</v>
      </c>
      <c r="T456" s="119">
        <v>178</v>
      </c>
      <c r="U456" s="120">
        <v>206</v>
      </c>
      <c r="V456" s="120">
        <v>52</v>
      </c>
      <c r="W456" s="303" t="s">
        <v>2871</v>
      </c>
      <c r="X456" s="303" t="s">
        <v>2663</v>
      </c>
      <c r="Y456" s="121">
        <v>436</v>
      </c>
      <c r="Z456" s="119">
        <v>0</v>
      </c>
      <c r="AA456" s="120">
        <v>0</v>
      </c>
      <c r="AB456" s="120">
        <v>0</v>
      </c>
      <c r="AC456" s="64"/>
      <c r="AD456" s="303"/>
      <c r="AE456" s="121">
        <v>0</v>
      </c>
      <c r="AF456" s="122">
        <f t="shared" si="10"/>
        <v>436</v>
      </c>
      <c r="AG456" s="166"/>
      <c r="AH456" s="383"/>
    </row>
    <row r="457" spans="1:34" s="18" customFormat="1" hidden="1">
      <c r="A457" s="301">
        <v>3121</v>
      </c>
      <c r="B457" s="54" t="s">
        <v>2663</v>
      </c>
      <c r="C457" s="54" t="s">
        <v>2663</v>
      </c>
      <c r="D457" s="54" t="s">
        <v>2871</v>
      </c>
      <c r="E457" s="301">
        <v>3</v>
      </c>
      <c r="F457" s="334">
        <v>4</v>
      </c>
      <c r="G457" s="56">
        <v>121</v>
      </c>
      <c r="H457" s="111" t="s">
        <v>1005</v>
      </c>
      <c r="I457" s="112" t="s">
        <v>1005</v>
      </c>
      <c r="J457" s="113">
        <v>10500100297601</v>
      </c>
      <c r="K457" s="114" t="s">
        <v>89</v>
      </c>
      <c r="L457" s="115"/>
      <c r="M457" s="114">
        <v>12</v>
      </c>
      <c r="N457" s="116" t="s">
        <v>1006</v>
      </c>
      <c r="O457" s="117" t="s">
        <v>1007</v>
      </c>
      <c r="P457" s="116" t="s">
        <v>1008</v>
      </c>
      <c r="Q457" s="117" t="s">
        <v>1009</v>
      </c>
      <c r="R457" s="117" t="s">
        <v>1010</v>
      </c>
      <c r="S457" s="118" t="s">
        <v>1011</v>
      </c>
      <c r="T457" s="119">
        <v>367</v>
      </c>
      <c r="U457" s="120">
        <v>60</v>
      </c>
      <c r="V457" s="120">
        <v>107</v>
      </c>
      <c r="W457" s="303" t="s">
        <v>2871</v>
      </c>
      <c r="X457" s="303" t="s">
        <v>2663</v>
      </c>
      <c r="Y457" s="121">
        <v>534</v>
      </c>
      <c r="Z457" s="119">
        <v>0</v>
      </c>
      <c r="AA457" s="120">
        <v>0</v>
      </c>
      <c r="AB457" s="120">
        <v>0</v>
      </c>
      <c r="AC457" s="64"/>
      <c r="AD457" s="303"/>
      <c r="AE457" s="121">
        <v>0</v>
      </c>
      <c r="AF457" s="122">
        <f t="shared" si="10"/>
        <v>534</v>
      </c>
      <c r="AG457" s="166"/>
      <c r="AH457" s="383"/>
    </row>
    <row r="458" spans="1:34" s="18" customFormat="1" ht="15" hidden="1" thickBot="1">
      <c r="A458" s="301">
        <v>3122</v>
      </c>
      <c r="B458" s="54" t="s">
        <v>2663</v>
      </c>
      <c r="C458" s="54" t="s">
        <v>2663</v>
      </c>
      <c r="D458" s="54" t="s">
        <v>2871</v>
      </c>
      <c r="E458" s="301">
        <v>3</v>
      </c>
      <c r="F458" s="334">
        <v>4</v>
      </c>
      <c r="G458" s="56">
        <v>122</v>
      </c>
      <c r="H458" s="164" t="s">
        <v>1012</v>
      </c>
      <c r="I458" s="112" t="s">
        <v>1012</v>
      </c>
      <c r="J458" s="113">
        <v>10500101188601</v>
      </c>
      <c r="K458" s="114" t="s">
        <v>89</v>
      </c>
      <c r="L458" s="165"/>
      <c r="M458" s="114">
        <v>12</v>
      </c>
      <c r="N458" s="116" t="s">
        <v>1013</v>
      </c>
      <c r="O458" s="117" t="s">
        <v>1014</v>
      </c>
      <c r="P458" s="116" t="s">
        <v>1015</v>
      </c>
      <c r="Q458" s="117" t="s">
        <v>1016</v>
      </c>
      <c r="R458" s="117" t="s">
        <v>1017</v>
      </c>
      <c r="S458" s="118" t="s">
        <v>1018</v>
      </c>
      <c r="T458" s="119">
        <v>0</v>
      </c>
      <c r="U458" s="120">
        <v>130</v>
      </c>
      <c r="V458" s="120">
        <v>70</v>
      </c>
      <c r="W458" s="303" t="s">
        <v>2871</v>
      </c>
      <c r="X458" s="303" t="s">
        <v>2663</v>
      </c>
      <c r="Y458" s="121">
        <v>200</v>
      </c>
      <c r="Z458" s="119">
        <v>0</v>
      </c>
      <c r="AA458" s="120">
        <v>0</v>
      </c>
      <c r="AB458" s="120">
        <v>0</v>
      </c>
      <c r="AC458" s="64"/>
      <c r="AD458" s="303"/>
      <c r="AE458" s="121">
        <v>0</v>
      </c>
      <c r="AF458" s="122">
        <f t="shared" si="10"/>
        <v>200</v>
      </c>
      <c r="AG458" s="166"/>
      <c r="AH458" s="383"/>
    </row>
    <row r="459" spans="1:34" s="18" customFormat="1" hidden="1">
      <c r="A459" s="301">
        <v>3123</v>
      </c>
      <c r="B459" s="54" t="s">
        <v>2663</v>
      </c>
      <c r="C459" s="54" t="s">
        <v>2663</v>
      </c>
      <c r="D459" s="54" t="s">
        <v>2871</v>
      </c>
      <c r="E459" s="301">
        <v>3</v>
      </c>
      <c r="F459" s="334">
        <v>4</v>
      </c>
      <c r="G459" s="56">
        <v>123</v>
      </c>
      <c r="H459" s="117" t="s">
        <v>1019</v>
      </c>
      <c r="I459" s="112" t="s">
        <v>1019</v>
      </c>
      <c r="J459" s="113">
        <v>10500101188602</v>
      </c>
      <c r="K459" s="114" t="s">
        <v>89</v>
      </c>
      <c r="L459" s="114"/>
      <c r="M459" s="114">
        <v>13</v>
      </c>
      <c r="N459" s="116" t="s">
        <v>1020</v>
      </c>
      <c r="O459" s="117" t="s">
        <v>1021</v>
      </c>
      <c r="P459" s="116">
        <v>2531582</v>
      </c>
      <c r="Q459" s="117" t="s">
        <v>1022</v>
      </c>
      <c r="R459" s="117" t="s">
        <v>1023</v>
      </c>
      <c r="S459" s="118" t="s">
        <v>1024</v>
      </c>
      <c r="T459" s="119">
        <v>304</v>
      </c>
      <c r="U459" s="120">
        <v>0</v>
      </c>
      <c r="V459" s="120">
        <v>0</v>
      </c>
      <c r="W459" s="303" t="s">
        <v>2871</v>
      </c>
      <c r="X459" s="303" t="s">
        <v>2663</v>
      </c>
      <c r="Y459" s="121">
        <v>304</v>
      </c>
      <c r="Z459" s="119">
        <v>0</v>
      </c>
      <c r="AA459" s="120">
        <v>0</v>
      </c>
      <c r="AB459" s="120">
        <v>0</v>
      </c>
      <c r="AC459" s="64"/>
      <c r="AD459" s="303"/>
      <c r="AE459" s="121">
        <v>0</v>
      </c>
      <c r="AF459" s="122">
        <f t="shared" si="10"/>
        <v>304</v>
      </c>
      <c r="AG459" s="166"/>
      <c r="AH459" s="383"/>
    </row>
    <row r="460" spans="1:34" s="18" customFormat="1" hidden="1">
      <c r="A460" s="301">
        <v>3124</v>
      </c>
      <c r="B460" s="54" t="s">
        <v>2663</v>
      </c>
      <c r="C460" s="54" t="s">
        <v>2663</v>
      </c>
      <c r="D460" s="54" t="s">
        <v>2871</v>
      </c>
      <c r="E460" s="301">
        <v>3</v>
      </c>
      <c r="F460" s="334">
        <v>4</v>
      </c>
      <c r="G460" s="56">
        <v>124</v>
      </c>
      <c r="H460" s="117" t="s">
        <v>1025</v>
      </c>
      <c r="I460" s="112" t="s">
        <v>1025</v>
      </c>
      <c r="J460" s="113">
        <v>10500100080901</v>
      </c>
      <c r="K460" s="114" t="s">
        <v>89</v>
      </c>
      <c r="L460" s="114"/>
      <c r="M460" s="114">
        <v>13</v>
      </c>
      <c r="N460" s="116" t="s">
        <v>1026</v>
      </c>
      <c r="O460" s="117" t="s">
        <v>1027</v>
      </c>
      <c r="P460" s="116" t="s">
        <v>1028</v>
      </c>
      <c r="Q460" s="117" t="s">
        <v>1029</v>
      </c>
      <c r="R460" s="117" t="s">
        <v>1030</v>
      </c>
      <c r="S460" s="118" t="s">
        <v>1031</v>
      </c>
      <c r="T460" s="119">
        <v>109</v>
      </c>
      <c r="U460" s="120">
        <v>257</v>
      </c>
      <c r="V460" s="120">
        <v>111</v>
      </c>
      <c r="W460" s="303" t="s">
        <v>2871</v>
      </c>
      <c r="X460" s="303" t="s">
        <v>2663</v>
      </c>
      <c r="Y460" s="121">
        <v>477</v>
      </c>
      <c r="Z460" s="119">
        <v>0</v>
      </c>
      <c r="AA460" s="120">
        <v>0</v>
      </c>
      <c r="AB460" s="120">
        <v>0</v>
      </c>
      <c r="AC460" s="64"/>
      <c r="AD460" s="303"/>
      <c r="AE460" s="121">
        <v>0</v>
      </c>
      <c r="AF460" s="122">
        <f t="shared" si="10"/>
        <v>477</v>
      </c>
      <c r="AG460" s="166"/>
      <c r="AH460" s="383"/>
    </row>
    <row r="461" spans="1:34" s="18" customFormat="1" hidden="1">
      <c r="A461" s="301">
        <v>3125</v>
      </c>
      <c r="B461" s="54" t="s">
        <v>2663</v>
      </c>
      <c r="C461" s="54" t="s">
        <v>2663</v>
      </c>
      <c r="D461" s="54" t="s">
        <v>2871</v>
      </c>
      <c r="E461" s="301">
        <v>3</v>
      </c>
      <c r="F461" s="334">
        <v>4</v>
      </c>
      <c r="G461" s="56">
        <v>125</v>
      </c>
      <c r="H461" s="117" t="s">
        <v>2431</v>
      </c>
      <c r="I461" s="112" t="s">
        <v>2431</v>
      </c>
      <c r="J461" s="113">
        <v>10500102635202</v>
      </c>
      <c r="K461" s="114" t="s">
        <v>89</v>
      </c>
      <c r="L461" s="114"/>
      <c r="M461" s="114">
        <v>13</v>
      </c>
      <c r="N461" s="116" t="s">
        <v>1033</v>
      </c>
      <c r="O461" s="117" t="s">
        <v>2432</v>
      </c>
      <c r="P461" s="116">
        <v>2535611</v>
      </c>
      <c r="Q461" s="117" t="s">
        <v>1035</v>
      </c>
      <c r="R461" s="117" t="s">
        <v>2433</v>
      </c>
      <c r="S461" s="118" t="s">
        <v>2434</v>
      </c>
      <c r="T461" s="119">
        <v>191</v>
      </c>
      <c r="U461" s="120">
        <v>152</v>
      </c>
      <c r="V461" s="120">
        <v>0</v>
      </c>
      <c r="W461" s="303" t="s">
        <v>2871</v>
      </c>
      <c r="X461" s="303" t="s">
        <v>2663</v>
      </c>
      <c r="Y461" s="121">
        <v>343</v>
      </c>
      <c r="Z461" s="119">
        <v>0</v>
      </c>
      <c r="AA461" s="120">
        <v>0</v>
      </c>
      <c r="AB461" s="120">
        <v>0</v>
      </c>
      <c r="AC461" s="64"/>
      <c r="AD461" s="303"/>
      <c r="AE461" s="121">
        <v>0</v>
      </c>
      <c r="AF461" s="122">
        <f t="shared" si="10"/>
        <v>343</v>
      </c>
      <c r="AG461" s="337"/>
      <c r="AH461" s="383"/>
    </row>
    <row r="462" spans="1:34" s="18" customFormat="1" hidden="1">
      <c r="A462" s="301">
        <v>3126</v>
      </c>
      <c r="B462" s="54" t="s">
        <v>2663</v>
      </c>
      <c r="C462" s="54" t="s">
        <v>2663</v>
      </c>
      <c r="D462" s="54" t="s">
        <v>2871</v>
      </c>
      <c r="E462" s="301">
        <v>3</v>
      </c>
      <c r="F462" s="334">
        <v>4</v>
      </c>
      <c r="G462" s="56">
        <v>126</v>
      </c>
      <c r="H462" s="117" t="s">
        <v>2435</v>
      </c>
      <c r="I462" s="112" t="s">
        <v>2435</v>
      </c>
      <c r="J462" s="113">
        <v>30500100589301</v>
      </c>
      <c r="K462" s="114" t="s">
        <v>167</v>
      </c>
      <c r="L462" s="114"/>
      <c r="M462" s="114">
        <v>13</v>
      </c>
      <c r="N462" s="116" t="s">
        <v>32</v>
      </c>
      <c r="O462" s="117" t="s">
        <v>2436</v>
      </c>
      <c r="P462" s="116">
        <v>4965188</v>
      </c>
      <c r="Q462" s="117" t="s">
        <v>2437</v>
      </c>
      <c r="R462" s="117" t="s">
        <v>2438</v>
      </c>
      <c r="S462" s="118" t="s">
        <v>2439</v>
      </c>
      <c r="T462" s="119">
        <v>124</v>
      </c>
      <c r="U462" s="120">
        <v>43</v>
      </c>
      <c r="V462" s="120">
        <v>0</v>
      </c>
      <c r="W462" s="303" t="s">
        <v>2871</v>
      </c>
      <c r="X462" s="303" t="s">
        <v>2663</v>
      </c>
      <c r="Y462" s="121">
        <v>167</v>
      </c>
      <c r="Z462" s="119">
        <v>0</v>
      </c>
      <c r="AA462" s="120">
        <v>0</v>
      </c>
      <c r="AB462" s="120">
        <v>0</v>
      </c>
      <c r="AC462" s="64"/>
      <c r="AD462" s="303"/>
      <c r="AE462" s="121">
        <v>0</v>
      </c>
      <c r="AF462" s="122">
        <f t="shared" si="10"/>
        <v>167</v>
      </c>
      <c r="AG462" s="337"/>
      <c r="AH462" s="383"/>
    </row>
    <row r="463" spans="1:34" s="18" customFormat="1" hidden="1">
      <c r="A463" s="301">
        <v>3127</v>
      </c>
      <c r="B463" s="54" t="s">
        <v>2663</v>
      </c>
      <c r="C463" s="54" t="s">
        <v>2663</v>
      </c>
      <c r="D463" s="54" t="s">
        <v>2871</v>
      </c>
      <c r="E463" s="301">
        <v>3</v>
      </c>
      <c r="F463" s="334">
        <v>4</v>
      </c>
      <c r="G463" s="56">
        <v>127</v>
      </c>
      <c r="H463" s="117" t="s">
        <v>1038</v>
      </c>
      <c r="I463" s="112" t="s">
        <v>1038</v>
      </c>
      <c r="J463" s="113">
        <v>10500100252602</v>
      </c>
      <c r="K463" s="114" t="s">
        <v>89</v>
      </c>
      <c r="L463" s="114"/>
      <c r="M463" s="114">
        <v>13</v>
      </c>
      <c r="N463" s="116" t="s">
        <v>32</v>
      </c>
      <c r="O463" s="117" t="s">
        <v>1039</v>
      </c>
      <c r="P463" s="116">
        <v>2529888</v>
      </c>
      <c r="Q463" s="117" t="s">
        <v>1040</v>
      </c>
      <c r="R463" s="117" t="s">
        <v>1041</v>
      </c>
      <c r="S463" s="118" t="s">
        <v>999</v>
      </c>
      <c r="T463" s="119">
        <v>204</v>
      </c>
      <c r="U463" s="120">
        <v>84</v>
      </c>
      <c r="V463" s="120">
        <v>0</v>
      </c>
      <c r="W463" s="303" t="s">
        <v>2871</v>
      </c>
      <c r="X463" s="303" t="s">
        <v>2663</v>
      </c>
      <c r="Y463" s="121">
        <v>288</v>
      </c>
      <c r="Z463" s="119">
        <v>0</v>
      </c>
      <c r="AA463" s="120">
        <v>0</v>
      </c>
      <c r="AB463" s="120">
        <v>0</v>
      </c>
      <c r="AC463" s="64"/>
      <c r="AD463" s="303"/>
      <c r="AE463" s="121">
        <v>0</v>
      </c>
      <c r="AF463" s="122">
        <f t="shared" si="10"/>
        <v>288</v>
      </c>
      <c r="AG463" s="166"/>
      <c r="AH463" s="383"/>
    </row>
    <row r="464" spans="1:34" s="18" customFormat="1" hidden="1">
      <c r="A464" s="301">
        <v>3128</v>
      </c>
      <c r="B464" s="54" t="s">
        <v>2663</v>
      </c>
      <c r="C464" s="54" t="s">
        <v>2663</v>
      </c>
      <c r="D464" s="54" t="s">
        <v>2871</v>
      </c>
      <c r="E464" s="301">
        <v>3</v>
      </c>
      <c r="F464" s="334">
        <v>4</v>
      </c>
      <c r="G464" s="56">
        <v>128</v>
      </c>
      <c r="H464" s="117" t="s">
        <v>2440</v>
      </c>
      <c r="I464" s="112" t="s">
        <v>2440</v>
      </c>
      <c r="J464" s="113">
        <v>10500100252603</v>
      </c>
      <c r="K464" s="114" t="s">
        <v>89</v>
      </c>
      <c r="L464" s="114"/>
      <c r="M464" s="114">
        <v>13</v>
      </c>
      <c r="N464" s="116" t="s">
        <v>32</v>
      </c>
      <c r="O464" s="117" t="s">
        <v>2441</v>
      </c>
      <c r="P464" s="116">
        <v>2531446</v>
      </c>
      <c r="Q464" s="117" t="s">
        <v>2442</v>
      </c>
      <c r="R464" s="117" t="s">
        <v>2443</v>
      </c>
      <c r="S464" s="118" t="s">
        <v>2444</v>
      </c>
      <c r="T464" s="119">
        <v>350</v>
      </c>
      <c r="U464" s="120">
        <v>200</v>
      </c>
      <c r="V464" s="120">
        <v>0</v>
      </c>
      <c r="W464" s="303" t="s">
        <v>2871</v>
      </c>
      <c r="X464" s="303" t="s">
        <v>2663</v>
      </c>
      <c r="Y464" s="121">
        <v>550</v>
      </c>
      <c r="Z464" s="119">
        <v>0</v>
      </c>
      <c r="AA464" s="120">
        <v>0</v>
      </c>
      <c r="AB464" s="120">
        <v>0</v>
      </c>
      <c r="AC464" s="64"/>
      <c r="AD464" s="303"/>
      <c r="AE464" s="121">
        <v>0</v>
      </c>
      <c r="AF464" s="122">
        <f t="shared" si="10"/>
        <v>550</v>
      </c>
      <c r="AG464" s="337"/>
      <c r="AH464" s="383"/>
    </row>
    <row r="465" spans="1:34" s="18" customFormat="1" hidden="1">
      <c r="A465" s="301">
        <v>3129</v>
      </c>
      <c r="B465" s="54" t="s">
        <v>2663</v>
      </c>
      <c r="C465" s="54" t="s">
        <v>2663</v>
      </c>
      <c r="D465" s="54" t="s">
        <v>2871</v>
      </c>
      <c r="E465" s="301">
        <v>3</v>
      </c>
      <c r="F465" s="334">
        <v>4</v>
      </c>
      <c r="G465" s="56">
        <v>129</v>
      </c>
      <c r="H465" s="117" t="s">
        <v>2445</v>
      </c>
      <c r="I465" s="112" t="s">
        <v>2445</v>
      </c>
      <c r="J465" s="113">
        <v>10500102669702</v>
      </c>
      <c r="K465" s="114" t="s">
        <v>89</v>
      </c>
      <c r="L465" s="114"/>
      <c r="M465" s="114">
        <v>13</v>
      </c>
      <c r="N465" s="116" t="s">
        <v>1043</v>
      </c>
      <c r="O465" s="117" t="s">
        <v>2446</v>
      </c>
      <c r="P465" s="116">
        <v>2526216</v>
      </c>
      <c r="Q465" s="117" t="s">
        <v>2447</v>
      </c>
      <c r="R465" s="117" t="s">
        <v>2448</v>
      </c>
      <c r="S465" s="118" t="s">
        <v>2449</v>
      </c>
      <c r="T465" s="119">
        <v>479</v>
      </c>
      <c r="U465" s="120">
        <v>61</v>
      </c>
      <c r="V465" s="120">
        <v>0</v>
      </c>
      <c r="W465" s="303" t="s">
        <v>2871</v>
      </c>
      <c r="X465" s="303" t="s">
        <v>2663</v>
      </c>
      <c r="Y465" s="121">
        <v>540</v>
      </c>
      <c r="Z465" s="119">
        <v>0</v>
      </c>
      <c r="AA465" s="120">
        <v>0</v>
      </c>
      <c r="AB465" s="120">
        <v>0</v>
      </c>
      <c r="AC465" s="64"/>
      <c r="AD465" s="303"/>
      <c r="AE465" s="121">
        <v>0</v>
      </c>
      <c r="AF465" s="122">
        <f t="shared" si="10"/>
        <v>540</v>
      </c>
      <c r="AG465" s="337"/>
      <c r="AH465" s="383"/>
    </row>
    <row r="466" spans="1:34" s="18" customFormat="1" hidden="1">
      <c r="A466" s="301">
        <v>3130</v>
      </c>
      <c r="B466" s="54" t="s">
        <v>2663</v>
      </c>
      <c r="C466" s="54" t="s">
        <v>2663</v>
      </c>
      <c r="D466" s="54" t="s">
        <v>2871</v>
      </c>
      <c r="E466" s="301">
        <v>3</v>
      </c>
      <c r="F466" s="334">
        <v>4</v>
      </c>
      <c r="G466" s="56">
        <v>130</v>
      </c>
      <c r="H466" s="117" t="s">
        <v>2450</v>
      </c>
      <c r="I466" s="112" t="s">
        <v>2450</v>
      </c>
      <c r="J466" s="113">
        <v>10500100188101</v>
      </c>
      <c r="K466" s="114" t="s">
        <v>89</v>
      </c>
      <c r="L466" s="114"/>
      <c r="M466" s="114">
        <v>13</v>
      </c>
      <c r="N466" s="116" t="s">
        <v>32</v>
      </c>
      <c r="O466" s="117" t="s">
        <v>2451</v>
      </c>
      <c r="P466" s="116" t="s">
        <v>2452</v>
      </c>
      <c r="Q466" s="117" t="s">
        <v>2453</v>
      </c>
      <c r="R466" s="117" t="s">
        <v>2454</v>
      </c>
      <c r="S466" s="118" t="s">
        <v>2455</v>
      </c>
      <c r="T466" s="119">
        <v>0</v>
      </c>
      <c r="U466" s="120">
        <v>175</v>
      </c>
      <c r="V466" s="120">
        <v>275</v>
      </c>
      <c r="W466" s="303" t="s">
        <v>2871</v>
      </c>
      <c r="X466" s="303" t="s">
        <v>2663</v>
      </c>
      <c r="Y466" s="121">
        <v>450</v>
      </c>
      <c r="Z466" s="119">
        <v>0</v>
      </c>
      <c r="AA466" s="120">
        <v>0</v>
      </c>
      <c r="AB466" s="120">
        <v>0</v>
      </c>
      <c r="AC466" s="64"/>
      <c r="AD466" s="303"/>
      <c r="AE466" s="121">
        <v>0</v>
      </c>
      <c r="AF466" s="122">
        <f t="shared" si="10"/>
        <v>450</v>
      </c>
      <c r="AG466" s="337"/>
      <c r="AH466" s="383"/>
    </row>
    <row r="467" spans="1:34" s="18" customFormat="1" hidden="1">
      <c r="A467" s="301">
        <v>3131</v>
      </c>
      <c r="B467" s="54" t="s">
        <v>2663</v>
      </c>
      <c r="C467" s="54" t="s">
        <v>2663</v>
      </c>
      <c r="D467" s="54" t="s">
        <v>2871</v>
      </c>
      <c r="E467" s="301">
        <v>3</v>
      </c>
      <c r="F467" s="334">
        <v>4</v>
      </c>
      <c r="G467" s="56">
        <v>131</v>
      </c>
      <c r="H467" s="117" t="s">
        <v>2456</v>
      </c>
      <c r="I467" s="112" t="s">
        <v>2456</v>
      </c>
      <c r="J467" s="113">
        <v>10500100188102</v>
      </c>
      <c r="K467" s="114" t="s">
        <v>89</v>
      </c>
      <c r="L467" s="114"/>
      <c r="M467" s="114">
        <v>13</v>
      </c>
      <c r="N467" s="116" t="s">
        <v>32</v>
      </c>
      <c r="O467" s="117" t="s">
        <v>2457</v>
      </c>
      <c r="P467" s="116">
        <v>2530160</v>
      </c>
      <c r="Q467" s="117" t="s">
        <v>2458</v>
      </c>
      <c r="R467" s="117" t="s">
        <v>2459</v>
      </c>
      <c r="S467" s="118" t="s">
        <v>2460</v>
      </c>
      <c r="T467" s="119">
        <v>139</v>
      </c>
      <c r="U467" s="120">
        <v>303</v>
      </c>
      <c r="V467" s="120">
        <v>0</v>
      </c>
      <c r="W467" s="303" t="s">
        <v>2871</v>
      </c>
      <c r="X467" s="303" t="s">
        <v>2663</v>
      </c>
      <c r="Y467" s="121">
        <v>442</v>
      </c>
      <c r="Z467" s="119">
        <v>0</v>
      </c>
      <c r="AA467" s="120">
        <v>0</v>
      </c>
      <c r="AB467" s="120">
        <v>0</v>
      </c>
      <c r="AC467" s="64"/>
      <c r="AD467" s="303"/>
      <c r="AE467" s="121">
        <v>0</v>
      </c>
      <c r="AF467" s="122">
        <f t="shared" si="10"/>
        <v>442</v>
      </c>
      <c r="AG467" s="337"/>
      <c r="AH467" s="383"/>
    </row>
    <row r="468" spans="1:34" s="18" customFormat="1" hidden="1">
      <c r="A468" s="301">
        <v>3132</v>
      </c>
      <c r="B468" s="54" t="s">
        <v>2663</v>
      </c>
      <c r="C468" s="54" t="s">
        <v>2663</v>
      </c>
      <c r="D468" s="54" t="s">
        <v>2871</v>
      </c>
      <c r="E468" s="301">
        <v>3</v>
      </c>
      <c r="F468" s="334">
        <v>4</v>
      </c>
      <c r="G468" s="56">
        <v>132</v>
      </c>
      <c r="H468" s="117" t="s">
        <v>2461</v>
      </c>
      <c r="I468" s="112" t="s">
        <v>2461</v>
      </c>
      <c r="J468" s="113">
        <v>10500100188103</v>
      </c>
      <c r="K468" s="114" t="s">
        <v>89</v>
      </c>
      <c r="L468" s="114"/>
      <c r="M468" s="114">
        <v>13</v>
      </c>
      <c r="N468" s="116" t="s">
        <v>2462</v>
      </c>
      <c r="O468" s="117" t="s">
        <v>2463</v>
      </c>
      <c r="P468" s="116">
        <v>2533170</v>
      </c>
      <c r="Q468" s="117" t="s">
        <v>1667</v>
      </c>
      <c r="R468" s="117" t="s">
        <v>2464</v>
      </c>
      <c r="S468" s="118" t="s">
        <v>1668</v>
      </c>
      <c r="T468" s="119">
        <v>164</v>
      </c>
      <c r="U468" s="120">
        <v>56</v>
      </c>
      <c r="V468" s="120">
        <v>0</v>
      </c>
      <c r="W468" s="303" t="s">
        <v>2871</v>
      </c>
      <c r="X468" s="303" t="s">
        <v>2663</v>
      </c>
      <c r="Y468" s="121">
        <v>220</v>
      </c>
      <c r="Z468" s="119">
        <v>0</v>
      </c>
      <c r="AA468" s="120">
        <v>0</v>
      </c>
      <c r="AB468" s="120">
        <v>0</v>
      </c>
      <c r="AC468" s="64"/>
      <c r="AD468" s="303"/>
      <c r="AE468" s="121">
        <v>0</v>
      </c>
      <c r="AF468" s="122">
        <f t="shared" si="10"/>
        <v>220</v>
      </c>
      <c r="AG468" s="337"/>
      <c r="AH468" s="383"/>
    </row>
    <row r="469" spans="1:34" s="18" customFormat="1" hidden="1">
      <c r="A469" s="301">
        <v>3133</v>
      </c>
      <c r="B469" s="54" t="s">
        <v>2663</v>
      </c>
      <c r="C469" s="54" t="s">
        <v>2663</v>
      </c>
      <c r="D469" s="54" t="s">
        <v>2871</v>
      </c>
      <c r="E469" s="301">
        <v>3</v>
      </c>
      <c r="F469" s="334">
        <v>4</v>
      </c>
      <c r="G469" s="56">
        <v>133</v>
      </c>
      <c r="H469" s="117" t="s">
        <v>1061</v>
      </c>
      <c r="I469" s="112" t="s">
        <v>1061</v>
      </c>
      <c r="J469" s="113">
        <v>10500101517201</v>
      </c>
      <c r="K469" s="114" t="s">
        <v>89</v>
      </c>
      <c r="L469" s="114"/>
      <c r="M469" s="114">
        <v>13</v>
      </c>
      <c r="N469" s="116" t="s">
        <v>1062</v>
      </c>
      <c r="O469" s="117" t="s">
        <v>1063</v>
      </c>
      <c r="P469" s="116" t="s">
        <v>1064</v>
      </c>
      <c r="Q469" s="117" t="s">
        <v>1065</v>
      </c>
      <c r="R469" s="117" t="s">
        <v>1066</v>
      </c>
      <c r="S469" s="118" t="s">
        <v>1067</v>
      </c>
      <c r="T469" s="119">
        <v>222</v>
      </c>
      <c r="U469" s="120">
        <v>240</v>
      </c>
      <c r="V469" s="120">
        <v>78</v>
      </c>
      <c r="W469" s="303" t="s">
        <v>2871</v>
      </c>
      <c r="X469" s="303" t="s">
        <v>2663</v>
      </c>
      <c r="Y469" s="121">
        <v>540</v>
      </c>
      <c r="Z469" s="119">
        <v>0</v>
      </c>
      <c r="AA469" s="120">
        <v>0</v>
      </c>
      <c r="AB469" s="120">
        <v>0</v>
      </c>
      <c r="AC469" s="64"/>
      <c r="AD469" s="303"/>
      <c r="AE469" s="121">
        <v>0</v>
      </c>
      <c r="AF469" s="122">
        <f t="shared" si="10"/>
        <v>540</v>
      </c>
      <c r="AG469" s="166"/>
      <c r="AH469" s="383"/>
    </row>
    <row r="470" spans="1:34" s="18" customFormat="1" hidden="1">
      <c r="A470" s="301">
        <v>3134</v>
      </c>
      <c r="B470" s="54" t="s">
        <v>2663</v>
      </c>
      <c r="C470" s="54" t="s">
        <v>2663</v>
      </c>
      <c r="D470" s="54" t="s">
        <v>2871</v>
      </c>
      <c r="E470" s="301">
        <v>3</v>
      </c>
      <c r="F470" s="334">
        <v>4</v>
      </c>
      <c r="G470" s="56">
        <v>134</v>
      </c>
      <c r="H470" s="117" t="s">
        <v>1068</v>
      </c>
      <c r="I470" s="112" t="s">
        <v>1068</v>
      </c>
      <c r="J470" s="113">
        <v>10500101517202</v>
      </c>
      <c r="K470" s="114" t="s">
        <v>89</v>
      </c>
      <c r="L470" s="114"/>
      <c r="M470" s="114">
        <v>13</v>
      </c>
      <c r="N470" s="116" t="s">
        <v>1050</v>
      </c>
      <c r="O470" s="117" t="s">
        <v>1069</v>
      </c>
      <c r="P470" s="116">
        <v>2536425</v>
      </c>
      <c r="Q470" s="117" t="s">
        <v>1070</v>
      </c>
      <c r="R470" s="117" t="s">
        <v>1071</v>
      </c>
      <c r="S470" s="118" t="s">
        <v>1072</v>
      </c>
      <c r="T470" s="119">
        <v>194</v>
      </c>
      <c r="U470" s="120">
        <v>90</v>
      </c>
      <c r="V470" s="120">
        <v>43</v>
      </c>
      <c r="W470" s="303" t="s">
        <v>2871</v>
      </c>
      <c r="X470" s="303" t="s">
        <v>2663</v>
      </c>
      <c r="Y470" s="121">
        <v>327</v>
      </c>
      <c r="Z470" s="119">
        <v>0</v>
      </c>
      <c r="AA470" s="120">
        <v>0</v>
      </c>
      <c r="AB470" s="120">
        <v>0</v>
      </c>
      <c r="AC470" s="64"/>
      <c r="AD470" s="303"/>
      <c r="AE470" s="121">
        <v>0</v>
      </c>
      <c r="AF470" s="122">
        <f t="shared" si="10"/>
        <v>327</v>
      </c>
      <c r="AG470" s="166"/>
      <c r="AH470" s="383"/>
    </row>
    <row r="471" spans="1:34" s="18" customFormat="1" hidden="1">
      <c r="A471" s="301">
        <v>3135</v>
      </c>
      <c r="B471" s="54" t="s">
        <v>2663</v>
      </c>
      <c r="C471" s="54" t="s">
        <v>2663</v>
      </c>
      <c r="D471" s="54" t="s">
        <v>2871</v>
      </c>
      <c r="E471" s="301">
        <v>3</v>
      </c>
      <c r="F471" s="334">
        <v>4</v>
      </c>
      <c r="G471" s="56">
        <v>135</v>
      </c>
      <c r="H471" s="117" t="s">
        <v>2465</v>
      </c>
      <c r="I471" s="112" t="s">
        <v>2465</v>
      </c>
      <c r="J471" s="113">
        <v>10500100338702</v>
      </c>
      <c r="K471" s="114" t="s">
        <v>89</v>
      </c>
      <c r="L471" s="114"/>
      <c r="M471" s="114">
        <v>13</v>
      </c>
      <c r="N471" s="116" t="s">
        <v>2466</v>
      </c>
      <c r="O471" s="117" t="s">
        <v>2467</v>
      </c>
      <c r="P471" s="116">
        <v>2340776</v>
      </c>
      <c r="Q471" s="117" t="s">
        <v>2468</v>
      </c>
      <c r="R471" s="117" t="s">
        <v>2469</v>
      </c>
      <c r="S471" s="118" t="s">
        <v>2470</v>
      </c>
      <c r="T471" s="119">
        <v>89</v>
      </c>
      <c r="U471" s="120">
        <v>51</v>
      </c>
      <c r="V471" s="120">
        <v>0</v>
      </c>
      <c r="W471" s="303" t="s">
        <v>2871</v>
      </c>
      <c r="X471" s="303" t="s">
        <v>2663</v>
      </c>
      <c r="Y471" s="121">
        <v>140</v>
      </c>
      <c r="Z471" s="119">
        <v>0</v>
      </c>
      <c r="AA471" s="120">
        <v>0</v>
      </c>
      <c r="AB471" s="120">
        <v>0</v>
      </c>
      <c r="AC471" s="64"/>
      <c r="AD471" s="303"/>
      <c r="AE471" s="121">
        <v>0</v>
      </c>
      <c r="AF471" s="122">
        <f t="shared" si="10"/>
        <v>140</v>
      </c>
      <c r="AG471" s="166"/>
      <c r="AH471" s="383"/>
    </row>
    <row r="472" spans="1:34" s="18" customFormat="1" hidden="1">
      <c r="A472" s="301">
        <v>3136</v>
      </c>
      <c r="B472" s="54" t="s">
        <v>2663</v>
      </c>
      <c r="C472" s="54" t="s">
        <v>2663</v>
      </c>
      <c r="D472" s="54" t="s">
        <v>2871</v>
      </c>
      <c r="E472" s="301">
        <v>3</v>
      </c>
      <c r="F472" s="334">
        <v>4</v>
      </c>
      <c r="G472" s="56">
        <v>136</v>
      </c>
      <c r="H472" s="117" t="s">
        <v>1079</v>
      </c>
      <c r="I472" s="112" t="s">
        <v>1079</v>
      </c>
      <c r="J472" s="113">
        <v>10500100655601</v>
      </c>
      <c r="K472" s="114" t="s">
        <v>89</v>
      </c>
      <c r="L472" s="114"/>
      <c r="M472" s="114">
        <v>13</v>
      </c>
      <c r="N472" s="116" t="s">
        <v>1080</v>
      </c>
      <c r="O472" s="117" t="s">
        <v>1081</v>
      </c>
      <c r="P472" s="116" t="s">
        <v>1082</v>
      </c>
      <c r="Q472" s="117" t="s">
        <v>1083</v>
      </c>
      <c r="R472" s="117" t="s">
        <v>1084</v>
      </c>
      <c r="S472" s="118" t="s">
        <v>1085</v>
      </c>
      <c r="T472" s="119">
        <v>75</v>
      </c>
      <c r="U472" s="120">
        <v>182</v>
      </c>
      <c r="V472" s="120">
        <v>143</v>
      </c>
      <c r="W472" s="303" t="s">
        <v>2871</v>
      </c>
      <c r="X472" s="303" t="s">
        <v>2663</v>
      </c>
      <c r="Y472" s="121">
        <v>400</v>
      </c>
      <c r="Z472" s="119">
        <v>0</v>
      </c>
      <c r="AA472" s="120">
        <v>0</v>
      </c>
      <c r="AB472" s="120">
        <v>0</v>
      </c>
      <c r="AC472" s="64"/>
      <c r="AD472" s="303"/>
      <c r="AE472" s="121">
        <v>0</v>
      </c>
      <c r="AF472" s="122">
        <f t="shared" si="10"/>
        <v>400</v>
      </c>
      <c r="AG472" s="166"/>
      <c r="AH472" s="383"/>
    </row>
    <row r="473" spans="1:34" s="18" customFormat="1" hidden="1">
      <c r="A473" s="301">
        <v>3137</v>
      </c>
      <c r="B473" s="54" t="s">
        <v>2663</v>
      </c>
      <c r="C473" s="54" t="s">
        <v>2663</v>
      </c>
      <c r="D473" s="54" t="s">
        <v>2871</v>
      </c>
      <c r="E473" s="301">
        <v>3</v>
      </c>
      <c r="F473" s="334">
        <v>4</v>
      </c>
      <c r="G473" s="56">
        <v>137</v>
      </c>
      <c r="H473" s="117" t="s">
        <v>1086</v>
      </c>
      <c r="I473" s="112" t="s">
        <v>1087</v>
      </c>
      <c r="J473" s="113">
        <v>10500101901101</v>
      </c>
      <c r="K473" s="114" t="s">
        <v>89</v>
      </c>
      <c r="L473" s="114"/>
      <c r="M473" s="114">
        <v>13</v>
      </c>
      <c r="N473" s="116" t="s">
        <v>1088</v>
      </c>
      <c r="O473" s="117" t="s">
        <v>1089</v>
      </c>
      <c r="P473" s="116">
        <v>4927192</v>
      </c>
      <c r="Q473" s="117" t="s">
        <v>1090</v>
      </c>
      <c r="R473" s="117" t="s">
        <v>1091</v>
      </c>
      <c r="S473" s="118" t="s">
        <v>1092</v>
      </c>
      <c r="T473" s="119">
        <v>0</v>
      </c>
      <c r="U473" s="120">
        <v>100</v>
      </c>
      <c r="V473" s="120">
        <v>0</v>
      </c>
      <c r="W473" s="303" t="s">
        <v>2871</v>
      </c>
      <c r="X473" s="303" t="s">
        <v>2663</v>
      </c>
      <c r="Y473" s="121">
        <v>100</v>
      </c>
      <c r="Z473" s="119">
        <v>0</v>
      </c>
      <c r="AA473" s="120">
        <v>0</v>
      </c>
      <c r="AB473" s="120">
        <v>0</v>
      </c>
      <c r="AC473" s="64"/>
      <c r="AD473" s="303"/>
      <c r="AE473" s="121">
        <v>0</v>
      </c>
      <c r="AF473" s="122">
        <f t="shared" si="10"/>
        <v>100</v>
      </c>
      <c r="AG473" s="166"/>
      <c r="AH473" s="383"/>
    </row>
    <row r="474" spans="1:34" s="18" customFormat="1" hidden="1">
      <c r="A474" s="301">
        <v>3138</v>
      </c>
      <c r="B474" s="54" t="s">
        <v>2663</v>
      </c>
      <c r="C474" s="54" t="s">
        <v>2663</v>
      </c>
      <c r="D474" s="54" t="s">
        <v>2871</v>
      </c>
      <c r="E474" s="301">
        <v>3</v>
      </c>
      <c r="F474" s="334">
        <v>4</v>
      </c>
      <c r="G474" s="56">
        <v>138</v>
      </c>
      <c r="H474" s="117" t="s">
        <v>1093</v>
      </c>
      <c r="I474" s="112" t="s">
        <v>1094</v>
      </c>
      <c r="J474" s="113">
        <v>10500101901101</v>
      </c>
      <c r="K474" s="114" t="s">
        <v>89</v>
      </c>
      <c r="L474" s="114"/>
      <c r="M474" s="114">
        <v>13</v>
      </c>
      <c r="N474" s="116" t="s">
        <v>1088</v>
      </c>
      <c r="O474" s="117" t="s">
        <v>1095</v>
      </c>
      <c r="P474" s="116">
        <v>4922768</v>
      </c>
      <c r="Q474" s="117" t="s">
        <v>1090</v>
      </c>
      <c r="R474" s="117" t="s">
        <v>1096</v>
      </c>
      <c r="S474" s="118" t="s">
        <v>1092</v>
      </c>
      <c r="T474" s="119">
        <v>0</v>
      </c>
      <c r="U474" s="120">
        <v>0</v>
      </c>
      <c r="V474" s="120">
        <v>60</v>
      </c>
      <c r="W474" s="303" t="s">
        <v>2871</v>
      </c>
      <c r="X474" s="303" t="s">
        <v>2663</v>
      </c>
      <c r="Y474" s="121">
        <v>60</v>
      </c>
      <c r="Z474" s="119">
        <v>0</v>
      </c>
      <c r="AA474" s="120">
        <v>0</v>
      </c>
      <c r="AB474" s="120">
        <v>0</v>
      </c>
      <c r="AC474" s="64"/>
      <c r="AD474" s="303"/>
      <c r="AE474" s="121">
        <v>0</v>
      </c>
      <c r="AF474" s="122">
        <f t="shared" si="10"/>
        <v>60</v>
      </c>
      <c r="AG474" s="166"/>
      <c r="AH474" s="383"/>
    </row>
    <row r="475" spans="1:34" s="18" customFormat="1" hidden="1">
      <c r="A475" s="301">
        <v>3139</v>
      </c>
      <c r="B475" s="54" t="s">
        <v>2663</v>
      </c>
      <c r="C475" s="54" t="s">
        <v>2663</v>
      </c>
      <c r="D475" s="54" t="s">
        <v>2871</v>
      </c>
      <c r="E475" s="301">
        <v>3</v>
      </c>
      <c r="F475" s="334">
        <v>4</v>
      </c>
      <c r="G475" s="56">
        <v>139</v>
      </c>
      <c r="H475" s="117" t="s">
        <v>2471</v>
      </c>
      <c r="I475" s="112" t="s">
        <v>2471</v>
      </c>
      <c r="J475" s="113">
        <v>30500102225901</v>
      </c>
      <c r="K475" s="114" t="s">
        <v>167</v>
      </c>
      <c r="L475" s="114"/>
      <c r="M475" s="114">
        <v>13</v>
      </c>
      <c r="N475" s="116" t="s">
        <v>1088</v>
      </c>
      <c r="O475" s="117" t="s">
        <v>2472</v>
      </c>
      <c r="P475" s="116" t="s">
        <v>2473</v>
      </c>
      <c r="Q475" s="117" t="s">
        <v>2474</v>
      </c>
      <c r="R475" s="117" t="s">
        <v>2475</v>
      </c>
      <c r="S475" s="118" t="s">
        <v>2476</v>
      </c>
      <c r="T475" s="119">
        <v>152</v>
      </c>
      <c r="U475" s="120">
        <v>189</v>
      </c>
      <c r="V475" s="120">
        <v>22</v>
      </c>
      <c r="W475" s="303" t="s">
        <v>2871</v>
      </c>
      <c r="X475" s="303" t="s">
        <v>2663</v>
      </c>
      <c r="Y475" s="121">
        <v>363</v>
      </c>
      <c r="Z475" s="119">
        <v>0</v>
      </c>
      <c r="AA475" s="120">
        <v>0</v>
      </c>
      <c r="AB475" s="120">
        <v>0</v>
      </c>
      <c r="AC475" s="64"/>
      <c r="AD475" s="303"/>
      <c r="AE475" s="121">
        <v>0</v>
      </c>
      <c r="AF475" s="122">
        <f t="shared" si="10"/>
        <v>363</v>
      </c>
      <c r="AG475" s="166"/>
      <c r="AH475" s="383"/>
    </row>
    <row r="476" spans="1:34" s="18" customFormat="1" hidden="1">
      <c r="A476" s="301">
        <v>3140</v>
      </c>
      <c r="B476" s="54" t="s">
        <v>2663</v>
      </c>
      <c r="C476" s="54" t="s">
        <v>2663</v>
      </c>
      <c r="D476" s="54" t="s">
        <v>2871</v>
      </c>
      <c r="E476" s="301">
        <v>3</v>
      </c>
      <c r="F476" s="334">
        <v>4</v>
      </c>
      <c r="G476" s="56">
        <v>140</v>
      </c>
      <c r="H476" s="117" t="s">
        <v>1097</v>
      </c>
      <c r="I476" s="112" t="s">
        <v>1097</v>
      </c>
      <c r="J476" s="113">
        <v>10500102668901</v>
      </c>
      <c r="K476" s="114" t="s">
        <v>89</v>
      </c>
      <c r="L476" s="114"/>
      <c r="M476" s="114">
        <v>13</v>
      </c>
      <c r="N476" s="116" t="s">
        <v>1098</v>
      </c>
      <c r="O476" s="117" t="s">
        <v>1099</v>
      </c>
      <c r="P476" s="116" t="s">
        <v>1100</v>
      </c>
      <c r="Q476" s="117" t="s">
        <v>1101</v>
      </c>
      <c r="R476" s="117" t="s">
        <v>1102</v>
      </c>
      <c r="S476" s="118" t="s">
        <v>1103</v>
      </c>
      <c r="T476" s="119">
        <v>236</v>
      </c>
      <c r="U476" s="120">
        <v>152</v>
      </c>
      <c r="V476" s="120">
        <v>30</v>
      </c>
      <c r="W476" s="303" t="s">
        <v>2871</v>
      </c>
      <c r="X476" s="303" t="s">
        <v>2663</v>
      </c>
      <c r="Y476" s="121">
        <v>418</v>
      </c>
      <c r="Z476" s="119">
        <v>0</v>
      </c>
      <c r="AA476" s="120">
        <v>0</v>
      </c>
      <c r="AB476" s="120">
        <v>0</v>
      </c>
      <c r="AC476" s="64"/>
      <c r="AD476" s="303"/>
      <c r="AE476" s="121">
        <v>0</v>
      </c>
      <c r="AF476" s="122">
        <f t="shared" si="10"/>
        <v>418</v>
      </c>
      <c r="AG476" s="166"/>
      <c r="AH476" s="383"/>
    </row>
    <row r="477" spans="1:34" s="18" customFormat="1" hidden="1">
      <c r="A477" s="301">
        <v>3141</v>
      </c>
      <c r="B477" s="54" t="s">
        <v>2663</v>
      </c>
      <c r="C477" s="54" t="s">
        <v>2663</v>
      </c>
      <c r="D477" s="54" t="s">
        <v>2871</v>
      </c>
      <c r="E477" s="301">
        <v>3</v>
      </c>
      <c r="F477" s="334">
        <v>4</v>
      </c>
      <c r="G477" s="56">
        <v>141</v>
      </c>
      <c r="H477" s="117" t="s">
        <v>2477</v>
      </c>
      <c r="I477" s="112" t="s">
        <v>2477</v>
      </c>
      <c r="J477" s="113">
        <v>30500101729801</v>
      </c>
      <c r="K477" s="114" t="s">
        <v>167</v>
      </c>
      <c r="L477" s="114"/>
      <c r="M477" s="114">
        <v>13</v>
      </c>
      <c r="N477" s="116" t="s">
        <v>1098</v>
      </c>
      <c r="O477" s="117" t="s">
        <v>2478</v>
      </c>
      <c r="P477" s="116">
        <v>4260964</v>
      </c>
      <c r="Q477" s="117" t="s">
        <v>2479</v>
      </c>
      <c r="R477" s="117" t="s">
        <v>2480</v>
      </c>
      <c r="S477" s="118" t="s">
        <v>2481</v>
      </c>
      <c r="T477" s="119">
        <v>110</v>
      </c>
      <c r="U477" s="120">
        <v>161</v>
      </c>
      <c r="V477" s="120">
        <v>92</v>
      </c>
      <c r="W477" s="303" t="s">
        <v>2871</v>
      </c>
      <c r="X477" s="303" t="s">
        <v>2663</v>
      </c>
      <c r="Y477" s="121">
        <v>363</v>
      </c>
      <c r="Z477" s="119">
        <v>0</v>
      </c>
      <c r="AA477" s="120">
        <v>0</v>
      </c>
      <c r="AB477" s="120">
        <v>0</v>
      </c>
      <c r="AC477" s="64"/>
      <c r="AD477" s="303"/>
      <c r="AE477" s="121">
        <v>0</v>
      </c>
      <c r="AF477" s="122">
        <f t="shared" si="10"/>
        <v>363</v>
      </c>
      <c r="AG477" s="166"/>
      <c r="AH477" s="383"/>
    </row>
    <row r="478" spans="1:34" s="18" customFormat="1" hidden="1">
      <c r="A478" s="301">
        <v>3142</v>
      </c>
      <c r="B478" s="54" t="s">
        <v>2663</v>
      </c>
      <c r="C478" s="54" t="s">
        <v>2663</v>
      </c>
      <c r="D478" s="54" t="s">
        <v>2871</v>
      </c>
      <c r="E478" s="301">
        <v>3</v>
      </c>
      <c r="F478" s="334">
        <v>4</v>
      </c>
      <c r="G478" s="56">
        <v>142</v>
      </c>
      <c r="H478" s="117" t="s">
        <v>1104</v>
      </c>
      <c r="I478" s="112" t="s">
        <v>1104</v>
      </c>
      <c r="J478" s="113">
        <v>10500101344701</v>
      </c>
      <c r="K478" s="114" t="s">
        <v>89</v>
      </c>
      <c r="L478" s="114"/>
      <c r="M478" s="114">
        <v>60</v>
      </c>
      <c r="N478" s="116" t="s">
        <v>1105</v>
      </c>
      <c r="O478" s="117" t="s">
        <v>1106</v>
      </c>
      <c r="P478" s="116" t="s">
        <v>1107</v>
      </c>
      <c r="Q478" s="117" t="s">
        <v>1108</v>
      </c>
      <c r="R478" s="117" t="s">
        <v>1109</v>
      </c>
      <c r="S478" s="118" t="s">
        <v>1110</v>
      </c>
      <c r="T478" s="119">
        <v>0</v>
      </c>
      <c r="U478" s="120">
        <v>195</v>
      </c>
      <c r="V478" s="120">
        <v>120</v>
      </c>
      <c r="W478" s="303" t="s">
        <v>2871</v>
      </c>
      <c r="X478" s="303" t="s">
        <v>2663</v>
      </c>
      <c r="Y478" s="121">
        <v>315</v>
      </c>
      <c r="Z478" s="119">
        <v>0</v>
      </c>
      <c r="AA478" s="120">
        <v>0</v>
      </c>
      <c r="AB478" s="120">
        <v>0</v>
      </c>
      <c r="AC478" s="64"/>
      <c r="AD478" s="303"/>
      <c r="AE478" s="121">
        <v>0</v>
      </c>
      <c r="AF478" s="122">
        <f t="shared" si="10"/>
        <v>315</v>
      </c>
      <c r="AG478" s="166"/>
      <c r="AH478" s="383"/>
    </row>
    <row r="479" spans="1:34" s="18" customFormat="1" hidden="1">
      <c r="A479" s="301">
        <v>3143</v>
      </c>
      <c r="B479" s="54" t="s">
        <v>2663</v>
      </c>
      <c r="C479" s="54" t="s">
        <v>2663</v>
      </c>
      <c r="D479" s="54" t="s">
        <v>2871</v>
      </c>
      <c r="E479" s="301">
        <v>3</v>
      </c>
      <c r="F479" s="334">
        <v>4</v>
      </c>
      <c r="G479" s="56">
        <v>143</v>
      </c>
      <c r="H479" s="117" t="s">
        <v>2482</v>
      </c>
      <c r="I479" s="112" t="s">
        <v>2482</v>
      </c>
      <c r="J479" s="113">
        <v>20500101026401</v>
      </c>
      <c r="K479" s="114" t="s">
        <v>89</v>
      </c>
      <c r="L479" s="114"/>
      <c r="M479" s="114">
        <v>60</v>
      </c>
      <c r="N479" s="116" t="s">
        <v>1105</v>
      </c>
      <c r="O479" s="117" t="s">
        <v>2483</v>
      </c>
      <c r="P479" s="116">
        <v>4270220</v>
      </c>
      <c r="Q479" s="117" t="s">
        <v>2484</v>
      </c>
      <c r="R479" s="117" t="s">
        <v>2485</v>
      </c>
      <c r="S479" s="118" t="s">
        <v>2486</v>
      </c>
      <c r="T479" s="119">
        <v>0</v>
      </c>
      <c r="U479" s="120">
        <v>190</v>
      </c>
      <c r="V479" s="120">
        <v>210</v>
      </c>
      <c r="W479" s="303" t="s">
        <v>2871</v>
      </c>
      <c r="X479" s="303" t="s">
        <v>2663</v>
      </c>
      <c r="Y479" s="121">
        <v>400</v>
      </c>
      <c r="Z479" s="119">
        <v>0</v>
      </c>
      <c r="AA479" s="120">
        <v>0</v>
      </c>
      <c r="AB479" s="120">
        <v>0</v>
      </c>
      <c r="AC479" s="64"/>
      <c r="AD479" s="303"/>
      <c r="AE479" s="121">
        <v>0</v>
      </c>
      <c r="AF479" s="122">
        <f t="shared" si="10"/>
        <v>400</v>
      </c>
      <c r="AG479" s="337"/>
      <c r="AH479" s="383"/>
    </row>
    <row r="480" spans="1:34" s="18" customFormat="1" hidden="1">
      <c r="A480" s="301">
        <v>3144</v>
      </c>
      <c r="B480" s="54" t="s">
        <v>2663</v>
      </c>
      <c r="C480" s="54" t="s">
        <v>2663</v>
      </c>
      <c r="D480" s="54" t="s">
        <v>2871</v>
      </c>
      <c r="E480" s="301">
        <v>3</v>
      </c>
      <c r="F480" s="334">
        <v>4</v>
      </c>
      <c r="G480" s="56">
        <v>144</v>
      </c>
      <c r="H480" s="117" t="s">
        <v>1111</v>
      </c>
      <c r="I480" s="112" t="s">
        <v>1111</v>
      </c>
      <c r="J480" s="113">
        <v>20500101026402</v>
      </c>
      <c r="K480" s="114" t="s">
        <v>89</v>
      </c>
      <c r="L480" s="114"/>
      <c r="M480" s="114">
        <v>60</v>
      </c>
      <c r="N480" s="116" t="s">
        <v>1105</v>
      </c>
      <c r="O480" s="117" t="s">
        <v>1112</v>
      </c>
      <c r="P480" s="116" t="s">
        <v>1113</v>
      </c>
      <c r="Q480" s="117" t="s">
        <v>1114</v>
      </c>
      <c r="R480" s="117" t="s">
        <v>1115</v>
      </c>
      <c r="S480" s="118" t="s">
        <v>1116</v>
      </c>
      <c r="T480" s="119">
        <v>150</v>
      </c>
      <c r="U480" s="120">
        <v>150</v>
      </c>
      <c r="V480" s="120">
        <v>0</v>
      </c>
      <c r="W480" s="303" t="s">
        <v>2871</v>
      </c>
      <c r="X480" s="303" t="s">
        <v>2663</v>
      </c>
      <c r="Y480" s="121">
        <v>300</v>
      </c>
      <c r="Z480" s="119">
        <v>0</v>
      </c>
      <c r="AA480" s="120">
        <v>0</v>
      </c>
      <c r="AB480" s="120">
        <v>0</v>
      </c>
      <c r="AC480" s="64"/>
      <c r="AD480" s="303"/>
      <c r="AE480" s="121">
        <v>0</v>
      </c>
      <c r="AF480" s="122">
        <f t="shared" si="10"/>
        <v>300</v>
      </c>
      <c r="AG480" s="166"/>
      <c r="AH480" s="383"/>
    </row>
    <row r="481" spans="1:34" s="18" customFormat="1" ht="28.8" hidden="1">
      <c r="A481" s="301">
        <v>3145</v>
      </c>
      <c r="B481" s="54" t="s">
        <v>2663</v>
      </c>
      <c r="C481" s="54" t="s">
        <v>2663</v>
      </c>
      <c r="D481" s="54" t="s">
        <v>2872</v>
      </c>
      <c r="E481" s="301">
        <v>3</v>
      </c>
      <c r="F481" s="334">
        <v>4</v>
      </c>
      <c r="G481" s="56">
        <v>145</v>
      </c>
      <c r="H481" s="117" t="s">
        <v>1723</v>
      </c>
      <c r="I481" s="112" t="s">
        <v>1723</v>
      </c>
      <c r="J481" s="113">
        <v>20500100623201</v>
      </c>
      <c r="K481" s="114" t="s">
        <v>89</v>
      </c>
      <c r="L481" s="114"/>
      <c r="M481" s="114">
        <v>60</v>
      </c>
      <c r="N481" s="116" t="s">
        <v>1105</v>
      </c>
      <c r="O481" s="117" t="s">
        <v>1724</v>
      </c>
      <c r="P481" s="116" t="s">
        <v>1725</v>
      </c>
      <c r="Q481" s="117" t="s">
        <v>1726</v>
      </c>
      <c r="R481" s="117" t="s">
        <v>1727</v>
      </c>
      <c r="S481" s="118" t="s">
        <v>1728</v>
      </c>
      <c r="T481" s="119">
        <v>306</v>
      </c>
      <c r="U481" s="120">
        <v>0</v>
      </c>
      <c r="V481" s="120">
        <v>0</v>
      </c>
      <c r="W481" s="303" t="s">
        <v>2871</v>
      </c>
      <c r="X481" s="303" t="s">
        <v>2663</v>
      </c>
      <c r="Y481" s="121">
        <v>306</v>
      </c>
      <c r="Z481" s="119">
        <v>63</v>
      </c>
      <c r="AA481" s="120">
        <v>767</v>
      </c>
      <c r="AB481" s="120">
        <v>50</v>
      </c>
      <c r="AC481" s="64" t="s">
        <v>2866</v>
      </c>
      <c r="AD481" s="303" t="s">
        <v>2663</v>
      </c>
      <c r="AE481" s="121">
        <v>880</v>
      </c>
      <c r="AF481" s="122">
        <f t="shared" si="10"/>
        <v>1186</v>
      </c>
      <c r="AG481" s="166"/>
      <c r="AH481" s="383"/>
    </row>
    <row r="482" spans="1:34" s="18" customFormat="1" hidden="1">
      <c r="A482" s="301">
        <v>3146</v>
      </c>
      <c r="B482" s="54" t="s">
        <v>2663</v>
      </c>
      <c r="C482" s="54" t="s">
        <v>2663</v>
      </c>
      <c r="D482" s="54" t="s">
        <v>2871</v>
      </c>
      <c r="E482" s="301">
        <v>3</v>
      </c>
      <c r="F482" s="334">
        <v>4</v>
      </c>
      <c r="G482" s="56">
        <v>146</v>
      </c>
      <c r="H482" s="117" t="s">
        <v>1760</v>
      </c>
      <c r="I482" s="112" t="s">
        <v>1760</v>
      </c>
      <c r="J482" s="113">
        <v>10500102600002</v>
      </c>
      <c r="K482" s="114" t="s">
        <v>89</v>
      </c>
      <c r="L482" s="114"/>
      <c r="M482" s="114">
        <v>60</v>
      </c>
      <c r="N482" s="116" t="s">
        <v>1105</v>
      </c>
      <c r="O482" s="117" t="s">
        <v>1761</v>
      </c>
      <c r="P482" s="116">
        <v>4273044</v>
      </c>
      <c r="Q482" s="117" t="s">
        <v>1762</v>
      </c>
      <c r="R482" s="117" t="s">
        <v>1763</v>
      </c>
      <c r="S482" s="118" t="s">
        <v>1764</v>
      </c>
      <c r="T482" s="119">
        <v>0</v>
      </c>
      <c r="U482" s="120">
        <v>98</v>
      </c>
      <c r="V482" s="120">
        <v>0</v>
      </c>
      <c r="W482" s="303" t="s">
        <v>2871</v>
      </c>
      <c r="X482" s="303" t="s">
        <v>2663</v>
      </c>
      <c r="Y482" s="121">
        <v>98</v>
      </c>
      <c r="Z482" s="119">
        <v>0</v>
      </c>
      <c r="AA482" s="120">
        <v>0</v>
      </c>
      <c r="AB482" s="120">
        <v>0</v>
      </c>
      <c r="AC482" s="64"/>
      <c r="AD482" s="303"/>
      <c r="AE482" s="121">
        <v>0</v>
      </c>
      <c r="AF482" s="122">
        <f t="shared" si="10"/>
        <v>98</v>
      </c>
      <c r="AG482" s="166"/>
      <c r="AH482" s="383"/>
    </row>
    <row r="483" spans="1:34" s="18" customFormat="1" hidden="1">
      <c r="A483" s="301">
        <v>3147</v>
      </c>
      <c r="B483" s="54" t="s">
        <v>2663</v>
      </c>
      <c r="C483" s="54" t="s">
        <v>2663</v>
      </c>
      <c r="D483" s="54" t="s">
        <v>2866</v>
      </c>
      <c r="E483" s="301">
        <v>3</v>
      </c>
      <c r="F483" s="334">
        <v>4</v>
      </c>
      <c r="G483" s="56">
        <v>147</v>
      </c>
      <c r="H483" s="117" t="s">
        <v>2487</v>
      </c>
      <c r="I483" s="112" t="s">
        <v>2488</v>
      </c>
      <c r="J483" s="113">
        <v>30500102253401</v>
      </c>
      <c r="K483" s="114" t="s">
        <v>167</v>
      </c>
      <c r="L483" s="114"/>
      <c r="M483" s="114">
        <v>60</v>
      </c>
      <c r="N483" s="116" t="s">
        <v>1118</v>
      </c>
      <c r="O483" s="117" t="s">
        <v>2489</v>
      </c>
      <c r="P483" s="116">
        <v>4262498</v>
      </c>
      <c r="Q483" s="117" t="s">
        <v>2490</v>
      </c>
      <c r="R483" s="117" t="s">
        <v>2491</v>
      </c>
      <c r="S483" s="118" t="s">
        <v>2492</v>
      </c>
      <c r="T483" s="119">
        <v>0</v>
      </c>
      <c r="U483" s="120">
        <v>0</v>
      </c>
      <c r="V483" s="120">
        <v>0</v>
      </c>
      <c r="W483" s="303"/>
      <c r="X483" s="303"/>
      <c r="Y483" s="121">
        <v>0</v>
      </c>
      <c r="Z483" s="119">
        <v>112</v>
      </c>
      <c r="AA483" s="120">
        <v>88</v>
      </c>
      <c r="AB483" s="120">
        <v>0</v>
      </c>
      <c r="AC483" s="64" t="s">
        <v>2866</v>
      </c>
      <c r="AD483" s="303" t="s">
        <v>2663</v>
      </c>
      <c r="AE483" s="121">
        <v>200</v>
      </c>
      <c r="AF483" s="122">
        <f t="shared" si="10"/>
        <v>200</v>
      </c>
      <c r="AG483" s="337"/>
      <c r="AH483" s="383"/>
    </row>
    <row r="484" spans="1:34" s="18" customFormat="1" hidden="1">
      <c r="A484" s="301">
        <v>3148</v>
      </c>
      <c r="B484" s="54" t="s">
        <v>2663</v>
      </c>
      <c r="C484" s="54" t="s">
        <v>2663</v>
      </c>
      <c r="D484" s="54" t="s">
        <v>2871</v>
      </c>
      <c r="E484" s="301">
        <v>3</v>
      </c>
      <c r="F484" s="334">
        <v>4</v>
      </c>
      <c r="G484" s="56">
        <v>148</v>
      </c>
      <c r="H484" s="117" t="s">
        <v>1117</v>
      </c>
      <c r="I484" s="112" t="s">
        <v>1117</v>
      </c>
      <c r="J484" s="113">
        <v>10500102657301</v>
      </c>
      <c r="K484" s="114" t="s">
        <v>89</v>
      </c>
      <c r="L484" s="114"/>
      <c r="M484" s="114">
        <v>60</v>
      </c>
      <c r="N484" s="116" t="s">
        <v>1118</v>
      </c>
      <c r="O484" s="117" t="s">
        <v>1119</v>
      </c>
      <c r="P484" s="116"/>
      <c r="Q484" s="117" t="s">
        <v>1120</v>
      </c>
      <c r="R484" s="117" t="s">
        <v>1121</v>
      </c>
      <c r="S484" s="118" t="s">
        <v>1122</v>
      </c>
      <c r="T484" s="119">
        <v>402</v>
      </c>
      <c r="U484" s="120">
        <v>475</v>
      </c>
      <c r="V484" s="120">
        <v>190</v>
      </c>
      <c r="W484" s="303" t="s">
        <v>2871</v>
      </c>
      <c r="X484" s="303" t="s">
        <v>2663</v>
      </c>
      <c r="Y484" s="121">
        <v>1067</v>
      </c>
      <c r="Z484" s="119">
        <v>0</v>
      </c>
      <c r="AA484" s="120">
        <v>0</v>
      </c>
      <c r="AB484" s="120">
        <v>0</v>
      </c>
      <c r="AC484" s="64"/>
      <c r="AD484" s="303"/>
      <c r="AE484" s="121">
        <v>0</v>
      </c>
      <c r="AF484" s="122">
        <f t="shared" si="10"/>
        <v>1067</v>
      </c>
      <c r="AG484" s="166"/>
      <c r="AH484" s="383"/>
    </row>
    <row r="485" spans="1:34" s="18" customFormat="1" hidden="1">
      <c r="A485" s="301">
        <v>3149</v>
      </c>
      <c r="B485" s="54" t="s">
        <v>2663</v>
      </c>
      <c r="C485" s="54" t="s">
        <v>2663</v>
      </c>
      <c r="D485" s="54" t="s">
        <v>2871</v>
      </c>
      <c r="E485" s="301">
        <v>3</v>
      </c>
      <c r="F485" s="334">
        <v>4</v>
      </c>
      <c r="G485" s="56">
        <v>149</v>
      </c>
      <c r="H485" s="117" t="s">
        <v>2493</v>
      </c>
      <c r="I485" s="112" t="s">
        <v>2493</v>
      </c>
      <c r="J485" s="113">
        <v>10500102657302</v>
      </c>
      <c r="K485" s="114" t="s">
        <v>89</v>
      </c>
      <c r="L485" s="114"/>
      <c r="M485" s="114">
        <v>60</v>
      </c>
      <c r="N485" s="116" t="s">
        <v>1118</v>
      </c>
      <c r="O485" s="117" t="s">
        <v>2494</v>
      </c>
      <c r="P485" s="116"/>
      <c r="Q485" s="117"/>
      <c r="R485" s="117"/>
      <c r="S485" s="118"/>
      <c r="T485" s="119">
        <v>0</v>
      </c>
      <c r="U485" s="120">
        <v>199</v>
      </c>
      <c r="V485" s="120">
        <v>0</v>
      </c>
      <c r="W485" s="303" t="s">
        <v>2871</v>
      </c>
      <c r="X485" s="303" t="s">
        <v>2663</v>
      </c>
      <c r="Y485" s="121">
        <v>199</v>
      </c>
      <c r="Z485" s="119">
        <v>0</v>
      </c>
      <c r="AA485" s="120">
        <v>0</v>
      </c>
      <c r="AB485" s="120">
        <v>0</v>
      </c>
      <c r="AC485" s="64"/>
      <c r="AD485" s="303"/>
      <c r="AE485" s="121">
        <v>0</v>
      </c>
      <c r="AF485" s="122">
        <f t="shared" si="10"/>
        <v>199</v>
      </c>
      <c r="AG485" s="166"/>
      <c r="AH485" s="383"/>
    </row>
    <row r="486" spans="1:34" s="18" customFormat="1" hidden="1">
      <c r="A486" s="301">
        <v>3150</v>
      </c>
      <c r="B486" s="54" t="s">
        <v>2663</v>
      </c>
      <c r="C486" s="54" t="s">
        <v>2663</v>
      </c>
      <c r="D486" s="54" t="s">
        <v>2871</v>
      </c>
      <c r="E486" s="301">
        <v>3</v>
      </c>
      <c r="F486" s="334">
        <v>4</v>
      </c>
      <c r="G486" s="56">
        <v>150</v>
      </c>
      <c r="H486" s="117" t="s">
        <v>1780</v>
      </c>
      <c r="I486" s="112" t="s">
        <v>1780</v>
      </c>
      <c r="J486" s="113">
        <v>20500100219901</v>
      </c>
      <c r="K486" s="114" t="s">
        <v>89</v>
      </c>
      <c r="L486" s="114"/>
      <c r="M486" s="114">
        <v>60</v>
      </c>
      <c r="N486" s="116" t="s">
        <v>1105</v>
      </c>
      <c r="O486" s="117" t="s">
        <v>1781</v>
      </c>
      <c r="P486" s="116">
        <v>4273235</v>
      </c>
      <c r="Q486" s="117" t="s">
        <v>1782</v>
      </c>
      <c r="R486" s="117" t="s">
        <v>1783</v>
      </c>
      <c r="S486" s="118" t="s">
        <v>1784</v>
      </c>
      <c r="T486" s="119">
        <v>74</v>
      </c>
      <c r="U486" s="120">
        <v>188</v>
      </c>
      <c r="V486" s="120">
        <v>67</v>
      </c>
      <c r="W486" s="303" t="s">
        <v>2871</v>
      </c>
      <c r="X486" s="303" t="s">
        <v>2663</v>
      </c>
      <c r="Y486" s="121">
        <v>329</v>
      </c>
      <c r="Z486" s="119">
        <v>0</v>
      </c>
      <c r="AA486" s="120">
        <v>0</v>
      </c>
      <c r="AB486" s="120">
        <v>0</v>
      </c>
      <c r="AC486" s="64"/>
      <c r="AD486" s="303"/>
      <c r="AE486" s="121">
        <v>0</v>
      </c>
      <c r="AF486" s="122">
        <f t="shared" si="10"/>
        <v>329</v>
      </c>
      <c r="AG486" s="166"/>
      <c r="AH486" s="383"/>
    </row>
    <row r="487" spans="1:34" s="18" customFormat="1" ht="22.8" hidden="1">
      <c r="A487" s="301">
        <v>3151</v>
      </c>
      <c r="B487" s="54" t="s">
        <v>2663</v>
      </c>
      <c r="C487" s="54" t="s">
        <v>2663</v>
      </c>
      <c r="D487" s="54" t="s">
        <v>2871</v>
      </c>
      <c r="E487" s="301">
        <v>3</v>
      </c>
      <c r="F487" s="302">
        <v>6</v>
      </c>
      <c r="G487" s="56">
        <v>151</v>
      </c>
      <c r="H487" s="226" t="s">
        <v>2495</v>
      </c>
      <c r="I487" s="57" t="s">
        <v>2495</v>
      </c>
      <c r="J487" s="58">
        <v>10500100207101</v>
      </c>
      <c r="K487" s="59" t="s">
        <v>89</v>
      </c>
      <c r="L487" s="227"/>
      <c r="M487" s="59">
        <v>15</v>
      </c>
      <c r="N487" s="57" t="s">
        <v>2496</v>
      </c>
      <c r="O487" s="57" t="s">
        <v>2497</v>
      </c>
      <c r="P487" s="57" t="s">
        <v>2498</v>
      </c>
      <c r="Q487" s="57" t="s">
        <v>2499</v>
      </c>
      <c r="R487" s="57" t="s">
        <v>2500</v>
      </c>
      <c r="S487" s="61" t="s">
        <v>2501</v>
      </c>
      <c r="T487" s="62">
        <v>0</v>
      </c>
      <c r="U487" s="63">
        <v>100</v>
      </c>
      <c r="V487" s="63">
        <v>90</v>
      </c>
      <c r="W487" s="303" t="s">
        <v>2871</v>
      </c>
      <c r="X487" s="303" t="s">
        <v>2663</v>
      </c>
      <c r="Y487" s="65">
        <v>190</v>
      </c>
      <c r="Z487" s="62">
        <v>0</v>
      </c>
      <c r="AA487" s="63">
        <v>0</v>
      </c>
      <c r="AB487" s="63">
        <v>0</v>
      </c>
      <c r="AC487" s="64"/>
      <c r="AD487" s="303"/>
      <c r="AE487" s="65">
        <v>0</v>
      </c>
      <c r="AF487" s="66">
        <f t="shared" si="10"/>
        <v>190</v>
      </c>
      <c r="AG487" s="68"/>
      <c r="AH487" s="383"/>
    </row>
    <row r="488" spans="1:34" s="18" customFormat="1" ht="22.8" hidden="1">
      <c r="A488" s="301">
        <v>3152</v>
      </c>
      <c r="B488" s="54" t="s">
        <v>2663</v>
      </c>
      <c r="C488" s="54" t="s">
        <v>2663</v>
      </c>
      <c r="D488" s="54" t="s">
        <v>2871</v>
      </c>
      <c r="E488" s="301">
        <v>3</v>
      </c>
      <c r="F488" s="302">
        <v>6</v>
      </c>
      <c r="G488" s="56">
        <v>152</v>
      </c>
      <c r="H488" s="226" t="s">
        <v>2502</v>
      </c>
      <c r="I488" s="57" t="s">
        <v>2502</v>
      </c>
      <c r="J488" s="58">
        <v>10500100207102</v>
      </c>
      <c r="K488" s="59" t="s">
        <v>89</v>
      </c>
      <c r="L488" s="227"/>
      <c r="M488" s="59">
        <v>15</v>
      </c>
      <c r="N488" s="57" t="s">
        <v>2496</v>
      </c>
      <c r="O488" s="57" t="s">
        <v>2503</v>
      </c>
      <c r="P488" s="57" t="s">
        <v>2504</v>
      </c>
      <c r="Q488" s="57" t="s">
        <v>2505</v>
      </c>
      <c r="R488" s="57" t="s">
        <v>2506</v>
      </c>
      <c r="S488" s="61" t="s">
        <v>2507</v>
      </c>
      <c r="T488" s="62">
        <v>100</v>
      </c>
      <c r="U488" s="313">
        <v>130</v>
      </c>
      <c r="V488" s="313">
        <v>0</v>
      </c>
      <c r="W488" s="303" t="s">
        <v>2871</v>
      </c>
      <c r="X488" s="303" t="s">
        <v>2663</v>
      </c>
      <c r="Y488" s="340">
        <v>230</v>
      </c>
      <c r="Z488" s="62">
        <v>0</v>
      </c>
      <c r="AA488" s="63">
        <v>0</v>
      </c>
      <c r="AB488" s="63">
        <v>0</v>
      </c>
      <c r="AC488" s="64"/>
      <c r="AD488" s="303"/>
      <c r="AE488" s="65">
        <v>0</v>
      </c>
      <c r="AF488" s="66">
        <f t="shared" si="10"/>
        <v>230</v>
      </c>
      <c r="AG488" s="230"/>
      <c r="AH488" s="383"/>
    </row>
    <row r="489" spans="1:34" s="18" customFormat="1" ht="22.8" hidden="1">
      <c r="A489" s="301">
        <v>3153</v>
      </c>
      <c r="B489" s="54" t="s">
        <v>2663</v>
      </c>
      <c r="C489" s="54" t="s">
        <v>2663</v>
      </c>
      <c r="D489" s="54" t="s">
        <v>2871</v>
      </c>
      <c r="E489" s="301">
        <v>3</v>
      </c>
      <c r="F489" s="302">
        <v>6</v>
      </c>
      <c r="G489" s="56">
        <v>153</v>
      </c>
      <c r="H489" s="226" t="s">
        <v>1791</v>
      </c>
      <c r="I489" s="57" t="s">
        <v>1791</v>
      </c>
      <c r="J489" s="58">
        <v>10500100039601</v>
      </c>
      <c r="K489" s="59" t="s">
        <v>89</v>
      </c>
      <c r="L489" s="233" t="s">
        <v>63</v>
      </c>
      <c r="M489" s="59">
        <v>15</v>
      </c>
      <c r="N489" s="57" t="s">
        <v>1792</v>
      </c>
      <c r="O489" s="57" t="s">
        <v>1793</v>
      </c>
      <c r="P489" s="57" t="s">
        <v>1794</v>
      </c>
      <c r="Q489" s="57" t="s">
        <v>1795</v>
      </c>
      <c r="R489" s="57" t="s">
        <v>1796</v>
      </c>
      <c r="S489" s="61" t="s">
        <v>1797</v>
      </c>
      <c r="T489" s="62">
        <v>0</v>
      </c>
      <c r="U489" s="63">
        <v>85</v>
      </c>
      <c r="V489" s="63">
        <v>95</v>
      </c>
      <c r="W489" s="303" t="s">
        <v>2871</v>
      </c>
      <c r="X489" s="303" t="s">
        <v>2663</v>
      </c>
      <c r="Y489" s="65">
        <v>180</v>
      </c>
      <c r="Z489" s="62">
        <v>0</v>
      </c>
      <c r="AA489" s="63">
        <v>0</v>
      </c>
      <c r="AB489" s="63">
        <v>0</v>
      </c>
      <c r="AC489" s="64"/>
      <c r="AD489" s="303"/>
      <c r="AE489" s="65">
        <v>0</v>
      </c>
      <c r="AF489" s="66">
        <f t="shared" si="10"/>
        <v>180</v>
      </c>
      <c r="AG489" s="234"/>
      <c r="AH489" s="383"/>
    </row>
    <row r="490" spans="1:34" s="18" customFormat="1" ht="45.6" hidden="1">
      <c r="A490" s="301">
        <v>3154</v>
      </c>
      <c r="B490" s="54" t="s">
        <v>2663</v>
      </c>
      <c r="C490" s="54" t="s">
        <v>2663</v>
      </c>
      <c r="D490" s="54" t="s">
        <v>2871</v>
      </c>
      <c r="E490" s="301">
        <v>3</v>
      </c>
      <c r="F490" s="302">
        <v>6</v>
      </c>
      <c r="G490" s="56">
        <v>154</v>
      </c>
      <c r="H490" s="226" t="s">
        <v>2508</v>
      </c>
      <c r="I490" s="57" t="s">
        <v>2508</v>
      </c>
      <c r="J490" s="58">
        <v>10500101036701</v>
      </c>
      <c r="K490" s="59" t="s">
        <v>89</v>
      </c>
      <c r="L490" s="227"/>
      <c r="M490" s="59">
        <v>15</v>
      </c>
      <c r="N490" s="57" t="s">
        <v>2496</v>
      </c>
      <c r="O490" s="57" t="s">
        <v>2509</v>
      </c>
      <c r="P490" s="57">
        <v>2357397</v>
      </c>
      <c r="Q490" s="57" t="s">
        <v>2510</v>
      </c>
      <c r="R490" s="57" t="s">
        <v>2511</v>
      </c>
      <c r="S490" s="61" t="s">
        <v>2512</v>
      </c>
      <c r="T490" s="62">
        <v>0</v>
      </c>
      <c r="U490" s="63">
        <v>85</v>
      </c>
      <c r="V490" s="63">
        <v>55</v>
      </c>
      <c r="W490" s="303" t="s">
        <v>2871</v>
      </c>
      <c r="X490" s="303" t="s">
        <v>2663</v>
      </c>
      <c r="Y490" s="65">
        <v>140</v>
      </c>
      <c r="Z490" s="62">
        <v>0</v>
      </c>
      <c r="AA490" s="63">
        <v>0</v>
      </c>
      <c r="AB490" s="63">
        <v>0</v>
      </c>
      <c r="AC490" s="64"/>
      <c r="AD490" s="303"/>
      <c r="AE490" s="65">
        <v>0</v>
      </c>
      <c r="AF490" s="66">
        <f t="shared" si="10"/>
        <v>140</v>
      </c>
      <c r="AG490" s="68"/>
      <c r="AH490" s="383"/>
    </row>
    <row r="491" spans="1:34" s="18" customFormat="1" ht="34.200000000000003" hidden="1">
      <c r="A491" s="301">
        <v>3155</v>
      </c>
      <c r="B491" s="54" t="s">
        <v>2663</v>
      </c>
      <c r="C491" s="54" t="s">
        <v>2663</v>
      </c>
      <c r="D491" s="54" t="s">
        <v>2872</v>
      </c>
      <c r="E491" s="301">
        <v>3</v>
      </c>
      <c r="F491" s="302">
        <v>6</v>
      </c>
      <c r="G491" s="56">
        <v>155</v>
      </c>
      <c r="H491" s="226" t="s">
        <v>2513</v>
      </c>
      <c r="I491" s="57" t="s">
        <v>2513</v>
      </c>
      <c r="J491" s="58">
        <v>10500101036702</v>
      </c>
      <c r="K491" s="59" t="s">
        <v>89</v>
      </c>
      <c r="L491" s="227"/>
      <c r="M491" s="59">
        <v>15</v>
      </c>
      <c r="N491" s="57" t="s">
        <v>2496</v>
      </c>
      <c r="O491" s="57" t="s">
        <v>2514</v>
      </c>
      <c r="P491" s="57">
        <v>2356452</v>
      </c>
      <c r="Q491" s="57" t="s">
        <v>2510</v>
      </c>
      <c r="R491" s="57" t="s">
        <v>2515</v>
      </c>
      <c r="S491" s="61" t="s">
        <v>2516</v>
      </c>
      <c r="T491" s="62">
        <v>118</v>
      </c>
      <c r="U491" s="63">
        <v>67</v>
      </c>
      <c r="V491" s="63">
        <v>0</v>
      </c>
      <c r="W491" s="303" t="s">
        <v>2871</v>
      </c>
      <c r="X491" s="303" t="s">
        <v>2663</v>
      </c>
      <c r="Y491" s="65">
        <v>185</v>
      </c>
      <c r="Z491" s="62">
        <v>86</v>
      </c>
      <c r="AA491" s="63">
        <v>54</v>
      </c>
      <c r="AB491" s="63">
        <v>0</v>
      </c>
      <c r="AC491" s="64" t="s">
        <v>2866</v>
      </c>
      <c r="AD491" s="303" t="s">
        <v>2663</v>
      </c>
      <c r="AE491" s="65">
        <v>140</v>
      </c>
      <c r="AF491" s="66">
        <f t="shared" si="10"/>
        <v>325</v>
      </c>
      <c r="AG491" s="68"/>
      <c r="AH491" s="383"/>
    </row>
    <row r="492" spans="1:34" s="18" customFormat="1" ht="22.8" hidden="1">
      <c r="A492" s="301">
        <v>3156</v>
      </c>
      <c r="B492" s="54" t="s">
        <v>2663</v>
      </c>
      <c r="C492" s="54" t="s">
        <v>2663</v>
      </c>
      <c r="D492" s="54" t="s">
        <v>2871</v>
      </c>
      <c r="E492" s="301">
        <v>3</v>
      </c>
      <c r="F492" s="302">
        <v>6</v>
      </c>
      <c r="G492" s="56">
        <v>156</v>
      </c>
      <c r="H492" s="226" t="s">
        <v>2517</v>
      </c>
      <c r="I492" s="57" t="s">
        <v>2517</v>
      </c>
      <c r="J492" s="58">
        <v>10500100479101</v>
      </c>
      <c r="K492" s="59" t="s">
        <v>89</v>
      </c>
      <c r="L492" s="227"/>
      <c r="M492" s="59">
        <v>15</v>
      </c>
      <c r="N492" s="57" t="s">
        <v>2496</v>
      </c>
      <c r="O492" s="57" t="s">
        <v>2518</v>
      </c>
      <c r="P492" s="57" t="s">
        <v>2519</v>
      </c>
      <c r="Q492" s="57" t="s">
        <v>2520</v>
      </c>
      <c r="R492" s="57" t="s">
        <v>2521</v>
      </c>
      <c r="S492" s="61" t="s">
        <v>2522</v>
      </c>
      <c r="T492" s="62">
        <v>70</v>
      </c>
      <c r="U492" s="63">
        <v>110</v>
      </c>
      <c r="V492" s="63">
        <v>70</v>
      </c>
      <c r="W492" s="303" t="s">
        <v>2871</v>
      </c>
      <c r="X492" s="303" t="s">
        <v>2663</v>
      </c>
      <c r="Y492" s="65">
        <v>250</v>
      </c>
      <c r="Z492" s="62">
        <v>0</v>
      </c>
      <c r="AA492" s="63">
        <v>0</v>
      </c>
      <c r="AB492" s="63">
        <v>0</v>
      </c>
      <c r="AC492" s="64"/>
      <c r="AD492" s="303"/>
      <c r="AE492" s="65">
        <v>0</v>
      </c>
      <c r="AF492" s="66">
        <f t="shared" si="10"/>
        <v>250</v>
      </c>
      <c r="AG492" s="68"/>
      <c r="AH492" s="383"/>
    </row>
    <row r="493" spans="1:34" s="18" customFormat="1" ht="34.200000000000003" hidden="1">
      <c r="A493" s="301">
        <v>3157</v>
      </c>
      <c r="B493" s="54" t="s">
        <v>2663</v>
      </c>
      <c r="C493" s="54" t="s">
        <v>2663</v>
      </c>
      <c r="D493" s="54" t="s">
        <v>2872</v>
      </c>
      <c r="E493" s="301">
        <v>3</v>
      </c>
      <c r="F493" s="302">
        <v>6</v>
      </c>
      <c r="G493" s="56">
        <v>157</v>
      </c>
      <c r="H493" s="226" t="s">
        <v>2523</v>
      </c>
      <c r="I493" s="57" t="s">
        <v>2523</v>
      </c>
      <c r="J493" s="58">
        <v>10500100163502</v>
      </c>
      <c r="K493" s="59" t="s">
        <v>89</v>
      </c>
      <c r="L493" s="227"/>
      <c r="M493" s="59">
        <v>16</v>
      </c>
      <c r="N493" s="57" t="s">
        <v>1191</v>
      </c>
      <c r="O493" s="57" t="s">
        <v>2524</v>
      </c>
      <c r="P493" s="57">
        <v>3432833</v>
      </c>
      <c r="Q493" s="57" t="s">
        <v>2525</v>
      </c>
      <c r="R493" s="57" t="s">
        <v>2526</v>
      </c>
      <c r="S493" s="61" t="s">
        <v>2527</v>
      </c>
      <c r="T493" s="62">
        <v>20</v>
      </c>
      <c r="U493" s="63">
        <v>0</v>
      </c>
      <c r="V493" s="63">
        <v>0</v>
      </c>
      <c r="W493" s="303" t="s">
        <v>2871</v>
      </c>
      <c r="X493" s="303" t="s">
        <v>2663</v>
      </c>
      <c r="Y493" s="65">
        <v>20</v>
      </c>
      <c r="Z493" s="62">
        <v>120</v>
      </c>
      <c r="AA493" s="63">
        <v>0</v>
      </c>
      <c r="AB493" s="63">
        <v>0</v>
      </c>
      <c r="AC493" s="64" t="s">
        <v>2866</v>
      </c>
      <c r="AD493" s="303" t="s">
        <v>2663</v>
      </c>
      <c r="AE493" s="65">
        <v>120</v>
      </c>
      <c r="AF493" s="66">
        <f t="shared" si="10"/>
        <v>140</v>
      </c>
      <c r="AG493" s="234"/>
      <c r="AH493" s="383"/>
    </row>
    <row r="494" spans="1:34" s="18" customFormat="1" ht="34.200000000000003" hidden="1">
      <c r="A494" s="301">
        <v>3158</v>
      </c>
      <c r="B494" s="54" t="s">
        <v>2663</v>
      </c>
      <c r="C494" s="54" t="s">
        <v>2663</v>
      </c>
      <c r="D494" s="54" t="s">
        <v>2872</v>
      </c>
      <c r="E494" s="301">
        <v>3</v>
      </c>
      <c r="F494" s="302">
        <v>6</v>
      </c>
      <c r="G494" s="56">
        <v>158</v>
      </c>
      <c r="H494" s="226" t="s">
        <v>2528</v>
      </c>
      <c r="I494" s="57" t="s">
        <v>2528</v>
      </c>
      <c r="J494" s="58">
        <v>10500101992501</v>
      </c>
      <c r="K494" s="59" t="s">
        <v>89</v>
      </c>
      <c r="L494" s="227"/>
      <c r="M494" s="59">
        <v>16</v>
      </c>
      <c r="N494" s="57" t="s">
        <v>1185</v>
      </c>
      <c r="O494" s="57" t="s">
        <v>2529</v>
      </c>
      <c r="P494" s="57" t="s">
        <v>2530</v>
      </c>
      <c r="Q494" s="57" t="s">
        <v>1199</v>
      </c>
      <c r="R494" s="57" t="s">
        <v>2531</v>
      </c>
      <c r="S494" s="61" t="s">
        <v>2532</v>
      </c>
      <c r="T494" s="62">
        <v>0</v>
      </c>
      <c r="U494" s="63">
        <v>155</v>
      </c>
      <c r="V494" s="63">
        <v>81</v>
      </c>
      <c r="W494" s="303" t="s">
        <v>2871</v>
      </c>
      <c r="X494" s="303" t="s">
        <v>2663</v>
      </c>
      <c r="Y494" s="65">
        <v>236</v>
      </c>
      <c r="Z494" s="62">
        <v>0</v>
      </c>
      <c r="AA494" s="63">
        <v>230</v>
      </c>
      <c r="AB494" s="63">
        <v>120</v>
      </c>
      <c r="AC494" s="64" t="s">
        <v>2866</v>
      </c>
      <c r="AD494" s="303" t="s">
        <v>2663</v>
      </c>
      <c r="AE494" s="65">
        <v>350</v>
      </c>
      <c r="AF494" s="66">
        <f t="shared" si="10"/>
        <v>586</v>
      </c>
      <c r="AG494" s="68"/>
      <c r="AH494" s="383"/>
    </row>
    <row r="495" spans="1:34" s="18" customFormat="1" ht="22.8" hidden="1">
      <c r="A495" s="301">
        <v>3159</v>
      </c>
      <c r="B495" s="54" t="s">
        <v>2663</v>
      </c>
      <c r="C495" s="54" t="s">
        <v>2663</v>
      </c>
      <c r="D495" s="54" t="s">
        <v>2871</v>
      </c>
      <c r="E495" s="301">
        <v>3</v>
      </c>
      <c r="F495" s="302">
        <v>6</v>
      </c>
      <c r="G495" s="56">
        <v>159</v>
      </c>
      <c r="H495" s="226" t="s">
        <v>2533</v>
      </c>
      <c r="I495" s="57" t="s">
        <v>2533</v>
      </c>
      <c r="J495" s="58">
        <v>10500101992503</v>
      </c>
      <c r="K495" s="59" t="s">
        <v>89</v>
      </c>
      <c r="L495" s="227"/>
      <c r="M495" s="59">
        <v>16</v>
      </c>
      <c r="N495" s="57" t="s">
        <v>1185</v>
      </c>
      <c r="O495" s="57" t="s">
        <v>2534</v>
      </c>
      <c r="P495" s="57" t="s">
        <v>2535</v>
      </c>
      <c r="Q495" s="57" t="s">
        <v>1199</v>
      </c>
      <c r="R495" s="57" t="s">
        <v>1200</v>
      </c>
      <c r="S495" s="61" t="s">
        <v>1201</v>
      </c>
      <c r="T495" s="62">
        <v>66</v>
      </c>
      <c r="U495" s="63">
        <v>172</v>
      </c>
      <c r="V495" s="63">
        <v>0</v>
      </c>
      <c r="W495" s="303" t="s">
        <v>2871</v>
      </c>
      <c r="X495" s="303" t="s">
        <v>2663</v>
      </c>
      <c r="Y495" s="65">
        <v>238</v>
      </c>
      <c r="Z495" s="62">
        <v>0</v>
      </c>
      <c r="AA495" s="63">
        <v>0</v>
      </c>
      <c r="AB495" s="63">
        <v>0</v>
      </c>
      <c r="AC495" s="64"/>
      <c r="AD495" s="303"/>
      <c r="AE495" s="65">
        <v>0</v>
      </c>
      <c r="AF495" s="66">
        <f t="shared" si="10"/>
        <v>238</v>
      </c>
      <c r="AG495" s="68"/>
      <c r="AH495" s="383"/>
    </row>
    <row r="496" spans="1:34" s="18" customFormat="1" ht="22.8" hidden="1">
      <c r="A496" s="301">
        <v>3160</v>
      </c>
      <c r="B496" s="54" t="s">
        <v>2663</v>
      </c>
      <c r="C496" s="54" t="s">
        <v>2663</v>
      </c>
      <c r="D496" s="54" t="s">
        <v>2871</v>
      </c>
      <c r="E496" s="301">
        <v>3</v>
      </c>
      <c r="F496" s="302">
        <v>6</v>
      </c>
      <c r="G496" s="56">
        <v>160</v>
      </c>
      <c r="H496" s="226" t="s">
        <v>2536</v>
      </c>
      <c r="I496" s="57" t="s">
        <v>2536</v>
      </c>
      <c r="J496" s="58">
        <v>10500100345002</v>
      </c>
      <c r="K496" s="59" t="s">
        <v>89</v>
      </c>
      <c r="L496" s="227"/>
      <c r="M496" s="59">
        <v>16</v>
      </c>
      <c r="N496" s="57" t="s">
        <v>1191</v>
      </c>
      <c r="O496" s="57" t="s">
        <v>2537</v>
      </c>
      <c r="P496" s="57">
        <v>3539164</v>
      </c>
      <c r="Q496" s="57" t="s">
        <v>2538</v>
      </c>
      <c r="R496" s="57" t="s">
        <v>2539</v>
      </c>
      <c r="S496" s="61" t="s">
        <v>2540</v>
      </c>
      <c r="T496" s="62">
        <v>0</v>
      </c>
      <c r="U496" s="63">
        <v>140</v>
      </c>
      <c r="V496" s="63">
        <v>120</v>
      </c>
      <c r="W496" s="303" t="s">
        <v>2871</v>
      </c>
      <c r="X496" s="303" t="s">
        <v>2663</v>
      </c>
      <c r="Y496" s="65">
        <v>260</v>
      </c>
      <c r="Z496" s="62">
        <v>0</v>
      </c>
      <c r="AA496" s="63">
        <v>0</v>
      </c>
      <c r="AB496" s="63">
        <v>0</v>
      </c>
      <c r="AC496" s="64"/>
      <c r="AD496" s="303"/>
      <c r="AE496" s="65">
        <v>0</v>
      </c>
      <c r="AF496" s="66">
        <f t="shared" si="10"/>
        <v>260</v>
      </c>
      <c r="AG496" s="234"/>
      <c r="AH496" s="383"/>
    </row>
    <row r="497" spans="1:34" s="18" customFormat="1" ht="45.6" hidden="1">
      <c r="A497" s="301">
        <v>3161</v>
      </c>
      <c r="B497" s="54" t="s">
        <v>2663</v>
      </c>
      <c r="C497" s="54" t="s">
        <v>2663</v>
      </c>
      <c r="D497" s="54" t="s">
        <v>2871</v>
      </c>
      <c r="E497" s="301">
        <v>3</v>
      </c>
      <c r="F497" s="302">
        <v>6</v>
      </c>
      <c r="G497" s="56">
        <v>161</v>
      </c>
      <c r="H497" s="226" t="s">
        <v>2541</v>
      </c>
      <c r="I497" s="57" t="s">
        <v>2541</v>
      </c>
      <c r="J497" s="58">
        <v>10500100312302</v>
      </c>
      <c r="K497" s="59" t="s">
        <v>89</v>
      </c>
      <c r="L497" s="227"/>
      <c r="M497" s="59">
        <v>16</v>
      </c>
      <c r="N497" s="57" t="s">
        <v>1832</v>
      </c>
      <c r="O497" s="57" t="s">
        <v>2542</v>
      </c>
      <c r="P497" s="57">
        <v>2354351</v>
      </c>
      <c r="Q497" s="57" t="s">
        <v>1835</v>
      </c>
      <c r="R497" s="57" t="s">
        <v>1835</v>
      </c>
      <c r="S497" s="61" t="s">
        <v>1837</v>
      </c>
      <c r="T497" s="62">
        <v>0</v>
      </c>
      <c r="U497" s="63">
        <v>144</v>
      </c>
      <c r="V497" s="63">
        <v>86</v>
      </c>
      <c r="W497" s="303" t="s">
        <v>2871</v>
      </c>
      <c r="X497" s="303" t="s">
        <v>2663</v>
      </c>
      <c r="Y497" s="65">
        <v>230</v>
      </c>
      <c r="Z497" s="62">
        <v>0</v>
      </c>
      <c r="AA497" s="63">
        <v>0</v>
      </c>
      <c r="AB497" s="63">
        <v>0</v>
      </c>
      <c r="AC497" s="64"/>
      <c r="AD497" s="303"/>
      <c r="AE497" s="65">
        <v>0</v>
      </c>
      <c r="AF497" s="66">
        <f t="shared" si="10"/>
        <v>230</v>
      </c>
      <c r="AG497" s="68"/>
      <c r="AH497" s="383"/>
    </row>
    <row r="498" spans="1:34" s="18" customFormat="1" ht="46.8" hidden="1">
      <c r="A498" s="301">
        <v>3162</v>
      </c>
      <c r="B498" s="54" t="s">
        <v>2663</v>
      </c>
      <c r="C498" s="54" t="s">
        <v>2663</v>
      </c>
      <c r="D498" s="54" t="s">
        <v>2871</v>
      </c>
      <c r="E498" s="301">
        <v>3</v>
      </c>
      <c r="F498" s="302">
        <v>6</v>
      </c>
      <c r="G498" s="56">
        <v>162</v>
      </c>
      <c r="H498" s="226" t="s">
        <v>2543</v>
      </c>
      <c r="I498" s="57" t="s">
        <v>2543</v>
      </c>
      <c r="J498" s="58">
        <v>10500100013201</v>
      </c>
      <c r="K498" s="59" t="s">
        <v>89</v>
      </c>
      <c r="L498" s="227"/>
      <c r="M498" s="59">
        <v>16</v>
      </c>
      <c r="N498" s="57" t="s">
        <v>1811</v>
      </c>
      <c r="O498" s="57" t="s">
        <v>2544</v>
      </c>
      <c r="P498" s="228" t="s">
        <v>2545</v>
      </c>
      <c r="Q498" s="57" t="s">
        <v>2546</v>
      </c>
      <c r="R498" s="228" t="s">
        <v>2547</v>
      </c>
      <c r="S498" s="231" t="s">
        <v>2548</v>
      </c>
      <c r="T498" s="62">
        <v>129</v>
      </c>
      <c r="U498" s="63">
        <v>168</v>
      </c>
      <c r="V498" s="63">
        <v>103</v>
      </c>
      <c r="W498" s="303" t="s">
        <v>2871</v>
      </c>
      <c r="X498" s="303" t="s">
        <v>2663</v>
      </c>
      <c r="Y498" s="65">
        <v>400</v>
      </c>
      <c r="Z498" s="62">
        <v>0</v>
      </c>
      <c r="AA498" s="63">
        <v>0</v>
      </c>
      <c r="AB498" s="63">
        <v>0</v>
      </c>
      <c r="AC498" s="64"/>
      <c r="AD498" s="303"/>
      <c r="AE498" s="65">
        <v>0</v>
      </c>
      <c r="AF498" s="66">
        <f t="shared" si="10"/>
        <v>400</v>
      </c>
      <c r="AG498" s="68"/>
      <c r="AH498" s="383"/>
    </row>
    <row r="499" spans="1:34" s="18" customFormat="1" ht="34.200000000000003" hidden="1">
      <c r="A499" s="301">
        <v>3163</v>
      </c>
      <c r="B499" s="54" t="s">
        <v>2663</v>
      </c>
      <c r="C499" s="54" t="s">
        <v>2663</v>
      </c>
      <c r="D499" s="54" t="s">
        <v>2871</v>
      </c>
      <c r="E499" s="301">
        <v>3</v>
      </c>
      <c r="F499" s="302">
        <v>6</v>
      </c>
      <c r="G499" s="56">
        <v>163</v>
      </c>
      <c r="H499" s="226" t="s">
        <v>1838</v>
      </c>
      <c r="I499" s="57" t="s">
        <v>1838</v>
      </c>
      <c r="J499" s="58">
        <v>10500101210601</v>
      </c>
      <c r="K499" s="59" t="s">
        <v>89</v>
      </c>
      <c r="L499" s="233" t="s">
        <v>63</v>
      </c>
      <c r="M499" s="59">
        <v>16</v>
      </c>
      <c r="N499" s="57" t="s">
        <v>1839</v>
      </c>
      <c r="O499" s="57" t="s">
        <v>1840</v>
      </c>
      <c r="P499" s="57" t="s">
        <v>1841</v>
      </c>
      <c r="Q499" s="57" t="s">
        <v>1842</v>
      </c>
      <c r="R499" s="228" t="s">
        <v>1843</v>
      </c>
      <c r="S499" s="231" t="s">
        <v>1844</v>
      </c>
      <c r="T499" s="62">
        <v>170</v>
      </c>
      <c r="U499" s="63">
        <v>280</v>
      </c>
      <c r="V499" s="63">
        <v>50</v>
      </c>
      <c r="W499" s="303" t="s">
        <v>2871</v>
      </c>
      <c r="X499" s="303" t="s">
        <v>2663</v>
      </c>
      <c r="Y499" s="65">
        <v>500</v>
      </c>
      <c r="Z499" s="62">
        <v>0</v>
      </c>
      <c r="AA499" s="63">
        <v>0</v>
      </c>
      <c r="AB499" s="63">
        <v>0</v>
      </c>
      <c r="AC499" s="64"/>
      <c r="AD499" s="303"/>
      <c r="AE499" s="65">
        <v>0</v>
      </c>
      <c r="AF499" s="66">
        <f t="shared" si="10"/>
        <v>500</v>
      </c>
      <c r="AG499" s="68"/>
      <c r="AH499" s="383"/>
    </row>
    <row r="500" spans="1:34" s="18" customFormat="1" ht="22.8" hidden="1">
      <c r="A500" s="301">
        <v>3164</v>
      </c>
      <c r="B500" s="54" t="s">
        <v>2663</v>
      </c>
      <c r="C500" s="54" t="s">
        <v>2663</v>
      </c>
      <c r="D500" s="54" t="s">
        <v>2871</v>
      </c>
      <c r="E500" s="301">
        <v>3</v>
      </c>
      <c r="F500" s="302">
        <v>6</v>
      </c>
      <c r="G500" s="56">
        <v>164</v>
      </c>
      <c r="H500" s="226" t="s">
        <v>1765</v>
      </c>
      <c r="I500" s="57" t="s">
        <v>2549</v>
      </c>
      <c r="J500" s="58">
        <v>10500101210602</v>
      </c>
      <c r="K500" s="59" t="s">
        <v>89</v>
      </c>
      <c r="L500" s="227"/>
      <c r="M500" s="59">
        <v>16</v>
      </c>
      <c r="N500" s="68"/>
      <c r="O500" s="68"/>
      <c r="P500" s="68"/>
      <c r="Q500" s="68"/>
      <c r="R500" s="68"/>
      <c r="S500" s="100"/>
      <c r="T500" s="62">
        <v>100</v>
      </c>
      <c r="U500" s="63">
        <v>200</v>
      </c>
      <c r="V500" s="63">
        <v>100</v>
      </c>
      <c r="W500" s="303" t="s">
        <v>2871</v>
      </c>
      <c r="X500" s="303" t="s">
        <v>2663</v>
      </c>
      <c r="Y500" s="65">
        <v>400</v>
      </c>
      <c r="Z500" s="62">
        <v>0</v>
      </c>
      <c r="AA500" s="63">
        <v>0</v>
      </c>
      <c r="AB500" s="63">
        <v>0</v>
      </c>
      <c r="AC500" s="64"/>
      <c r="AD500" s="303"/>
      <c r="AE500" s="65">
        <v>0</v>
      </c>
      <c r="AF500" s="66">
        <f t="shared" si="10"/>
        <v>400</v>
      </c>
      <c r="AG500" s="234"/>
      <c r="AH500" s="383"/>
    </row>
    <row r="501" spans="1:34" s="18" customFormat="1" ht="57" hidden="1">
      <c r="A501" s="301">
        <v>3165</v>
      </c>
      <c r="B501" s="54" t="s">
        <v>2663</v>
      </c>
      <c r="C501" s="54" t="s">
        <v>2663</v>
      </c>
      <c r="D501" s="54" t="s">
        <v>2871</v>
      </c>
      <c r="E501" s="301">
        <v>3</v>
      </c>
      <c r="F501" s="302">
        <v>6</v>
      </c>
      <c r="G501" s="56">
        <v>165</v>
      </c>
      <c r="H501" s="226" t="s">
        <v>2550</v>
      </c>
      <c r="I501" s="57" t="s">
        <v>2550</v>
      </c>
      <c r="J501" s="58">
        <v>10500102576303</v>
      </c>
      <c r="K501" s="59" t="s">
        <v>89</v>
      </c>
      <c r="L501" s="227"/>
      <c r="M501" s="59">
        <v>70</v>
      </c>
      <c r="N501" s="57" t="s">
        <v>2551</v>
      </c>
      <c r="O501" s="57" t="s">
        <v>2552</v>
      </c>
      <c r="P501" s="57">
        <v>2350062</v>
      </c>
      <c r="Q501" s="57" t="s">
        <v>1848</v>
      </c>
      <c r="R501" s="57" t="s">
        <v>2553</v>
      </c>
      <c r="S501" s="61" t="s">
        <v>2554</v>
      </c>
      <c r="T501" s="62">
        <v>110</v>
      </c>
      <c r="U501" s="63">
        <v>70</v>
      </c>
      <c r="V501" s="63">
        <v>0</v>
      </c>
      <c r="W501" s="303" t="s">
        <v>2871</v>
      </c>
      <c r="X501" s="303" t="s">
        <v>2663</v>
      </c>
      <c r="Y501" s="65">
        <v>180</v>
      </c>
      <c r="Z501" s="62">
        <v>0</v>
      </c>
      <c r="AA501" s="63">
        <v>0</v>
      </c>
      <c r="AB501" s="63">
        <v>0</v>
      </c>
      <c r="AC501" s="64"/>
      <c r="AD501" s="303"/>
      <c r="AE501" s="65">
        <v>0</v>
      </c>
      <c r="AF501" s="66">
        <f t="shared" si="10"/>
        <v>180</v>
      </c>
      <c r="AG501" s="68"/>
      <c r="AH501" s="383"/>
    </row>
    <row r="502" spans="1:34" s="18" customFormat="1" ht="34.200000000000003" hidden="1">
      <c r="A502" s="301">
        <v>3166</v>
      </c>
      <c r="B502" s="54" t="s">
        <v>2663</v>
      </c>
      <c r="C502" s="54" t="s">
        <v>2663</v>
      </c>
      <c r="D502" s="54" t="s">
        <v>2872</v>
      </c>
      <c r="E502" s="301">
        <v>3</v>
      </c>
      <c r="F502" s="302">
        <v>6</v>
      </c>
      <c r="G502" s="56">
        <v>166</v>
      </c>
      <c r="H502" s="226" t="s">
        <v>2555</v>
      </c>
      <c r="I502" s="57" t="s">
        <v>2555</v>
      </c>
      <c r="J502" s="58">
        <v>20500101253401</v>
      </c>
      <c r="K502" s="59" t="s">
        <v>89</v>
      </c>
      <c r="L502" s="227"/>
      <c r="M502" s="59">
        <v>80</v>
      </c>
      <c r="N502" s="57" t="s">
        <v>1905</v>
      </c>
      <c r="O502" s="57" t="s">
        <v>2556</v>
      </c>
      <c r="P502" s="57" t="s">
        <v>2557</v>
      </c>
      <c r="Q502" s="57" t="s">
        <v>2558</v>
      </c>
      <c r="R502" s="57" t="s">
        <v>2559</v>
      </c>
      <c r="S502" s="61" t="s">
        <v>2560</v>
      </c>
      <c r="T502" s="62">
        <v>0</v>
      </c>
      <c r="U502" s="63">
        <v>80</v>
      </c>
      <c r="V502" s="63">
        <v>120</v>
      </c>
      <c r="W502" s="303" t="s">
        <v>2871</v>
      </c>
      <c r="X502" s="303" t="s">
        <v>2663</v>
      </c>
      <c r="Y502" s="65">
        <v>200</v>
      </c>
      <c r="Z502" s="62">
        <v>0</v>
      </c>
      <c r="AA502" s="63">
        <v>330</v>
      </c>
      <c r="AB502" s="63">
        <v>265</v>
      </c>
      <c r="AC502" s="64" t="s">
        <v>2866</v>
      </c>
      <c r="AD502" s="303" t="s">
        <v>2663</v>
      </c>
      <c r="AE502" s="65">
        <v>595</v>
      </c>
      <c r="AF502" s="66">
        <f t="shared" si="10"/>
        <v>795</v>
      </c>
      <c r="AG502" s="230"/>
      <c r="AH502" s="383"/>
    </row>
    <row r="503" spans="1:34" s="18" customFormat="1" ht="34.200000000000003" hidden="1">
      <c r="A503" s="301">
        <v>3167</v>
      </c>
      <c r="B503" s="54" t="s">
        <v>2663</v>
      </c>
      <c r="C503" s="54" t="s">
        <v>2663</v>
      </c>
      <c r="D503" s="54" t="s">
        <v>2872</v>
      </c>
      <c r="E503" s="301">
        <v>3</v>
      </c>
      <c r="F503" s="302">
        <v>6</v>
      </c>
      <c r="G503" s="56">
        <v>167</v>
      </c>
      <c r="H503" s="226" t="s">
        <v>2561</v>
      </c>
      <c r="I503" s="57" t="s">
        <v>2561</v>
      </c>
      <c r="J503" s="58">
        <v>20500101253402</v>
      </c>
      <c r="K503" s="59" t="s">
        <v>89</v>
      </c>
      <c r="L503" s="227"/>
      <c r="M503" s="59">
        <v>80</v>
      </c>
      <c r="N503" s="57" t="s">
        <v>2562</v>
      </c>
      <c r="O503" s="57" t="s">
        <v>2563</v>
      </c>
      <c r="P503" s="57">
        <v>2860138</v>
      </c>
      <c r="Q503" s="57" t="s">
        <v>2564</v>
      </c>
      <c r="R503" s="57" t="s">
        <v>2565</v>
      </c>
      <c r="S503" s="61" t="s">
        <v>2566</v>
      </c>
      <c r="T503" s="62">
        <v>0</v>
      </c>
      <c r="U503" s="63">
        <v>175</v>
      </c>
      <c r="V503" s="63">
        <v>0</v>
      </c>
      <c r="W503" s="303" t="s">
        <v>2871</v>
      </c>
      <c r="X503" s="303" t="s">
        <v>2663</v>
      </c>
      <c r="Y503" s="65">
        <v>175</v>
      </c>
      <c r="Z503" s="62">
        <v>0</v>
      </c>
      <c r="AA503" s="63">
        <v>173</v>
      </c>
      <c r="AB503" s="63">
        <v>0</v>
      </c>
      <c r="AC503" s="64" t="s">
        <v>2866</v>
      </c>
      <c r="AD503" s="303" t="s">
        <v>2663</v>
      </c>
      <c r="AE503" s="65">
        <v>173</v>
      </c>
      <c r="AF503" s="66">
        <f t="shared" si="10"/>
        <v>348</v>
      </c>
      <c r="AG503" s="230"/>
      <c r="AH503" s="383"/>
    </row>
    <row r="504" spans="1:34" s="18" customFormat="1" ht="34.200000000000003" hidden="1">
      <c r="A504" s="301">
        <v>3168</v>
      </c>
      <c r="B504" s="54" t="s">
        <v>2663</v>
      </c>
      <c r="C504" s="54" t="s">
        <v>2663</v>
      </c>
      <c r="D504" s="54" t="s">
        <v>2871</v>
      </c>
      <c r="E504" s="301">
        <v>3</v>
      </c>
      <c r="F504" s="302">
        <v>6</v>
      </c>
      <c r="G504" s="56">
        <v>168</v>
      </c>
      <c r="H504" s="226" t="s">
        <v>2567</v>
      </c>
      <c r="I504" s="57" t="s">
        <v>2567</v>
      </c>
      <c r="J504" s="58">
        <v>20500100167202</v>
      </c>
      <c r="K504" s="59" t="s">
        <v>89</v>
      </c>
      <c r="L504" s="227"/>
      <c r="M504" s="59">
        <v>80</v>
      </c>
      <c r="N504" s="57" t="s">
        <v>2568</v>
      </c>
      <c r="O504" s="57" t="s">
        <v>2569</v>
      </c>
      <c r="P504" s="57">
        <v>2860291</v>
      </c>
      <c r="Q504" s="57" t="s">
        <v>2570</v>
      </c>
      <c r="R504" s="57" t="s">
        <v>2571</v>
      </c>
      <c r="S504" s="61" t="s">
        <v>2572</v>
      </c>
      <c r="T504" s="62">
        <v>81</v>
      </c>
      <c r="U504" s="63">
        <v>57</v>
      </c>
      <c r="V504" s="63">
        <v>0</v>
      </c>
      <c r="W504" s="303" t="s">
        <v>2871</v>
      </c>
      <c r="X504" s="303" t="s">
        <v>2663</v>
      </c>
      <c r="Y504" s="65">
        <v>138</v>
      </c>
      <c r="Z504" s="62">
        <v>0</v>
      </c>
      <c r="AA504" s="63">
        <v>0</v>
      </c>
      <c r="AB504" s="63">
        <v>0</v>
      </c>
      <c r="AC504" s="64"/>
      <c r="AD504" s="303"/>
      <c r="AE504" s="65">
        <v>0</v>
      </c>
      <c r="AF504" s="66">
        <f t="shared" si="10"/>
        <v>138</v>
      </c>
      <c r="AG504" s="230"/>
      <c r="AH504" s="383"/>
    </row>
    <row r="505" spans="1:34" s="18" customFormat="1" ht="45.6" hidden="1">
      <c r="A505" s="301">
        <v>3169</v>
      </c>
      <c r="B505" s="54" t="s">
        <v>2663</v>
      </c>
      <c r="C505" s="54" t="s">
        <v>2663</v>
      </c>
      <c r="D505" s="54" t="s">
        <v>2871</v>
      </c>
      <c r="E505" s="301">
        <v>3</v>
      </c>
      <c r="F505" s="302">
        <v>6</v>
      </c>
      <c r="G505" s="56">
        <v>169</v>
      </c>
      <c r="H505" s="226" t="s">
        <v>1946</v>
      </c>
      <c r="I505" s="57" t="s">
        <v>1946</v>
      </c>
      <c r="J505" s="58">
        <v>20500101874501</v>
      </c>
      <c r="K505" s="59" t="s">
        <v>89</v>
      </c>
      <c r="L505" s="227"/>
      <c r="M505" s="59">
        <v>80</v>
      </c>
      <c r="N505" s="57" t="s">
        <v>1947</v>
      </c>
      <c r="O505" s="57" t="s">
        <v>1948</v>
      </c>
      <c r="P505" s="57">
        <v>2862293</v>
      </c>
      <c r="Q505" s="57" t="s">
        <v>1949</v>
      </c>
      <c r="R505" s="57" t="s">
        <v>1950</v>
      </c>
      <c r="S505" s="61" t="s">
        <v>1951</v>
      </c>
      <c r="T505" s="62">
        <v>0</v>
      </c>
      <c r="U505" s="63">
        <v>240</v>
      </c>
      <c r="V505" s="63">
        <v>110</v>
      </c>
      <c r="W505" s="303" t="s">
        <v>2871</v>
      </c>
      <c r="X505" s="303" t="s">
        <v>2663</v>
      </c>
      <c r="Y505" s="65">
        <v>350</v>
      </c>
      <c r="Z505" s="62">
        <v>0</v>
      </c>
      <c r="AA505" s="63">
        <v>0</v>
      </c>
      <c r="AB505" s="63">
        <v>0</v>
      </c>
      <c r="AC505" s="64"/>
      <c r="AD505" s="303"/>
      <c r="AE505" s="65">
        <v>0</v>
      </c>
      <c r="AF505" s="66">
        <f t="shared" si="10"/>
        <v>350</v>
      </c>
      <c r="AG505" s="234"/>
      <c r="AH505" s="383"/>
    </row>
    <row r="506" spans="1:34" s="18" customFormat="1" ht="34.200000000000003" hidden="1">
      <c r="A506" s="301">
        <v>3170</v>
      </c>
      <c r="B506" s="54" t="s">
        <v>2663</v>
      </c>
      <c r="C506" s="54" t="s">
        <v>2663</v>
      </c>
      <c r="D506" s="54" t="s">
        <v>2871</v>
      </c>
      <c r="E506" s="301">
        <v>3</v>
      </c>
      <c r="F506" s="302">
        <v>6</v>
      </c>
      <c r="G506" s="56">
        <v>170</v>
      </c>
      <c r="H506" s="226" t="s">
        <v>2573</v>
      </c>
      <c r="I506" s="57" t="s">
        <v>2573</v>
      </c>
      <c r="J506" s="58">
        <v>10500101875901</v>
      </c>
      <c r="K506" s="59" t="s">
        <v>89</v>
      </c>
      <c r="L506" s="227"/>
      <c r="M506" s="59">
        <v>80</v>
      </c>
      <c r="N506" s="57" t="s">
        <v>1947</v>
      </c>
      <c r="O506" s="57" t="s">
        <v>2574</v>
      </c>
      <c r="P506" s="57" t="s">
        <v>2575</v>
      </c>
      <c r="Q506" s="57" t="s">
        <v>2576</v>
      </c>
      <c r="R506" s="57" t="s">
        <v>2577</v>
      </c>
      <c r="S506" s="61" t="s">
        <v>2578</v>
      </c>
      <c r="T506" s="62">
        <v>0</v>
      </c>
      <c r="U506" s="63">
        <v>268</v>
      </c>
      <c r="V506" s="63">
        <v>137</v>
      </c>
      <c r="W506" s="303" t="s">
        <v>2871</v>
      </c>
      <c r="X506" s="303" t="s">
        <v>2663</v>
      </c>
      <c r="Y506" s="65">
        <v>405</v>
      </c>
      <c r="Z506" s="62">
        <v>0</v>
      </c>
      <c r="AA506" s="63">
        <v>0</v>
      </c>
      <c r="AB506" s="63">
        <v>0</v>
      </c>
      <c r="AC506" s="64"/>
      <c r="AD506" s="303"/>
      <c r="AE506" s="65">
        <v>0</v>
      </c>
      <c r="AF506" s="66">
        <f t="shared" si="10"/>
        <v>405</v>
      </c>
      <c r="AG506" s="68"/>
      <c r="AH506" s="383"/>
    </row>
    <row r="507" spans="1:34" s="18" customFormat="1" ht="22.8" hidden="1">
      <c r="A507" s="301">
        <v>3171</v>
      </c>
      <c r="B507" s="54" t="s">
        <v>2663</v>
      </c>
      <c r="C507" s="54" t="s">
        <v>2663</v>
      </c>
      <c r="D507" s="54" t="s">
        <v>2871</v>
      </c>
      <c r="E507" s="301">
        <v>3</v>
      </c>
      <c r="F507" s="302">
        <v>6</v>
      </c>
      <c r="G507" s="56">
        <v>171</v>
      </c>
      <c r="H507" s="226" t="s">
        <v>2579</v>
      </c>
      <c r="I507" s="57" t="s">
        <v>2579</v>
      </c>
      <c r="J507" s="58">
        <v>20500102662401</v>
      </c>
      <c r="K507" s="59" t="s">
        <v>89</v>
      </c>
      <c r="L507" s="227"/>
      <c r="M507" s="59">
        <v>80</v>
      </c>
      <c r="N507" s="57" t="s">
        <v>1928</v>
      </c>
      <c r="O507" s="57" t="s">
        <v>2580</v>
      </c>
      <c r="P507" s="57" t="s">
        <v>2581</v>
      </c>
      <c r="Q507" s="57" t="s">
        <v>2582</v>
      </c>
      <c r="R507" s="57" t="s">
        <v>2583</v>
      </c>
      <c r="S507" s="61" t="s">
        <v>2584</v>
      </c>
      <c r="T507" s="62">
        <v>192</v>
      </c>
      <c r="U507" s="63">
        <v>150</v>
      </c>
      <c r="V507" s="63">
        <v>108</v>
      </c>
      <c r="W507" s="303" t="s">
        <v>2871</v>
      </c>
      <c r="X507" s="303" t="s">
        <v>2663</v>
      </c>
      <c r="Y507" s="65">
        <v>450</v>
      </c>
      <c r="Z507" s="62">
        <v>0</v>
      </c>
      <c r="AA507" s="63">
        <v>0</v>
      </c>
      <c r="AB507" s="63">
        <v>0</v>
      </c>
      <c r="AC507" s="64"/>
      <c r="AD507" s="303"/>
      <c r="AE507" s="65">
        <v>0</v>
      </c>
      <c r="AF507" s="66">
        <f t="shared" si="10"/>
        <v>450</v>
      </c>
      <c r="AG507" s="234"/>
      <c r="AH507" s="383"/>
    </row>
    <row r="508" spans="1:34" s="18" customFormat="1" ht="34.200000000000003" hidden="1">
      <c r="A508" s="301">
        <v>3172</v>
      </c>
      <c r="B508" s="54" t="s">
        <v>2663</v>
      </c>
      <c r="C508" s="54" t="s">
        <v>2663</v>
      </c>
      <c r="D508" s="54" t="s">
        <v>2871</v>
      </c>
      <c r="E508" s="301">
        <v>3</v>
      </c>
      <c r="F508" s="302">
        <v>6</v>
      </c>
      <c r="G508" s="56">
        <v>172</v>
      </c>
      <c r="H508" s="226" t="s">
        <v>2585</v>
      </c>
      <c r="I508" s="57" t="s">
        <v>2585</v>
      </c>
      <c r="J508" s="58">
        <v>20500102663201</v>
      </c>
      <c r="K508" s="59" t="s">
        <v>89</v>
      </c>
      <c r="L508" s="227"/>
      <c r="M508" s="59">
        <v>80</v>
      </c>
      <c r="N508" s="57" t="s">
        <v>2586</v>
      </c>
      <c r="O508" s="57" t="s">
        <v>2587</v>
      </c>
      <c r="P508" s="57" t="s">
        <v>2588</v>
      </c>
      <c r="Q508" s="57" t="s">
        <v>2589</v>
      </c>
      <c r="R508" s="57" t="s">
        <v>2590</v>
      </c>
      <c r="S508" s="61" t="s">
        <v>2591</v>
      </c>
      <c r="T508" s="62">
        <v>290</v>
      </c>
      <c r="U508" s="63">
        <v>330</v>
      </c>
      <c r="V508" s="63">
        <v>123</v>
      </c>
      <c r="W508" s="303" t="s">
        <v>2871</v>
      </c>
      <c r="X508" s="303" t="s">
        <v>2663</v>
      </c>
      <c r="Y508" s="65">
        <v>743</v>
      </c>
      <c r="Z508" s="62">
        <v>0</v>
      </c>
      <c r="AA508" s="63">
        <v>0</v>
      </c>
      <c r="AB508" s="63">
        <v>0</v>
      </c>
      <c r="AC508" s="64"/>
      <c r="AD508" s="303"/>
      <c r="AE508" s="65">
        <v>0</v>
      </c>
      <c r="AF508" s="66">
        <f t="shared" si="10"/>
        <v>743</v>
      </c>
      <c r="AG508" s="234"/>
      <c r="AH508" s="383"/>
    </row>
    <row r="509" spans="1:34" s="18" customFormat="1" ht="34.200000000000003" hidden="1">
      <c r="A509" s="301">
        <v>3173</v>
      </c>
      <c r="B509" s="54" t="s">
        <v>2663</v>
      </c>
      <c r="C509" s="54" t="s">
        <v>2663</v>
      </c>
      <c r="D509" s="54" t="s">
        <v>2871</v>
      </c>
      <c r="E509" s="301">
        <v>3</v>
      </c>
      <c r="F509" s="302">
        <v>6</v>
      </c>
      <c r="G509" s="56">
        <v>173</v>
      </c>
      <c r="H509" s="226" t="s">
        <v>2592</v>
      </c>
      <c r="I509" s="57" t="s">
        <v>1989</v>
      </c>
      <c r="J509" s="58">
        <v>40500101694601</v>
      </c>
      <c r="K509" s="59" t="s">
        <v>167</v>
      </c>
      <c r="L509" s="227"/>
      <c r="M509" s="59">
        <v>80</v>
      </c>
      <c r="N509" s="57" t="s">
        <v>1928</v>
      </c>
      <c r="O509" s="57" t="s">
        <v>1912</v>
      </c>
      <c r="P509" s="57" t="s">
        <v>2593</v>
      </c>
      <c r="Q509" s="57" t="s">
        <v>2594</v>
      </c>
      <c r="R509" s="57" t="s">
        <v>2595</v>
      </c>
      <c r="S509" s="61" t="s">
        <v>2596</v>
      </c>
      <c r="T509" s="62">
        <v>37</v>
      </c>
      <c r="U509" s="63">
        <v>23</v>
      </c>
      <c r="V509" s="63">
        <v>32</v>
      </c>
      <c r="W509" s="303" t="s">
        <v>2871</v>
      </c>
      <c r="X509" s="303" t="s">
        <v>2663</v>
      </c>
      <c r="Y509" s="65">
        <v>92</v>
      </c>
      <c r="Z509" s="62">
        <v>0</v>
      </c>
      <c r="AA509" s="63">
        <v>0</v>
      </c>
      <c r="AB509" s="63">
        <v>0</v>
      </c>
      <c r="AC509" s="64"/>
      <c r="AD509" s="303"/>
      <c r="AE509" s="65">
        <v>0</v>
      </c>
      <c r="AF509" s="66">
        <f t="shared" si="10"/>
        <v>92</v>
      </c>
      <c r="AG509" s="250"/>
      <c r="AH509" s="383"/>
    </row>
    <row r="510" spans="1:34" s="18" customFormat="1" ht="34.200000000000003" hidden="1">
      <c r="A510" s="301">
        <v>3174</v>
      </c>
      <c r="B510" s="54" t="s">
        <v>2663</v>
      </c>
      <c r="C510" s="54" t="s">
        <v>2663</v>
      </c>
      <c r="D510" s="54" t="s">
        <v>2871</v>
      </c>
      <c r="E510" s="301">
        <v>3</v>
      </c>
      <c r="F510" s="302">
        <v>6</v>
      </c>
      <c r="G510" s="56">
        <v>174</v>
      </c>
      <c r="H510" s="226" t="s">
        <v>2597</v>
      </c>
      <c r="I510" s="57" t="s">
        <v>2598</v>
      </c>
      <c r="J510" s="58">
        <v>20500100979701</v>
      </c>
      <c r="K510" s="59" t="s">
        <v>89</v>
      </c>
      <c r="L510" s="227"/>
      <c r="M510" s="59">
        <v>80</v>
      </c>
      <c r="N510" s="57" t="s">
        <v>1905</v>
      </c>
      <c r="O510" s="57" t="s">
        <v>2599</v>
      </c>
      <c r="P510" s="57" t="s">
        <v>2600</v>
      </c>
      <c r="Q510" s="57" t="s">
        <v>1976</v>
      </c>
      <c r="R510" s="57" t="s">
        <v>2601</v>
      </c>
      <c r="S510" s="61" t="s">
        <v>1978</v>
      </c>
      <c r="T510" s="62">
        <v>82</v>
      </c>
      <c r="U510" s="63">
        <v>8</v>
      </c>
      <c r="V510" s="63">
        <v>0</v>
      </c>
      <c r="W510" s="303" t="s">
        <v>2871</v>
      </c>
      <c r="X510" s="303" t="s">
        <v>2663</v>
      </c>
      <c r="Y510" s="65">
        <v>90</v>
      </c>
      <c r="Z510" s="62">
        <v>0</v>
      </c>
      <c r="AA510" s="63">
        <v>0</v>
      </c>
      <c r="AB510" s="63">
        <v>0</v>
      </c>
      <c r="AC510" s="64"/>
      <c r="AD510" s="303"/>
      <c r="AE510" s="65">
        <v>0</v>
      </c>
      <c r="AF510" s="66">
        <f t="shared" si="10"/>
        <v>90</v>
      </c>
      <c r="AG510" s="68"/>
      <c r="AH510" s="383"/>
    </row>
    <row r="511" spans="1:34" s="18" customFormat="1" ht="29.4" hidden="1" thickBot="1">
      <c r="A511" s="301">
        <v>3175</v>
      </c>
      <c r="B511" s="54" t="s">
        <v>2663</v>
      </c>
      <c r="C511" s="54" t="s">
        <v>2663</v>
      </c>
      <c r="D511" s="54" t="s">
        <v>2872</v>
      </c>
      <c r="E511" s="301">
        <v>3</v>
      </c>
      <c r="F511" s="302">
        <v>6</v>
      </c>
      <c r="G511" s="56">
        <v>175</v>
      </c>
      <c r="H511" s="226" t="s">
        <v>2602</v>
      </c>
      <c r="I511" s="57" t="s">
        <v>2602</v>
      </c>
      <c r="J511" s="58">
        <v>30500102559201</v>
      </c>
      <c r="K511" s="59" t="s">
        <v>167</v>
      </c>
      <c r="L511" s="227"/>
      <c r="M511" s="59">
        <v>80</v>
      </c>
      <c r="N511" s="57" t="s">
        <v>2603</v>
      </c>
      <c r="O511" s="57" t="s">
        <v>2604</v>
      </c>
      <c r="P511" s="57">
        <v>4444262</v>
      </c>
      <c r="Q511" s="57" t="s">
        <v>2605</v>
      </c>
      <c r="R511" s="57" t="s">
        <v>2606</v>
      </c>
      <c r="S511" s="61" t="s">
        <v>2607</v>
      </c>
      <c r="T511" s="327">
        <v>80</v>
      </c>
      <c r="U511" s="328">
        <v>310</v>
      </c>
      <c r="V511" s="328">
        <v>260</v>
      </c>
      <c r="W511" s="303" t="s">
        <v>2871</v>
      </c>
      <c r="X511" s="303" t="s">
        <v>2663</v>
      </c>
      <c r="Y511" s="330">
        <v>650</v>
      </c>
      <c r="Z511" s="327">
        <v>345</v>
      </c>
      <c r="AA511" s="328">
        <v>217</v>
      </c>
      <c r="AB511" s="328">
        <v>0</v>
      </c>
      <c r="AC511" s="64" t="s">
        <v>2866</v>
      </c>
      <c r="AD511" s="303" t="s">
        <v>2663</v>
      </c>
      <c r="AE511" s="330">
        <v>562</v>
      </c>
      <c r="AF511" s="66">
        <f t="shared" si="10"/>
        <v>1212</v>
      </c>
      <c r="AG511" s="68"/>
      <c r="AH511" s="383"/>
    </row>
    <row r="512" spans="1:34">
      <c r="D512" s="15"/>
    </row>
    <row r="513" spans="4:4">
      <c r="D513" s="15"/>
    </row>
    <row r="514" spans="4:4">
      <c r="D514" s="15"/>
    </row>
    <row r="515" spans="4:4">
      <c r="D515" s="15"/>
    </row>
    <row r="516" spans="4:4">
      <c r="D516" s="15"/>
    </row>
    <row r="517" spans="4:4">
      <c r="D517" s="15"/>
    </row>
    <row r="518" spans="4:4">
      <c r="D518" s="15"/>
    </row>
    <row r="519" spans="4:4">
      <c r="D519" s="15"/>
    </row>
    <row r="520" spans="4:4">
      <c r="D520" s="15"/>
    </row>
    <row r="521" spans="4:4">
      <c r="D521" s="15"/>
    </row>
    <row r="522" spans="4:4">
      <c r="D522" s="15"/>
    </row>
    <row r="523" spans="4:4">
      <c r="D523" s="15"/>
    </row>
    <row r="524" spans="4:4">
      <c r="D524" s="15"/>
    </row>
    <row r="525" spans="4:4">
      <c r="D525" s="15"/>
    </row>
    <row r="526" spans="4:4">
      <c r="D526" s="15"/>
    </row>
    <row r="527" spans="4:4">
      <c r="D527" s="15"/>
    </row>
    <row r="528" spans="4:4">
      <c r="D528" s="15"/>
    </row>
    <row r="529" spans="4:4">
      <c r="D529" s="15"/>
    </row>
    <row r="530" spans="4:4">
      <c r="D530" s="15"/>
    </row>
    <row r="531" spans="4:4">
      <c r="D531" s="15"/>
    </row>
    <row r="532" spans="4:4">
      <c r="D532" s="15"/>
    </row>
    <row r="533" spans="4:4">
      <c r="D533" s="15"/>
    </row>
    <row r="534" spans="4:4">
      <c r="D534" s="15"/>
    </row>
    <row r="535" spans="4:4">
      <c r="D535" s="15"/>
    </row>
    <row r="536" spans="4:4">
      <c r="D536" s="15"/>
    </row>
    <row r="537" spans="4:4">
      <c r="D537" s="15"/>
    </row>
    <row r="538" spans="4:4">
      <c r="D538" s="15"/>
    </row>
    <row r="539" spans="4:4">
      <c r="D539" s="15"/>
    </row>
    <row r="540" spans="4:4">
      <c r="D540" s="15"/>
    </row>
    <row r="541" spans="4:4">
      <c r="D541" s="15"/>
    </row>
    <row r="542" spans="4:4">
      <c r="D542" s="15"/>
    </row>
    <row r="543" spans="4:4">
      <c r="D543" s="15"/>
    </row>
    <row r="544" spans="4:4">
      <c r="D544" s="15"/>
    </row>
    <row r="545" spans="4:4">
      <c r="D545" s="15"/>
    </row>
    <row r="546" spans="4:4">
      <c r="D546" s="15"/>
    </row>
    <row r="547" spans="4:4">
      <c r="D547" s="15"/>
    </row>
    <row r="548" spans="4:4">
      <c r="D548" s="15"/>
    </row>
    <row r="549" spans="4:4">
      <c r="D549" s="15"/>
    </row>
    <row r="550" spans="4:4">
      <c r="D550" s="15"/>
    </row>
    <row r="551" spans="4:4">
      <c r="D551" s="15"/>
    </row>
    <row r="552" spans="4:4">
      <c r="D552" s="15"/>
    </row>
    <row r="553" spans="4:4">
      <c r="D553" s="15"/>
    </row>
    <row r="554" spans="4:4">
      <c r="D554" s="15"/>
    </row>
    <row r="555" spans="4:4">
      <c r="D555" s="15"/>
    </row>
    <row r="556" spans="4:4">
      <c r="D556" s="15"/>
    </row>
    <row r="557" spans="4:4">
      <c r="D557" s="15"/>
    </row>
    <row r="558" spans="4:4">
      <c r="D558" s="15"/>
    </row>
    <row r="559" spans="4:4">
      <c r="D559" s="15"/>
    </row>
    <row r="560" spans="4:4">
      <c r="D560" s="15"/>
    </row>
    <row r="561" spans="4:4">
      <c r="D561" s="15"/>
    </row>
    <row r="562" spans="4:4">
      <c r="D562" s="15"/>
    </row>
    <row r="563" spans="4:4">
      <c r="D563" s="15"/>
    </row>
    <row r="564" spans="4:4">
      <c r="D564" s="15"/>
    </row>
    <row r="565" spans="4:4">
      <c r="D565" s="15"/>
    </row>
    <row r="566" spans="4:4">
      <c r="D566" s="15"/>
    </row>
    <row r="567" spans="4:4">
      <c r="D567" s="15"/>
    </row>
    <row r="568" spans="4:4">
      <c r="D568" s="15"/>
    </row>
    <row r="569" spans="4:4">
      <c r="D569" s="15"/>
    </row>
    <row r="570" spans="4:4">
      <c r="D570" s="15"/>
    </row>
    <row r="571" spans="4:4">
      <c r="D571" s="15"/>
    </row>
    <row r="572" spans="4:4">
      <c r="D572" s="15"/>
    </row>
    <row r="573" spans="4:4">
      <c r="D573" s="15"/>
    </row>
    <row r="574" spans="4:4">
      <c r="D574" s="15"/>
    </row>
    <row r="575" spans="4:4">
      <c r="D575" s="15"/>
    </row>
    <row r="576" spans="4:4">
      <c r="D576" s="15"/>
    </row>
    <row r="577" spans="4:4">
      <c r="D577" s="15"/>
    </row>
    <row r="578" spans="4:4">
      <c r="D578" s="15"/>
    </row>
    <row r="579" spans="4:4">
      <c r="D579" s="15"/>
    </row>
    <row r="580" spans="4:4">
      <c r="D580" s="15"/>
    </row>
    <row r="581" spans="4:4">
      <c r="D581" s="15"/>
    </row>
    <row r="582" spans="4:4">
      <c r="D582" s="15"/>
    </row>
    <row r="583" spans="4:4">
      <c r="D583" s="15"/>
    </row>
    <row r="584" spans="4:4">
      <c r="D584" s="15"/>
    </row>
    <row r="585" spans="4:4">
      <c r="D585" s="15"/>
    </row>
    <row r="586" spans="4:4">
      <c r="D586" s="15"/>
    </row>
    <row r="587" spans="4:4">
      <c r="D587" s="15"/>
    </row>
    <row r="588" spans="4:4">
      <c r="D588" s="15"/>
    </row>
    <row r="589" spans="4:4">
      <c r="D589" s="15"/>
    </row>
    <row r="590" spans="4:4">
      <c r="D590" s="15"/>
    </row>
    <row r="591" spans="4:4">
      <c r="D591" s="15"/>
    </row>
    <row r="592" spans="4:4">
      <c r="D592" s="15"/>
    </row>
    <row r="593" spans="4:4">
      <c r="D593" s="15"/>
    </row>
    <row r="594" spans="4:4">
      <c r="D594" s="15"/>
    </row>
  </sheetData>
  <sheetProtection algorithmName="SHA-512" hashValue="C07b5R8MyfVdE55rCKHOMqn+xygLktRKMHoIda8loc9B7Z3njS9nhiOJKKh8NAKftWv2TUhnQgFQ4P9XcAUHrQ==" saltValue="u2ye/ta1PYZrmfauodmV5g==" spinCount="100000" sheet="1" objects="1" scenarios="1"/>
  <conditionalFormatting sqref="G3:G192">
    <cfRule type="duplicateValues" dxfId="52" priority="3"/>
  </conditionalFormatting>
  <conditionalFormatting sqref="G193:G336">
    <cfRule type="duplicateValues" dxfId="51" priority="2"/>
  </conditionalFormatting>
  <conditionalFormatting sqref="G337:G511">
    <cfRule type="duplicateValues" dxfId="50" priority="1"/>
  </conditionalFormatting>
  <pageMargins left="0.7" right="0.7" top="0.75" bottom="0.75" header="0.3" footer="0.3"/>
  <pageSetup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Q137"/>
  <sheetViews>
    <sheetView topLeftCell="A45" workbookViewId="0">
      <selection activeCell="B47" sqref="B47"/>
    </sheetView>
  </sheetViews>
  <sheetFormatPr baseColWidth="10" defaultColWidth="11.44140625" defaultRowHeight="14.4"/>
  <cols>
    <col min="1" max="1" width="69.88671875" customWidth="1"/>
    <col min="2" max="2" width="32.33203125" bestFit="1" customWidth="1"/>
    <col min="3" max="3" width="39.6640625" customWidth="1"/>
    <col min="8" max="8" width="35.33203125" bestFit="1" customWidth="1"/>
    <col min="10" max="10" width="22.88671875" bestFit="1" customWidth="1"/>
    <col min="17" max="17" width="27" customWidth="1"/>
  </cols>
  <sheetData>
    <row r="1" spans="1:17">
      <c r="A1" s="1" t="s">
        <v>33</v>
      </c>
      <c r="B1" s="14" t="s">
        <v>61</v>
      </c>
      <c r="D1" s="1" t="s">
        <v>34</v>
      </c>
      <c r="F1" s="1" t="s">
        <v>2</v>
      </c>
      <c r="H1" s="1" t="s">
        <v>35</v>
      </c>
      <c r="J1" s="1" t="s">
        <v>52</v>
      </c>
      <c r="M1" s="16" t="s">
        <v>3</v>
      </c>
      <c r="O1" s="16" t="s">
        <v>2671</v>
      </c>
      <c r="Q1" s="341" t="s">
        <v>50</v>
      </c>
    </row>
    <row r="2" spans="1:17">
      <c r="A2" s="2">
        <v>1</v>
      </c>
      <c r="B2" t="s">
        <v>61</v>
      </c>
      <c r="D2" t="s">
        <v>36</v>
      </c>
      <c r="F2" t="s">
        <v>29</v>
      </c>
      <c r="H2" s="10" t="s">
        <v>3484</v>
      </c>
      <c r="J2" s="10" t="s">
        <v>53</v>
      </c>
      <c r="M2" s="15">
        <v>1</v>
      </c>
      <c r="O2" s="15" t="s">
        <v>2666</v>
      </c>
      <c r="Q2" s="2" t="s">
        <v>2609</v>
      </c>
    </row>
    <row r="3" spans="1:17">
      <c r="A3" s="2">
        <v>0</v>
      </c>
      <c r="B3" t="s">
        <v>62</v>
      </c>
      <c r="D3" t="s">
        <v>28</v>
      </c>
      <c r="F3" t="s">
        <v>37</v>
      </c>
      <c r="H3" s="10" t="s">
        <v>2610</v>
      </c>
      <c r="J3" s="10" t="s">
        <v>54</v>
      </c>
      <c r="M3" s="15">
        <v>2</v>
      </c>
      <c r="O3" s="15" t="s">
        <v>2672</v>
      </c>
      <c r="Q3" s="2" t="s">
        <v>2906</v>
      </c>
    </row>
    <row r="4" spans="1:17">
      <c r="A4" s="2" t="s">
        <v>30</v>
      </c>
      <c r="B4" t="s">
        <v>2875</v>
      </c>
      <c r="D4" t="s">
        <v>31</v>
      </c>
      <c r="H4" s="10" t="s">
        <v>58</v>
      </c>
      <c r="J4" s="10" t="s">
        <v>55</v>
      </c>
      <c r="M4" s="15">
        <v>3</v>
      </c>
      <c r="O4" s="15" t="s">
        <v>2673</v>
      </c>
      <c r="Q4" s="2" t="s">
        <v>2868</v>
      </c>
    </row>
    <row r="5" spans="1:17">
      <c r="A5" s="2" t="s">
        <v>2873</v>
      </c>
      <c r="B5" t="s">
        <v>2874</v>
      </c>
      <c r="D5" t="s">
        <v>38</v>
      </c>
      <c r="H5" s="10" t="s">
        <v>60</v>
      </c>
      <c r="M5" s="15">
        <v>4</v>
      </c>
      <c r="O5" s="15" t="s">
        <v>2674</v>
      </c>
      <c r="Q5" s="2" t="s">
        <v>2663</v>
      </c>
    </row>
    <row r="6" spans="1:17">
      <c r="D6" t="s">
        <v>39</v>
      </c>
      <c r="H6" s="10" t="s">
        <v>3485</v>
      </c>
      <c r="M6" s="15">
        <v>5</v>
      </c>
      <c r="O6" s="15" t="s">
        <v>2675</v>
      </c>
    </row>
    <row r="7" spans="1:17">
      <c r="O7" s="15" t="s">
        <v>2676</v>
      </c>
    </row>
    <row r="8" spans="1:17">
      <c r="A8" s="7" t="s">
        <v>34</v>
      </c>
      <c r="B8" s="6" t="s">
        <v>40</v>
      </c>
      <c r="O8" s="15" t="s">
        <v>2677</v>
      </c>
    </row>
    <row r="9" spans="1:17">
      <c r="A9" s="8" t="s">
        <v>36</v>
      </c>
      <c r="B9" s="8" t="s">
        <v>41</v>
      </c>
      <c r="O9" s="15" t="s">
        <v>2678</v>
      </c>
    </row>
    <row r="10" spans="1:17">
      <c r="A10" s="8" t="s">
        <v>28</v>
      </c>
      <c r="B10" s="8" t="s">
        <v>42</v>
      </c>
      <c r="O10" s="15" t="s">
        <v>2679</v>
      </c>
    </row>
    <row r="11" spans="1:17">
      <c r="A11" s="8" t="s">
        <v>31</v>
      </c>
      <c r="B11" s="8" t="s">
        <v>43</v>
      </c>
      <c r="O11" s="15" t="s">
        <v>2680</v>
      </c>
    </row>
    <row r="12" spans="1:17">
      <c r="A12" s="8" t="s">
        <v>38</v>
      </c>
      <c r="B12" s="8" t="s">
        <v>44</v>
      </c>
      <c r="O12" s="15" t="s">
        <v>2681</v>
      </c>
    </row>
    <row r="13" spans="1:17">
      <c r="A13" s="8" t="s">
        <v>39</v>
      </c>
      <c r="B13" s="8" t="s">
        <v>45</v>
      </c>
      <c r="O13" s="15"/>
    </row>
    <row r="14" spans="1:17">
      <c r="A14" s="8" t="s">
        <v>3486</v>
      </c>
      <c r="B14" s="8" t="s">
        <v>3487</v>
      </c>
      <c r="O14" s="15" t="s">
        <v>2682</v>
      </c>
    </row>
    <row r="15" spans="1:17">
      <c r="A15" s="8" t="s">
        <v>3488</v>
      </c>
      <c r="B15" s="8" t="s">
        <v>3489</v>
      </c>
    </row>
    <row r="16" spans="1:17">
      <c r="A16" s="8" t="s">
        <v>3490</v>
      </c>
      <c r="B16" s="8" t="s">
        <v>3491</v>
      </c>
    </row>
    <row r="17" spans="1:2">
      <c r="A17" s="8" t="s">
        <v>3492</v>
      </c>
      <c r="B17" s="8" t="s">
        <v>3493</v>
      </c>
    </row>
    <row r="18" spans="1:2">
      <c r="A18" s="8" t="s">
        <v>3494</v>
      </c>
      <c r="B18" s="8" t="s">
        <v>3495</v>
      </c>
    </row>
    <row r="19" spans="1:2">
      <c r="A19" s="8" t="s">
        <v>3496</v>
      </c>
      <c r="B19" s="8" t="s">
        <v>3497</v>
      </c>
    </row>
    <row r="20" spans="1:2">
      <c r="A20" s="8" t="s">
        <v>3498</v>
      </c>
      <c r="B20" s="8" t="s">
        <v>3499</v>
      </c>
    </row>
    <row r="21" spans="1:2">
      <c r="A21" s="8" t="s">
        <v>3500</v>
      </c>
      <c r="B21" s="8" t="s">
        <v>3501</v>
      </c>
    </row>
    <row r="22" spans="1:2">
      <c r="A22" s="8" t="s">
        <v>3502</v>
      </c>
      <c r="B22" s="8" t="s">
        <v>3503</v>
      </c>
    </row>
    <row r="23" spans="1:2">
      <c r="A23" s="8" t="s">
        <v>3504</v>
      </c>
      <c r="B23" s="8" t="s">
        <v>3505</v>
      </c>
    </row>
    <row r="24" spans="1:2">
      <c r="A24" s="8" t="s">
        <v>3506</v>
      </c>
      <c r="B24" s="8" t="s">
        <v>3507</v>
      </c>
    </row>
    <row r="25" spans="1:2">
      <c r="A25" s="8" t="s">
        <v>3508</v>
      </c>
      <c r="B25" s="8" t="s">
        <v>3509</v>
      </c>
    </row>
    <row r="26" spans="1:2">
      <c r="A26" s="8" t="s">
        <v>3510</v>
      </c>
      <c r="B26" s="8" t="s">
        <v>3511</v>
      </c>
    </row>
    <row r="27" spans="1:2">
      <c r="A27" s="8" t="s">
        <v>3512</v>
      </c>
      <c r="B27" s="8" t="s">
        <v>3513</v>
      </c>
    </row>
    <row r="28" spans="1:2">
      <c r="A28" s="8" t="s">
        <v>3514</v>
      </c>
      <c r="B28" s="8" t="s">
        <v>3515</v>
      </c>
    </row>
    <row r="29" spans="1:2">
      <c r="A29" s="8" t="s">
        <v>3516</v>
      </c>
      <c r="B29" s="8" t="s">
        <v>3517</v>
      </c>
    </row>
    <row r="30" spans="1:2">
      <c r="A30" s="8" t="s">
        <v>3518</v>
      </c>
      <c r="B30" s="8" t="s">
        <v>3519</v>
      </c>
    </row>
    <row r="31" spans="1:2">
      <c r="A31" s="8" t="s">
        <v>3520</v>
      </c>
      <c r="B31" s="8" t="s">
        <v>3521</v>
      </c>
    </row>
    <row r="32" spans="1:2">
      <c r="A32" s="8" t="s">
        <v>3522</v>
      </c>
      <c r="B32" s="8" t="s">
        <v>3523</v>
      </c>
    </row>
    <row r="33" spans="1:4">
      <c r="A33" s="8" t="s">
        <v>3524</v>
      </c>
      <c r="B33" s="8" t="s">
        <v>3525</v>
      </c>
    </row>
    <row r="34" spans="1:4">
      <c r="A34" s="8"/>
      <c r="B34" s="8"/>
    </row>
    <row r="35" spans="1:4">
      <c r="A35" t="s">
        <v>46</v>
      </c>
    </row>
    <row r="39" spans="1:4">
      <c r="A39" s="1" t="s">
        <v>47</v>
      </c>
    </row>
    <row r="40" spans="1:4">
      <c r="A40" t="s">
        <v>56</v>
      </c>
    </row>
    <row r="41" spans="1:4">
      <c r="A41" t="s">
        <v>57</v>
      </c>
    </row>
    <row r="42" spans="1:4">
      <c r="A42" t="s">
        <v>58</v>
      </c>
    </row>
    <row r="43" spans="1:4">
      <c r="A43" t="s">
        <v>59</v>
      </c>
    </row>
    <row r="44" spans="1:4">
      <c r="A44" t="s">
        <v>60</v>
      </c>
    </row>
    <row r="46" spans="1:4">
      <c r="A46" s="348" t="s">
        <v>48</v>
      </c>
      <c r="B46" s="349" t="s">
        <v>49</v>
      </c>
      <c r="C46" s="350" t="s">
        <v>64</v>
      </c>
      <c r="D46" s="351" t="s">
        <v>3029</v>
      </c>
    </row>
    <row r="47" spans="1:4" ht="20.100000000000001" customHeight="1">
      <c r="A47" s="356" t="s">
        <v>3065</v>
      </c>
      <c r="B47" s="347" t="s">
        <v>3131</v>
      </c>
      <c r="C47" s="353">
        <v>43670201</v>
      </c>
      <c r="D47" s="354">
        <v>3053018249</v>
      </c>
    </row>
    <row r="48" spans="1:4" ht="20.100000000000001" customHeight="1">
      <c r="A48" s="356" t="s">
        <v>3052</v>
      </c>
      <c r="B48" s="347" t="s">
        <v>3118</v>
      </c>
      <c r="C48" s="353">
        <v>43278551</v>
      </c>
      <c r="D48" s="354">
        <v>3006034259</v>
      </c>
    </row>
    <row r="49" spans="1:4" ht="20.100000000000001" customHeight="1">
      <c r="A49" s="352" t="s">
        <v>3090</v>
      </c>
      <c r="B49" s="346" t="s">
        <v>3156</v>
      </c>
      <c r="C49" s="353">
        <v>43750480</v>
      </c>
      <c r="D49" s="354">
        <v>3105038135</v>
      </c>
    </row>
    <row r="50" spans="1:4" ht="20.100000000000001" customHeight="1">
      <c r="A50" s="352" t="s">
        <v>3091</v>
      </c>
      <c r="B50" s="346" t="s">
        <v>3157</v>
      </c>
      <c r="C50" s="353">
        <v>1041228656</v>
      </c>
      <c r="D50" s="354">
        <v>3216260687</v>
      </c>
    </row>
    <row r="51" spans="1:4" ht="20.100000000000001" customHeight="1">
      <c r="A51" s="352" t="s">
        <v>3062</v>
      </c>
      <c r="B51" s="346" t="s">
        <v>3128</v>
      </c>
      <c r="C51" s="353">
        <v>43274580</v>
      </c>
      <c r="D51" s="354">
        <v>3103819182</v>
      </c>
    </row>
    <row r="52" spans="1:4" ht="20.100000000000001" customHeight="1">
      <c r="A52" s="352" t="s">
        <v>3074</v>
      </c>
      <c r="B52" s="346" t="s">
        <v>3140</v>
      </c>
      <c r="C52" s="353">
        <v>1020401790</v>
      </c>
      <c r="D52" s="354">
        <v>3127695498</v>
      </c>
    </row>
    <row r="53" spans="1:4" ht="20.100000000000001" customHeight="1">
      <c r="A53" s="352" t="s">
        <v>3059</v>
      </c>
      <c r="B53" s="346" t="s">
        <v>3125</v>
      </c>
      <c r="C53" s="353">
        <v>43991314</v>
      </c>
      <c r="D53" s="354">
        <v>3116681388</v>
      </c>
    </row>
    <row r="54" spans="1:4" ht="20.100000000000001" customHeight="1">
      <c r="A54" s="356" t="s">
        <v>3076</v>
      </c>
      <c r="B54" s="347" t="s">
        <v>3142</v>
      </c>
      <c r="C54" s="353">
        <v>43672123</v>
      </c>
      <c r="D54" s="354">
        <v>3122232226</v>
      </c>
    </row>
    <row r="55" spans="1:4" ht="20.100000000000001" customHeight="1">
      <c r="A55" s="352" t="s">
        <v>3084</v>
      </c>
      <c r="B55" s="346" t="s">
        <v>3150</v>
      </c>
      <c r="C55" s="353">
        <v>1128267136</v>
      </c>
      <c r="D55" s="354">
        <v>3162702798</v>
      </c>
    </row>
    <row r="56" spans="1:4" ht="20.100000000000001" customHeight="1">
      <c r="A56" s="352" t="s">
        <v>3070</v>
      </c>
      <c r="B56" s="346" t="s">
        <v>3136</v>
      </c>
      <c r="C56" s="353">
        <v>43621621</v>
      </c>
      <c r="D56" s="354">
        <v>3163923270</v>
      </c>
    </row>
    <row r="57" spans="1:4" ht="20.100000000000001" customHeight="1">
      <c r="A57" s="352" t="s">
        <v>3034</v>
      </c>
      <c r="B57" s="346" t="s">
        <v>3164</v>
      </c>
      <c r="C57" s="353">
        <v>59830709</v>
      </c>
      <c r="D57" s="354"/>
    </row>
    <row r="58" spans="1:4" ht="20.100000000000001" customHeight="1">
      <c r="A58" s="352" t="s">
        <v>3053</v>
      </c>
      <c r="B58" s="346" t="s">
        <v>3119</v>
      </c>
      <c r="C58" s="353">
        <v>43736133</v>
      </c>
      <c r="D58" s="354">
        <v>3122580333</v>
      </c>
    </row>
    <row r="59" spans="1:4" ht="20.100000000000001" customHeight="1">
      <c r="A59" s="355" t="s">
        <v>3039</v>
      </c>
      <c r="B59" s="346" t="s">
        <v>3105</v>
      </c>
      <c r="C59" s="353">
        <v>42988149</v>
      </c>
      <c r="D59" s="354">
        <v>3135145004</v>
      </c>
    </row>
    <row r="60" spans="1:4" ht="20.100000000000001" customHeight="1">
      <c r="A60" s="352" t="s">
        <v>3072</v>
      </c>
      <c r="B60" s="346" t="s">
        <v>3138</v>
      </c>
      <c r="C60" s="353">
        <v>43903066</v>
      </c>
      <c r="D60" s="354">
        <v>3013888247</v>
      </c>
    </row>
    <row r="61" spans="1:4" ht="20.100000000000001" customHeight="1">
      <c r="A61" s="352" t="s">
        <v>3047</v>
      </c>
      <c r="B61" s="346" t="s">
        <v>3113</v>
      </c>
      <c r="C61" s="353">
        <v>43817501</v>
      </c>
      <c r="D61" s="354">
        <v>3187632787</v>
      </c>
    </row>
    <row r="62" spans="1:4" ht="20.100000000000001" customHeight="1">
      <c r="A62" s="352" t="s">
        <v>3080</v>
      </c>
      <c r="B62" s="346" t="s">
        <v>3146</v>
      </c>
      <c r="C62" s="353"/>
      <c r="D62" s="354"/>
    </row>
    <row r="63" spans="1:4" ht="20.100000000000001" customHeight="1">
      <c r="A63" s="352" t="s">
        <v>3085</v>
      </c>
      <c r="B63" s="346" t="s">
        <v>3151</v>
      </c>
      <c r="C63" s="353">
        <v>1035415510</v>
      </c>
      <c r="D63" s="354">
        <v>3012909758</v>
      </c>
    </row>
    <row r="64" spans="1:4" ht="20.100000000000001" customHeight="1">
      <c r="A64" s="356" t="s">
        <v>3057</v>
      </c>
      <c r="B64" s="347" t="s">
        <v>3123</v>
      </c>
      <c r="C64" s="353">
        <v>43753686</v>
      </c>
      <c r="D64" s="354">
        <v>3168803770</v>
      </c>
    </row>
    <row r="65" spans="1:4" ht="20.100000000000001" customHeight="1">
      <c r="A65" s="352" t="s">
        <v>3050</v>
      </c>
      <c r="B65" s="346" t="s">
        <v>3116</v>
      </c>
      <c r="C65" s="353">
        <v>15374608</v>
      </c>
      <c r="D65" s="354">
        <v>3207379227</v>
      </c>
    </row>
    <row r="66" spans="1:4">
      <c r="A66" s="356" t="s">
        <v>3093</v>
      </c>
      <c r="B66" s="347" t="s">
        <v>3159</v>
      </c>
      <c r="C66" s="353">
        <v>1037595135</v>
      </c>
      <c r="D66" s="354">
        <v>3206096699</v>
      </c>
    </row>
    <row r="67" spans="1:4">
      <c r="A67" s="352" t="s">
        <v>3060</v>
      </c>
      <c r="B67" s="346" t="s">
        <v>3126</v>
      </c>
      <c r="C67" s="353">
        <v>43873792</v>
      </c>
      <c r="D67" s="354">
        <v>3008314302</v>
      </c>
    </row>
    <row r="68" spans="1:4">
      <c r="A68" s="352" t="s">
        <v>3077</v>
      </c>
      <c r="B68" s="346" t="s">
        <v>3143</v>
      </c>
      <c r="C68" s="353">
        <v>32532406</v>
      </c>
      <c r="D68" s="354">
        <v>3103907402</v>
      </c>
    </row>
    <row r="69" spans="1:4">
      <c r="A69" s="356" t="s">
        <v>3094</v>
      </c>
      <c r="B69" s="347" t="s">
        <v>3160</v>
      </c>
      <c r="C69" s="353">
        <v>71221958</v>
      </c>
      <c r="D69" s="354">
        <v>3017055321</v>
      </c>
    </row>
    <row r="70" spans="1:4">
      <c r="A70" s="355" t="s">
        <v>3043</v>
      </c>
      <c r="B70" s="346" t="s">
        <v>3109</v>
      </c>
      <c r="C70" s="353">
        <v>43278547</v>
      </c>
      <c r="D70" s="354">
        <v>3122606734</v>
      </c>
    </row>
    <row r="71" spans="1:4">
      <c r="A71" s="352" t="s">
        <v>3071</v>
      </c>
      <c r="B71" s="346" t="s">
        <v>3137</v>
      </c>
      <c r="C71" s="353">
        <v>43603765</v>
      </c>
      <c r="D71" s="354">
        <v>3003572550</v>
      </c>
    </row>
    <row r="72" spans="1:4">
      <c r="A72" s="356" t="s">
        <v>3068</v>
      </c>
      <c r="B72" s="347" t="s">
        <v>3134</v>
      </c>
      <c r="C72" s="353">
        <v>1020392575</v>
      </c>
      <c r="D72" s="354">
        <v>3505497760</v>
      </c>
    </row>
    <row r="73" spans="1:4">
      <c r="A73" s="356" t="s">
        <v>3088</v>
      </c>
      <c r="B73" s="347" t="s">
        <v>3154</v>
      </c>
      <c r="C73" s="353">
        <v>79491339</v>
      </c>
      <c r="D73" s="354">
        <v>3002103783</v>
      </c>
    </row>
    <row r="74" spans="1:4">
      <c r="A74" s="352" t="s">
        <v>3082</v>
      </c>
      <c r="B74" s="346" t="s">
        <v>3148</v>
      </c>
      <c r="C74" s="353">
        <v>1128389394</v>
      </c>
      <c r="D74" s="354">
        <v>3148802812</v>
      </c>
    </row>
    <row r="75" spans="1:4">
      <c r="A75" s="356" t="s">
        <v>3061</v>
      </c>
      <c r="B75" s="347" t="s">
        <v>3127</v>
      </c>
      <c r="C75" s="353">
        <v>63548956</v>
      </c>
      <c r="D75" s="354">
        <v>3208468023</v>
      </c>
    </row>
    <row r="76" spans="1:4">
      <c r="A76" s="352" t="s">
        <v>3063</v>
      </c>
      <c r="B76" s="346" t="s">
        <v>3129</v>
      </c>
      <c r="C76" s="353">
        <v>98547058</v>
      </c>
      <c r="D76" s="354">
        <v>3216452902</v>
      </c>
    </row>
    <row r="77" spans="1:4">
      <c r="A77" s="352" t="s">
        <v>3048</v>
      </c>
      <c r="B77" s="346" t="s">
        <v>3114</v>
      </c>
      <c r="C77" s="353">
        <v>71382237</v>
      </c>
      <c r="D77" s="354">
        <v>3176993619</v>
      </c>
    </row>
    <row r="78" spans="1:4">
      <c r="A78" s="352" t="s">
        <v>3095</v>
      </c>
      <c r="B78" s="346" t="s">
        <v>3161</v>
      </c>
      <c r="C78" s="353">
        <v>1037578704</v>
      </c>
      <c r="D78" s="354">
        <v>3172792771</v>
      </c>
    </row>
    <row r="79" spans="1:4">
      <c r="A79" s="352" t="s">
        <v>3031</v>
      </c>
      <c r="B79" s="346" t="s">
        <v>3099</v>
      </c>
      <c r="C79" s="353">
        <v>15327426</v>
      </c>
      <c r="D79" s="354">
        <v>3137022601</v>
      </c>
    </row>
    <row r="80" spans="1:4">
      <c r="A80" s="355" t="s">
        <v>3054</v>
      </c>
      <c r="B80" s="346" t="s">
        <v>3120</v>
      </c>
      <c r="C80" s="353">
        <v>15339084</v>
      </c>
      <c r="D80" s="354">
        <v>3003380861</v>
      </c>
    </row>
    <row r="81" spans="1:4">
      <c r="A81" s="356" t="s">
        <v>3045</v>
      </c>
      <c r="B81" s="347" t="s">
        <v>3111</v>
      </c>
      <c r="C81" s="353">
        <v>3377696</v>
      </c>
      <c r="D81" s="354">
        <v>3206648045</v>
      </c>
    </row>
    <row r="82" spans="1:4">
      <c r="A82" s="352" t="s">
        <v>3086</v>
      </c>
      <c r="B82" s="346" t="s">
        <v>3152</v>
      </c>
      <c r="C82" s="353">
        <v>78747466</v>
      </c>
      <c r="D82" s="354">
        <v>3176157985</v>
      </c>
    </row>
    <row r="83" spans="1:4">
      <c r="A83" s="352" t="s">
        <v>3078</v>
      </c>
      <c r="B83" s="346" t="s">
        <v>3144</v>
      </c>
      <c r="C83" s="353"/>
      <c r="D83" s="354"/>
    </row>
    <row r="84" spans="1:4">
      <c r="A84" s="352" t="s">
        <v>3044</v>
      </c>
      <c r="B84" s="346" t="s">
        <v>3110</v>
      </c>
      <c r="C84" s="353">
        <v>8161159</v>
      </c>
      <c r="D84" s="354">
        <v>3014444408</v>
      </c>
    </row>
    <row r="85" spans="1:4">
      <c r="A85" s="352" t="s">
        <v>3096</v>
      </c>
      <c r="B85" s="346" t="s">
        <v>3162</v>
      </c>
      <c r="C85" s="353">
        <v>1020415248</v>
      </c>
      <c r="D85" s="354">
        <v>3045537367</v>
      </c>
    </row>
    <row r="86" spans="1:4">
      <c r="A86" s="352" t="s">
        <v>3089</v>
      </c>
      <c r="B86" s="346" t="s">
        <v>3155</v>
      </c>
      <c r="C86" s="353">
        <v>98585496</v>
      </c>
      <c r="D86" s="354">
        <v>3128479545</v>
      </c>
    </row>
    <row r="87" spans="1:4">
      <c r="A87" s="356" t="s">
        <v>3032</v>
      </c>
      <c r="B87" s="347" t="s">
        <v>3100</v>
      </c>
      <c r="C87" s="353">
        <v>43209724</v>
      </c>
      <c r="D87" s="354">
        <v>3004408594</v>
      </c>
    </row>
    <row r="88" spans="1:4">
      <c r="A88" s="356" t="s">
        <v>3038</v>
      </c>
      <c r="B88" s="347" t="s">
        <v>3104</v>
      </c>
      <c r="C88" s="353">
        <v>32538716</v>
      </c>
      <c r="D88" s="354"/>
    </row>
    <row r="89" spans="1:4">
      <c r="A89" s="356" t="s">
        <v>3051</v>
      </c>
      <c r="B89" s="347" t="s">
        <v>3117</v>
      </c>
      <c r="C89" s="353">
        <v>43155806</v>
      </c>
      <c r="D89" s="354">
        <v>3004082599</v>
      </c>
    </row>
    <row r="90" spans="1:4">
      <c r="A90" s="352" t="s">
        <v>3092</v>
      </c>
      <c r="B90" s="346" t="s">
        <v>3158</v>
      </c>
      <c r="C90" s="353">
        <v>30689045</v>
      </c>
      <c r="D90" s="354">
        <v>3017548407</v>
      </c>
    </row>
    <row r="91" spans="1:4">
      <c r="A91" s="352" t="s">
        <v>3036</v>
      </c>
      <c r="B91" s="346" t="s">
        <v>3102</v>
      </c>
      <c r="C91" s="353">
        <v>43584643</v>
      </c>
      <c r="D91" s="354">
        <v>3108250295</v>
      </c>
    </row>
    <row r="92" spans="1:4">
      <c r="A92" s="356" t="s">
        <v>3073</v>
      </c>
      <c r="B92" s="347" t="s">
        <v>3139</v>
      </c>
      <c r="C92" s="353">
        <v>43675087</v>
      </c>
      <c r="D92" s="354">
        <v>3005585198</v>
      </c>
    </row>
    <row r="93" spans="1:4">
      <c r="A93" s="356" t="s">
        <v>3097</v>
      </c>
      <c r="B93" s="347" t="s">
        <v>3163</v>
      </c>
      <c r="C93" s="353">
        <v>71646315</v>
      </c>
      <c r="D93" s="354">
        <v>3022657909</v>
      </c>
    </row>
    <row r="94" spans="1:4">
      <c r="A94" s="352" t="s">
        <v>3041</v>
      </c>
      <c r="B94" s="346" t="s">
        <v>3107</v>
      </c>
      <c r="C94" s="353">
        <v>71794193</v>
      </c>
      <c r="D94" s="354">
        <v>3232279862</v>
      </c>
    </row>
    <row r="95" spans="1:4">
      <c r="A95" s="352" t="s">
        <v>3042</v>
      </c>
      <c r="B95" s="346" t="s">
        <v>3108</v>
      </c>
      <c r="C95" s="353">
        <v>43507756</v>
      </c>
      <c r="D95" s="354">
        <v>3127511500</v>
      </c>
    </row>
    <row r="96" spans="1:4">
      <c r="A96" s="352" t="s">
        <v>3040</v>
      </c>
      <c r="B96" s="346" t="s">
        <v>3106</v>
      </c>
      <c r="C96" s="353">
        <v>21632828</v>
      </c>
      <c r="D96" s="354">
        <v>3012343190</v>
      </c>
    </row>
    <row r="97" spans="1:4">
      <c r="A97" s="352" t="s">
        <v>3064</v>
      </c>
      <c r="B97" s="346" t="s">
        <v>3130</v>
      </c>
      <c r="C97" s="353">
        <v>21424735</v>
      </c>
      <c r="D97" s="354">
        <v>3148656539</v>
      </c>
    </row>
    <row r="98" spans="1:4">
      <c r="A98" s="356" t="s">
        <v>3081</v>
      </c>
      <c r="B98" s="347" t="s">
        <v>3147</v>
      </c>
      <c r="C98" s="353">
        <v>39286780</v>
      </c>
      <c r="D98" s="354">
        <v>3182813912</v>
      </c>
    </row>
    <row r="99" spans="1:4">
      <c r="A99" s="355" t="s">
        <v>3035</v>
      </c>
      <c r="B99" s="346" t="s">
        <v>3165</v>
      </c>
      <c r="C99" s="353">
        <v>43018447</v>
      </c>
      <c r="D99" s="354">
        <v>3206776532</v>
      </c>
    </row>
    <row r="100" spans="1:4">
      <c r="A100" s="356" t="s">
        <v>3037</v>
      </c>
      <c r="B100" s="347" t="s">
        <v>3103</v>
      </c>
      <c r="C100" s="353">
        <v>32532515</v>
      </c>
      <c r="D100" s="354">
        <v>3136592910</v>
      </c>
    </row>
    <row r="101" spans="1:4">
      <c r="A101" s="352" t="s">
        <v>3058</v>
      </c>
      <c r="B101" s="346" t="s">
        <v>3124</v>
      </c>
      <c r="C101" s="353">
        <v>43047248</v>
      </c>
      <c r="D101" s="354">
        <v>3006378958</v>
      </c>
    </row>
    <row r="102" spans="1:4">
      <c r="A102" s="352" t="s">
        <v>3055</v>
      </c>
      <c r="B102" s="346" t="s">
        <v>3121</v>
      </c>
      <c r="C102" s="353">
        <v>43828339</v>
      </c>
      <c r="D102" s="354">
        <v>3175024555</v>
      </c>
    </row>
    <row r="103" spans="1:4">
      <c r="A103" s="352" t="s">
        <v>3030</v>
      </c>
      <c r="B103" s="346" t="s">
        <v>3098</v>
      </c>
      <c r="C103" s="353">
        <v>43721680</v>
      </c>
      <c r="D103" s="354">
        <v>3054580690</v>
      </c>
    </row>
    <row r="104" spans="1:4">
      <c r="A104" s="356" t="s">
        <v>3069</v>
      </c>
      <c r="B104" s="347" t="s">
        <v>3135</v>
      </c>
      <c r="C104" s="353">
        <v>31435292</v>
      </c>
      <c r="D104" s="354">
        <v>3022900948</v>
      </c>
    </row>
    <row r="105" spans="1:4">
      <c r="A105" s="355" t="s">
        <v>3087</v>
      </c>
      <c r="B105" s="346" t="s">
        <v>3153</v>
      </c>
      <c r="C105" s="353">
        <v>80065608</v>
      </c>
      <c r="D105" s="354">
        <v>3214618286</v>
      </c>
    </row>
    <row r="106" spans="1:4">
      <c r="A106" s="356" t="s">
        <v>3066</v>
      </c>
      <c r="B106" s="347" t="s">
        <v>3132</v>
      </c>
      <c r="C106" s="353">
        <v>43205321</v>
      </c>
      <c r="D106" s="354">
        <v>3004947582</v>
      </c>
    </row>
    <row r="107" spans="1:4">
      <c r="A107" s="356" t="s">
        <v>3033</v>
      </c>
      <c r="B107" s="347" t="s">
        <v>3101</v>
      </c>
      <c r="C107" s="353">
        <v>43751663</v>
      </c>
      <c r="D107" s="354">
        <v>3128396993</v>
      </c>
    </row>
    <row r="108" spans="1:4">
      <c r="A108" s="356" t="s">
        <v>3049</v>
      </c>
      <c r="B108" s="347" t="s">
        <v>3115</v>
      </c>
      <c r="C108" s="353">
        <v>43907879</v>
      </c>
      <c r="D108" s="354">
        <v>3206850544</v>
      </c>
    </row>
    <row r="109" spans="1:4">
      <c r="A109" s="356" t="s">
        <v>3056</v>
      </c>
      <c r="B109" s="347" t="s">
        <v>3122</v>
      </c>
      <c r="C109" s="353">
        <v>15647570</v>
      </c>
      <c r="D109" s="354">
        <v>3008196246</v>
      </c>
    </row>
    <row r="110" spans="1:4">
      <c r="A110" s="352" t="s">
        <v>3083</v>
      </c>
      <c r="B110" s="346" t="s">
        <v>3149</v>
      </c>
      <c r="C110" s="353">
        <v>43867628</v>
      </c>
      <c r="D110" s="354">
        <v>3104527048</v>
      </c>
    </row>
    <row r="111" spans="1:4">
      <c r="A111" s="355" t="s">
        <v>3075</v>
      </c>
      <c r="B111" s="346" t="s">
        <v>3141</v>
      </c>
      <c r="C111" s="353">
        <v>15387713</v>
      </c>
      <c r="D111" s="354">
        <v>3216320996</v>
      </c>
    </row>
    <row r="112" spans="1:4">
      <c r="A112" s="352" t="s">
        <v>3067</v>
      </c>
      <c r="B112" s="346" t="s">
        <v>3133</v>
      </c>
      <c r="C112" s="353">
        <v>71375124</v>
      </c>
      <c r="D112" s="354">
        <v>3014724347</v>
      </c>
    </row>
    <row r="113" spans="1:4">
      <c r="A113" s="356" t="s">
        <v>3046</v>
      </c>
      <c r="B113" s="347" t="s">
        <v>3112</v>
      </c>
      <c r="C113" s="353">
        <v>98761137</v>
      </c>
      <c r="D113" s="354">
        <v>3113427500</v>
      </c>
    </row>
    <row r="114" spans="1:4">
      <c r="A114" s="359" t="s">
        <v>3079</v>
      </c>
      <c r="B114" s="360" t="s">
        <v>3145</v>
      </c>
      <c r="C114" s="357">
        <v>1128278356</v>
      </c>
      <c r="D114" s="358">
        <v>3105561749</v>
      </c>
    </row>
    <row r="116" spans="1:4">
      <c r="A116" s="16" t="s">
        <v>5</v>
      </c>
    </row>
    <row r="117" spans="1:4">
      <c r="A117" s="15">
        <v>1</v>
      </c>
    </row>
    <row r="118" spans="1:4">
      <c r="A118" s="15">
        <v>2</v>
      </c>
    </row>
    <row r="119" spans="1:4">
      <c r="A119" s="15">
        <v>3</v>
      </c>
    </row>
    <row r="120" spans="1:4">
      <c r="A120" s="15">
        <v>4</v>
      </c>
    </row>
    <row r="121" spans="1:4">
      <c r="A121" s="15">
        <v>5</v>
      </c>
    </row>
    <row r="122" spans="1:4">
      <c r="A122" s="15">
        <v>6</v>
      </c>
    </row>
    <row r="123" spans="1:4">
      <c r="A123" s="15">
        <v>7</v>
      </c>
    </row>
    <row r="124" spans="1:4">
      <c r="A124" s="15">
        <v>8</v>
      </c>
    </row>
    <row r="125" spans="1:4">
      <c r="A125" s="15">
        <v>9</v>
      </c>
    </row>
    <row r="126" spans="1:4">
      <c r="A126" s="15">
        <v>10</v>
      </c>
    </row>
    <row r="127" spans="1:4">
      <c r="A127" s="15">
        <v>11</v>
      </c>
    </row>
    <row r="128" spans="1:4">
      <c r="A128" s="15">
        <v>12</v>
      </c>
    </row>
    <row r="129" spans="1:1">
      <c r="A129" s="15">
        <v>13</v>
      </c>
    </row>
    <row r="130" spans="1:1">
      <c r="A130" s="15">
        <v>14</v>
      </c>
    </row>
    <row r="131" spans="1:1">
      <c r="A131" s="15">
        <v>15</v>
      </c>
    </row>
    <row r="132" spans="1:1">
      <c r="A132" s="15">
        <v>16</v>
      </c>
    </row>
    <row r="133" spans="1:1">
      <c r="A133" s="15">
        <v>17</v>
      </c>
    </row>
    <row r="134" spans="1:1">
      <c r="A134" s="15">
        <v>18</v>
      </c>
    </row>
    <row r="135" spans="1:1">
      <c r="A135" s="15">
        <v>19</v>
      </c>
    </row>
    <row r="136" spans="1:1">
      <c r="A136" s="15">
        <v>20</v>
      </c>
    </row>
    <row r="137" spans="1:1">
      <c r="A137" s="15">
        <v>21</v>
      </c>
    </row>
  </sheetData>
  <sheetProtection algorithmName="SHA-512" hashValue="XtQjLy+YUiXArQKhFtgvesfNjEWrx7JipsVi0uE5Zn/dOJAKHHj0vtM+x5GW2e2QELKG+vv7+TU8b9jQ0ho2tg==" saltValue="gn/aE/xsSoQNGIl9+m5K+w==" spinCount="100000" sheet="1" objects="1" scenarios="1"/>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13</vt:i4>
      </vt:variant>
    </vt:vector>
  </HeadingPairs>
  <TitlesOfParts>
    <vt:vector size="18" baseType="lpstr">
      <vt:lpstr>PLANTA O BODEGA</vt:lpstr>
      <vt:lpstr>Hoja1</vt:lpstr>
      <vt:lpstr>Hoja4</vt:lpstr>
      <vt:lpstr>SEDES</vt:lpstr>
      <vt:lpstr>DATOS</vt:lpstr>
      <vt:lpstr>ALIMENTACION</vt:lpstr>
      <vt:lpstr>CONCEPTO</vt:lpstr>
      <vt:lpstr>CUMPLE</vt:lpstr>
      <vt:lpstr>IDSEDE</vt:lpstr>
      <vt:lpstr>MENU</vt:lpstr>
      <vt:lpstr>MES</vt:lpstr>
      <vt:lpstr>MODALIDAD</vt:lpstr>
      <vt:lpstr>OPCION</vt:lpstr>
      <vt:lpstr>OPERADORES</vt:lpstr>
      <vt:lpstr>PROFESIONAL</vt:lpstr>
      <vt:lpstr>SEMANA</vt:lpstr>
      <vt:lpstr>TIPO_VISITA</vt:lpstr>
      <vt:lpstr>VISITA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Angelica Z</dc:creator>
  <cp:keywords/>
  <dc:description/>
  <cp:lastModifiedBy>Angelica</cp:lastModifiedBy>
  <cp:revision/>
  <cp:lastPrinted>2019-08-30T14:42:26Z</cp:lastPrinted>
  <dcterms:created xsi:type="dcterms:W3CDTF">2018-04-11T20:10:02Z</dcterms:created>
  <dcterms:modified xsi:type="dcterms:W3CDTF">2022-07-06T15:23:22Z</dcterms:modified>
  <cp:category/>
  <cp:contentStatus/>
</cp:coreProperties>
</file>