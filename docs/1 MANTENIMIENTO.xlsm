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PAE MEDELLIN\FORMATOS 2022\FORMATOS PARA CONSOLIDADOS\"/>
    </mc:Choice>
  </mc:AlternateContent>
  <xr:revisionPtr revIDLastSave="0" documentId="13_ncr:1_{2D989948-D6FB-4883-BCED-5D6C080F8071}" xr6:coauthVersionLast="47" xr6:coauthVersionMax="47" xr10:uidLastSave="{00000000-0000-0000-0000-000000000000}"/>
  <bookViews>
    <workbookView xWindow="-108" yWindow="-108" windowWidth="23256" windowHeight="12576" tabRatio="739" xr2:uid="{00000000-000D-0000-FFFF-FFFF00000000}"/>
  </bookViews>
  <sheets>
    <sheet name="MANTENIMIENTO" sheetId="15" r:id="rId1"/>
    <sheet name="PREGUNTAS" sheetId="16" r:id="rId2"/>
    <sheet name="SEDES" sheetId="4" state="hidden" r:id="rId3"/>
    <sheet name="DATOS" sheetId="2" state="hidden" r:id="rId4"/>
  </sheets>
  <externalReferences>
    <externalReference r:id="rId5"/>
  </externalReferences>
  <definedNames>
    <definedName name="_xlnm._FilterDatabase" localSheetId="0" hidden="1">MANTENIMIENTO!$A$4:$BC$6</definedName>
    <definedName name="ALIMENTACION" localSheetId="0">[1]DATOS!$A$23:$A$24</definedName>
    <definedName name="ALIMENTACION">DATOS!$A$23:$A$27</definedName>
    <definedName name="CONCEPTO" localSheetId="0">[1]DATOS!$L$2:$L$4</definedName>
    <definedName name="CONCEPTO">DATOS!$L$2:$L$4</definedName>
    <definedName name="CUMPLE" localSheetId="0">[1]DATOS!$B$2:$B$3</definedName>
    <definedName name="CUMPLE">DATOS!$B$2:$B$3</definedName>
    <definedName name="GRADO" localSheetId="0">[1]DATOS!$A$138:$A$139</definedName>
    <definedName name="GRADO">DATOS!$A$130:$A$131</definedName>
    <definedName name="IDSEDE" localSheetId="0">[1]!Tabla1[ID SEDE]</definedName>
    <definedName name="IDSEDE">Tabla1[ID SEDE]</definedName>
    <definedName name="KARDEX">[1]DATOS!$U$2:$U$4</definedName>
    <definedName name="MARCA">[1]DATOS!$C$152:$C$362</definedName>
    <definedName name="MENU" localSheetId="0">[1]DATOS!$A$108:$A$128</definedName>
    <definedName name="MENU">DATOS!$A$100:$A$120</definedName>
    <definedName name="MODALIDAD">DATOS!$J$2:$J$6</definedName>
    <definedName name="OPCION" localSheetId="0">[1]DATOS!$A$2:$A$4</definedName>
    <definedName name="OPCION">DATOS!$A$2:$A$4</definedName>
    <definedName name="OPCION2" localSheetId="0">[1]DATOS!$A$144:$A$147</definedName>
    <definedName name="OPCION2">DATOS!$A$136:$A$139</definedName>
    <definedName name="OPERADOR">DATOS!$A$123:$A$126</definedName>
    <definedName name="PRODUCTO">[1]DATOS!$A$152:$A$526</definedName>
    <definedName name="PROFESIONAL" localSheetId="0">[1]!Tabla3[PROFESIONAL]</definedName>
    <definedName name="PROFESIONAL">Tabla3[PROFESIONAL]</definedName>
    <definedName name="SEDENO" localSheetId="0">MANTENIMIENTO!#REF!</definedName>
    <definedName name="SEDENO">#REF!</definedName>
    <definedName name="SEMANA" localSheetId="0">[1]DATOS!$O$2:$O$5</definedName>
    <definedName name="SEMANA">DATOS!$O$2:$O$5</definedName>
    <definedName name="SINO" localSheetId="0">[1]DATOS!$Q$2:$Q$3</definedName>
    <definedName name="SINO">DATOS!$Q$2:$Q$3</definedName>
    <definedName name="TEMPE">[1]DATOS!$S$2:$S$4</definedName>
    <definedName name="TIPO">DATOS!$A$143:$A$148</definedName>
    <definedName name="TIPO_VISITA">DATOS!$F$2:$F$3</definedName>
    <definedName name="VISITA">DATOS!$D$2:$D$6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X6" i="15" l="1"/>
  <c r="BW6" i="15"/>
  <c r="BI6" i="15"/>
  <c r="BS6" i="15"/>
  <c r="BR6" i="15"/>
  <c r="BH6" i="15"/>
  <c r="BA6" i="15"/>
  <c r="AZ6" i="15"/>
  <c r="F6" i="15"/>
  <c r="E6" i="15"/>
  <c r="AS6" i="15"/>
  <c r="CB6" i="15" s="1"/>
  <c r="AR6" i="15"/>
  <c r="CA6" i="15" l="1"/>
  <c r="BT6" i="15"/>
  <c r="BU6" i="15" s="1"/>
  <c r="BJ6" i="15"/>
  <c r="BK6" i="15" s="1"/>
  <c r="BB6" i="15"/>
  <c r="BC6" i="15" s="1"/>
  <c r="AT6" i="15"/>
  <c r="AU6" i="15" s="1"/>
  <c r="CC6" i="15" l="1"/>
  <c r="CD6" i="15" s="1"/>
  <c r="BY6" i="15" l="1"/>
  <c r="BZ6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Angelica</author>
  </authors>
  <commentList>
    <comment ref="D4" authorId="0" shapeId="0" xr:uid="{D05682D1-4C61-43BC-91DB-88749BCE1F55}">
      <text>
        <r>
          <rPr>
            <b/>
            <sz val="10"/>
            <color indexed="81"/>
            <rFont val="Tahoma"/>
            <family val="2"/>
          </rPr>
          <t>Angelica:</t>
        </r>
        <r>
          <rPr>
            <sz val="10"/>
            <color indexed="81"/>
            <rFont val="Tahoma"/>
            <family val="2"/>
          </rPr>
          <t xml:space="preserve">
Este código está pendiente, puesto que depende de la entrega de la relación de contratista y estableciemintos educativos
</t>
        </r>
      </text>
    </comment>
  </commentList>
</comments>
</file>

<file path=xl/sharedStrings.xml><?xml version="1.0" encoding="utf-8"?>
<sst xmlns="http://schemas.openxmlformats.org/spreadsheetml/2006/main" count="8267" uniqueCount="2980">
  <si>
    <t>EVALUACION FINAL DE LA VISITA</t>
  </si>
  <si>
    <t>ACTA DE INTERVENTORIA No.</t>
  </si>
  <si>
    <t>NUMERO DE VISITA</t>
  </si>
  <si>
    <t>FECHA DE VISITA DD/MM/AAAA</t>
  </si>
  <si>
    <t>NOMBRE DE QUIEN REALIZA LA INTERVENTORIA</t>
  </si>
  <si>
    <t>TIPO VISITA</t>
  </si>
  <si>
    <t>NOMBRE DE QUIEN RECIBE LA VISITA</t>
  </si>
  <si>
    <t>TOTAL PUNTAJE ESPERADO</t>
  </si>
  <si>
    <t>PUNTAJE TOTAL OBTENIDO  DE LA VISITA</t>
  </si>
  <si>
    <t>PORCENTAJE DE CUMPLIMIENTO DE LA VISITA</t>
  </si>
  <si>
    <t>CUMPLIMIENTO GENERAL DE LA VISITA</t>
  </si>
  <si>
    <t>MENU</t>
  </si>
  <si>
    <t>OBSERVACIONES</t>
  </si>
  <si>
    <t>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</si>
  <si>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</si>
  <si>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</si>
  <si>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</si>
  <si>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</si>
  <si>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</si>
  <si>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</si>
  <si>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</si>
  <si>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</si>
  <si>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</si>
  <si>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</si>
  <si>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Columna12</t>
  </si>
  <si>
    <t>Columna13</t>
  </si>
  <si>
    <t>Columna14</t>
  </si>
  <si>
    <t>Columna15</t>
  </si>
  <si>
    <t>Columna16</t>
  </si>
  <si>
    <t>Columna17</t>
  </si>
  <si>
    <t>Columna18</t>
  </si>
  <si>
    <t>Columna19</t>
  </si>
  <si>
    <t>Columna20</t>
  </si>
  <si>
    <t>Columna21</t>
  </si>
  <si>
    <t>Columna22</t>
  </si>
  <si>
    <t>Columna23</t>
  </si>
  <si>
    <t>Columna24</t>
  </si>
  <si>
    <t>Columna25</t>
  </si>
  <si>
    <t>Columna26</t>
  </si>
  <si>
    <t>Columna27</t>
  </si>
  <si>
    <t>Columna28</t>
  </si>
  <si>
    <t>Columna29</t>
  </si>
  <si>
    <t>Columna30</t>
  </si>
  <si>
    <t>Columna31</t>
  </si>
  <si>
    <t>Columna32</t>
  </si>
  <si>
    <t>Columna33</t>
  </si>
  <si>
    <t>Columna34</t>
  </si>
  <si>
    <t>Columna35</t>
  </si>
  <si>
    <t>Columna36</t>
  </si>
  <si>
    <t>Columna37</t>
  </si>
  <si>
    <t>Columna38</t>
  </si>
  <si>
    <t>Columna39</t>
  </si>
  <si>
    <t>Columna40</t>
  </si>
  <si>
    <t>Columna41</t>
  </si>
  <si>
    <t>Columna42</t>
  </si>
  <si>
    <t>Columna43</t>
  </si>
  <si>
    <t>Columna44</t>
  </si>
  <si>
    <t>Columna45</t>
  </si>
  <si>
    <t>Columna46</t>
  </si>
  <si>
    <t>Columna47</t>
  </si>
  <si>
    <t>Columna48</t>
  </si>
  <si>
    <t>Columna49</t>
  </si>
  <si>
    <t>Columna50</t>
  </si>
  <si>
    <t>Columna51</t>
  </si>
  <si>
    <t>Columna52</t>
  </si>
  <si>
    <t>Columna53</t>
  </si>
  <si>
    <t>Columna54</t>
  </si>
  <si>
    <t>Columna55</t>
  </si>
  <si>
    <t>Columna56</t>
  </si>
  <si>
    <t>Columna57</t>
  </si>
  <si>
    <t>Columna58</t>
  </si>
  <si>
    <t>Columna60</t>
  </si>
  <si>
    <t>Columna62</t>
  </si>
  <si>
    <t>Columna63</t>
  </si>
  <si>
    <t>Columna64</t>
  </si>
  <si>
    <t>Columna65</t>
  </si>
  <si>
    <t>Columna66</t>
  </si>
  <si>
    <t>Columna67</t>
  </si>
  <si>
    <t>Columna68</t>
  </si>
  <si>
    <t>Columna69</t>
  </si>
  <si>
    <t>Columna70</t>
  </si>
  <si>
    <t>Columna71</t>
  </si>
  <si>
    <t>Columna72</t>
  </si>
  <si>
    <t>Columna73</t>
  </si>
  <si>
    <t>Columna74</t>
  </si>
  <si>
    <t>Columna75</t>
  </si>
  <si>
    <t>Visita 2</t>
  </si>
  <si>
    <t>TECNICA</t>
  </si>
  <si>
    <t>NA</t>
  </si>
  <si>
    <t>Visita 3</t>
  </si>
  <si>
    <t>SAN JAVIER</t>
  </si>
  <si>
    <t>OPCION</t>
  </si>
  <si>
    <t>VISITA</t>
  </si>
  <si>
    <t>MODALIDAD</t>
  </si>
  <si>
    <t>Visita 1</t>
  </si>
  <si>
    <t>ADMINISTRATIVA</t>
  </si>
  <si>
    <t>Visita 4</t>
  </si>
  <si>
    <t>Visita 5</t>
  </si>
  <si>
    <t>ACTA</t>
  </si>
  <si>
    <t>ACT-001</t>
  </si>
  <si>
    <t>ACT-002</t>
  </si>
  <si>
    <t>ACT-003</t>
  </si>
  <si>
    <t>ACT-004</t>
  </si>
  <si>
    <t>ACT-005</t>
  </si>
  <si>
    <t>SI('GESTION INSTITUCIONAL'!V5="No Cumple";CELDA("contenido";'GESTION INSTITUCIONAL'!AD5); "  ")</t>
  </si>
  <si>
    <t>ALIMENTACION</t>
  </si>
  <si>
    <t>PROFESIONAL</t>
  </si>
  <si>
    <t>ROL</t>
  </si>
  <si>
    <t>COMPLEMENTO TIPO ALMUERZO</t>
  </si>
  <si>
    <t>OPERADOR</t>
  </si>
  <si>
    <t>CONSECUTIVO DANE</t>
  </si>
  <si>
    <t>TIPO DE ALIMENTACIÓN / COMPLEMENTO</t>
  </si>
  <si>
    <t>CONCEPTO</t>
  </si>
  <si>
    <t>NO TIENE</t>
  </si>
  <si>
    <t>FAVORABLE</t>
  </si>
  <si>
    <t>CONDICIONADO</t>
  </si>
  <si>
    <t>COMPLEMENTO AM/PM</t>
  </si>
  <si>
    <t>TIPO VASO DE LECHE</t>
  </si>
  <si>
    <t># PROFESIONAL</t>
  </si>
  <si>
    <t>CUMPLE</t>
  </si>
  <si>
    <t>X</t>
  </si>
  <si>
    <t>IDENTIFICACION INTERVENTOR</t>
  </si>
  <si>
    <t>IDENTIFICACION</t>
  </si>
  <si>
    <t>IDENTIFICACION DE QUIEN RECIBE LA VISITA</t>
  </si>
  <si>
    <t>ID SEDE</t>
  </si>
  <si>
    <t xml:space="preserve">No. LOTE </t>
  </si>
  <si>
    <t xml:space="preserve">Zona </t>
  </si>
  <si>
    <t xml:space="preserve">No. </t>
  </si>
  <si>
    <t>COMEDOR ESCOLAR</t>
  </si>
  <si>
    <t>NOMBRE SEDE</t>
  </si>
  <si>
    <t>TIPO DE EE</t>
  </si>
  <si>
    <t>J.UNICA</t>
  </si>
  <si>
    <t>COMUNA</t>
  </si>
  <si>
    <t>BARRIO</t>
  </si>
  <si>
    <t>DIRECCION</t>
  </si>
  <si>
    <t>TELEFONO</t>
  </si>
  <si>
    <t xml:space="preserve">RECTOR Y/O COORDINADOR  </t>
  </si>
  <si>
    <t>DOCENTE ENCARGADO DEL R.E.</t>
  </si>
  <si>
    <t>CORREO ELECTRONICO</t>
  </si>
  <si>
    <t>COMPLEMENTO ALIMENTARIO  AM/PM 
0° a 3°</t>
  </si>
  <si>
    <t>COMPLEMENTO ALIMENTARIO  AM/PM 
4° a 8°</t>
  </si>
  <si>
    <t>COMPLEMENTO ALIMENTARIO  AM/PM 
9° a 11°</t>
  </si>
  <si>
    <t xml:space="preserve"> COMPLEMENTO VASO DE LECHE 0° a 3°</t>
  </si>
  <si>
    <t xml:space="preserve"> COMPLEMENTO VASO DE LECHE 4° a 8°</t>
  </si>
  <si>
    <t xml:space="preserve"> COMPLEMENTO VASO DE LECHE 9° a 11°</t>
  </si>
  <si>
    <t xml:space="preserve">TOTAL COBERTURA </t>
  </si>
  <si>
    <t>IE CON RIT</t>
  </si>
  <si>
    <t>INST EDUC BARRIO SAN NICOLAS</t>
  </si>
  <si>
    <t>O</t>
  </si>
  <si>
    <t>VILLA GUADALUPE</t>
  </si>
  <si>
    <t>CARRERA 45A 96 17</t>
  </si>
  <si>
    <t>2365865 - 2360235</t>
  </si>
  <si>
    <t>HENRY MONSALVE AMARILES</t>
  </si>
  <si>
    <t>PAULA ARTEAGA</t>
  </si>
  <si>
    <t>coordisanicolas@gmail.com</t>
  </si>
  <si>
    <t>SEC ESC ANTONIO DERKA</t>
  </si>
  <si>
    <t>SANTO DOMINGO SAVIO Nº 2</t>
  </si>
  <si>
    <t>CARRERA 28 107 365</t>
  </si>
  <si>
    <t>5295216 5295218 5280020</t>
  </si>
  <si>
    <t>RUBEN DARIO URIBE MEJÍA</t>
  </si>
  <si>
    <t>M.(AM) MARTA CECILIA AGUILAR - UBER CALLE</t>
  </si>
  <si>
    <t>ie.antonioderka@medellin.gov.co ie.antoniosanto@medellin.gov.co</t>
  </si>
  <si>
    <t>Los 400 RI deben ser entregados en la I.E Antonio Derka</t>
  </si>
  <si>
    <t>INST EDUC REINO DE BELGICA</t>
  </si>
  <si>
    <t>MARIA CANO - CARAMBOLAS</t>
  </si>
  <si>
    <t>CARRERA 24C 93 44</t>
  </si>
  <si>
    <t>5722332 3113600138</t>
  </si>
  <si>
    <t>WEIMAR ALBERTO VASQUEZ</t>
  </si>
  <si>
    <t>RUTH ESTELA OCHOA Q.</t>
  </si>
  <si>
    <t>ie.reinodebelgica@gmail.com; weimarv@gmail.com</t>
  </si>
  <si>
    <t>SEC ESC MEDELLIN</t>
  </si>
  <si>
    <t>SAN PABLO - POPULAR</t>
  </si>
  <si>
    <t>CALLE 96 36 45</t>
  </si>
  <si>
    <t>CONSTANZA GIRALDO</t>
  </si>
  <si>
    <t>MARTHA GIL</t>
  </si>
  <si>
    <t>luiskb.07@hotmail.com</t>
  </si>
  <si>
    <t>SEC ESC NUEVO HORIZONTE 2</t>
  </si>
  <si>
    <t>SANTO DOMINGO SAVIO Nº 1</t>
  </si>
  <si>
    <t>CARRERA 37 107AA 21</t>
  </si>
  <si>
    <t>ANGEL PARDO</t>
  </si>
  <si>
    <t>CONSUELO RUA</t>
  </si>
  <si>
    <t>ienuevohorizonte2010@gmail.com</t>
  </si>
  <si>
    <t>INST EDUC NUEVO HORIZONTE -PAULO VI</t>
  </si>
  <si>
    <t>POPULAR</t>
  </si>
  <si>
    <t>CARRERA 42B 110A 28</t>
  </si>
  <si>
    <t>5285638 5722929</t>
  </si>
  <si>
    <t>ANGEL GEOVANNY PARDO ALVAREZ</t>
  </si>
  <si>
    <t>EMERSSON CAMILO YEPES</t>
  </si>
  <si>
    <t>giovamnip8@une.net.co; ienuevohorizonte2010@gmail.com</t>
  </si>
  <si>
    <t>INST EDUC GUADALUPE</t>
  </si>
  <si>
    <t>CARRERA 42B 95A 23</t>
  </si>
  <si>
    <t>XOCIMO RAMOS</t>
  </si>
  <si>
    <t>SANDRA ALVAREZ</t>
  </si>
  <si>
    <t>ie.villaguadalupe@medellin.gov.co/nertor.garciam@medellin.gov.co,eleazarlemos@yahoo.com,alhacgranda@hotmail.com; ieguadalupe@gmail.com</t>
  </si>
  <si>
    <t>SEC ESC GRACIELA JIMENEZ DE BUSTAMANTE</t>
  </si>
  <si>
    <t>MOSCU Nº 2</t>
  </si>
  <si>
    <t>CARRERA 44 98B 24</t>
  </si>
  <si>
    <t>VICTOR GAMERO POLO</t>
  </si>
  <si>
    <t>ie.gracielajimenez@medellin.gov.co; xocimor@yahoo.es; smah1979@gmail.com, ieguadalupe@gmail.com</t>
  </si>
  <si>
    <t>RIT</t>
  </si>
  <si>
    <t>INST EDUC FEDERICO CARRASQUILLA</t>
  </si>
  <si>
    <t>CARRERA 45 108 110</t>
  </si>
  <si>
    <t>2580194 - 2581227 - 5217789</t>
  </si>
  <si>
    <t>CARLOS ARTURO VENGOECHEA MARULANDA</t>
  </si>
  <si>
    <t>LEIDY LARGO</t>
  </si>
  <si>
    <t>federicocarrasquilla@gmail.com</t>
  </si>
  <si>
    <t>INST EDUC FE Y ALEGRIA GRANIZAL</t>
  </si>
  <si>
    <t>SEC ESC FE Y ALEGRIA GRANIZAL</t>
  </si>
  <si>
    <t>GRANIZAL</t>
  </si>
  <si>
    <t>CARRERA 39A 104 23</t>
  </si>
  <si>
    <t>5293564 5293562</t>
  </si>
  <si>
    <t>FIVIAN YULIETH AGUILAR PACHON</t>
  </si>
  <si>
    <t>HILDA CECILIA RINCON OSPINA- NANCY ACEVEDO</t>
  </si>
  <si>
    <t>feyalegriag@hotmail.com hilceri19@gmail.com</t>
  </si>
  <si>
    <t>Comparten comedor - Los 320 AM/PM de la IE. Fe y Alegria deben ser entregados en la SE Fe y Alegria.</t>
  </si>
  <si>
    <t>yulieduca@gmail.com; ie.feyalegriagranizal@medellin.gov.co</t>
  </si>
  <si>
    <t>INST EDUC FE Y ALEGRIA POPULAR NRO. 1</t>
  </si>
  <si>
    <t>CALLE 120 42BB 10</t>
  </si>
  <si>
    <t>HNA.MARIA EUGENIA ECHAVARRIA</t>
  </si>
  <si>
    <t>LUZ MARINA CORREA - PM</t>
  </si>
  <si>
    <t>ie.feyalegriapopular@medellin.gov.co/mariuearjm@yahoo.com.ar</t>
  </si>
  <si>
    <t>SEC ESC FE Y ALEGRIA POPULAR NO 2</t>
  </si>
  <si>
    <t>CARRERA 43 118B 16</t>
  </si>
  <si>
    <t>ADRIANA VELASQUEZ - AM</t>
  </si>
  <si>
    <t>ie.feyalegriapopular2@medellin.gov.co/mariuearjm@yahoo.com.ar, amavechi14@hotmail.com</t>
  </si>
  <si>
    <t>COL EMAUS</t>
  </si>
  <si>
    <t>C</t>
  </si>
  <si>
    <t>CARRERA 40 95A 30</t>
  </si>
  <si>
    <t>5219275 5219411 ext 115</t>
  </si>
  <si>
    <t>SAMUEL GALVES OSORIO</t>
  </si>
  <si>
    <t>DAVID TUBERQUIA</t>
  </si>
  <si>
    <t>colegioparroquialemaus@gmail.com, psicologiacpemaus@gmail.com</t>
  </si>
  <si>
    <t>INST EDUC ASIA IGNACIANA</t>
  </si>
  <si>
    <t>LA FRONTERA</t>
  </si>
  <si>
    <t>CALLE 122 51B 30</t>
  </si>
  <si>
    <t>4611821 4610517</t>
  </si>
  <si>
    <t>JOHN FREDY NUÑEZ OCHOA</t>
  </si>
  <si>
    <t>DUBER HOLGUIN PINEDA</t>
  </si>
  <si>
    <t>ieasiaignaciana@medellin.gov</t>
  </si>
  <si>
    <t>Comparten comedor - Los 240 AM/PM y 130 VL de la SE Asia Ignaciana se deben entregar en la I.E Asia Ignaciana.
ITEM 3: Comparten comedor - Los 60 RI de SP el Playon y los 130 de la SE Asia Ignaciana se deben entregar en la I.E Asia Ignaciana</t>
  </si>
  <si>
    <t>SEC ESC ASIA IGNACIANA</t>
  </si>
  <si>
    <t>SEC ESC LA FRONTERA</t>
  </si>
  <si>
    <t>CALLE 122 50A 14</t>
  </si>
  <si>
    <t>4611821-4610517</t>
  </si>
  <si>
    <t>SEC ESC FIDEL A. SALDARRIAGA</t>
  </si>
  <si>
    <t>VILLA DEL SOCORRO</t>
  </si>
  <si>
    <t>CARRERA 48 103B 07</t>
  </si>
  <si>
    <t>2368687 2368944-3003792726</t>
  </si>
  <si>
    <t>JULIO HUMBERTO FERNANDEZ TRUJILLO</t>
  </si>
  <si>
    <t>LUZ MARINA MARTINEZ- AM; FERNANDO PRADA CAMARGO PM</t>
  </si>
  <si>
    <t>ie.fidelasaldarriaga@medellin.gov.co, ie.villadelsocorro@medellin.gov.co,nica145@gmail.com, coordfidel@gmail.com</t>
  </si>
  <si>
    <t>SEC ESC VILLA NIZA</t>
  </si>
  <si>
    <t xml:space="preserve">SEC ESC VILLA NIZA </t>
  </si>
  <si>
    <t>VILLA NIZA</t>
  </si>
  <si>
    <t>CALLE 104A 50A 42</t>
  </si>
  <si>
    <t>2364169- 5218673-</t>
  </si>
  <si>
    <t>LUIS G.TAMAYO BEDOYA-PM; JUAN CARLOS SALAZAR-AM</t>
  </si>
  <si>
    <t>jajv44@gmail.com; coordivilla@gmail.com</t>
  </si>
  <si>
    <t>INST EDUC CIRO MENDIA</t>
  </si>
  <si>
    <t>SANTA CRUZ</t>
  </si>
  <si>
    <t>CALLE 99 48 55</t>
  </si>
  <si>
    <t>2364909 2142545</t>
  </si>
  <si>
    <t>MIGUEL ANGEL TANGARIFE</t>
  </si>
  <si>
    <t>SANDRA BUSTAMANTE</t>
  </si>
  <si>
    <t>ie.ciromendia@medellin.gov.co; sandrabr6@gmail.com</t>
  </si>
  <si>
    <t>INST EDUC PABLO NERUDA</t>
  </si>
  <si>
    <t>LA ROSA</t>
  </si>
  <si>
    <t>CALLE 97A 50AA 49</t>
  </si>
  <si>
    <t>2367211-
2142284</t>
  </si>
  <si>
    <t>LUIS CARLOS MOLINA</t>
  </si>
  <si>
    <t>ROSALBA GONZALEZ-PM; SADIS RICARDO-AM</t>
  </si>
  <si>
    <t>ie.pabloneruda@medellin.gov.co; rosigm12@yahoo.es; rectorianeruda@gmail.com</t>
  </si>
  <si>
    <t>SEC ESC MUNICIPAL LA ROSA</t>
  </si>
  <si>
    <t>CARRERA 52 99 24</t>
  </si>
  <si>
    <t>BERNARDO ANTONIO MORALES</t>
  </si>
  <si>
    <t>LUZ BEATRIZ PEÑA</t>
  </si>
  <si>
    <t>ie.municipallarosa@medellin.gov.co; ierepublicadehonduras@gmail.com</t>
  </si>
  <si>
    <t>INST EDUC BARRIO SANTA CRUZ</t>
  </si>
  <si>
    <t>MOSCU Nº 1</t>
  </si>
  <si>
    <t>CALLE 103 43A 23</t>
  </si>
  <si>
    <t>HUGO LEON GUTIERREZ</t>
  </si>
  <si>
    <t>LUIS ALVAREZ-PM; MARIA ISABEL MORALES-AM</t>
  </si>
  <si>
    <t>iebscruz1@hotmail.com; isa_morales@hotmail.com</t>
  </si>
  <si>
    <t>SEC ESC LA FRANCIA</t>
  </si>
  <si>
    <t>LA FRANCIA</t>
  </si>
  <si>
    <t>CALLE 109 51 71</t>
  </si>
  <si>
    <t>FRANCISCO JAVIER RESTREPO</t>
  </si>
  <si>
    <t>RUTH MARIANA ATHEHORTUA - AM - ALBA CECILIA HENAO - PM</t>
  </si>
  <si>
    <t>ie.lafrancia@medellin.gov.co; franjare@gmail.com; institucionfincalamesa@medellin.gov.co</t>
  </si>
  <si>
    <t>INST EDUC MANUEL URIBE ANGEL</t>
  </si>
  <si>
    <t>ANDALUCIA</t>
  </si>
  <si>
    <t>CARRERA 49A 107 65</t>
  </si>
  <si>
    <t>JORGE ALIRIO ECHEVERRI TAMAYO</t>
  </si>
  <si>
    <t>VIVIANA RODRIGUEZ-AM, SERGIO ANDRÉS ROJAS -PM</t>
  </si>
  <si>
    <t>ie.manueluribeangel@medellin.gov.co; notasmanueluribe@gmail.com; sanberbepo@hotmail.com</t>
  </si>
  <si>
    <t>SEC ESC GERARDO DAVID GIRALDO</t>
  </si>
  <si>
    <t>CARRERA 49C 108 70</t>
  </si>
  <si>
    <t>JORGE ALIRIO RODRIGUEZ</t>
  </si>
  <si>
    <t>MARIO ALBERTO GUERRA MONTOYA COORD, CAREN LÓPEZ ARISTIZABAL DOCENTE</t>
  </si>
  <si>
    <t>ie.gerardodavidgiraldo@medellin.gov.co; albertodoctorado@live.com,carentlopez@gmail.com</t>
  </si>
  <si>
    <t>SEC ESC BELLO ORIENTE</t>
  </si>
  <si>
    <t>ORIENTE</t>
  </si>
  <si>
    <t>CALLE 83B 23C 353</t>
  </si>
  <si>
    <t>CARLOS GOMEZ</t>
  </si>
  <si>
    <t>DORA RENDON - GUSTAVO CUESTA</t>
  </si>
  <si>
    <t>ie.bellooriente@medellin.gov.co; carlosgota1@gmail.com; ie.ramonmunera@hotmail.com</t>
  </si>
  <si>
    <t>INST EDUC MANUELA BELTRAN</t>
  </si>
  <si>
    <t>MANRIQUE ORIENTAL</t>
  </si>
  <si>
    <t>CARRERA 37 71 47</t>
  </si>
  <si>
    <t>5272968-5161797</t>
  </si>
  <si>
    <t>CÉSAR AGUSTO CORRALES AGUDELO</t>
  </si>
  <si>
    <t>MAGALY SANCHEZ</t>
  </si>
  <si>
    <t>iemanuelabeltran@medellin.gov.co; manuelabeltran.ie@gmail.com; condotochoco97@yahoo.es</t>
  </si>
  <si>
    <t>SEC ESC VERSALLES</t>
  </si>
  <si>
    <t>VERSALLES Nº 1</t>
  </si>
  <si>
    <t>CALLE 71 33 33</t>
  </si>
  <si>
    <t>GUSTAVO ADOLFO PATIÑO</t>
  </si>
  <si>
    <t>GLORIA LUZ GARCIA - AM; JHON DARIO RAMIREZ-PM</t>
  </si>
  <si>
    <t>ie.versalles@medellin.gov.co; ravajoda@hotmail.com</t>
  </si>
  <si>
    <t>INST EDUC ENRIQUE OLAYA HERRERA</t>
  </si>
  <si>
    <t>CALLE 71A 32 18</t>
  </si>
  <si>
    <t>2911707 2912291</t>
  </si>
  <si>
    <t>JAQUELINE RODRIGUEZ MARIN</t>
  </si>
  <si>
    <t>FABIAN ROMERO (P) JHON JAIRO PEREZ</t>
  </si>
  <si>
    <t>enriqueolayaherrera@hotmail.com; rosa.martinez@medellin.gov.co; jjpp34@gmail.com</t>
  </si>
  <si>
    <t>INST EDUC SAN LORENZO DE ABURRA</t>
  </si>
  <si>
    <t>SANTA INES</t>
  </si>
  <si>
    <t>CARRERA 39 80 33</t>
  </si>
  <si>
    <t>2331978-5165876</t>
  </si>
  <si>
    <t>GABRIEL ANGEL AGUDELO CIFUENTES</t>
  </si>
  <si>
    <t>GLORIA MARLENY HERRERA AGUDELO</t>
  </si>
  <si>
    <t>Ie.sanlorenzodeaburr@medellin.gov.co; gloriamarleny18@yahoo.es</t>
  </si>
  <si>
    <t>INST EDUC FE Y ALEGRIA LA CIMA</t>
  </si>
  <si>
    <t>LAS GRANJAS</t>
  </si>
  <si>
    <t>CARRERA 36C 86BB 15</t>
  </si>
  <si>
    <t>CLAUDIA MARIA GOMEZ HOYOS</t>
  </si>
  <si>
    <t>SINDY YULIANA VILLA</t>
  </si>
  <si>
    <t>ie.feyalegrialacima@medellin.gov.co; slacima@gmail.com; campovaldes2013@gmail.com; rectoralacima@gmail.com</t>
  </si>
  <si>
    <t>Comparten comedor - los 200 AM/PM de SE Fe y Alegria #3 se deben entregar en I.E Fe y Alegria la Cima.</t>
  </si>
  <si>
    <t>SEC ESC FE Y ALEGRIA NO 3</t>
  </si>
  <si>
    <t>INST EDUC SAN JUAN BAUTISTA DE LA SALLE</t>
  </si>
  <si>
    <t>LA SALLE</t>
  </si>
  <si>
    <t>CALLE 93 40 42</t>
  </si>
  <si>
    <t>5225237-5215192</t>
  </si>
  <si>
    <t>DARIO RODRIGUEZ ZAPATA</t>
  </si>
  <si>
    <t>CARMEN SOELIA ZAPATA TAPIAS (Coordinadora)</t>
  </si>
  <si>
    <t>ie.sanjuanbautistade@medellin.gov.co; ielasalle@gmail.com; soeliazapata@gmail.com</t>
  </si>
  <si>
    <t>INST EDUC JOSE ANTONIO GALAN</t>
  </si>
  <si>
    <t>CARRERA 44A 93 87</t>
  </si>
  <si>
    <t>LUIS FERNANDO VARGAS</t>
  </si>
  <si>
    <t>FRANCI ATEHORTUA</t>
  </si>
  <si>
    <t>fatchortua@josegalan.edu.co; iejoseantoniogalan@josegalan.edu.co</t>
  </si>
  <si>
    <t>INST EDUC HERNAN TORO AGUDELO</t>
  </si>
  <si>
    <t>EL POMAR</t>
  </si>
  <si>
    <t>CARRERA 45 72 80</t>
  </si>
  <si>
    <t>LIBIA PABON</t>
  </si>
  <si>
    <t>MARYORI PIEDRAHITA</t>
  </si>
  <si>
    <t>ie.hernantoro@medellin.gov.co; mayppz@yahoo.com; institucionhta@yahoo.com</t>
  </si>
  <si>
    <t>INST EDUC LAS NIEVES</t>
  </si>
  <si>
    <t>CALLE 82 39 69</t>
  </si>
  <si>
    <t>BEATRIZ ELENA BENITEZ</t>
  </si>
  <si>
    <t>FREDY CASTRO-PM; LINA TORRES-AM</t>
  </si>
  <si>
    <t>iclasnieves@une.net.co; estrasol1@yahoo.com;
ie.lasnieves@medellin.gov.co; vengalamaria@hotmail.com; dimagohe75@gmail.com; bebehnieves@gmail.com</t>
  </si>
  <si>
    <t>INST EDUC RAMON MUNERA LOPERA</t>
  </si>
  <si>
    <t>EL RAIZAL</t>
  </si>
  <si>
    <t>CARRERA 30A 77A 04</t>
  </si>
  <si>
    <t>BEATRIZ CECILIA CORREA MURILLO-AM</t>
  </si>
  <si>
    <t>Ie.ramonmunera@hotmail.com; beaz18@hotmail.com; beacorremucho@yahoo.es; carlosgota1@gmal.com</t>
  </si>
  <si>
    <t>SEC ESC ALTO DE LA CRUZ</t>
  </si>
  <si>
    <t>LA CRUZ</t>
  </si>
  <si>
    <t>CALLE 79C 24C 21</t>
  </si>
  <si>
    <t>2319667 2118244 5712747</t>
  </si>
  <si>
    <t>NURIS SARAY PABON</t>
  </si>
  <si>
    <t>ie.altodelacruz@medellin.gov.co; estellitamena@yahoo.es; notessaray@gmail.com</t>
  </si>
  <si>
    <t>INST EDUC JAVIERA LONDOÑO SEVILLA</t>
  </si>
  <si>
    <t>SEVILLA</t>
  </si>
  <si>
    <t>CALLE 71 51D 26</t>
  </si>
  <si>
    <t>2118291 2116666 2336219</t>
  </si>
  <si>
    <t>LUA DARY USUGA USUGA</t>
  </si>
  <si>
    <t>MARTA RODRIGUEZ Y MARIA VICTORIA RIOS</t>
  </si>
  <si>
    <t>ie.javieralondonosev@medellin.gov.co; mainros2008@hotmail.com</t>
  </si>
  <si>
    <t>INST EDUC ALFONSO MORA NARANJO</t>
  </si>
  <si>
    <t>CAMPO VALDES Nº 1</t>
  </si>
  <si>
    <t>CARRERA 48A 77 68</t>
  </si>
  <si>
    <t>2110412 -2118237-2333137</t>
  </si>
  <si>
    <t>MARIA GEMA MUÑOZ OSORNO</t>
  </si>
  <si>
    <t>DIANA ESTRADA-AM; MARIA VICTORIA MAYA-PM</t>
  </si>
  <si>
    <t>almoranaranjo@hotmail.com</t>
  </si>
  <si>
    <t>SEC ESC SANTA MARIA GORETTI</t>
  </si>
  <si>
    <t>MANRIQUE CENTRAL Nº 1</t>
  </si>
  <si>
    <t>CALLE 67 48A 32</t>
  </si>
  <si>
    <t>YUDITH MARTINEZ-AM; PIEDAD MARIN-PM</t>
  </si>
  <si>
    <t>alual13@yahoo.com.ar</t>
  </si>
  <si>
    <t>INST EDUC CAMPO VALDES</t>
  </si>
  <si>
    <t>CALLE 83 47 33</t>
  </si>
  <si>
    <t>2118234 2336895</t>
  </si>
  <si>
    <t>ORLANDO ISAZA ESTRADA-(FALLECIO)</t>
  </si>
  <si>
    <t>CRISTINA LOPEZ HENAO</t>
  </si>
  <si>
    <t>rectoria.iecampovaldes@gmail.com; coordiacademica.iecampovaldes@gmail.com</t>
  </si>
  <si>
    <t>INST EDUC FRANCISCO MIRANDA</t>
  </si>
  <si>
    <t>MIRANDA</t>
  </si>
  <si>
    <t>CARRERA 51C 79 56</t>
  </si>
  <si>
    <t>2335808 2135601</t>
  </si>
  <si>
    <t>ANA MARIA MONTOYA</t>
  </si>
  <si>
    <t>LUCY COLOMBIA</t>
  </si>
  <si>
    <t>secretaria@franciscomiranda.edu.co; garciamarinliliana@gmail.com</t>
  </si>
  <si>
    <t>SEC ESC JULIO ARBOLEDA</t>
  </si>
  <si>
    <t>CALLE 78 51 12</t>
  </si>
  <si>
    <t>ARMANDO PEREZ</t>
  </si>
  <si>
    <t>secretaria@franciscomiranda.edu.co</t>
  </si>
  <si>
    <t>INST EDUC JUAN DE DIOS COCK</t>
  </si>
  <si>
    <t>LAS ESMERALDAS</t>
  </si>
  <si>
    <t>CALLE 88 45 70</t>
  </si>
  <si>
    <t>2110220-2112461</t>
  </si>
  <si>
    <t>HUMBERTO RESTREPO ZAPATA</t>
  </si>
  <si>
    <t>JULIAN DAVID ZAPATA Y LINA MARIA PATIÑO</t>
  </si>
  <si>
    <t>iejuandedioscock@gmail.com</t>
  </si>
  <si>
    <t>INST EDUC CAMILO TORRES RESTREPO</t>
  </si>
  <si>
    <t>CARRERA 49 83 34</t>
  </si>
  <si>
    <t>BEATRIZ CASTRO</t>
  </si>
  <si>
    <t>ALDEMAR ATHEORTUA SANCHEZ ©
MILY JANETH TELLO
ERIKA RAMIREZ TORO</t>
  </si>
  <si>
    <t>Catorre917@yahoo.es; aldemarate@gmail.com; docenterika@gmail.com</t>
  </si>
  <si>
    <t>INST EDUC FRANCISCO LUIS HERNANDEZ BETANCUR</t>
  </si>
  <si>
    <t>ARANJUEZ</t>
  </si>
  <si>
    <t>CALLE 87 50AA 21</t>
  </si>
  <si>
    <t>2368970-4448971</t>
  </si>
  <si>
    <t>FERNANDO VARGAS ROJAS</t>
  </si>
  <si>
    <t>PAOLA RENDON-PM; BEATRIZ HENAO-AM</t>
  </si>
  <si>
    <t>ie.franciscoluishern@medellin.gov.co; prendon@iefranciscoluis.edu.co</t>
  </si>
  <si>
    <t>SEC ESC SAN ISIDRO</t>
  </si>
  <si>
    <t>PALERMO</t>
  </si>
  <si>
    <t>CARRERA 53 95 25</t>
  </si>
  <si>
    <t>HUMBERTO BERMUDEZ</t>
  </si>
  <si>
    <t>DIANA TORO</t>
  </si>
  <si>
    <t>dianatoroh@gmail.com</t>
  </si>
  <si>
    <t>SEC ESC CARLOS VILLA MARTINEZ</t>
  </si>
  <si>
    <t>SAN ISIDRO</t>
  </si>
  <si>
    <t>CARRERA 50B 95 06</t>
  </si>
  <si>
    <t>BLANCA ISAZA</t>
  </si>
  <si>
    <t>mariagalvis150@hotmail.com; blancacisazaj@gmail.com</t>
  </si>
  <si>
    <t>INST EDUC SAN AGUSTIN</t>
  </si>
  <si>
    <t>CALLE 88A 51B 91</t>
  </si>
  <si>
    <t>HECTOR HERNAN GARCIA DUQUE</t>
  </si>
  <si>
    <t>CONSUELO LÓPEZ -</t>
  </si>
  <si>
    <t>iesa.berenice.iesa@gmail.com; iesanagutsin@hotmail.com</t>
  </si>
  <si>
    <t>SEC ESC ESTEBAN JARAMILLO</t>
  </si>
  <si>
    <t>LA PIÑUELA</t>
  </si>
  <si>
    <t>CARRERA 47 89 79</t>
  </si>
  <si>
    <t>JUAN GUILLERMO VILLA</t>
  </si>
  <si>
    <t>ARLEX YESID GALEANO</t>
  </si>
  <si>
    <t>lusmar1431@hotmail.com; celmar521@hotmail.com; arlexgaleano@gmail.com</t>
  </si>
  <si>
    <t>SEC ESC SIMONA DUQUE</t>
  </si>
  <si>
    <t>CARRERA 51 96 44</t>
  </si>
  <si>
    <t>arlexgaleano@gmail.com</t>
  </si>
  <si>
    <t>INST EDUC MONSEÑOR FRANCISCO CRISTOBAL TORO</t>
  </si>
  <si>
    <t>CARRERA 50D 90 49</t>
  </si>
  <si>
    <t>2365286 5240239</t>
  </si>
  <si>
    <t>PEDRO AGUALIMPIA PEREA</t>
  </si>
  <si>
    <t>DIANA P. TORO-AM; VICTOR AVILA-PM</t>
  </si>
  <si>
    <t>info.iecristobaltoro@gmail.com</t>
  </si>
  <si>
    <t>INST EDUC JOSE EUSEBIO CARO</t>
  </si>
  <si>
    <t>CARRERA 50A 93 77</t>
  </si>
  <si>
    <t>2364551 2362561</t>
  </si>
  <si>
    <t>FRANCISCO JAVIER RESTREPO ROLDAN</t>
  </si>
  <si>
    <t>LUZ MIRIAM RAMIREZ - LILIA URRUTIA</t>
  </si>
  <si>
    <t>ie.joseeusebiocaro@medellin.gov.co; pipiyusateamo@yahoo.com.ar; francisco.restrepo@medellin.gov.co</t>
  </si>
  <si>
    <t>INST EDUC DIEGO ECHAVARRIA MISAS</t>
  </si>
  <si>
    <t>FLORENCIA</t>
  </si>
  <si>
    <t>CALLE 111 70 68</t>
  </si>
  <si>
    <t>4521760  4521734  2732700</t>
  </si>
  <si>
    <t>RODRIGO JIMENEZ MARTINEZ</t>
  </si>
  <si>
    <t>MARTIN ARTURO ARIAS ( AM) -  IVAN ESCOBAR (PM)</t>
  </si>
  <si>
    <t>idemisas@une.net.co; rodrigoj1991@une.net.co</t>
  </si>
  <si>
    <t>SEC ESC EDUARDO URIBE BOTERO</t>
  </si>
  <si>
    <t>TEJELO</t>
  </si>
  <si>
    <t>CARRERA 74 112 30</t>
  </si>
  <si>
    <t>2730531 Ext. 111 - 116 -117</t>
  </si>
  <si>
    <t>LILIANA MUÑOZ ( D) - PATRICIA VASCO (PM)</t>
  </si>
  <si>
    <t>jcruiz2004@gmail.com - julietaternura@gmail.com</t>
  </si>
  <si>
    <t>INST EDUC ALFONSO LOPEZ</t>
  </si>
  <si>
    <t>ALFONSO LOPEZ</t>
  </si>
  <si>
    <t>CARRERA 71C 89A 70</t>
  </si>
  <si>
    <t>2574197  2573944  2579574  311 603 04 48</t>
  </si>
  <si>
    <t>KAROL COSSIO CORREA</t>
  </si>
  <si>
    <t>NORA LIA MURILLO</t>
  </si>
  <si>
    <t>ie.alfonsolopez@medellin.gov.co</t>
  </si>
  <si>
    <t>SEC ESC MUNICIPAL KENNEDY</t>
  </si>
  <si>
    <t>CALLE 89A 72 50</t>
  </si>
  <si>
    <t>2575852 - 4424980</t>
  </si>
  <si>
    <t>BEATRIZ ELENA VILLA</t>
  </si>
  <si>
    <t>SEC ESC RICARDO URIBE ESCOBAR</t>
  </si>
  <si>
    <t>CARIBE</t>
  </si>
  <si>
    <t>CARRERA 64B 75A 49</t>
  </si>
  <si>
    <t>2570276 4410872</t>
  </si>
  <si>
    <t>MARIO GONZALEZ (COORD)</t>
  </si>
  <si>
    <t>YOLANDA RUA.</t>
  </si>
  <si>
    <t>ie.ricardouribeescob@medellin.gov.co</t>
  </si>
  <si>
    <t>INST EDUC MAESTRO PEDRO NEL GOMEZ</t>
  </si>
  <si>
    <t>CALLE 118 70 42</t>
  </si>
  <si>
    <t>4631259 2730323 4660345 4620035 EXT 11</t>
  </si>
  <si>
    <t>JHON JAIRO GARCIA. ( RECTOR )</t>
  </si>
  <si>
    <t>MARIA LUZ DARY MUÑOZ - GUILLERMO JIMENEZ</t>
  </si>
  <si>
    <t>ie.maestropedronelgo@medellin.gov.co</t>
  </si>
  <si>
    <t>SEC ESC DIEGO MARIA GOMEZ</t>
  </si>
  <si>
    <t>CARRERA 74 115 36</t>
  </si>
  <si>
    <t>HECTOR OSORIO (COORD)</t>
  </si>
  <si>
    <t>MATIDE MESA GARCIA</t>
  </si>
  <si>
    <t>albagragi1956@hotmail.com, hosoriog@hotmail.com</t>
  </si>
  <si>
    <t>SEC ESC TOSCANA</t>
  </si>
  <si>
    <t>TOSCANA</t>
  </si>
  <si>
    <t>CALLE 111G 64A 16</t>
  </si>
  <si>
    <t>GERMAN ZAPATA</t>
  </si>
  <si>
    <t>INDIANA MORALES</t>
  </si>
  <si>
    <t>coordinacion.toscana@gmail.com</t>
  </si>
  <si>
    <t>INST EDUC TRICENTENARIO</t>
  </si>
  <si>
    <t>TRICENTENARIO</t>
  </si>
  <si>
    <t>CARRERA 63A 94A 629</t>
  </si>
  <si>
    <t>4712280  4713883  4713914</t>
  </si>
  <si>
    <t>FLOR DE AZALEA VILLA</t>
  </si>
  <si>
    <t>CECILIA GOMEZ. LUZ MERY VAHOS,</t>
  </si>
  <si>
    <t>ietricentenario2012@gmail.com</t>
  </si>
  <si>
    <t>SEC ESC TRICENTENARIO</t>
  </si>
  <si>
    <t>CARRERA 63A 94A 23</t>
  </si>
  <si>
    <t>SILVIO RENTERIA.</t>
  </si>
  <si>
    <t>DIANA OSPINA. NIDIAN RENDÓN</t>
  </si>
  <si>
    <t>renasil3@gmail.com</t>
  </si>
  <si>
    <t>INST EDUC DINAMARCA</t>
  </si>
  <si>
    <t>FRANCISCO ANTONIO ZEA</t>
  </si>
  <si>
    <t>CALLE 91 65 119</t>
  </si>
  <si>
    <t>RAMIRO VALENCIA PATIÑO (RECTOR)</t>
  </si>
  <si>
    <t>ANA FRANCISCA GUERRERO AM  - CELINA ARIAS PM</t>
  </si>
  <si>
    <t>ie.dinamarca@medellin.gov.co - iedinamarca@iedinamarca.edu.co</t>
  </si>
  <si>
    <t>INST EDUC RODRIGO CORREA PALACIO</t>
  </si>
  <si>
    <t>CASTILLA</t>
  </si>
  <si>
    <t>CALLE 103 66 63</t>
  </si>
  <si>
    <t>CLARA ASTRID CEBALLOS. (RECTORA)</t>
  </si>
  <si>
    <t>MARIA SONIA ARANGO</t>
  </si>
  <si>
    <t>ie.rodrigocorrea@hotmail.com</t>
  </si>
  <si>
    <t>SEC ESC MUNICIPAL CASTILLA</t>
  </si>
  <si>
    <t>INST EDUC MAESTRO ARENAS BETANCUR</t>
  </si>
  <si>
    <t>CALLE 98A 65 120</t>
  </si>
  <si>
    <t>MARCO ANTONIO ORTIZ LOESTE  - ROBERTO AGUILAR</t>
  </si>
  <si>
    <t>MARIA ELENA FLOREZ AM - OLANDRA MADRID PM</t>
  </si>
  <si>
    <t>secretaria.maestroarenas@hotmail.com</t>
  </si>
  <si>
    <t>CALLE 101 65 125</t>
  </si>
  <si>
    <t>2676475  2677287 3007781380</t>
  </si>
  <si>
    <t>LUZ MARINA FLOREZ (COORD)</t>
  </si>
  <si>
    <t>GLADIS ARCILA AM - MARIA FENIBER ARANGO TORO PM</t>
  </si>
  <si>
    <t>SEC ESC IMPERIO DEL JAPON</t>
  </si>
  <si>
    <t>iemaestroarenasb2012@gmail,com</t>
  </si>
  <si>
    <t>SEC ESC ALEJO PIMIENTA</t>
  </si>
  <si>
    <t>CALLE 96 70 46</t>
  </si>
  <si>
    <t>NORBERTO GALLEGO</t>
  </si>
  <si>
    <t>RUBEN CORREA</t>
  </si>
  <si>
    <t>ktapulga@gmail.com - lunoga1@hotmail.com</t>
  </si>
  <si>
    <t>INST EDUC JULIO CESAR GARCIA</t>
  </si>
  <si>
    <t>LAS BRISAS</t>
  </si>
  <si>
    <t>CALLE 111A 65 26</t>
  </si>
  <si>
    <t>2730139  4612395  4620326</t>
  </si>
  <si>
    <t>GABRIEL EEDUARDO 
GUZMAN BOOOM</t>
  </si>
  <si>
    <t>MARTHA ELISA MAZO PM - LUIS ANGEL BURUTICA AM</t>
  </si>
  <si>
    <t>ie.jcesargarcia@gmail.com</t>
  </si>
  <si>
    <t>SEC ESC MINERVA</t>
  </si>
  <si>
    <t>KENNEDY</t>
  </si>
  <si>
    <t>CALLE 94 79A 30</t>
  </si>
  <si>
    <t>2576764  316 635 24 22</t>
  </si>
  <si>
    <t>MARTHA AREIZA (COORD)</t>
  </si>
  <si>
    <t>YOLANDA HERNANDEZ</t>
  </si>
  <si>
    <t>glorialmejia@hotmail.com; yoly1583@hotmail.com - marthaeareizam,iek@gmail.com</t>
  </si>
  <si>
    <t>SEC ESC EL PICACHO</t>
  </si>
  <si>
    <t>PICACHO</t>
  </si>
  <si>
    <t>CARRERA 83 95B  40</t>
  </si>
  <si>
    <t>FERNANDO ENRIQUE SALAMANCA (RECTOR)</t>
  </si>
  <si>
    <t>LIDA CANO</t>
  </si>
  <si>
    <t>ie.kennedy@medellin.gov.co</t>
  </si>
  <si>
    <t>SEC CONCENTRACION EDUCATIVA KENNEDY</t>
  </si>
  <si>
    <t>CARRERA 76 92  199</t>
  </si>
  <si>
    <t>2574139 317 786 68 10</t>
  </si>
  <si>
    <t>FARLYN GAMBOA</t>
  </si>
  <si>
    <t>ANGELA MARIA SUAREZ</t>
  </si>
  <si>
    <t>SEC ESC CAROLINA KENNEDY</t>
  </si>
  <si>
    <t>CARRERA 76A 90 18</t>
  </si>
  <si>
    <t>SIVIA ESTELLA LENIZ (DOCENTE ENCARGADA)</t>
  </si>
  <si>
    <t>carolinakennedy@hotmail.com</t>
  </si>
  <si>
    <t>INST EDUC ALFREDO COCK ARANGO</t>
  </si>
  <si>
    <t>CARRERA 72 99 55</t>
  </si>
  <si>
    <t>2677552  26711 90  2303649</t>
  </si>
  <si>
    <t>RENE ALEJANDRO LONDOÑO CANO (RECTOR)</t>
  </si>
  <si>
    <t>GABRIELA GARCIA AM - AIDE LUZ ACEVEDO  PM</t>
  </si>
  <si>
    <t>rectoria@ieaca.edu.co</t>
  </si>
  <si>
    <t>INST EDUC MAESTRO FERNANDO BOTERO</t>
  </si>
  <si>
    <t>PEDREGAL - DOCE DE OCTUBRE</t>
  </si>
  <si>
    <t>CALLE 104 72 A 80</t>
  </si>
  <si>
    <t>2371235 4713488</t>
  </si>
  <si>
    <t>CARLOS VIDAL TOBÓN (RECTOR)</t>
  </si>
  <si>
    <t>DIANA PALACIO AM - MARCOS GAVIRIA PM</t>
  </si>
  <si>
    <t>ie.maestrofernandobo@medellin.gov.co; rectoria.iemfb@gmail.com</t>
  </si>
  <si>
    <t>SEC ESC EL PEDREGAL</t>
  </si>
  <si>
    <t>CALLE 104E 74 109</t>
  </si>
  <si>
    <t>RUBIELA ZAPATA -- DOCENTE ENCARGADO</t>
  </si>
  <si>
    <t>rectoria.iemfb@gmail.com</t>
  </si>
  <si>
    <t>INST EDUC EL PEDREGAL</t>
  </si>
  <si>
    <t>CALLE 102 74A 47</t>
  </si>
  <si>
    <t>4783320  4777348</t>
  </si>
  <si>
    <t>CONNIE HELEN BARTH</t>
  </si>
  <si>
    <t>marleny giraldo</t>
  </si>
  <si>
    <t>ie.pedregal@medellin.gov.co; conniybarth68@hotmail.com - iepedregal@gmail.com</t>
  </si>
  <si>
    <t>SEC ESC RAFAEL J. MEJIA</t>
  </si>
  <si>
    <t>CALLE 102 74A 109</t>
  </si>
  <si>
    <t>4781648 ext. 110</t>
  </si>
  <si>
    <t>NASLY GONZALES AM - ROBINSON GALLEGO PM</t>
  </si>
  <si>
    <t>ie.pedregal@gmail.com - juafernando.coordinacion@gmail.com</t>
  </si>
  <si>
    <t>INST EDUC JUVENIL NUEVO FUTURO</t>
  </si>
  <si>
    <t>SANTANDER</t>
  </si>
  <si>
    <t>CARRERA 80 104C 36 - CALLE 104CC 80  03</t>
  </si>
  <si>
    <t>NIDIA GOMEZ</t>
  </si>
  <si>
    <t>JHON PABLO RAMOS AM - LINA MARIA BUSTAMANTE PM</t>
  </si>
  <si>
    <t>ie.juvenilnuevofutur@medellin.gov.co</t>
  </si>
  <si>
    <t>INST EDUC EL TRIUNFO SANTA TERESA</t>
  </si>
  <si>
    <t>EL TRIUNFO</t>
  </si>
  <si>
    <t>CALLE 104D 82GG 20</t>
  </si>
  <si>
    <t>4715017 314 619 27 00</t>
  </si>
  <si>
    <t>MIGUEL ZAPATA</t>
  </si>
  <si>
    <t>DEYANIRA MORENO</t>
  </si>
  <si>
    <t>maesgra2003@gmail.com</t>
  </si>
  <si>
    <t>SEC ESC EL TRIUNFO</t>
  </si>
  <si>
    <t>CALLE 103A 86 35</t>
  </si>
  <si>
    <t>CLAUDIA FONNEGRA</t>
  </si>
  <si>
    <t>DORIAN DAVID GONZALEZ. ALBA PATRICIA.</t>
  </si>
  <si>
    <t>claudiafonn@gmail.com</t>
  </si>
  <si>
    <t>INST EDUC BARRIO SANTANDER</t>
  </si>
  <si>
    <t>CARRERA 78C 104F 78</t>
  </si>
  <si>
    <t>4719980  4720572  4720610  4720620</t>
  </si>
  <si>
    <t>HERNAN DARIO NANCLARES</t>
  </si>
  <si>
    <t>CINDY MARCELA ZAPATA  AM - NESLY ARANGO PM</t>
  </si>
  <si>
    <t>ie.barriosantander6@gmail.com</t>
  </si>
  <si>
    <t>INST EDUC JESUS MARIA VALLE</t>
  </si>
  <si>
    <t>CALLE 101 83 21</t>
  </si>
  <si>
    <t>HECTOR JULIAN ALZATE PARRA</t>
  </si>
  <si>
    <t>NATALIA GUZMAN AM - DIANA AMARILLO PM</t>
  </si>
  <si>
    <t>iejesusmariavallej@gmail.com  carloso@iejesusmariavallejaramillo,edu.co</t>
  </si>
  <si>
    <t>INST EDUC SANTA JUANA DE LESTONAC</t>
  </si>
  <si>
    <t>CARRERA 76A 103C 43</t>
  </si>
  <si>
    <t>4711144 - 4718714 - 4712078</t>
  </si>
  <si>
    <t>CLAUDIA LUCIA CRUZ</t>
  </si>
  <si>
    <t>ESTELA PATRICIA TORREZ (PRIM) CLAUDIA SEPULVEDA (BACH)</t>
  </si>
  <si>
    <t>iesantajuana@gmail.com</t>
  </si>
  <si>
    <t>INST EDUC PROGRESAR</t>
  </si>
  <si>
    <t>PROGRESO Nº 2</t>
  </si>
  <si>
    <t>CARRERA 83A 106D-05</t>
  </si>
  <si>
    <t>3108311279 4760875  4761063</t>
  </si>
  <si>
    <t>MONICA MORENO</t>
  </si>
  <si>
    <t>LILIANA MARIA ECHEVERRY PEREZ</t>
  </si>
  <si>
    <t>progresar@sinfronteras.edu.co; liliana@sinfronteras.edu.com - ieprogresar@gmail.com</t>
  </si>
  <si>
    <t>INST EDUC CIUDADELA LAS AMERICAS</t>
  </si>
  <si>
    <t>CALLE 111 79 78</t>
  </si>
  <si>
    <t>2730161 - 2738598</t>
  </si>
  <si>
    <t>BEATRIZ ESTELA BOJACÁ O. COORDIN. NIDIA RUTH LONDOÑO</t>
  </si>
  <si>
    <t>FELIPE OSORIO</t>
  </si>
  <si>
    <t>ciudadelalasamericas@gmail.com</t>
  </si>
  <si>
    <t>INST EDUC DOCE DE OCTUBRE</t>
  </si>
  <si>
    <t>DOCE DE OCTUBRE Nº 1</t>
  </si>
  <si>
    <t>CARRERA 77B 103 05</t>
  </si>
  <si>
    <t>4777998  4715975</t>
  </si>
  <si>
    <t>ANGELA MARIA CHAVERRA</t>
  </si>
  <si>
    <t>VICTOR  HUGO GOMEZ - ROSENDO NARANJO PM - GLADYS MESA</t>
  </si>
  <si>
    <t>rosnaranjo@yahoo.com   12deoctubre2017@gmail.com - liceodocedeoctubre@gmail.com</t>
  </si>
  <si>
    <t>SEC ESC LEON DE GREIFF</t>
  </si>
  <si>
    <t>CALLE 101CC 82E 72</t>
  </si>
  <si>
    <t>4717026 2671544  4720414</t>
  </si>
  <si>
    <t>LUZ MARILY ARIAS (COORD)</t>
  </si>
  <si>
    <t>LEIDY MORA AM - JULIO ARTEHAGA PM</t>
  </si>
  <si>
    <t>seccionleondegreiffmedellin@gmail.com</t>
  </si>
  <si>
    <t>INST EDUC AURES</t>
  </si>
  <si>
    <t>AURES Nº 1</t>
  </si>
  <si>
    <t>CARRERA 93 77F 57 - CARRERA 96A 77E 15 INT 102</t>
  </si>
  <si>
    <t>PATRICIA SALAZAR.</t>
  </si>
  <si>
    <t>PATRICIA SALAZAR</t>
  </si>
  <si>
    <t>patricia.salazar@medellin.gov.co; seccionaures@yahoo.com</t>
  </si>
  <si>
    <t>SEC ESC AURES</t>
  </si>
  <si>
    <t>CARRERA 93A 77F 57</t>
  </si>
  <si>
    <t>NATALIA MARIN AM - MARIA DEL SOCORRO CASTAÑO PM</t>
  </si>
  <si>
    <t>institucioneducativaaures01@gmail.com</t>
  </si>
  <si>
    <t>INST EDUC ALFONSO UPEGUI OROZCO</t>
  </si>
  <si>
    <t>PAJARITO - ROBLEDO</t>
  </si>
  <si>
    <t>CALLE 64B  117 177 PAJARITO</t>
  </si>
  <si>
    <t>4260345  4260076</t>
  </si>
  <si>
    <t>GLADYS ELENA ARBOLEDA</t>
  </si>
  <si>
    <t>JORGE RESTREPO OMAR BUITRAGO ASTRID PEÑA</t>
  </si>
  <si>
    <t>gladis.arboleda@gmail.com - ceauo@hotmail.com - pppastrid@hotmail.com - iealfonsoupeguiorozco2016@gmail.com</t>
  </si>
  <si>
    <t>INST EDUC NICANOR RESTREPO SANTAMARIA (ANTES LA HUERTA)</t>
  </si>
  <si>
    <t>INST EDUC NICANOR RESTREPO SANTAMARIA</t>
  </si>
  <si>
    <t>CARRERA 97 69C 71</t>
  </si>
  <si>
    <t>FRANCISCO JAVIER GIRALDO GIRALDO</t>
  </si>
  <si>
    <t>JAIRO ALONSO ZAPATA AM -  BIBIANA MUNERA PM</t>
  </si>
  <si>
    <t>ie.lahuerta@medellin.gov.co;</t>
  </si>
  <si>
    <t>INST EDUC RAFAEL GARCIA HERREROS</t>
  </si>
  <si>
    <t>CUCARACHO</t>
  </si>
  <si>
    <t>CALLE 64 91 20</t>
  </si>
  <si>
    <t>MIGUEL ANGEL VELASQUEZ</t>
  </si>
  <si>
    <t>ROSARIO MEJIA  AM -  LINA PATRICIA RIOS PM</t>
  </si>
  <si>
    <t>lina19765@hotmail.com - ie.rafaelgarcia@hotmail.com</t>
  </si>
  <si>
    <t>INST EDUC BARRIO SANTA MARGARITA</t>
  </si>
  <si>
    <t>SANTA MARGARITA</t>
  </si>
  <si>
    <t>CALLE 63 108BB 160</t>
  </si>
  <si>
    <t>4273895  4271046</t>
  </si>
  <si>
    <t>BEATRIZ ELENA JIMÉNEZ HENAO</t>
  </si>
  <si>
    <t>MONICA MANRIQUE AM - FABIAN LONDOÑO PM</t>
  </si>
  <si>
    <t>monica.manrique@iebarriosantamargarita.edu.co</t>
  </si>
  <si>
    <t>SEC ESC PEDRO NEL OSPINA</t>
  </si>
  <si>
    <t>CARRERA 62C 105C 45</t>
  </si>
  <si>
    <t>DORIS CIRO AM - VIVIANA OSORIO PM</t>
  </si>
  <si>
    <t>osaviviana@hotmail.com</t>
  </si>
  <si>
    <t>SEC ESC SANTA MARGARITA</t>
  </si>
  <si>
    <t>CARRERA 105B 62 68</t>
  </si>
  <si>
    <t>CENIA TOBON PM</t>
  </si>
  <si>
    <t>william.franco@iebarriosantamargarita.edu.co - cenia.tobon@iebarriosantamargarita.edu.co</t>
  </si>
  <si>
    <t>INST EDUC CIUDADELA NUEVO OCCIDENTE</t>
  </si>
  <si>
    <t>CALLE 64B 105A 50</t>
  </si>
  <si>
    <t>4278910  4277760 301 322 89 10</t>
  </si>
  <si>
    <t xml:space="preserve">YOVANNI TAPASCO </t>
  </si>
  <si>
    <t>ANA LOPEZ GARCIA (COORD ENCARGADA)</t>
  </si>
  <si>
    <t>coordinacionie.flores@yahoo.es  [ie.ciudadelanuevooccidente@hotmail.com - ie.nuevooccidente@medellin.gov.co</t>
  </si>
  <si>
    <t>INST EDUC JORGE ROBLEDO</t>
  </si>
  <si>
    <t>ROBLEDO</t>
  </si>
  <si>
    <t>CALLE 65 87 74</t>
  </si>
  <si>
    <t>2345223  4218450</t>
  </si>
  <si>
    <t>JUAN GUILLERMO BASTIDAS</t>
  </si>
  <si>
    <t>SILVIA LONDOÑO AM (BACHI) - GLORIA DUQUE PM (PRIMARIA)</t>
  </si>
  <si>
    <t>ie.jorgerobledo@medellin.gov.co; silvi611@gmail.com</t>
  </si>
  <si>
    <t>INST EDUC VILLA FLORA</t>
  </si>
  <si>
    <t>VILLA FLORA</t>
  </si>
  <si>
    <t>CALLE 76AE 83C 41</t>
  </si>
  <si>
    <t>2348424 - 4221012</t>
  </si>
  <si>
    <t>CARLOS ALBERTO MAZO</t>
  </si>
  <si>
    <t>MIGUEL ANGEL RENDON SANCHEZ AM</t>
  </si>
  <si>
    <t>ie.villaflora@medellin.gov.co</t>
  </si>
  <si>
    <t>INST EDUC MARISCAL ROBLEDO</t>
  </si>
  <si>
    <t>CALLE 65 84 87</t>
  </si>
  <si>
    <t>2340009  4223400</t>
  </si>
  <si>
    <t>JUAN GUILLERMO ZAPATA</t>
  </si>
  <si>
    <t>UZ ELENA VILLA</t>
  </si>
  <si>
    <t>villa@iemariscalrobledo.edu.co</t>
  </si>
  <si>
    <t>INST EDUC CAMILO MORA CARRASQUILLA</t>
  </si>
  <si>
    <t>FUENTE CLARA</t>
  </si>
  <si>
    <t>CALLE 62D 94B 74</t>
  </si>
  <si>
    <t>3117191003 - 4384765</t>
  </si>
  <si>
    <t>LILIANA PATRICIA VILLEGAS</t>
  </si>
  <si>
    <t>GLORIA RESTREPO AM - WALTER TORO PM</t>
  </si>
  <si>
    <t>ie.camilomora@medellin.gov.co</t>
  </si>
  <si>
    <t>INST EDUC VALLEJUELOS</t>
  </si>
  <si>
    <t>VALLEJUELOS</t>
  </si>
  <si>
    <t>CARRERA 104C 62 20</t>
  </si>
  <si>
    <t>4262975
- 4265964</t>
  </si>
  <si>
    <t>LUIS HERNAN SERNA HIGUITA</t>
  </si>
  <si>
    <t>JOSE FERNANDO MENESES</t>
  </si>
  <si>
    <t>ievallejo@yahoo.es
ievallejuelos@medellin.gov.co</t>
  </si>
  <si>
    <t>INST EDUC FE Y ALEGRIA VILLA DE LA CANDELARIA</t>
  </si>
  <si>
    <t>CALLE 77A 90D 35</t>
  </si>
  <si>
    <t>RICARDO DE JESUS ECHEVERRY</t>
  </si>
  <si>
    <t>CARLOS ALBERTO AGUIRRE - BEATRIZ QUINTERO CARDONA</t>
  </si>
  <si>
    <t>ricardoecheverrit@yahoo.es</t>
  </si>
  <si>
    <t>INST EDUC FE Y ALEGRIA AURES</t>
  </si>
  <si>
    <t>AURES Nº 2</t>
  </si>
  <si>
    <t>CARRERA 95 89 73</t>
  </si>
  <si>
    <t>NELSON GONZALEZ</t>
  </si>
  <si>
    <t>FANNY ESTELA DIAZ G.</t>
  </si>
  <si>
    <t>instaures@yahoo.es</t>
  </si>
  <si>
    <t>INST CORFERRINI - SEDE ROBLEDO</t>
  </si>
  <si>
    <t>CARRERA 86 65A 38</t>
  </si>
  <si>
    <t>LUZ DARY CHAVARRIA (RECTORA)</t>
  </si>
  <si>
    <t>JHON JAIRO VELASQUEZ</t>
  </si>
  <si>
    <t>luzdary,chavarria.do@ferrini.edu.co</t>
  </si>
  <si>
    <t>INST EDUC FE Y ALEGRIA SAN JOSE</t>
  </si>
  <si>
    <t>VILLA SOFIA</t>
  </si>
  <si>
    <t>CALLE 86 92 60</t>
  </si>
  <si>
    <t>ANA DELIA CARDENAS MARIN. COORD. SANDRA MILENA GRISALES VELASQUEZ</t>
  </si>
  <si>
    <t>SERGIO RODRIGUEZ JUAN CARLOS VALDERRAMA</t>
  </si>
  <si>
    <t>iefeyalegriasanjose@medellin</t>
  </si>
  <si>
    <t>INST EDUC BARRIO OLAYA HERRERA</t>
  </si>
  <si>
    <t>OLAYA HERRERA</t>
  </si>
  <si>
    <t>CARRERA 101C N 58 44</t>
  </si>
  <si>
    <t>4210567  311 296 24 30</t>
  </si>
  <si>
    <t>DANIEL MARIN CONGOTE</t>
  </si>
  <si>
    <t>CRISTINA OROZCO</t>
  </si>
  <si>
    <t>olayaherrera2@yahoo.es</t>
  </si>
  <si>
    <t>INST EDUC JORGE ELIECER GAITAN</t>
  </si>
  <si>
    <t>CALLE 92 83 41</t>
  </si>
  <si>
    <t>JAIRO HERNÁN ORTIZ M.COORD.CARLOS MARIO MURIEL</t>
  </si>
  <si>
    <t>EDILMA GARCIA, CESAR TANGARIFE</t>
  </si>
  <si>
    <t>munoz.diana@gmail.com</t>
  </si>
  <si>
    <t>INST EDUC SAN VICENTE DE PAUL</t>
  </si>
  <si>
    <t>CORDOBA</t>
  </si>
  <si>
    <t>CARRERA 71A 79D 01</t>
  </si>
  <si>
    <t>2576243 - 4375546</t>
  </si>
  <si>
    <t>YOLANDA LOZANO BARBOSA</t>
  </si>
  <si>
    <t>CARLOS RODRIGUEZ QUIROZ</t>
  </si>
  <si>
    <t>yolanda.lozano.b@gmail.com</t>
  </si>
  <si>
    <t>INST EDUC EL DIAMANTE - SEC ESC EL DIAMANTE</t>
  </si>
  <si>
    <t>EL DIAMANTE</t>
  </si>
  <si>
    <t>CALLE 79A 86 09</t>
  </si>
  <si>
    <t>CARLOS ARANGO</t>
  </si>
  <si>
    <t>GERMAN CARDONA AM - CARLOS ARANGO PM</t>
  </si>
  <si>
    <t>coordinacionsec@ieeldiamante.edu.co</t>
  </si>
  <si>
    <t>SEC ESC LA PORTADA</t>
  </si>
  <si>
    <t>CALLE 80C 88A 37</t>
  </si>
  <si>
    <t>LUDIN DEL CARMEN RESTREPO</t>
  </si>
  <si>
    <t>LUDIN DEL C.RESTREPO (COORD)</t>
  </si>
  <si>
    <t>escuelalaportada@hotmail.com</t>
  </si>
  <si>
    <t>INST EDUC TOMAS CARRASQUILLA NO. 2</t>
  </si>
  <si>
    <t>PALENQUE</t>
  </si>
  <si>
    <t>CARRERA 88 68 109</t>
  </si>
  <si>
    <t>2641122 4747297</t>
  </si>
  <si>
    <t>LUZ ESTELA VALLEJO CARDONA</t>
  </si>
  <si>
    <t>CONRADO ANDRADE AM - BETTY GOMEZ PM</t>
  </si>
  <si>
    <t>ietcarrasquilla@gmail.com</t>
  </si>
  <si>
    <t>INST EDUC LUIS CARLOS GALAN SARMIENTO</t>
  </si>
  <si>
    <t>LOS MANGOS</t>
  </si>
  <si>
    <t>CARRERA 24B 57EE 45</t>
  </si>
  <si>
    <t>CARLOS ANTONIO OLIVEROS MUÑOZ</t>
  </si>
  <si>
    <t>JAIME JARAMILLO</t>
  </si>
  <si>
    <t>iegalansarmiento@yahoo.com;</t>
  </si>
  <si>
    <t>SEC ESC COLINAS DE ENCISO</t>
  </si>
  <si>
    <t>CARRERA 24B 57EE 20</t>
  </si>
  <si>
    <t>WILLIAM VALDERRAMA</t>
  </si>
  <si>
    <t>willvald@une.net.co</t>
  </si>
  <si>
    <t>INST EDUC EL PINAL</t>
  </si>
  <si>
    <t>EL PINAL</t>
  </si>
  <si>
    <t>CALLE 56 25AA 40</t>
  </si>
  <si>
    <t>JAIRO CHAVARRO MENDEZ</t>
  </si>
  <si>
    <t>ERIKA ORTIZ   /  DAFLY PALACIO</t>
  </si>
  <si>
    <t>erikamaria.ortiz@iepinal.edu.co   daflY.palacios@iepinal.edu.co</t>
  </si>
  <si>
    <t>SEC ESC JULIA AGUDELO</t>
  </si>
  <si>
    <t>ENCISO</t>
  </si>
  <si>
    <t>CALLE 58 25 58</t>
  </si>
  <si>
    <t>MÓNICA ROSA LONDOÑO</t>
  </si>
  <si>
    <t>DIANA ALEJANDRA GONZALEZ</t>
  </si>
  <si>
    <t>monicalon@hotmail.com  davialeja@hotmail.com</t>
  </si>
  <si>
    <t>SEC ESC SANTIAGO SANTAMARIA</t>
  </si>
  <si>
    <t>CALLE 58 29 31</t>
  </si>
  <si>
    <t>RODRIGO RODRIGUEZ</t>
  </si>
  <si>
    <t>rarc1956@gmail.com  ie.alfonsolopespumar@medellin.gov.co</t>
  </si>
  <si>
    <t>SEC ESC VILLA TURBAY</t>
  </si>
  <si>
    <t>VILLA TURBAY</t>
  </si>
  <si>
    <t>CARRERA 2 55F 17</t>
  </si>
  <si>
    <t>2698211    3136909515  311 774 96 35</t>
  </si>
  <si>
    <t>IVAN DARIO ZULUAGA ZULUAGA</t>
  </si>
  <si>
    <t>YENNY RODAS</t>
  </si>
  <si>
    <t>yenny1203@hotmail.es ie.lasierracolegiomaestro@gmail.com</t>
  </si>
  <si>
    <t>SEC ESC BEATO HERMANO SALOMON</t>
  </si>
  <si>
    <t>SUCRE</t>
  </si>
  <si>
    <t>CALLE 53 27A 50</t>
  </si>
  <si>
    <t>GUILLERMO YEPES</t>
  </si>
  <si>
    <t>ELISABETH RINCON</t>
  </si>
  <si>
    <t>ie.caracas@ hotmail.com  rinconelizabeth8@gmail.com</t>
  </si>
  <si>
    <t>INST EDUC GABRIEL GARCIA MARQUEZ</t>
  </si>
  <si>
    <t>VILLA LILLIAM</t>
  </si>
  <si>
    <t>CARRERA 8A 57A 93</t>
  </si>
  <si>
    <t>MARÍA MARGARITA AGUDELO VELASQUEZ</t>
  </si>
  <si>
    <t>ie.gabrielgarcía@medellin.gov.co</t>
  </si>
  <si>
    <t>INST EDUC FELIX HENAO BOTERO</t>
  </si>
  <si>
    <t>CALLE 52 23 51</t>
  </si>
  <si>
    <t>2260203EXT106EXT104(RECTOR) 2699624</t>
  </si>
  <si>
    <t>JHONY CANO GIRALDO</t>
  </si>
  <si>
    <t>ABELARDO MATURANA CUESTA</t>
  </si>
  <si>
    <t>ie.felixhenao@medellín.gov.co   rectoria@iefelixhenaobotero.edu.co</t>
  </si>
  <si>
    <t>SEC ESC MIGUEL DE AGUINAGA</t>
  </si>
  <si>
    <t>VILLA TINA</t>
  </si>
  <si>
    <t>CALLE 52 16 71</t>
  </si>
  <si>
    <t>ANTONIO JOSE CASTAÑEDA</t>
  </si>
  <si>
    <t>ie.felixhenao@medellín.gov.co</t>
  </si>
  <si>
    <t>INST EDUC JOAQUIN VALLEJO ARBELAEZ</t>
  </si>
  <si>
    <t>CARRERA 19 59C 175</t>
  </si>
  <si>
    <t>2926199 2545311</t>
  </si>
  <si>
    <t>ALEXANDRA DE LATORRE A.</t>
  </si>
  <si>
    <t>VIVIANA MARIA LONDOÑO</t>
  </si>
  <si>
    <t>colegiodecalidadjva@hotmail.com  rectoriaiejua@gmail.com /VIVIANA4205@HOTMAIL.COM</t>
  </si>
  <si>
    <t>SEC ESC LAS GOLONDRINAS</t>
  </si>
  <si>
    <t>LLANADITAS</t>
  </si>
  <si>
    <t>CALLE 65 18B 160</t>
  </si>
  <si>
    <t>ALEXANDRA DE LA TORRE A.</t>
  </si>
  <si>
    <t>MARTHA RESTREPO</t>
  </si>
  <si>
    <t>martharestrepo2008@gmail.com  colegiodecalidadjva@hotmail.com  rectoriaiejua@gmail.com</t>
  </si>
  <si>
    <t>SEC ESC NUESTRA SEÑORA DEL ROSARIO</t>
  </si>
  <si>
    <t>BOMBONA Nº 2</t>
  </si>
  <si>
    <t>CALLE 43E- 9D51</t>
  </si>
  <si>
    <t>NORA CONSUELO CARVAJAL MEJIA</t>
  </si>
  <si>
    <t>LUZ DARIELA CARDONA</t>
  </si>
  <si>
    <t>ie.merceditasgomez@medellin.gov.com  nora_429@hotmail.com</t>
  </si>
  <si>
    <t>INST EDUC MANUEL JOSE CAYZEDO</t>
  </si>
  <si>
    <t>BARRIO CAICEDO</t>
  </si>
  <si>
    <t>CALLE 50 29 82</t>
  </si>
  <si>
    <t>DORA LUZ GOMEZ BETANCUR (RECTORA)</t>
  </si>
  <si>
    <t>RUBIELA MONTOYA MONTOYA</t>
  </si>
  <si>
    <t>educandoenelamor1940@gmail.com     rubielamontoya@yahoo.es</t>
  </si>
  <si>
    <t>INST EDUC MIRAFLORES - LUIS EDUARDO VALENCIA GARCIA</t>
  </si>
  <si>
    <t>MIRAFLORES</t>
  </si>
  <si>
    <t>CALLE 48 27 05</t>
  </si>
  <si>
    <t>2697583 2699227</t>
  </si>
  <si>
    <t>BLANCA BENJUMEA ZULUAGA</t>
  </si>
  <si>
    <t>MARIA TEREZA MARTINEZ</t>
  </si>
  <si>
    <t>iemiraflores@yohoo.co</t>
  </si>
  <si>
    <t>INST EDUC LA MILAGROSA</t>
  </si>
  <si>
    <t>LA MILAGROSA</t>
  </si>
  <si>
    <t>CARRERA 29 41 14</t>
  </si>
  <si>
    <t>269 99 65   2215773</t>
  </si>
  <si>
    <t>OVIDIO DE JESUS OCHOA</t>
  </si>
  <si>
    <t>MAURIO CANO  GOMEZ</t>
  </si>
  <si>
    <t>SANTOTOMAS18@GMAIL.COM   meano55@hotmail.com</t>
  </si>
  <si>
    <t>SEC ESC SANTO TOMAS DE AQUINO</t>
  </si>
  <si>
    <t>EL SALVADOR</t>
  </si>
  <si>
    <t>CARRERA 33 36A 28</t>
  </si>
  <si>
    <t>216 32 29</t>
  </si>
  <si>
    <t>HERNANDO DEJESUS PANIAGUA</t>
  </si>
  <si>
    <t>SANTOTOMAS18@GMAIL.COM   hdejesus0712@gmail.com</t>
  </si>
  <si>
    <t>INST EDUC GONZALO RESTREPO JARAMILLO</t>
  </si>
  <si>
    <t>BUENOS AIRES</t>
  </si>
  <si>
    <t>CARRERA 26 49 70</t>
  </si>
  <si>
    <t>269 79 40  269 63 80</t>
  </si>
  <si>
    <t>ALVARO CUERVO MONTOYA(RECTOR)</t>
  </si>
  <si>
    <t>HILDA ACERO(PM)                      GLORIA MUNERA(AM)</t>
  </si>
  <si>
    <t>ie.gonzalorestrepo@medellin.gov.co hildaprofesora.acero@gmail.com</t>
  </si>
  <si>
    <t>Comparten comedor - los 250 AM/PM de SE la Anunciación deberan ser entregados en la IE Gonzalo Restrepo</t>
  </si>
  <si>
    <t>SEC ESC LA ANUNCIACION</t>
  </si>
  <si>
    <t>HILDA ACERO</t>
  </si>
  <si>
    <t>SEC ESC JUAN CANCIO RESTREPO</t>
  </si>
  <si>
    <t>CALLE 45 31 63</t>
  </si>
  <si>
    <t>228 04 40   2391959</t>
  </si>
  <si>
    <t>ALBA CECILIA OSORIO</t>
  </si>
  <si>
    <t>gonzalocancio@gmail.com</t>
  </si>
  <si>
    <t>INST EDUC LA PASTORA</t>
  </si>
  <si>
    <t>LOS CERROS EL VERGEL</t>
  </si>
  <si>
    <t>CALLE 45 10A 30</t>
  </si>
  <si>
    <t>269 77 49  221 93 30</t>
  </si>
  <si>
    <t>NELSON DE JESUS VERGARA</t>
  </si>
  <si>
    <t>JUAN PABLO FRANCO</t>
  </si>
  <si>
    <t>nelsonmc174@hotmail.com  coordpastora@gmail.com</t>
  </si>
  <si>
    <t>INST EDUC ARZOBISPO TULIO BOTERO SALAZAR</t>
  </si>
  <si>
    <t>BARRIOS DE JESUS</t>
  </si>
  <si>
    <t>CALLE 49A 3A 06</t>
  </si>
  <si>
    <t>221 26 93    226 73 00</t>
  </si>
  <si>
    <t>JUAN DIAZ LONDOÑO(RECTOR)</t>
  </si>
  <si>
    <t>BEATRIA ELENA OLAYA</t>
  </si>
  <si>
    <t>ie.tuliobotero@medellin.gov.co juand244@gmail.com  beelolla9703@gmail.com</t>
  </si>
  <si>
    <t>INST EDUC FEDERICO OZANAM</t>
  </si>
  <si>
    <t>CARRERA 36 45 08</t>
  </si>
  <si>
    <t>2390358  2390142</t>
  </si>
  <si>
    <t>CARLOS ARTURO PANDALES(RECTOR)</t>
  </si>
  <si>
    <t>ROBERTO RODAS ZAPATA(AM) SANDRA CALDERON(PM)</t>
  </si>
  <si>
    <t>iefedericoozanam@medellin.gov.co -SANDIF1010@HOTMAIL.COM marlango1037@gamil.com</t>
  </si>
  <si>
    <t>SEC ESC ANTONIA SANTOS</t>
  </si>
  <si>
    <t>BOSTON</t>
  </si>
  <si>
    <t>CALLE 50B 38 11</t>
  </si>
  <si>
    <t>ALFONSO GUARIN SALAZAR</t>
  </si>
  <si>
    <t>ANGELA CARDONA</t>
  </si>
  <si>
    <t>105001001562@medellin.gov.co        sanpablo968@yahoo.es                             alrosa38@yahoo.com</t>
  </si>
  <si>
    <t>SEC ESC LUIS ALFONSO AGUDELO</t>
  </si>
  <si>
    <t>SAN DIEGO</t>
  </si>
  <si>
    <t>CARRERA 43A 38 20</t>
  </si>
  <si>
    <t>2320633 2393116</t>
  </si>
  <si>
    <t>OLGA FANNY RUIZ</t>
  </si>
  <si>
    <t>105001001562@medellin.gov.co  ie.javieralondono@medelin.gov.co   enides618@gmail.com</t>
  </si>
  <si>
    <t>INST EDUC TULIO OSPINA</t>
  </si>
  <si>
    <t>JESUS NAZARENO</t>
  </si>
  <si>
    <t>CALLE 60 51 48</t>
  </si>
  <si>
    <t>5123594 5121428</t>
  </si>
  <si>
    <t>YENNY ASTRID DURANGO</t>
  </si>
  <si>
    <t>IRMA DUQUE</t>
  </si>
  <si>
    <t>ie.tuliospina@medellin.gov.co    yenirec2010@hotmail.com</t>
  </si>
  <si>
    <t>SEC COL AGUSTIN NIETO CABALLERO</t>
  </si>
  <si>
    <t>LOS ANGELES</t>
  </si>
  <si>
    <t>CARRERA 40 59A 21</t>
  </si>
  <si>
    <t>2926320 2547259</t>
  </si>
  <si>
    <t>ADOLFO LEON GONZALEZ OSPINA</t>
  </si>
  <si>
    <t>JORGE INESTROZA</t>
  </si>
  <si>
    <t>ie.juancposada@une.net.co  jorgeinestroza55@gmail.com</t>
  </si>
  <si>
    <t>SEC ESC LA IGUANA</t>
  </si>
  <si>
    <t>CARLOS E. RESTREPO</t>
  </si>
  <si>
    <t>CR 70 Nº 53 02</t>
  </si>
  <si>
    <t>MONICA FRANCO</t>
  </si>
  <si>
    <t>NOHELIA BUITRAGO</t>
  </si>
  <si>
    <t>iguana.escuela@gmail.com</t>
  </si>
  <si>
    <t>SEC ESC CUARTA BRIGADA</t>
  </si>
  <si>
    <t>CUARTA BRIGADA</t>
  </si>
  <si>
    <t>CLL 53 N° 76 267</t>
  </si>
  <si>
    <t>2641966 - 2642972</t>
  </si>
  <si>
    <t>CLAUDIA CECILIA RENGIFO</t>
  </si>
  <si>
    <t>ANGELA MARÍA ROJAS</t>
  </si>
  <si>
    <t>escuartabrig@gmail.com</t>
  </si>
  <si>
    <t>SEC ESC CARLOS OBANDO VELASCO</t>
  </si>
  <si>
    <t>SAN JOAQUÍN</t>
  </si>
  <si>
    <t>CR 67A Nº 42 24</t>
  </si>
  <si>
    <t>FANNY MARGARITA LEMOS</t>
  </si>
  <si>
    <t>NEIVA GARCÍA-SORAYA DELGADO</t>
  </si>
  <si>
    <t>fanydelmar@yahoo.com</t>
  </si>
  <si>
    <t>INST EDUC LUCRECIO JARAMILLO VELEZ</t>
  </si>
  <si>
    <t>LORENA</t>
  </si>
  <si>
    <t>CRA 79 N° 38 59</t>
  </si>
  <si>
    <t>4123351 - 4122939</t>
  </si>
  <si>
    <t>JUAN CARLOS RODRIGUEZ</t>
  </si>
  <si>
    <t>OLGA SOFIA PUERTA-JORGE ENRIQUE NUNO TABARES</t>
  </si>
  <si>
    <t>estellasanta@yahoo.es</t>
  </si>
  <si>
    <t>SEC ESC RAFAEL URIBE URIBE</t>
  </si>
  <si>
    <t>LA AMÉRICA</t>
  </si>
  <si>
    <t>CR 83. NO. 42C 54</t>
  </si>
  <si>
    <t>LUZ ANGELICA GUERRERO SANCHEZ</t>
  </si>
  <si>
    <t>ASTRID BETANCUR BEDOYA</t>
  </si>
  <si>
    <t>generalruu@hotmail.com</t>
  </si>
  <si>
    <t>INST EDUC FRANCISCO ANTONIO ZEA</t>
  </si>
  <si>
    <t>SIMON BOLÍVAR</t>
  </si>
  <si>
    <t>CR 82 Nº 35 40</t>
  </si>
  <si>
    <t>4122361 ext. 13</t>
  </si>
  <si>
    <t>JAIR ALBERTO QUIROZ QUIRAMA</t>
  </si>
  <si>
    <t>SARA JANET DUQUE-LUZ AMPARO MENDOZA</t>
  </si>
  <si>
    <t>ie.franciscoantoniozea@hotmail.com</t>
  </si>
  <si>
    <t>INST EDUC SANTA ROSA DE LIMA</t>
  </si>
  <si>
    <t>LA FLORESTA</t>
  </si>
  <si>
    <t>CLL 45G N°80 96</t>
  </si>
  <si>
    <t>4122537 - 4113645</t>
  </si>
  <si>
    <t>LAURA CRISTINA VÁSQUEZ</t>
  </si>
  <si>
    <t>JACQUELINE BOLAÑOS-ALEJANDRO ARANGO</t>
  </si>
  <si>
    <t>laura.vasquez@medellin.gov.co</t>
  </si>
  <si>
    <t>INST EDUC CONCEJO DE MEDELLIN - COMEDOR 1</t>
  </si>
  <si>
    <t>INST EDUC CONCEJO DE MEDELLIN</t>
  </si>
  <si>
    <t>CR 82 Nº 47A 65</t>
  </si>
  <si>
    <t>4119208 - 4119218</t>
  </si>
  <si>
    <t>MÓNICA PÉREZ SÁNCHEZ</t>
  </si>
  <si>
    <t>SILVIA PATRICIA FERNÁNDEZ-</t>
  </si>
  <si>
    <t>monica.perez@medellin.gov.co</t>
  </si>
  <si>
    <t>SEC ESC PICHINCHA</t>
  </si>
  <si>
    <t>CRA 86 N° 45 B 17</t>
  </si>
  <si>
    <t>MARÍA PIEDAD RUIZ</t>
  </si>
  <si>
    <t>MARTHA LUCÍA LÓPEZ-ROMÁN DEL RIO</t>
  </si>
  <si>
    <t>nurynaher@hotmai.com</t>
  </si>
  <si>
    <t>SEC ESC CLODOMIRO RAMIREZ</t>
  </si>
  <si>
    <t>SANTA LUCÍA</t>
  </si>
  <si>
    <t>CR 89A Nº 47B39</t>
  </si>
  <si>
    <t>2344598 - 4211148</t>
  </si>
  <si>
    <t>DAVID RAMÍREZ</t>
  </si>
  <si>
    <t>ESTELLA MONTOYA-CLAUDIA VALENCIA</t>
  </si>
  <si>
    <t>ramirezdavidh@gmail.com</t>
  </si>
  <si>
    <t>INST EDUC LOLA GONZALEZ</t>
  </si>
  <si>
    <t>CLL 47F Nº 94 63</t>
  </si>
  <si>
    <t>2520405 ext:113</t>
  </si>
  <si>
    <t>JESÚS HUBERTO GIRALDO</t>
  </si>
  <si>
    <t>LISIRIA SANTA-ADRIANA LUCIA ESCOBAR</t>
  </si>
  <si>
    <t>hubertogiraldo@gmail.com</t>
  </si>
  <si>
    <t>SEC ESC SANTA LUCIA</t>
  </si>
  <si>
    <t>CRA 89A N°47DD 71</t>
  </si>
  <si>
    <t>DORA LUCÍA RESTREPO RIOS</t>
  </si>
  <si>
    <t>ALBA LUCIA NARANJO-YANETH ZAPATA</t>
  </si>
  <si>
    <t>lolagonzalez.santalucia@hotmail.com</t>
  </si>
  <si>
    <t>INST EDUC SAMUEL BARRIENTOS RESTREPO</t>
  </si>
  <si>
    <t>CAMPO ALEGRE</t>
  </si>
  <si>
    <t>CL44 Nº 94 119</t>
  </si>
  <si>
    <t>2531437 - 4966579</t>
  </si>
  <si>
    <t>ORLANDO SÁNCHEZ URREGO</t>
  </si>
  <si>
    <t>CARMEN EMILIA OROZCO</t>
  </si>
  <si>
    <t>orlando.sanchez@medellin.gov.co</t>
  </si>
  <si>
    <t>INST EDUC BENEDIKTA ZUR NIEDEN</t>
  </si>
  <si>
    <t>CR 95 Nº 42C 03</t>
  </si>
  <si>
    <t>GLORIA DURANGO AGUIRRE</t>
  </si>
  <si>
    <t>MARGARITA MARÍA NUÑEZ-ESTELLA MEJIA.</t>
  </si>
  <si>
    <t>ricardo.echeverri@benedikta.edu.co</t>
  </si>
  <si>
    <t>INST EDUC LA PIEDAD</t>
  </si>
  <si>
    <t>FERRINI</t>
  </si>
  <si>
    <t>CR 81 Nº 54 71</t>
  </si>
  <si>
    <t>2640637  2347999</t>
  </si>
  <si>
    <t>ANTONIO JARAMILLO ARANGO</t>
  </si>
  <si>
    <t>LUZ EDILMA RAMÍREZ-ROLANDO LAVERDE</t>
  </si>
  <si>
    <t>rilaverde@escolme.edu.co</t>
  </si>
  <si>
    <t>INST EDUC AMERICA</t>
  </si>
  <si>
    <t>SANTA MÓNICA</t>
  </si>
  <si>
    <t>CL34EE Nº 91 20</t>
  </si>
  <si>
    <t>4922111- 4922122</t>
  </si>
  <si>
    <t>PILAR LÓPEZ VARGAS</t>
  </si>
  <si>
    <t>DIANA VALENCIA-IVÁN VELEZ</t>
  </si>
  <si>
    <t>ivanvlez@gmail.com</t>
  </si>
  <si>
    <t>SEC ESC BETANIA</t>
  </si>
  <si>
    <t>BETANIA</t>
  </si>
  <si>
    <t>CR 110 A Nº 34 A 82</t>
  </si>
  <si>
    <t>CARLOS MARIO GUTIERREZ</t>
  </si>
  <si>
    <t>OLGA OCHOA/ OLGA CASTRO</t>
  </si>
  <si>
    <t>olgaduque13@hotmail.com</t>
  </si>
  <si>
    <t>INST EDUC PERPETUO SOCORRO</t>
  </si>
  <si>
    <t>BELENCITO</t>
  </si>
  <si>
    <t>CRA 92 N°34 D 53</t>
  </si>
  <si>
    <t>2539037-ext:101</t>
  </si>
  <si>
    <t>HERMANA CLARA INÉS VALENCIA</t>
  </si>
  <si>
    <t>GLORIA GONZÁLEZ-JUDITH LOPERA</t>
  </si>
  <si>
    <t>ie.perpetuosocorro@medellin.gov.co</t>
  </si>
  <si>
    <t>INST EDUC EL CORAZÓN</t>
  </si>
  <si>
    <t>EL CORAZÓN</t>
  </si>
  <si>
    <t>CRA.116F N°34 AA 131</t>
  </si>
  <si>
    <t>EDILSON GIRALDO MONTOYA</t>
  </si>
  <si>
    <t>CARMENZA RIOS -MARITZA MEJÍA</t>
  </si>
  <si>
    <t>geovanymetautecorrea6@gmail.com</t>
  </si>
  <si>
    <t>SEC ESC MONSEÑOR PERDOMO</t>
  </si>
  <si>
    <t>CLL 44 Nº 97 14</t>
  </si>
  <si>
    <t>GLORIA ESTELLA SANTAMARÍA SANCHEZ (300 228 39 09)</t>
  </si>
  <si>
    <t>GIRLESA CONGOTE</t>
  </si>
  <si>
    <t>INST EDUC FUNDADORES</t>
  </si>
  <si>
    <t>EL SOCORRO</t>
  </si>
  <si>
    <t>CR 101 Nº 47C 85</t>
  </si>
  <si>
    <t>4932203 - 4930661</t>
  </si>
  <si>
    <t>JUAN DIEGO GONZÁLEZ</t>
  </si>
  <si>
    <t>GLORIA CECILIA MOLINA</t>
  </si>
  <si>
    <t>glorial300@hotmail.com</t>
  </si>
  <si>
    <t>SEC ESC AMOR AL NIÑO</t>
  </si>
  <si>
    <t>EL SALADO</t>
  </si>
  <si>
    <t>CR 115 Nº 39 BD 06</t>
  </si>
  <si>
    <t>LUZ ENITH TORRES -ANGELA QUINTERO LÓPEZ</t>
  </si>
  <si>
    <t>CATALINA JIMÉNEZ</t>
  </si>
  <si>
    <t>angelaquin58@yahoo.es</t>
  </si>
  <si>
    <t>SEC ESC REFUGIO DEL NIÑO</t>
  </si>
  <si>
    <t>INDEPENDENCIA</t>
  </si>
  <si>
    <t>CR 114 Nº 36 C 61</t>
  </si>
  <si>
    <t>LUZ ENITH TORRES TORRES</t>
  </si>
  <si>
    <t>ADRIANA RIVERA</t>
  </si>
  <si>
    <t>pipelon.1999@hotmail.com</t>
  </si>
  <si>
    <t>INST EDUC EDUARDO SANTOS</t>
  </si>
  <si>
    <t>EDUARDO SANTOS</t>
  </si>
  <si>
    <t>CLL 43N°120 C 77</t>
  </si>
  <si>
    <t>4911022 - 4920920</t>
  </si>
  <si>
    <t>MANUEL ANTONIO LÓPEZ RAMÍREZ</t>
  </si>
  <si>
    <t>RAFAEL RODRIGUEZ-HENRRY VARGAS</t>
  </si>
  <si>
    <t>raro959@hotmail.com</t>
  </si>
  <si>
    <t>SEC ESC PEDRO J GOMEZ</t>
  </si>
  <si>
    <t>CRA.118 N°39 DA 95</t>
  </si>
  <si>
    <t>SUSANA CORTÉS</t>
  </si>
  <si>
    <t>MARIA ELENA CANTERO</t>
  </si>
  <si>
    <t>susanapjg@hotmail.com</t>
  </si>
  <si>
    <t>SEC ESC LA PRADERA</t>
  </si>
  <si>
    <t>LA PRADERA</t>
  </si>
  <si>
    <t>CR 97A Nº 49A15</t>
  </si>
  <si>
    <t>CAMILO OSORIO</t>
  </si>
  <si>
    <t>SIRIA AIDÉ VALENZUELA-CECILIA MAYOLO</t>
  </si>
  <si>
    <t>siriavalen@gmail.com</t>
  </si>
  <si>
    <t>INST EDUC JUAN XXIII</t>
  </si>
  <si>
    <t>JUAN XIII</t>
  </si>
  <si>
    <t>CLL 49 Nº 96 A 11</t>
  </si>
  <si>
    <t>4461100/ 4461090</t>
  </si>
  <si>
    <t>CÉSAR AGUSTO RODRIGUEZ</t>
  </si>
  <si>
    <t>EMILIO MORENO-MAGDALENA CARO</t>
  </si>
  <si>
    <t>maria.vargas@medellin.gov.co</t>
  </si>
  <si>
    <t>INST EDUC STELLA VELEZ LONDOÑO - COMEDOR 1</t>
  </si>
  <si>
    <t>INST EDUC STELLA VELEZ LONDOÑO</t>
  </si>
  <si>
    <t>LA QUIEBRA</t>
  </si>
  <si>
    <t>CLL 48DD N° 99 F 99</t>
  </si>
  <si>
    <t>PEDRO ANTONIO MENA OREJUELA</t>
  </si>
  <si>
    <t>MAURO SOSA GALLEGO</t>
  </si>
  <si>
    <t>clajea27@hotmail.com</t>
  </si>
  <si>
    <t>INST EDUC STELLA VELEZ LONDOÑO - COMEDOR 2</t>
  </si>
  <si>
    <t>INST EDUC STELLA VELEZ LONDOÑO No. 2</t>
  </si>
  <si>
    <t>CLL 48DD Nº 99 D 118</t>
  </si>
  <si>
    <t>CLAUDIA ARIAS ARISTIZABAL</t>
  </si>
  <si>
    <t>INST EDUC BLANQUIZAL</t>
  </si>
  <si>
    <t>BLANQUIZAL</t>
  </si>
  <si>
    <t>CRA. 92 DD N°57 F 41</t>
  </si>
  <si>
    <t>4383507 - 4383896</t>
  </si>
  <si>
    <t>CATALINA SALAZAR</t>
  </si>
  <si>
    <t>LINA PATRICIA RIOS</t>
  </si>
  <si>
    <t>andres@sinfronteras.edu.co</t>
  </si>
  <si>
    <t>INST EDUC JOSE HORACIO BETANCUR</t>
  </si>
  <si>
    <t>SAN CRISTÓBAL</t>
  </si>
  <si>
    <t>CRA. 121 N° 57 57</t>
  </si>
  <si>
    <t>4271454 ext: 101</t>
  </si>
  <si>
    <t>CÉSAR BERRIO</t>
  </si>
  <si>
    <t>MAYLEY RIOS-PILAR ARDILA</t>
  </si>
  <si>
    <t>antonio.aristizabal@medellin.gov.co</t>
  </si>
  <si>
    <t>SEC ESC JUAN NEPOMUCENO MORALES</t>
  </si>
  <si>
    <t>CLL 62 N° 127 6</t>
  </si>
  <si>
    <t>4270173 - 4277152</t>
  </si>
  <si>
    <t>MARLENY CARRILLO</t>
  </si>
  <si>
    <t>GLADIS ZULETA</t>
  </si>
  <si>
    <t>aseolin_@hotmail.com</t>
  </si>
  <si>
    <t>INST EDUC LUSITANIA - PAZ DE COLOMBIA</t>
  </si>
  <si>
    <t>SAN CRISTOBAL</t>
  </si>
  <si>
    <t>CRA 109 A N° 63B - 320</t>
  </si>
  <si>
    <t>DIEGO MAURICIO MONTOYA MISAS</t>
  </si>
  <si>
    <t>EDWAR MORENO</t>
  </si>
  <si>
    <t>diego.montoyam@gmail.com</t>
  </si>
  <si>
    <t>INST EDUC INEM JOSE FELIX DE RESTREPO</t>
  </si>
  <si>
    <t>AV LAS VEGAS</t>
  </si>
  <si>
    <t>CRA 48 NO 1-125</t>
  </si>
  <si>
    <t>2663443 - 2664600 (69) ext 113 - 3108931650 ©</t>
  </si>
  <si>
    <t>FERNANDOCARVAJAL OQUENDO (R )</t>
  </si>
  <si>
    <t>SERGIO GARCES BOTERO</t>
  </si>
  <si>
    <t>inembienestar@inemjose.edu.co</t>
  </si>
  <si>
    <t>SEC ESC GUILLERMO ECHAVARRIA MISAS</t>
  </si>
  <si>
    <t>ASTORGA</t>
  </si>
  <si>
    <t>CR. 43 NO. 9-61</t>
  </si>
  <si>
    <t>311 25 78 -3193201938 ©</t>
  </si>
  <si>
    <t>FERNANDO CARVAJAL OQUENDO (R ) DANIEL RAMIRO OSORIO VILLAGE ©</t>
  </si>
  <si>
    <t>NOHEMY QUIROZ</t>
  </si>
  <si>
    <t>nohemyq@hotmail.com</t>
  </si>
  <si>
    <t>INST EDUC SANTA CATALINA DE SIENA</t>
  </si>
  <si>
    <t>SAN LUCAS</t>
  </si>
  <si>
    <t>CLL 1 SUR N° 29-300</t>
  </si>
  <si>
    <t>3541437 - 3003758241 ®</t>
  </si>
  <si>
    <t>DIANA ROCIO DE LOS RIOS ARIAS ( R)</t>
  </si>
  <si>
    <t>SOLEDAD VELEZ(PM) LINA MARCELA RAMIREZ (AM)</t>
  </si>
  <si>
    <t>dianar.rios@medellin.gov.co linamarch7@hotmail.com</t>
  </si>
  <si>
    <t>INST EDUC LA SALLE DE CAMPOAMOR</t>
  </si>
  <si>
    <t>CAMPO AMOR</t>
  </si>
  <si>
    <t>CRA. 65 B NO. 4-49</t>
  </si>
  <si>
    <t>285 15 71</t>
  </si>
  <si>
    <t>BLANCA DOLLY BUILES</t>
  </si>
  <si>
    <t>GLORIA HERNANDEZ LLANO(D) OSWALDO BARRADA ( D)</t>
  </si>
  <si>
    <t>rectorlasalle@une.net.co osw.barrada@hotmail.com 
rectora@sallecampoamor</t>
  </si>
  <si>
    <t>SEC ESC LA COLINA</t>
  </si>
  <si>
    <t>LA COLINA</t>
  </si>
  <si>
    <t>CRA 52C NO.12A SUR 23</t>
  </si>
  <si>
    <t>255 03 56</t>
  </si>
  <si>
    <t>JULIET AGUILA PACHON ( C)</t>
  </si>
  <si>
    <t>joseacevedo@une.net.co 
soro.al@hotmail.com</t>
  </si>
  <si>
    <t>SEC ESC CRISTO REY-APOLO</t>
  </si>
  <si>
    <t>GUAYABAL</t>
  </si>
  <si>
    <t>CRA 50 G Nº 3 SUR 34</t>
  </si>
  <si>
    <t>255 65 49</t>
  </si>
  <si>
    <t>MARGARITA DUQUE (C )</t>
  </si>
  <si>
    <t>CEBELIA MARIA OTALVARO</t>
  </si>
  <si>
    <t>secretariacristorey09@gmail.com
marduque88@gmail.com</t>
  </si>
  <si>
    <t>INST EDUC OCTAVIO CALDERON MEJIA</t>
  </si>
  <si>
    <t>CRA 58 NO. 7-157</t>
  </si>
  <si>
    <t>2554257 - 3615154</t>
  </si>
  <si>
    <t>CLAUDIA MARIA HOLGIN HERNANDEZ ( R) JOHN FREDY DEVIA MOLINA ( C)</t>
  </si>
  <si>
    <t>EDUAR MORENO ( C)</t>
  </si>
  <si>
    <t>clamohe@une.net.co</t>
  </si>
  <si>
    <t>INST EDUC SAN ROBERTO BELARMINO</t>
  </si>
  <si>
    <t>LAS MERCEDES</t>
  </si>
  <si>
    <t>CLL. 32B NO. 83 - 39</t>
  </si>
  <si>
    <t>2562097 - 2560140- 3103890045 ®</t>
  </si>
  <si>
    <t>ALICIA MARIA MARIN OCHOA ( R)</t>
  </si>
  <si>
    <t>SANDRA PATRICIA RESTREPO- BEATRIZ PATIÑO</t>
  </si>
  <si>
    <t>sanrobertobelarmino@gmail.com</t>
  </si>
  <si>
    <t>INST EDUC PEDRO OCTAVIO AMADO</t>
  </si>
  <si>
    <t>BUENAVISTA</t>
  </si>
  <si>
    <t>CRA 88 A Nª 18 A - 05</t>
  </si>
  <si>
    <t>2385168- 3023880547 (R)</t>
  </si>
  <si>
    <t>GLORIA CECILIA GUTIERREZ ®</t>
  </si>
  <si>
    <t>DIANA MARIA VILLA (RE) ROBERTO CARLOS HERRERA</t>
  </si>
  <si>
    <t>iepoa@yahoo.es
dianamariavilla@hotmail.com</t>
  </si>
  <si>
    <t>INST EDUC ANTONIO RICAURTE</t>
  </si>
  <si>
    <t>BELEN RINCON</t>
  </si>
  <si>
    <t>CLL. 2 NO. 80-28</t>
  </si>
  <si>
    <t>MARTA RESTREPO ( R)</t>
  </si>
  <si>
    <t>TERESA ESPINOSA (D)</t>
  </si>
  <si>
    <t>ie.antonioricaurte@medellin.gov.co
martamariarestrepo@gmail.com</t>
  </si>
  <si>
    <t>SEC ESC GUILLERMO VALENCIA</t>
  </si>
  <si>
    <t>BELEN</t>
  </si>
  <si>
    <t>CALLE 23 N° 78-48</t>
  </si>
  <si>
    <t>LINA VALENCIA CHICA ( C)</t>
  </si>
  <si>
    <t>MARIA DEL ROSARIO OQUENDO</t>
  </si>
  <si>
    <t>linavalenciachica@gmail.com</t>
  </si>
  <si>
    <t>SEC ESC ANTONIO JOSE RESTREPO</t>
  </si>
  <si>
    <t>CLL. 2 NO. 79-42</t>
  </si>
  <si>
    <t>238 30 27</t>
  </si>
  <si>
    <t>JOSE FERNANDO ARCILA ( R)</t>
  </si>
  <si>
    <t>MARGARITA VILLA LOPERA (C )</t>
  </si>
  <si>
    <t>mvillalopera@yahoo.es</t>
  </si>
  <si>
    <t>INST EDUC REPUBLICA DE VENEZUELA</t>
  </si>
  <si>
    <t>LAS VIOLETAS</t>
  </si>
  <si>
    <t>CLL 31C NO. 89 C 62</t>
  </si>
  <si>
    <t>238 82 55 - 3002885717 ©</t>
  </si>
  <si>
    <t>JUAN IGNACIO GALLO ( R ) OLIVA SALDARRIAGA GOMEZ ©</t>
  </si>
  <si>
    <t>ADRIANA LILI SUAREZ- GLORIA GIL MARIN</t>
  </si>
  <si>
    <t>ie.republicadevenezuela@medellin.gov.co 
adrianalilys@gmail.com
'Adriana Lily Suárez Giraldo' &lt;adrianalilys@gmail.com&gt;</t>
  </si>
  <si>
    <t>INST EDUC RAMON GIRALDO CEBALLOS</t>
  </si>
  <si>
    <t>B. ALTAVISTA</t>
  </si>
  <si>
    <t>CLL. 21 NO. 82 A 56</t>
  </si>
  <si>
    <t>3411830 y 2384352- 3053393881 ©</t>
  </si>
  <si>
    <t>CLAUDIA BOADA (R )</t>
  </si>
  <si>
    <t>FLOR QUICENO - GLORIA SUAREZ</t>
  </si>
  <si>
    <t>ieramon_giraldo@yahoo.es - florquiceno@gmail.com</t>
  </si>
  <si>
    <t>INST EDUC CAPILLA DEL ROSARIO</t>
  </si>
  <si>
    <t>CLL 6 SUR 79-195</t>
  </si>
  <si>
    <t>3410913 3438954 - 3012904607 ©</t>
  </si>
  <si>
    <t>JORGE IVAN BUITRAGO ( R)</t>
  </si>
  <si>
    <t>WALTER GUTIERREZ</t>
  </si>
  <si>
    <t>ie.capilladelrosario@yahoo.es walguty@hotmail.com</t>
  </si>
  <si>
    <t>INST EDUC ANTONIO DERKA - SANTO DOMINGO</t>
  </si>
  <si>
    <t>CARRERA 28 107 425</t>
  </si>
  <si>
    <t>5721312 5295216 5295218 CASA 5280020</t>
  </si>
  <si>
    <t>M.(AM) MARTA CECILIA AGUILAR</t>
  </si>
  <si>
    <t>ie.antonioderka@medellin.gov.co ie.antoniosanto@medellin.gov.co ruben.uribe@medellin.gov.co</t>
  </si>
  <si>
    <t>Comparten comedor, los escolares de las dos secciónes pasan almorzar a la IE. principal</t>
  </si>
  <si>
    <t>SEC ESC CARPINELO AMAPOLITA</t>
  </si>
  <si>
    <t>CARPINELO</t>
  </si>
  <si>
    <t>CALLE 97 23 12</t>
  </si>
  <si>
    <t>MARTA CECILIA AGUILAR</t>
  </si>
  <si>
    <t>ie.carpinelloamapolita@medellin.gov.co rudavego1@hotmail.com</t>
  </si>
  <si>
    <t>INST EDUC LA AVANZADA</t>
  </si>
  <si>
    <t>LA AVANZADA</t>
  </si>
  <si>
    <t>CARRERA 27 106BB 65</t>
  </si>
  <si>
    <t>DORA CELIS ROJAS TOBÓN</t>
  </si>
  <si>
    <t>MAGNOLIA DE JESUS CASAS RODRIGUEZ</t>
  </si>
  <si>
    <t>ie.laavanzada@medellin.gov.co; orleyorrego@gmail.com</t>
  </si>
  <si>
    <t>INST EDUC FE Y ALEGRIA SANTO DOMINGO SAVIO</t>
  </si>
  <si>
    <t>CARRERA 29 110A 83</t>
  </si>
  <si>
    <t>5284407 ext 105</t>
  </si>
  <si>
    <t>EDWIN FERNEY MONTOYA VELASQUEZ</t>
  </si>
  <si>
    <t>PAULA VASQUEZ</t>
  </si>
  <si>
    <t>ie.feyalegriasantodo@medellin.gov.co; secresz@gmail.com</t>
  </si>
  <si>
    <t>SEC ESC FE Y ALEGRIA SEGUNDA AGRUPACION</t>
  </si>
  <si>
    <t>CARRERA 30 110B 24</t>
  </si>
  <si>
    <t>5721991 ext 101</t>
  </si>
  <si>
    <t>JAIRO DAZA</t>
  </si>
  <si>
    <t>ie.feyalegriasantodo@medellin.gov.co; audax.lo@gmail.com</t>
  </si>
  <si>
    <t>INST EDUC LA CANDELARIA</t>
  </si>
  <si>
    <t>CALLE 106 32 100</t>
  </si>
  <si>
    <t>5288002 ext 116 - 5721611</t>
  </si>
  <si>
    <t>JORGE ELIECER MURIEL</t>
  </si>
  <si>
    <t>GUSTAVO ATEHORTUA</t>
  </si>
  <si>
    <t>ie.lacandelaria@medellin.gov.co; jorse7098@yahoo.com</t>
  </si>
  <si>
    <t>SEC ESC LA ESPERANZA NO 2</t>
  </si>
  <si>
    <t>LA ESPERANZA Nº 2 - POPULAR</t>
  </si>
  <si>
    <t>CARRERA 29 102A 20</t>
  </si>
  <si>
    <t>JORGE MURIEL MURIEL</t>
  </si>
  <si>
    <t>VILMA MORENO</t>
  </si>
  <si>
    <t>ielaesperanza2@medellin.gov.co negris104@hotmail.com; coordi_laesperanza@ielacandelariamedellin.edu.co</t>
  </si>
  <si>
    <t>SEC ESC DIVINA PROVIDENCIA</t>
  </si>
  <si>
    <t>CALLE 108 43B 17</t>
  </si>
  <si>
    <t>2584850 5241365</t>
  </si>
  <si>
    <t>FLOR DE AZALIA VILLA</t>
  </si>
  <si>
    <t>ESTELLA SALDARRIAGA</t>
  </si>
  <si>
    <t>federicocarrasquilla@gmail.com; stesa425@hotmail.com</t>
  </si>
  <si>
    <t>INST EDUC MARIA DE LOS ANGELES CANO MARQUEZ</t>
  </si>
  <si>
    <t>CALLE 103 33D 75</t>
  </si>
  <si>
    <t>5289494 5287740</t>
  </si>
  <si>
    <t>YOLANDA ZULUAGA CANO</t>
  </si>
  <si>
    <t>SORANY TABORDA</t>
  </si>
  <si>
    <t>yolandazuluaga@hotmail.com; institucionmariacano@gmail.com</t>
  </si>
  <si>
    <t>ESC HERMANA ALCIRA CASTRO OSORIO</t>
  </si>
  <si>
    <t>CARRERA 27B 107FA 138</t>
  </si>
  <si>
    <t>4485298-5292855</t>
  </si>
  <si>
    <t>HNA. GLADIS CALDERON RIVERA</t>
  </si>
  <si>
    <t>DIANA PARRA</t>
  </si>
  <si>
    <t>alciracastro1@outookl.com; misioneras1@une.net.co; dianaparrao26@hotmail.com</t>
  </si>
  <si>
    <t>COL SAGRADA FAMILIA ALDEA PABLO VI</t>
  </si>
  <si>
    <t>ALDEA PABLO VI</t>
  </si>
  <si>
    <t>CARRERA 30 100B 30</t>
  </si>
  <si>
    <t>5290009 Area Administrativa 5290010 Internado</t>
  </si>
  <si>
    <t>HNA MARGARITA BERRIO DUQUE</t>
  </si>
  <si>
    <t>MILENA RAMOS</t>
  </si>
  <si>
    <t>aldeahpar@yahoo.com sagradafamiliahpar@yahoo.es; mile11-@hotmail.com</t>
  </si>
  <si>
    <t>COL GENTE UNIDA JOVENES POR LA PAZ-SANTO DOMINGO</t>
  </si>
  <si>
    <t>CALLE 101C 22B 93</t>
  </si>
  <si>
    <t>JUAN CARLOS ARROYAVE CARLOS ALBERTO ZAPATA</t>
  </si>
  <si>
    <t>DORA ALBA BENITEZ ARIAS</t>
  </si>
  <si>
    <t>laesperanzasecre@hotmail.com juanca_arroyave@hotmail.com</t>
  </si>
  <si>
    <t>INST EDUC SANTA TERESA</t>
  </si>
  <si>
    <t>CARRERA 52 109A 18</t>
  </si>
  <si>
    <t>2584245-2586816</t>
  </si>
  <si>
    <t>AURA CECILIA MEDINA CORREA</t>
  </si>
  <si>
    <t>GUSTAVO ARMANDO GARCÍA -PM; GERMAN MUÑOZ-AM</t>
  </si>
  <si>
    <t>garciaggar@gmail.com; auraceciliamedina@une.net.co; iesantateresa@yahoo.es; gerdamunoz@gmail.com</t>
  </si>
  <si>
    <t>INST EDUC REPUBLICA DE HONDURAS</t>
  </si>
  <si>
    <t>CARRERA 50B 97A 30</t>
  </si>
  <si>
    <t>2360743-2585778</t>
  </si>
  <si>
    <t>LUZ MARINA BEDOYA</t>
  </si>
  <si>
    <t>republicadehonduras@gmail.com; luzmarinabedoyaberrio@hotmail.com</t>
  </si>
  <si>
    <t>INST EDUC FINCA LA MESA</t>
  </si>
  <si>
    <t>CALLE 118 51A 03</t>
  </si>
  <si>
    <t>2149151 2149157</t>
  </si>
  <si>
    <t>LUIS EUGENIO MENA PALACIO</t>
  </si>
  <si>
    <t>JESUS JURADO-PM; CESAR MAURICIO GOMEZ-AM</t>
  </si>
  <si>
    <t>ie.fincalamesa@medellin.gov.co; menapues@gmail.com; tapitasdata@gmail.com</t>
  </si>
  <si>
    <t>SEC ESC LA ISLA</t>
  </si>
  <si>
    <t>LA ISLA</t>
  </si>
  <si>
    <t>CALLE 112 47 39</t>
  </si>
  <si>
    <t>LUIS EUGENIO MENA</t>
  </si>
  <si>
    <t>MAURICIO MURILLO</t>
  </si>
  <si>
    <t>maurrillo@gmail.com</t>
  </si>
  <si>
    <t>INST EDUC JOSE ROBERTO VASQUEZ</t>
  </si>
  <si>
    <t>CALLE 76 39 160</t>
  </si>
  <si>
    <t>NESTOR RENE OTALORA GARZON</t>
  </si>
  <si>
    <t>ELVER GUTIERREZ</t>
  </si>
  <si>
    <t>ie.joserobertovasque@medellin.gov.co; joserobertovasquezbm@gmail.com</t>
  </si>
  <si>
    <t>SEC ESC SAN LORENZO DE ABURRA</t>
  </si>
  <si>
    <t>CALLE 81 40 46</t>
  </si>
  <si>
    <t>EUGENIO DUQUE GOMEZ ; ALEJANDRA MOTOYA GIRLADO , LUZ MAGDALENA LÓPEZ OROZCO</t>
  </si>
  <si>
    <t>ie.sanlorenzodeaburra@medellin.gov.co; duquegenio@gmail.com; maglop18@hotmail.com</t>
  </si>
  <si>
    <t>SEC ESC LA CIMA SAN JOSE</t>
  </si>
  <si>
    <t>SAN JOSE LA CIMA Nº 1</t>
  </si>
  <si>
    <t>CALLE 92C 31BB 23</t>
  </si>
  <si>
    <t>NORA ELENA SOSSA</t>
  </si>
  <si>
    <t>ie.feyalegrialacima@medellin.gov.co; nesy2760@gmail.com</t>
  </si>
  <si>
    <t>INST EDUC GABRIEL RESTREPO MORENO</t>
  </si>
  <si>
    <t>CARRERA 39 85 59</t>
  </si>
  <si>
    <t>2631645 5710343</t>
  </si>
  <si>
    <t>ÁLVARO MEJÍA PAYARES</t>
  </si>
  <si>
    <t>ROCIO MARTINEZ</t>
  </si>
  <si>
    <t>ie.gabrielrestrepo@medellin.gov.co; almapa@hotmail.com; elsyak@hotmail.com</t>
  </si>
  <si>
    <t>SEC ESC SANTA BERNARDITA</t>
  </si>
  <si>
    <t>CARRERA 40 85 20</t>
  </si>
  <si>
    <t>CLAUDIA MARIA GOMEZ</t>
  </si>
  <si>
    <t>campovaldes2013@gmail.com; rectoralacima@gmail.com</t>
  </si>
  <si>
    <t>INST EDUC  MONTECARLO GUILLERMO GAVIRIA CORREA - COMEDOR 1</t>
  </si>
  <si>
    <t>INST EDUC MONTECARLO GUILLERMO GAVIRIA CORREA</t>
  </si>
  <si>
    <t>CARRERA 36 85B 140</t>
  </si>
  <si>
    <t>LUZ MARINA DURANGO SERNA</t>
  </si>
  <si>
    <t>ANA DOLLY OSORIO (P)</t>
  </si>
  <si>
    <t>repbarbados@une.net.co / ie.republicadebarbad@medellin.gov.co</t>
  </si>
  <si>
    <t>INST EDUC RODRIGO LARA BONILLA - COMEDOR 1</t>
  </si>
  <si>
    <t>INST EDUC RODRIGO LARA BONILLA</t>
  </si>
  <si>
    <t>VERSALLES Nº 2</t>
  </si>
  <si>
    <t>CARRERA 25 69D 35</t>
  </si>
  <si>
    <t>JAMES EDUARDO OCAMPO MONSALVE</t>
  </si>
  <si>
    <t>SORAYA ARIAS GÓMEZ</t>
  </si>
  <si>
    <t>ierlb@hotmail.com / ie.rodrigolarabonill@medellin.gov.co; comitecalidad@hotmail.com</t>
  </si>
  <si>
    <t>COL PABLO VI</t>
  </si>
  <si>
    <t>CARRERA 36 69 30</t>
  </si>
  <si>
    <t>254 04 84 2547071</t>
  </si>
  <si>
    <t>JORGE JOSE LUIS SANCHEZ</t>
  </si>
  <si>
    <t>GLORIA E. CASTAÑO</t>
  </si>
  <si>
    <t>cologiopablovl1965@gmail.com; gloriazul.1637@hotmail.com</t>
  </si>
  <si>
    <t>COL GENTE UNIDA JOVENES POR LA PAZ - LUZ DE ORIENTE</t>
  </si>
  <si>
    <t>CARRERA 24 74 130</t>
  </si>
  <si>
    <t>2514254, 2519277</t>
  </si>
  <si>
    <t>DORA ALBA BENITEZ</t>
  </si>
  <si>
    <t>LUZ DARY BENITEZ</t>
  </si>
  <si>
    <t>administracionloriente@genteunida.org.co; luzdeoriente@genteunida.org.co</t>
  </si>
  <si>
    <t>COLEGIO BÁSICO SANTA MARIA DE LA CRUZ</t>
  </si>
  <si>
    <t>CARRERA 23C 75C 246</t>
  </si>
  <si>
    <t>MIGUEL PEREZ VEGA</t>
  </si>
  <si>
    <t>JULIANA VALENCIA</t>
  </si>
  <si>
    <t>santamariadelacruzcolegio@hotmail.com; fundacionteresadecalcuta@hotmail.com</t>
  </si>
  <si>
    <t>INST EDUC GILBERTO ALZATE AVENDAÑO</t>
  </si>
  <si>
    <t>CALLE 92 51A 100</t>
  </si>
  <si>
    <t>5717731 EXT 101 201</t>
  </si>
  <si>
    <t>DARIO ARGAEZ NARANJO (P)</t>
  </si>
  <si>
    <t>ie.gilbertoalzate@medellin.gov.co; betty.mesa@medellin.gov.co; dario.argaez@medellin.co</t>
  </si>
  <si>
    <t>Comparte comedor los 300 Almuerzos deben ser entregados en la S.E Tomas Carrasquilla #1</t>
  </si>
  <si>
    <t>INST EDUC MARIA MONTESSORI</t>
  </si>
  <si>
    <t>CARRERA 69A 92C 87</t>
  </si>
  <si>
    <t>4712416  4776510</t>
  </si>
  <si>
    <t>HERNÁN HERNÁN DARIO QUINTANA</t>
  </si>
  <si>
    <t>JORGE IVÁN PEÑA ( COORD ) AM</t>
  </si>
  <si>
    <t>jipo.197@yahoo.es - iemariamontesori@hotmai.com - secretaria.iemariamontesori@gmail.com</t>
  </si>
  <si>
    <t>INST EDUC PBRO ANTONIO JOSE BERNAL LONDOÑO SJ</t>
  </si>
  <si>
    <t>CALLE 105A 63A 200</t>
  </si>
  <si>
    <t>4631218  2565318, 4631680</t>
  </si>
  <si>
    <t>HERNÁN DÍAZ. ( ) ANTONIO JOSE LONDOÑO LONDOÑO (COORD)</t>
  </si>
  <si>
    <t>HERNAN ALBERTO GONZALES ( D)</t>
  </si>
  <si>
    <t>i.e.antonio.jose.bernal@gmail.com</t>
  </si>
  <si>
    <t>INST EDUC KENNEDY</t>
  </si>
  <si>
    <t>CARRERA 76A 92 200</t>
  </si>
  <si>
    <t>4428362 EXT 115</t>
  </si>
  <si>
    <t>HECTOR CORREA (DOCENTE ENCARGADO)</t>
  </si>
  <si>
    <t>INST EDUC LA ESPERANZA</t>
  </si>
  <si>
    <t>LA ESPERANZA - DOCE DE OCTUBRE</t>
  </si>
  <si>
    <t>CARRERA 73B 96 09</t>
  </si>
  <si>
    <t>MARCOS VILLARREAL</t>
  </si>
  <si>
    <t>FLOR MARIA MONTOYA</t>
  </si>
  <si>
    <t>montoyazapataflormaria@gmail.com</t>
  </si>
  <si>
    <t>SEC ESC LOS COMUNEROS</t>
  </si>
  <si>
    <t>CARRERA 73B 96 77</t>
  </si>
  <si>
    <t>MABEL CRISTINA DARTE CAÑAS</t>
  </si>
  <si>
    <t>mdarte25@yahoo.es</t>
  </si>
  <si>
    <t>SEC ESC REPUBLICA DE CUBA</t>
  </si>
  <si>
    <t>CALLE 97 74 03</t>
  </si>
  <si>
    <t>DORA ALICIA MAZO</t>
  </si>
  <si>
    <t>rosaemma284@yahoo.ese - doramazop@gmail.com</t>
  </si>
  <si>
    <t>SEC ESC SAN FRANCISCO DE PAULA</t>
  </si>
  <si>
    <t>CARRERA 74B 93 58</t>
  </si>
  <si>
    <t>EMA ROSA ZAPATA PARRA</t>
  </si>
  <si>
    <t>roaemma439@gmail.com</t>
  </si>
  <si>
    <t>SEC ESC SAN MARTIN DE PORRES</t>
  </si>
  <si>
    <t>SAN MARTIN DE PORRES</t>
  </si>
  <si>
    <t>CARRERA 75A 97 135</t>
  </si>
  <si>
    <t>MARLENY STELLA LONDOÑO ARANGO</t>
  </si>
  <si>
    <t>marlenylondono@gmail.com</t>
  </si>
  <si>
    <t>INST EDUC CASD</t>
  </si>
  <si>
    <t>CALLE 99 72 192</t>
  </si>
  <si>
    <t>4721313 2379780 EXT 101</t>
  </si>
  <si>
    <t>KAMMEL GUTIERREZ ( R)</t>
  </si>
  <si>
    <t>DAISY KATERINE RODRIGUEZ D ( D)</t>
  </si>
  <si>
    <t>ricardo.franco@medellin.gov.co</t>
  </si>
  <si>
    <t>SEC ESC CONTRANAL</t>
  </si>
  <si>
    <t>CALLE 100 74A 25</t>
  </si>
  <si>
    <t>JAVIER SANCHEZ.</t>
  </si>
  <si>
    <t>ELIZABETH ROLDAN</t>
  </si>
  <si>
    <t>CENTRO EDUCATIVO HOGAR JESÚS REDENTOR</t>
  </si>
  <si>
    <t>CALLE 104B 87 95</t>
  </si>
  <si>
    <t>VIVIANA PARRA GAVIRIA</t>
  </si>
  <si>
    <t>HERMANA NORA LUCIA PARRA. HNA. ADRIANA</t>
  </si>
  <si>
    <t>hogarjr@une.net.co</t>
  </si>
  <si>
    <t>SEC ESC ESTADO DE ISRAEL</t>
  </si>
  <si>
    <t>CALLE 110A 75A 01</t>
  </si>
  <si>
    <t>2732809 4720572</t>
  </si>
  <si>
    <t>FELICITA ARRIAGA</t>
  </si>
  <si>
    <t>INST EDUC EL PICACHITO</t>
  </si>
  <si>
    <t>PICACHITO</t>
  </si>
  <si>
    <t>CARRERA 85A 98B 17</t>
  </si>
  <si>
    <t>4761277  Fax 4760923 4770923 - 4722556</t>
  </si>
  <si>
    <t>LUIS OSVALDO GIRALDO (COORD)</t>
  </si>
  <si>
    <t>LUZ ADIELA ZULUAGA</t>
  </si>
  <si>
    <t>luzadielazuluaga@gmail.com - ie,picachito@gmail.com</t>
  </si>
  <si>
    <t>ESCUELA UNIVERSIDAD NACIONAL</t>
  </si>
  <si>
    <t>CARRERA 88A 68 85</t>
  </si>
  <si>
    <t>JULIO CESAR SANCHEZ HENAO</t>
  </si>
  <si>
    <t>DIANA RIVILLAS OCAMPO</t>
  </si>
  <si>
    <t>dirivill@unal.edu.co - cooracedunal-med@unal.edu.co - cedunal.med@unal.edu.co</t>
  </si>
  <si>
    <t>INST EDUC BELLO HORIZONTE</t>
  </si>
  <si>
    <t>BELLO HORIZONTE</t>
  </si>
  <si>
    <t>CARRERA 86 77AB 53</t>
  </si>
  <si>
    <t>2346584  EXT 105 - 101</t>
  </si>
  <si>
    <t>GLORIA CECILIA GUTIERREZ ZAPATA</t>
  </si>
  <si>
    <t>SIRLEY TAMAYO AM - MIRYAM URIBE PM</t>
  </si>
  <si>
    <t>iebellohorizonte@gmail.com</t>
  </si>
  <si>
    <t>INST EDUC CIUDAD DON BOSCO</t>
  </si>
  <si>
    <t>E</t>
  </si>
  <si>
    <t>CARRERA 96B 78C 11</t>
  </si>
  <si>
    <t>2641199  2642122  EXT 131</t>
  </si>
  <si>
    <t>BRO.RAFAEL BEJARANO RIVERO.</t>
  </si>
  <si>
    <t>JHON JAIME MADRIGAL HERRERA</t>
  </si>
  <si>
    <t>direccion@ciudaddonbosco.org</t>
  </si>
  <si>
    <t>INST EDUC EL DIAMANTE</t>
  </si>
  <si>
    <t>CARRERA 87 79 05</t>
  </si>
  <si>
    <t>NANCY LUCIA PEREZ GONZALEZ</t>
  </si>
  <si>
    <t>JAIME DUQUE AM - ELKIN VELASQUEZ PM</t>
  </si>
  <si>
    <t>jaimerdu@yahoo.es; rectoria@ieeldiamante.edu.co</t>
  </si>
  <si>
    <t>INST EDUC LA LIBERTAD</t>
  </si>
  <si>
    <t>LA LIBERTAD</t>
  </si>
  <si>
    <t>DIAGONAL 17DD 56B 49</t>
  </si>
  <si>
    <t>2267949  3225191221</t>
  </si>
  <si>
    <t>JHON FREDY CORRALES TABARES</t>
  </si>
  <si>
    <t>ANGY URIBE</t>
  </si>
  <si>
    <t>ie.lalibertad@medellin.gov.co  coordilibertad@gmail.com</t>
  </si>
  <si>
    <t>INST EDUC LA SIERRA</t>
  </si>
  <si>
    <t>LA SIERRA</t>
  </si>
  <si>
    <t>CALLE 56 B 4 ESTE 10</t>
  </si>
  <si>
    <t>2218029  2145397  300 202 08 85</t>
  </si>
  <si>
    <t>MARTHA LUCIA MOSQUERA</t>
  </si>
  <si>
    <t>ie.lasierracolegiomaestro@gmail.com  mlml316@hotmail.com</t>
  </si>
  <si>
    <t>INST EDUC JUAN DE LA CRUZ POSADA</t>
  </si>
  <si>
    <t>SAN MIGUEL</t>
  </si>
  <si>
    <t>CALLE 62 39 22</t>
  </si>
  <si>
    <t>2549659  2548163  2914801  3103727883</t>
  </si>
  <si>
    <t>ADOLFO LEÓN GONZALEZ OSPINA</t>
  </si>
  <si>
    <t>FANY RODAS MORENO(AM)  MARIA CONSUELO PEREZ(PM)</t>
  </si>
  <si>
    <t>IE.JUANCPOSADA@YAHOO.ES  katevera@hotmail.com</t>
  </si>
  <si>
    <t>INST EDUC ESCUELA NORMAL SUPERIOR DE MEDELLIN</t>
  </si>
  <si>
    <t>LA LADERA</t>
  </si>
  <si>
    <t>CARRERA 34 65 02</t>
  </si>
  <si>
    <t>2840245      4039040</t>
  </si>
  <si>
    <t>JUAN CARLOS ZAPATA CORREA</t>
  </si>
  <si>
    <t>GUILLERMINA ZAPATA RIVERA</t>
  </si>
  <si>
    <t>ie.normalsuperior@medellin.gov.co   juanca.zapatac@gmail.com / guillerminazr@hotmail.com</t>
  </si>
  <si>
    <t>SEC ESC SAN VICENTE DE PAUL</t>
  </si>
  <si>
    <t>LAS ESTANCIAS</t>
  </si>
  <si>
    <t>CARRERA 6F 54 133</t>
  </si>
  <si>
    <t>JAMES PRADO</t>
  </si>
  <si>
    <t>ie.gabrielgarcía@medellín.gov.co  pradojames@hotmail.com</t>
  </si>
  <si>
    <t>SEC ESC REPUBLICA DEL PERU</t>
  </si>
  <si>
    <t>CALLE 52 23 114</t>
  </si>
  <si>
    <t>ie.felixhenao@medellín.gov.co   antonio.cari@hotmail.com</t>
  </si>
  <si>
    <t>INST EDUC VIDA PARA TODOS</t>
  </si>
  <si>
    <t>CARRERA 12 52 20</t>
  </si>
  <si>
    <t>2260571 2260591</t>
  </si>
  <si>
    <t>DAVID FERNANDO CORTEZ</t>
  </si>
  <si>
    <t>LISETH GARCIA(AM)          CAMILO FERNANDEZ(PM)</t>
  </si>
  <si>
    <t>ie.vidaparatodos@hotmail.com</t>
  </si>
  <si>
    <t>SEC ESC HOGAR ANTIOQUIA</t>
  </si>
  <si>
    <t>CARRERA 12 52 42</t>
  </si>
  <si>
    <t>LUZ DARY ORTIZ</t>
  </si>
  <si>
    <t>SEC ESC SOR MARIA LUISA COURBIN</t>
  </si>
  <si>
    <t>CARRERA 12 52 44</t>
  </si>
  <si>
    <t>IVAN GAVIRIA JARAMILLO CLAUDIA ALVAREZ</t>
  </si>
  <si>
    <t>INST EDUC SOL DE ORIENTE</t>
  </si>
  <si>
    <t>TRECE DE NOVIEMBRE</t>
  </si>
  <si>
    <t>CARRERA 23 56EH 200</t>
  </si>
  <si>
    <t>2914389   2546176</t>
  </si>
  <si>
    <t>JUAN DIEGO RESTREPO ESCOBAR</t>
  </si>
  <si>
    <t>ADRIANA MUNERA</t>
  </si>
  <si>
    <t>ie.soldeoriente@medellin.gov.co   ssoldeoriente@gmail.com  amuneraguerra@yahoo.es</t>
  </si>
  <si>
    <t>SEC ESC BEATO DOMINGO ITURRATE</t>
  </si>
  <si>
    <t>CARRERA 18E 56FA 9</t>
  </si>
  <si>
    <t>LUZ MARINA PENAGOS</t>
  </si>
  <si>
    <t>COL BASICO CAMINO DE PAZ - COMEDOR 1</t>
  </si>
  <si>
    <t>COL BASICO CAMINO DE PAZ</t>
  </si>
  <si>
    <t>CALLE 59C 19 56</t>
  </si>
  <si>
    <t>ALBA LUCIA BAHOS</t>
  </si>
  <si>
    <t>TATIANA DURANGO        EUGENIO HENAO ESTRADA</t>
  </si>
  <si>
    <t>secrecaicedo@fundacionlasgolondrinas.org     nutricion@fundacionlasgolondrinas.org   rectoria@fundacionlasgolondrinas.org</t>
  </si>
  <si>
    <t>COL BASICO CAMINO DE PAZ - COMEDOR 2</t>
  </si>
  <si>
    <t>COL BASICO CAMINO DE PAZ - VILLA LILIAM</t>
  </si>
  <si>
    <t>CARRERA 8A 57A 35</t>
  </si>
  <si>
    <t>INST EDUC EL SALVADOR</t>
  </si>
  <si>
    <t>CARRERA 38A 34 -207</t>
  </si>
  <si>
    <t>2169312   2180993</t>
  </si>
  <si>
    <t>ALBERTO GIRALDO JIMENEZ (RECTOR)</t>
  </si>
  <si>
    <t>LUCERO PINEDA(PM)           SIRIS PINO(AM)</t>
  </si>
  <si>
    <t>iesalvador@medellin.gov.co      lucero-pineda@hotmail.com</t>
  </si>
  <si>
    <t>SEC ESC JOSE DE SAN MARTIN</t>
  </si>
  <si>
    <t>CALLE 39 38 21</t>
  </si>
  <si>
    <t>ALBERTO GIRALDO JIMENEZ RECTOR</t>
  </si>
  <si>
    <t>JUAN CARLOS MURIEL</t>
  </si>
  <si>
    <t>institucioneduelsalvador@gmail.com    jucamugo140@hotmail.com</t>
  </si>
  <si>
    <t>SEC ESC DIVINO SALVADOR</t>
  </si>
  <si>
    <t>CARRERA 38B 40 29</t>
  </si>
  <si>
    <t>216 99 41</t>
  </si>
  <si>
    <t>HECTOR MAURICIO CALLE GALLEGO -RECTOR</t>
  </si>
  <si>
    <t>ieacastrillón@yahoo.es    ectore@une.net.co</t>
  </si>
  <si>
    <t>INST EDUC LORETO-GABRIELA GOMEZ CARVAJAL</t>
  </si>
  <si>
    <t>LORETO</t>
  </si>
  <si>
    <t>CALLE 32 34 06</t>
  </si>
  <si>
    <t>2390090 2393159</t>
  </si>
  <si>
    <t>GUSTAVO DE J. HOYOS AGUDELO RECTOR</t>
  </si>
  <si>
    <t>JUAN CAMILO ALZATE ECHEVERRI</t>
  </si>
  <si>
    <t>ie.Loreto@gmail.com  juank151@hotmail.com  hoyosatavo1952@yahoo.com</t>
  </si>
  <si>
    <t>INST EDUC ASAMBLEA DEPARTAMENTAL</t>
  </si>
  <si>
    <t>CARRERA 27 47 45</t>
  </si>
  <si>
    <t>269 96 79  2218965  2697703</t>
  </si>
  <si>
    <t>JUAN CARLOS AGUDELO SOSA (RECTOR)</t>
  </si>
  <si>
    <t>JOSE ANGELO VARGAS</t>
  </si>
  <si>
    <t>ie.asamblea@gmail.com;  juanca.jas@homail.com</t>
  </si>
  <si>
    <t>INST EDUC JAVIERA LONDOÑO</t>
  </si>
  <si>
    <t>CALLE 53 40 65</t>
  </si>
  <si>
    <t>2395055 2396363 2393116 2281005</t>
  </si>
  <si>
    <t>MARTHA MARIN</t>
  </si>
  <si>
    <t>105001001562@medellin.gov.co  mo156@une.net.co</t>
  </si>
  <si>
    <t>INST EDUC SAN BENITO</t>
  </si>
  <si>
    <t>SAN BENITO</t>
  </si>
  <si>
    <t>CARRERA 56 NO 54A 25</t>
  </si>
  <si>
    <t>MARGARITA MARIA SANCHEZ LEON</t>
  </si>
  <si>
    <t>NEILA ROSA BELLO</t>
  </si>
  <si>
    <t>ie.sanbenito@medellin.gov.co  margarita.sanchez@medellin.gov.co</t>
  </si>
  <si>
    <t>INST EDUC HECTOR ABAD GOMEZ</t>
  </si>
  <si>
    <t>CALLE 50 39 65</t>
  </si>
  <si>
    <t>2163862 2163805 2161258</t>
  </si>
  <si>
    <t>ELKIM RAMIRO OSORIO</t>
  </si>
  <si>
    <t>JAIRO JARAMILLO</t>
  </si>
  <si>
    <t>ie.hectorabad@medellin.gov.co   jmiramuriel@gmail.com</t>
  </si>
  <si>
    <t>SEC ESC DARIO LONDOÑO CARDONA</t>
  </si>
  <si>
    <t>BARRIO COLON</t>
  </si>
  <si>
    <t>CALLE 44 43 96</t>
  </si>
  <si>
    <t>ALBA DIELAZAPATA</t>
  </si>
  <si>
    <t>ie.hectorabad@medellin.gov.co  zapatadh@gmail.com</t>
  </si>
  <si>
    <t>CENT EDUC CASA MAMA MARGARITA</t>
  </si>
  <si>
    <t>BOMBONA Nº 1</t>
  </si>
  <si>
    <t>CALLE 48 39 58</t>
  </si>
  <si>
    <t>2172185  2182156  2182157</t>
  </si>
  <si>
    <t>AMPARO GUEVARA CARRASQUILLA</t>
  </si>
  <si>
    <t>secretariacmm@gmail.com</t>
  </si>
  <si>
    <t>SEC ESC HIPOLITO LONDOÑO MESA</t>
  </si>
  <si>
    <t>CARRERA 40 59 A 52</t>
  </si>
  <si>
    <t>MONS. ARMANDO SANTA</t>
  </si>
  <si>
    <t>HNA.NOEMI CADAVID</t>
  </si>
  <si>
    <t>hogaressanjos60@hotmail.com</t>
  </si>
  <si>
    <t>CENT EDUC EL PLACER</t>
  </si>
  <si>
    <t>SANTA ELENA SECTOR CENTRAL (CABECERA) - CORREG SANTA ELENA</t>
  </si>
  <si>
    <t>VEREDA EL PLACER</t>
  </si>
  <si>
    <t>5380143 / 2695500</t>
  </si>
  <si>
    <t>BEATRIZ ELENA ALVAREZ SERNA</t>
  </si>
  <si>
    <t>GLADYS PATRICIA CANO</t>
  </si>
  <si>
    <t>centroeducativoelplacer@yahoo.es</t>
  </si>
  <si>
    <t>INST EDUC SANTA ELENA</t>
  </si>
  <si>
    <t>CABECERA</t>
  </si>
  <si>
    <t>5381304 / 5381829</t>
  </si>
  <si>
    <t>SILVIA ELENA REDON</t>
  </si>
  <si>
    <t>EDY PATRICIA HUGUITA      DEYCI OSORIO</t>
  </si>
  <si>
    <t>ie.santaelena@medellin.gov.co</t>
  </si>
  <si>
    <t>SEC ESC RURAL SANTA ELENA</t>
  </si>
  <si>
    <t>5380027    5381304  3113608890</t>
  </si>
  <si>
    <t>ARACELY VALENCIA</t>
  </si>
  <si>
    <t>ARACELY.VALENCIA@GMAIL.COM  ie.santaelena@medellin.gov.co</t>
  </si>
  <si>
    <t>CENT EDUC PIEDRAS BLANCAS</t>
  </si>
  <si>
    <t>PIEDRAS BLANCAS - MATAZANO - CORREG SANTA ELENA</t>
  </si>
  <si>
    <t>PIEDRAS BLANCAS</t>
  </si>
  <si>
    <t>JOAQUIN GERMAN OSPINA</t>
  </si>
  <si>
    <t>FELIPE LOZANO</t>
  </si>
  <si>
    <t>cepiedrasblancas@medellin.gov.co</t>
  </si>
  <si>
    <t>CENT EDUC MEDIA LUNA</t>
  </si>
  <si>
    <t>VEREDA MEDIA LUNA</t>
  </si>
  <si>
    <t>ROSMIRA ARROYAVE</t>
  </si>
  <si>
    <t>CENT EDUC EL PLAN</t>
  </si>
  <si>
    <t>EL PLACER - CORREG SANTA ELENA</t>
  </si>
  <si>
    <t>VEREDA EL PLAN</t>
  </si>
  <si>
    <t>5381230  2695500  5380143</t>
  </si>
  <si>
    <t>FABIOLA PINO PEREA</t>
  </si>
  <si>
    <t>CENT EDUC PIEDRA GORDA</t>
  </si>
  <si>
    <t>PIEDRA GORDA - CORREG SANTA ELENA</t>
  </si>
  <si>
    <t>VEREDA PIEDRA GORDA</t>
  </si>
  <si>
    <t>ENRIQUE MAYO GARCIA</t>
  </si>
  <si>
    <t>CAROLINA AREIZA</t>
  </si>
  <si>
    <t>escuela.piedragorda@yahoo.es   ce.juanandrespatino@medellin.gov.co</t>
  </si>
  <si>
    <t>CENT EDUC EL CERRO</t>
  </si>
  <si>
    <t>EL CERRO - CORREG SANTA ELENA</t>
  </si>
  <si>
    <t>VEREDA EL CERRO</t>
  </si>
  <si>
    <t>GLADYS MIRANDA HOYOS</t>
  </si>
  <si>
    <t>ce.juanandrespatino@medellin.gov.co   betyla25@hotmail.com</t>
  </si>
  <si>
    <t>CENT EDUC JUAN ANDRES PATINO</t>
  </si>
  <si>
    <t>BARRO BLANCO - CORREG SANTA ELENA</t>
  </si>
  <si>
    <t>VEREDA BARRO BLANCO</t>
  </si>
  <si>
    <t>5669138  FAX 5669186</t>
  </si>
  <si>
    <t>BEATRIZ ELENA LUGO</t>
  </si>
  <si>
    <t>CENT EDUC PERMANENTE MAZO</t>
  </si>
  <si>
    <t>MAZO - CORREG SANTA ELENA</t>
  </si>
  <si>
    <t>VEREDA MAZO</t>
  </si>
  <si>
    <t>JOAQUIN GERMAN OSPINA TANGARIFE</t>
  </si>
  <si>
    <t>CLAUDIA PATRICIA OSORIO</t>
  </si>
  <si>
    <t>pemazo@gmail.com     didaeco@hotmail.com</t>
  </si>
  <si>
    <t>CORPORACION EDUCATIVA COMBOS</t>
  </si>
  <si>
    <t>CL 51 56 A 35</t>
  </si>
  <si>
    <t>5141672 5126251</t>
  </si>
  <si>
    <t>GLORIA AMPARO HENAO MEDINA</t>
  </si>
  <si>
    <t>INST EDUC MARCO FIDEL SUAREZ</t>
  </si>
  <si>
    <t>SURAMERICANA</t>
  </si>
  <si>
    <t>CR 70 Nº 49 70</t>
  </si>
  <si>
    <t>2301704 - 2301435</t>
  </si>
  <si>
    <t>JOSÉ IGNACIO GUTIÉRREZ</t>
  </si>
  <si>
    <t>ALBA NERY BARRILECHE</t>
  </si>
  <si>
    <t>elsobri21@gmail.com</t>
  </si>
  <si>
    <t>INST EDUC CRISTOBAL COLON - COMEDOR 1</t>
  </si>
  <si>
    <t>INST EDUC CRISTOBAL COLON</t>
  </si>
  <si>
    <t>CL38 Nº 92 93</t>
  </si>
  <si>
    <t>2520535 - 2532517</t>
  </si>
  <si>
    <t>JUAN DE DIOS ARANGO</t>
  </si>
  <si>
    <t>MARTHA DORIS GÓMEZ-LUCELLY GARCÍA</t>
  </si>
  <si>
    <t>martisgc@gmail.com</t>
  </si>
  <si>
    <t>INST EDUC CRISTOBAL COLON - COMEDOR 2</t>
  </si>
  <si>
    <t>INST EDUC CRISTOBAL COLON - ANEXO</t>
  </si>
  <si>
    <t>SEC ESC VEINTE DE JULIO</t>
  </si>
  <si>
    <t>CR 106 Nº 38 40</t>
  </si>
  <si>
    <t>MARÍA ELENA VÁSQUEZ</t>
  </si>
  <si>
    <t>mevz61@gmail.com</t>
  </si>
  <si>
    <t>INST EDUC LA INDEPENDENCIA</t>
  </si>
  <si>
    <t>CLL 39D Nº 112 81</t>
  </si>
  <si>
    <t>BEATRIZ EUGENIA RIOS</t>
  </si>
  <si>
    <t>OLGA LUCÍA DÍAZ</t>
  </si>
  <si>
    <t>beatrizrios5@hotmail.com</t>
  </si>
  <si>
    <t>SEC ESC PALMITAS</t>
  </si>
  <si>
    <t>INST EDUC HECTOR ROGELIO MONTOYA</t>
  </si>
  <si>
    <t>PALMITAS- CABECERA</t>
  </si>
  <si>
    <t>CALLE 20 N° 32 60</t>
  </si>
  <si>
    <t>3870058 - 3870112</t>
  </si>
  <si>
    <t>MANUEL ARANGO</t>
  </si>
  <si>
    <t>DIANA CAROLINA RIVERA</t>
  </si>
  <si>
    <t>ie.hrmpalmitas@gmail.com</t>
  </si>
  <si>
    <t>CENT EDUC LA SUIZA</t>
  </si>
  <si>
    <t>CENT EDUC LA VOLCANA</t>
  </si>
  <si>
    <t>PALMITAS</t>
  </si>
  <si>
    <t>VEREDA LA VOLCANA</t>
  </si>
  <si>
    <t>4463286-3870022</t>
  </si>
  <si>
    <t>GILMA PASTORA AYALA</t>
  </si>
  <si>
    <t>DORIELA MONTOYA SIERRA</t>
  </si>
  <si>
    <t>gilmayala@hotmail.com</t>
  </si>
  <si>
    <t>CENT EDUC LA FRISOLA</t>
  </si>
  <si>
    <t>VEREDA FRISOLA</t>
  </si>
  <si>
    <t>EROINA PALACIO VILLA</t>
  </si>
  <si>
    <t>palaciovillaeroina@gmail.com</t>
  </si>
  <si>
    <t>VEREDA LA SUIZA</t>
  </si>
  <si>
    <t>CONSUELO GUTIERREZ</t>
  </si>
  <si>
    <t>coguma@hotmail.com</t>
  </si>
  <si>
    <t xml:space="preserve">Comparten comedor - los 28 Almuerzos de Cibercolegio y los 23 de la volcana con los 41 de La Suiza. El servicio para los 3 centros educativos se presta en La Suiza. </t>
  </si>
  <si>
    <t>CIBERCOLEGIO UCN</t>
  </si>
  <si>
    <t>Comparten comedor - los 30 Almuerzos de Cibercolegio y los 23 de la volcana deben ser entregados en el CE la Suiza.</t>
  </si>
  <si>
    <t>CENT EDUC LA ALDEA</t>
  </si>
  <si>
    <t>VEREDA LA ALDEA</t>
  </si>
  <si>
    <t>DIANA VICTORIA MONTOYA</t>
  </si>
  <si>
    <t>50 en la aldea - 16 en las teresitas, total 66. En Aldea se atiende con RIT por infraestructura y en Las Teresitas también porque no hay infraestructura para RPS. Tenerlo presente para inicio de 2019.</t>
  </si>
  <si>
    <t>CENT EDUC LEON ARANGO PAUCAR</t>
  </si>
  <si>
    <t>VEREDA LA SUCIA</t>
  </si>
  <si>
    <t>LUZ MARLENY MUÑOZ</t>
  </si>
  <si>
    <t>CENT EDUC LA POTRERA</t>
  </si>
  <si>
    <t>VEREDA POTRERA</t>
  </si>
  <si>
    <t>LUZ ASTRID CORREA RIVERA</t>
  </si>
  <si>
    <t>CENT EDUC LUIS MESA VILLA</t>
  </si>
  <si>
    <t>VEREDA URQUITA</t>
  </si>
  <si>
    <t>BEATRIZ ELENA MUÑOZ</t>
  </si>
  <si>
    <t>INST EDUC LOMA HERMOSA</t>
  </si>
  <si>
    <t>CRA. 123B N° 53B 05</t>
  </si>
  <si>
    <t>4271116-4385229</t>
  </si>
  <si>
    <t>MARÍA FANNY VARGAS</t>
  </si>
  <si>
    <t>GUSTAVO GONZÁLEZ</t>
  </si>
  <si>
    <t>mariogiraldo2011@gmail.com</t>
  </si>
  <si>
    <t>SEC ESC SAN VICENTE FERRER</t>
  </si>
  <si>
    <t>CL.48CC NO.120E 66</t>
  </si>
  <si>
    <t>GLORIA ISABEL SEPULVEDA</t>
  </si>
  <si>
    <t>alejavivax@hotmail.com</t>
  </si>
  <si>
    <t>INST EDUC SAN CRISTOBAL</t>
  </si>
  <si>
    <t>CRA. 131 N° 65 07</t>
  </si>
  <si>
    <t>4279181 - 4279180</t>
  </si>
  <si>
    <t>JOSÉ CHARLES VÉLEZ BETANCUR</t>
  </si>
  <si>
    <t>JUVENAL MAURICIO CORTES-CARLOS TULIO FRANCO</t>
  </si>
  <si>
    <t>tuliofranco@iesancristobal.edu.co</t>
  </si>
  <si>
    <t>CENT EDUC TRAVESIAS EL MORRO</t>
  </si>
  <si>
    <t>CRA 143 N° 68 20</t>
  </si>
  <si>
    <t>JHON ALEXANDER GARCÍA RODRIGUEZ</t>
  </si>
  <si>
    <t>MIRIAM BASTIDAS-ANDREI ECHEVERRY</t>
  </si>
  <si>
    <t>cetem@hotmail.com</t>
  </si>
  <si>
    <t>CENT EDUC FABIO ZULUAGA OROZCO</t>
  </si>
  <si>
    <t>VEREDA LA PALMA</t>
  </si>
  <si>
    <t>MARTA DIONNY TOBON</t>
  </si>
  <si>
    <t>dionnytobon@hotmail.com</t>
  </si>
  <si>
    <t>ESC POPULAR EUCARISTICA SANTA ANGELA</t>
  </si>
  <si>
    <t>VEREDA EL PICACHO</t>
  </si>
  <si>
    <t>SANTIAGO LUJÁN MUÑOZ</t>
  </si>
  <si>
    <t>ELKIN DARIO GUTIERREZ</t>
  </si>
  <si>
    <t>epesantaangela@hotmail.com</t>
  </si>
  <si>
    <t>CENT EDUC PEDREGAL ALTO</t>
  </si>
  <si>
    <t>CRA.121 N° 69 136</t>
  </si>
  <si>
    <t>MARTA IRENE LONDOÑO RESTREPO</t>
  </si>
  <si>
    <t>LINA CORREA</t>
  </si>
  <si>
    <t>escuelitacepa@hotmail.com</t>
  </si>
  <si>
    <t>CENT EDUC EL YOLOMBO</t>
  </si>
  <si>
    <t>VEREDA EL YOLOMBO</t>
  </si>
  <si>
    <t>YUDY MILENA MARIN DUQUE</t>
  </si>
  <si>
    <t>ceyolombo@hotmail.com</t>
  </si>
  <si>
    <t>CENT EDUC SAN JOSE DE LA MONTAÑA</t>
  </si>
  <si>
    <t>VEREDA SAN JOSÉ</t>
  </si>
  <si>
    <t>ANA MARÍA ROMERO</t>
  </si>
  <si>
    <t>ce.sanjosedelamontaña@yahoo.es</t>
  </si>
  <si>
    <t>CENT EDUC BOQUERON</t>
  </si>
  <si>
    <t>VEREDA BOQUERON</t>
  </si>
  <si>
    <t>YOHNN JAIRO GALLO NOREÑA</t>
  </si>
  <si>
    <t>perezsalasa@gmail.com</t>
  </si>
  <si>
    <t>CENT EDUC PEDREGAL BAJO</t>
  </si>
  <si>
    <t>CRA 115 N° 66 85</t>
  </si>
  <si>
    <t>ALEISA IVONNE PARRA</t>
  </si>
  <si>
    <t>DORA PINEDA</t>
  </si>
  <si>
    <t>annyurga@hotmail.com</t>
  </si>
  <si>
    <t>CENT EDUC LAS PLAYAS</t>
  </si>
  <si>
    <t>VEREDA LAS PLAYAS</t>
  </si>
  <si>
    <t>4272915 - 4271840</t>
  </si>
  <si>
    <t>FLOR ALBA PÉREZ CAICEDO</t>
  </si>
  <si>
    <t>CRISTINA HIGUITA RODRIGUEZ</t>
  </si>
  <si>
    <t>cristhir@yahoo.com</t>
  </si>
  <si>
    <t>CENT EDUC SAGRADO CORAZON</t>
  </si>
  <si>
    <t>VEREDA LA CUCHILLA</t>
  </si>
  <si>
    <t>4276317- 4273456</t>
  </si>
  <si>
    <t>LUIS FELIPE PALACIO CANO</t>
  </si>
  <si>
    <t>sagradocorazon936@yahoo.es</t>
  </si>
  <si>
    <t>CENT EDUC EL PATIO</t>
  </si>
  <si>
    <t>VEREDA EL PATIO</t>
  </si>
  <si>
    <t>JULIA PATRICIA GARCÍA</t>
  </si>
  <si>
    <t>jupagaba30@gmail.com</t>
  </si>
  <si>
    <t>INST EDUC CARLOS ALBERTO CALDERON</t>
  </si>
  <si>
    <t>VEREDA EL LLANO</t>
  </si>
  <si>
    <t>NOHEMI POSADA</t>
  </si>
  <si>
    <t>KELLY JOHANA CHAVERRA</t>
  </si>
  <si>
    <t>ie.carlosalbertocald@medellin.gov.co</t>
  </si>
  <si>
    <t>CENT EDUC MARIA PAULINA TABORDA</t>
  </si>
  <si>
    <t>ALTAVISTA</t>
  </si>
  <si>
    <t>VEREDA TRAVESIAS</t>
  </si>
  <si>
    <t>MARTHA LUCIA ARANGO</t>
  </si>
  <si>
    <t>LUZ DERLY BETANCUR</t>
  </si>
  <si>
    <t>canordorai@hotmail.com</t>
  </si>
  <si>
    <t>INST EDUC JOSE ACEVEDO Y GOMEZ</t>
  </si>
  <si>
    <t>SAN RAFAEL</t>
  </si>
  <si>
    <t>CLL 08 SUR NO. 52C - 20</t>
  </si>
  <si>
    <t>3612637 - 2552996 - 3612145</t>
  </si>
  <si>
    <t>JAIME ALBERTO SIERRA TORRES (R )</t>
  </si>
  <si>
    <t>YUDI ESTELLA CARDONA G.</t>
  </si>
  <si>
    <t>ie.joseacevedo@medellin.gov.co</t>
  </si>
  <si>
    <t>SEC ESC REPUBLICA DE COSTA RICA</t>
  </si>
  <si>
    <t>CRA 52 NO .7 SUR 23</t>
  </si>
  <si>
    <t>2852538 - 3529731</t>
  </si>
  <si>
    <t>LINA MARIA GOMEZ BETANCUR (C )</t>
  </si>
  <si>
    <t>linamgh@hotmail.com</t>
  </si>
  <si>
    <t>INST EDUC CRISTO REY</t>
  </si>
  <si>
    <t>CRISTO REY</t>
  </si>
  <si>
    <t>CLL 2 SUR NO. 50D 30</t>
  </si>
  <si>
    <t>2850798 - 2850778</t>
  </si>
  <si>
    <t>JUAN ANGEL ( R)</t>
  </si>
  <si>
    <t>BIBIANA OCAMPO GUERRA ( D) ANDRES ESCOBAR ( D)</t>
  </si>
  <si>
    <t>secretariacristorey09@gmail.com</t>
  </si>
  <si>
    <t>INST EDUC OCTAVIO HARRY - JACQUELINE KENNEDY</t>
  </si>
  <si>
    <t>LAS PLAYAS</t>
  </si>
  <si>
    <t>CLL 17 NO. 73-37</t>
  </si>
  <si>
    <t>343 59 34</t>
  </si>
  <si>
    <t>GLORIA GUTIERREZ (R )</t>
  </si>
  <si>
    <t>JAIME MARTINEZ ESCOBAR (C ) IMELDA PALACIOS (A.M)</t>
  </si>
  <si>
    <t>iloharry@une.net.co</t>
  </si>
  <si>
    <t>SEC JARDIN INFANTIL NO 1</t>
  </si>
  <si>
    <t>CRA 72A NO. 20 A 62</t>
  </si>
  <si>
    <t>343 -51- 81</t>
  </si>
  <si>
    <t>INST EDUC YERMO Y PARRES</t>
  </si>
  <si>
    <t>CLL 28 NO. 77-84</t>
  </si>
  <si>
    <t>GUILLERMO LÓPEZ RAMÍREZ ( R) JORGE WILLIAM VALENCIA ( C)</t>
  </si>
  <si>
    <t>YOLANDA MARTINEZ PEREZ (D) JAIR SALDARRIAGA (D)</t>
  </si>
  <si>
    <t>ie.yermoyparres@medellin.gov.co</t>
  </si>
  <si>
    <t>INST EDUC ROSALIA SUAREZ</t>
  </si>
  <si>
    <t>CRA. 77 NO. 30 A 53</t>
  </si>
  <si>
    <t>2387380 -</t>
  </si>
  <si>
    <t>RAUL ALBERTO ARIAS DUQUE(R )</t>
  </si>
  <si>
    <t>FLOR ALBA ROBAYO OCHOA ©</t>
  </si>
  <si>
    <t>coordinacionelcorazon@gmail.com</t>
  </si>
  <si>
    <t>INST EDUC FATIMA NUTIBARA</t>
  </si>
  <si>
    <t>FATIMA</t>
  </si>
  <si>
    <t>CRA 65 A NO. 32B-120</t>
  </si>
  <si>
    <t>2655463 2650823
3513394 ©</t>
  </si>
  <si>
    <t>AURELIANA LONDOÑO BUSTAMANTE ( C)</t>
  </si>
  <si>
    <t>GENNY MARIA PEREAÑEZ (D)</t>
  </si>
  <si>
    <t>ie.fatimanutibara@medellin.gov.co
aurelondo@yahoo.es</t>
  </si>
  <si>
    <t>INST EDUC JUAN MARIA CESPEDES</t>
  </si>
  <si>
    <t>B. MIRAVALLE</t>
  </si>
  <si>
    <t>CALLE 32B NO. 76 A 48</t>
  </si>
  <si>
    <t>2569086- 3414468(R)</t>
  </si>
  <si>
    <t>LUBIN HERNANDEZ OTALVARO ( R)</t>
  </si>
  <si>
    <t>CARMEN ESTRELLA MURILLO</t>
  </si>
  <si>
    <t>cemurillo.cespedes@gmail.com</t>
  </si>
  <si>
    <t>INST EDUC DEBORA ARANGO PEREZ</t>
  </si>
  <si>
    <t>CLLE 18 Nº 105 - 20</t>
  </si>
  <si>
    <t>3411386 3433654 ( R) - 3163673824 ©</t>
  </si>
  <si>
    <t>CARLOS E. ROJAS ( R)</t>
  </si>
  <si>
    <t>JORGE ALONSO TUBERQUIA</t>
  </si>
  <si>
    <t>iedeboraarango@gamil.com - coordinadordeboriano@gmail.com</t>
  </si>
  <si>
    <t>INST EDUC HORACIO MUÑOZ SUESCUN</t>
  </si>
  <si>
    <t>BELEN LAS MERCEDEZ</t>
  </si>
  <si>
    <t>CLL.32 NO. 86 35</t>
  </si>
  <si>
    <t>2381265- 3182385196 ©</t>
  </si>
  <si>
    <t>GILDARDO RESTREPO ®</t>
  </si>
  <si>
    <t>MARILUZ MORENO</t>
  </si>
  <si>
    <t>homusu@hotmail.com - morenochmary@hotmail.com</t>
  </si>
  <si>
    <t>SEC ESC SAN PABLO</t>
  </si>
  <si>
    <t>V AGUAS FRIAS</t>
  </si>
  <si>
    <t>CRA. 102 NO 31B 29</t>
  </si>
  <si>
    <t>2564182- 3052943218 ©</t>
  </si>
  <si>
    <t>JORGE RESTREPO (C )</t>
  </si>
  <si>
    <t>ROSMIRA CASTAÑO</t>
  </si>
  <si>
    <t>rosmiracastaño@gmail.com- jorgerpo@une.net.co</t>
  </si>
  <si>
    <t>INST EDUC MARINA ORTH</t>
  </si>
  <si>
    <t>C. ALTAVISTA</t>
  </si>
  <si>
    <t>3412359 - 3002071189 (R)</t>
  </si>
  <si>
    <t>ORLANDO MOSQUERA GALVIS (R)</t>
  </si>
  <si>
    <t>LINA MARIA JIMENEZ</t>
  </si>
  <si>
    <t>ie.marinaorth@medellin.gov.co -linajimenez30@hotmail.com</t>
  </si>
  <si>
    <t>SEC ESC AGUAS FRÍAS</t>
  </si>
  <si>
    <t>V. SANTA CLARA</t>
  </si>
  <si>
    <t>3454862- 3155823233 ©</t>
  </si>
  <si>
    <t>MARIA MELFI ARROYAVE</t>
  </si>
  <si>
    <t>ie.marinaorth@medellin.gov.co melfi02@gmail.com</t>
  </si>
  <si>
    <t>CENT EDUC EL MANZANILLO</t>
  </si>
  <si>
    <t>V.MANZANILLO</t>
  </si>
  <si>
    <t>C.ALTAVISTA</t>
  </si>
  <si>
    <t>3410940 - 3013709186 (C)</t>
  </si>
  <si>
    <t>MARTA LUCIA ARANGO (D )</t>
  </si>
  <si>
    <t>LILIANA MARIA RAQUEJO</t>
  </si>
  <si>
    <t>centroeducativomanzanillo@yahoo.es; liliraquejo@hotmail.com</t>
  </si>
  <si>
    <t>INST EDUC ALTAVISTA</t>
  </si>
  <si>
    <t>SEC.LA PERLA</t>
  </si>
  <si>
    <t>2568552 - 3146741357 Rector</t>
  </si>
  <si>
    <t>ZOCIMO RAMOS RIVAS ®</t>
  </si>
  <si>
    <t>CLAUDIA ELENA TAPIAS GOMEZ</t>
  </si>
  <si>
    <t>cltapias@iealtavistamedellin.edu.co xocimor61@yahoo.es</t>
  </si>
  <si>
    <t>CENT EDUC CARLOS MESA SANCHEZ</t>
  </si>
  <si>
    <t>VEREDA BUGA</t>
  </si>
  <si>
    <t>3433980- 3004997888 ©</t>
  </si>
  <si>
    <t>MARGARITA GOMEZ SALAZAR</t>
  </si>
  <si>
    <t>marguis713@yahoo.es marthaluarpa@gmail.com</t>
  </si>
  <si>
    <t>CENT EDUC YARUMALITO</t>
  </si>
  <si>
    <t>V.YARUMALITO</t>
  </si>
  <si>
    <t>CTO.SAN ANTONIO DE PRADO</t>
  </si>
  <si>
    <t>HENRY DÍAZ (DIR)</t>
  </si>
  <si>
    <t>PAULA ARBOLEDA (D)</t>
  </si>
  <si>
    <t>cesalado7@gmail.com</t>
  </si>
  <si>
    <t>CENT EDUC MONTAÑITA</t>
  </si>
  <si>
    <t>QUEB. LARGA</t>
  </si>
  <si>
    <t>PAULA ANDREA MUNERA QUINTERO</t>
  </si>
  <si>
    <t>pmunera612@hotmail.com</t>
  </si>
  <si>
    <t>SEC ESC CARLOS BETANCUR BETANCUR</t>
  </si>
  <si>
    <t>C. S. ANTONIO</t>
  </si>
  <si>
    <t>CRA 77 41 SUR 02</t>
  </si>
  <si>
    <t>JUAN CARLOS ALMIROLA (C )</t>
  </si>
  <si>
    <t>ADRIANA MEJÍA (D )</t>
  </si>
  <si>
    <t>juago98@hotmail.com</t>
  </si>
  <si>
    <t>CENT EDUC QUEBRADA LARGA</t>
  </si>
  <si>
    <t>V.POTRERITO</t>
  </si>
  <si>
    <t>CGTO. SAN ANTONIO</t>
  </si>
  <si>
    <t>NIDIA DÍAZ (D)</t>
  </si>
  <si>
    <t>INST EDUC ANGELA RESTREPO MORENO</t>
  </si>
  <si>
    <t>V.PRADERA</t>
  </si>
  <si>
    <t>CRA 55 48 C SUR 90</t>
  </si>
  <si>
    <t>3740170 (R )</t>
  </si>
  <si>
    <t>MARTHA ELENA BETANCUR (R )</t>
  </si>
  <si>
    <t>YAMILED GAVIRIA ( C) ROCIO ARISTIZABAL HERRERA (P.M.)</t>
  </si>
  <si>
    <t>ieangelarestrepo@gmail.com</t>
  </si>
  <si>
    <t>SEC ESC LUIS GUILLERMO ECHEVERRY ABAD</t>
  </si>
  <si>
    <t>C. S ANTONIO</t>
  </si>
  <si>
    <t>CRA 54 57 SUR 21</t>
  </si>
  <si>
    <t>3384376 - 3732489</t>
  </si>
  <si>
    <t>GLORIA YANETH GOMEZ BENJUMEA (C )</t>
  </si>
  <si>
    <t>gloriagomezben@hotmail.com</t>
  </si>
  <si>
    <t>INST EDUC MONSEÑOR VICTOR WIEDEMANN</t>
  </si>
  <si>
    <t>PRADITO</t>
  </si>
  <si>
    <t>DIAG. 60 C 41 A SUR 30</t>
  </si>
  <si>
    <t>ALBA NERY ECHEVERRY ( R ) JULIÁN GÓMEZ (C)</t>
  </si>
  <si>
    <t>HERNANDO MEJÍA TORO ( D )</t>
  </si>
  <si>
    <t>ie.victorwiedemann@medellin.gov.co;
julian.gomez@udea.edu.co</t>
  </si>
  <si>
    <t>INST EDUC SAN JOSE OBRERO</t>
  </si>
  <si>
    <t>FLORIDA</t>
  </si>
  <si>
    <t>CRA 85 48 A SUR 51</t>
  </si>
  <si>
    <t>2865867(58) - 2860164</t>
  </si>
  <si>
    <t>JULIO CESAR VELASQUEZ BOTERO (R )</t>
  </si>
  <si>
    <t>ANA MARÍA GALLEGO (D)</t>
  </si>
  <si>
    <t>ie.sanjoseobrero@medellin.gov.co</t>
  </si>
  <si>
    <t>SEC ESC SAN JOSE</t>
  </si>
  <si>
    <t>V.SAN JOSE</t>
  </si>
  <si>
    <t>CALLE 64 SUR 67 A 18</t>
  </si>
  <si>
    <t>279 43 21 2797888</t>
  </si>
  <si>
    <t>JULIO CESAR VELASQUEZ (R )
MARTÍN A. GONZÁLEZ ( C )</t>
  </si>
  <si>
    <t>ALBA ROCIO VELASQUEZ (D)</t>
  </si>
  <si>
    <t>INST EDUC EL LIMONAR</t>
  </si>
  <si>
    <t>LIMONAR NO. 1</t>
  </si>
  <si>
    <t>CALLE 57 SUR 65 63</t>
  </si>
  <si>
    <t>JAIME SANCHEZ ( R)
DIANA MARÍA RAMÍREZ ( C )</t>
  </si>
  <si>
    <t>MERCEDEZ TABORDA RODAS (A.M)</t>
  </si>
  <si>
    <t>ie.limonar@medellin.gov.co; 
rectorialimonar@gmail.com</t>
  </si>
  <si>
    <t>SEC ESC VENTANITAS</t>
  </si>
  <si>
    <t>LIMONAR NO 2</t>
  </si>
  <si>
    <t>CRA 63 52 SUR 46</t>
  </si>
  <si>
    <t>286 77 59</t>
  </si>
  <si>
    <t>EDGAR ROMÁN ( R ) LIA CORDOBA ( C)</t>
  </si>
  <si>
    <t>LIA CORDOBA (C )</t>
  </si>
  <si>
    <t>lia.cordoba@gmail.com</t>
  </si>
  <si>
    <t>CENT EDUC EL SALADO</t>
  </si>
  <si>
    <t>V. EL SALADO</t>
  </si>
  <si>
    <t>MARÍA VICTORIA LOAIZA ( D )</t>
  </si>
  <si>
    <t>ce.salado@medellin.gov.co</t>
  </si>
  <si>
    <t>CENT EDUC POTRERITO</t>
  </si>
  <si>
    <t>V. MONTAÑITA</t>
  </si>
  <si>
    <t>286 01 68</t>
  </si>
  <si>
    <t>MARIA NAZARETH SERNA ( D)</t>
  </si>
  <si>
    <t>INST EDUC PRADITO</t>
  </si>
  <si>
    <t>CALLE 38 A SUR 66 A 137</t>
  </si>
  <si>
    <t>RUBIELA MEJIA SOTO (R )</t>
  </si>
  <si>
    <t>CRISTIAN BETANCUR ( C)</t>
  </si>
  <si>
    <t>praditosede2013@hotmail.com</t>
  </si>
  <si>
    <t>INST EDUC MANUEL J. BETANCUR - COMEDOR 1</t>
  </si>
  <si>
    <t>INST EDUC MANUEL J. BETANCUR</t>
  </si>
  <si>
    <t>CRA 81 43 SUR 38</t>
  </si>
  <si>
    <t>2861980 - 2860078</t>
  </si>
  <si>
    <t>RAFAEL FRANCO VALENCIA (R )</t>
  </si>
  <si>
    <t>GLORIA INES VALENCIA ( D) LUZMILA QUINTERO LOPEZ (P.M)</t>
  </si>
  <si>
    <t>coordinacionacademicamjb@hotmail.es</t>
  </si>
  <si>
    <t>SEC ESC GUSTAVO RODAS ISAZA</t>
  </si>
  <si>
    <t>CALLE 48 SUR 66 B 22</t>
  </si>
  <si>
    <t>286 23 42</t>
  </si>
  <si>
    <t>MANUEL VACCA ( C)
BEATRIZ ZAPATA VASQUEZ (D )</t>
  </si>
  <si>
    <t>edugrodas@gmail.com
nacho.vaca45@hotmail.com
labiata3@hotmail.com</t>
  </si>
  <si>
    <t>CENT EDUC EL ASTILLERO</t>
  </si>
  <si>
    <t>V. ASTILLERO</t>
  </si>
  <si>
    <t>ISABEL CRISTINA CASTRILLÓN SANCHEZ</t>
  </si>
  <si>
    <t>ie.sacris@hotmail.com</t>
  </si>
  <si>
    <t>COL COOP SAN ANTONIO DE PRADO (AC) - COMEDOR 2</t>
  </si>
  <si>
    <t>COL COOP SAN ANTONIO DE PRADO (AC)</t>
  </si>
  <si>
    <t>CALLE 110 43A 51</t>
  </si>
  <si>
    <t>4444262 ext 506- 2584244- 3164132076</t>
  </si>
  <si>
    <t>CESAR AUGUSTO GOMEZ</t>
  </si>
  <si>
    <t>LAURA CASTRILLON</t>
  </si>
  <si>
    <t>gabrielacardona@coomulsap.com, escuelasannicolas@gmail.com</t>
  </si>
  <si>
    <t>SEC ESC SANTO DOMINGO SAVIO</t>
  </si>
  <si>
    <t>CARRERA 28 107 - 473</t>
  </si>
  <si>
    <t>UBER CALLE
GILBERTO OSPINA</t>
  </si>
  <si>
    <t>INST EDUC SAN PABLO</t>
  </si>
  <si>
    <t>CALLE 98B 37 38</t>
  </si>
  <si>
    <t>5213098 ext 107 - 5213099</t>
  </si>
  <si>
    <t>OMAR CUESTA PALACIO</t>
  </si>
  <si>
    <t>MARIA NOHELIA GARCIA</t>
  </si>
  <si>
    <t>iesanpablo811@gmail.com</t>
  </si>
  <si>
    <t>SEC ESC MARCO FIDEL SUAREZ</t>
  </si>
  <si>
    <t>CALLE 99B 37 18</t>
  </si>
  <si>
    <t>JORGE LUIS SALDA</t>
  </si>
  <si>
    <t>DIEGO LOPEZ</t>
  </si>
  <si>
    <t>iemarcofidelsuarez1@medellin.gov.co/costi44@hotmail.com; dalc98@hotmail.com</t>
  </si>
  <si>
    <t>SEC ESC AGRIPINA MONTES DEL VALLE</t>
  </si>
  <si>
    <t>CALLE 95A 42B 44</t>
  </si>
  <si>
    <t>CAROLINA SERNA HENAO</t>
  </si>
  <si>
    <t>ie.agripinamontesdelvalle@medellin.gov.co/orieltb@hotmail.com; ieguadalupe@gmail.com</t>
  </si>
  <si>
    <t>ESC POPULAR EUCARISTICA JULIO C. HERNANDEZ</t>
  </si>
  <si>
    <t>CALLE 108 43 16</t>
  </si>
  <si>
    <t>NORA GONZALEZ GIRALDO</t>
  </si>
  <si>
    <t>NORA GONZALEZ</t>
  </si>
  <si>
    <t>e.p.e.julioc.hernandez@hotmail.com</t>
  </si>
  <si>
    <t>INSTITUCIÓN EDUCATIVA PEQUEÑA MARIA</t>
  </si>
  <si>
    <t>CALLE 97A 24F 66</t>
  </si>
  <si>
    <t>5290103- 5281994- 5292233</t>
  </si>
  <si>
    <t>HECTOR SOTO VASQUEZ</t>
  </si>
  <si>
    <t>MABEL COLORADO</t>
  </si>
  <si>
    <t>zabala38@msn.com; mabelcolorado73@gmail.com</t>
  </si>
  <si>
    <t>INST EDUC EL PLAYON</t>
  </si>
  <si>
    <t>EL PLAYON DE LOS COMUNEROS</t>
  </si>
  <si>
    <t>CALLE 125 51D 12</t>
  </si>
  <si>
    <t>4620705- 3122501439(rector)</t>
  </si>
  <si>
    <t>MIGUEL VALOIS ASPRILLA</t>
  </si>
  <si>
    <t>VENSY ROCIO PALACIO</t>
  </si>
  <si>
    <t>ie.elplayon@medellin.gov.co</t>
  </si>
  <si>
    <t xml:space="preserve"> Comparten comedor - Los 240 AM/PM y 130 VL de la SE Asia Ignaciana se deben entregar en la I.E Asia Ignaciana.
ITEM 3: Comparten comedor - Los 60 RI de SP el Playon y los 130 de la SE Asia Ignaciana se deben entregar en la I.E Asia Ignaciana</t>
  </si>
  <si>
    <t>SEC PREESC EL PLAYON</t>
  </si>
  <si>
    <t>INST EDUC VILLA DEL SOCORRO</t>
  </si>
  <si>
    <t>CALLE 104C 48 50</t>
  </si>
  <si>
    <t>DIANA PATRICIA CORDOBA-AM,</t>
  </si>
  <si>
    <t>ie.villadelsocorro@medellin.gov.co; diamajo2@hotmail.com;</t>
  </si>
  <si>
    <t>SEC ESC ARZOBISPO GARCIA</t>
  </si>
  <si>
    <t>CARRERA 49 98 48</t>
  </si>
  <si>
    <t>GERMAN RINCON</t>
  </si>
  <si>
    <t>ie.arzobispogarcia@medellin.gov.co; 
alicelenis@hotmail.com</t>
  </si>
  <si>
    <t>INST EDUC LA ASUNCION</t>
  </si>
  <si>
    <t>CARRERA 47 99 77</t>
  </si>
  <si>
    <t>HILDUARA VELASQUEZ ECHAVARRIA</t>
  </si>
  <si>
    <t>BEATRIZ HERNANDEZ</t>
  </si>
  <si>
    <t>iedu.laasuncion@gmail.com; ie.laasuncion2014@gmail.com</t>
  </si>
  <si>
    <t>INST EDUC JOSE MARIA VELAZ</t>
  </si>
  <si>
    <t>CALLE 121 48 67</t>
  </si>
  <si>
    <t>4644146- 4640912-4627507</t>
  </si>
  <si>
    <t>ELVER ARIAS BARRAGAN</t>
  </si>
  <si>
    <t>ANA MARCELA ARANGO-AM; JUAN G. TAPIAS-PM</t>
  </si>
  <si>
    <t>josemariavelaz915@gmail.com; juantc81@hotmail.com</t>
  </si>
  <si>
    <t>SEC ESC JUAN BAUTISTA MONTINI</t>
  </si>
  <si>
    <t>PABLO VI</t>
  </si>
  <si>
    <t>CARRERA 50A 114 10</t>
  </si>
  <si>
    <t>ANTONY JURADO</t>
  </si>
  <si>
    <t>mgalvarezt@gmail.com; coordinacionsedemontini@iefincalamesa.edu.co</t>
  </si>
  <si>
    <t>INST EDUC BELLO ORIENTE</t>
  </si>
  <si>
    <t>CARRERA 23B 84B 27</t>
  </si>
  <si>
    <t>WEIMAR ALBERTO SANCHEZ</t>
  </si>
  <si>
    <t>ELENA ESCUDERO-AM; GLORIA SALAZAR-PM</t>
  </si>
  <si>
    <t>ie.reinodebelgica@gmail.com</t>
  </si>
  <si>
    <t>CENT EDUC NUEVO AMANECER</t>
  </si>
  <si>
    <t>CARRERA 22D 87 48</t>
  </si>
  <si>
    <t>5286366 5290860</t>
  </si>
  <si>
    <t>GUSTAVO ADOLFO BELTRAN</t>
  </si>
  <si>
    <t>LUISA F. PAMPLONA-PM; DIANA ECHAVARRIA-AM</t>
  </si>
  <si>
    <t>calmecac2712@yahoo.es,nuevoamanecer1711@hotamil.com; Dimarce2125@hotmail.com</t>
  </si>
  <si>
    <t>CALLE 71 33 18</t>
  </si>
  <si>
    <t>CESAR CORRALES</t>
  </si>
  <si>
    <t>ALBERTO GALLEGO</t>
  </si>
  <si>
    <t>ie.sanjose@medellin.gov.co; manuelabeltran.ie@gmail.com</t>
  </si>
  <si>
    <t>INST EDUC PEDRO LUIS VILLA</t>
  </si>
  <si>
    <t>MANRIQUE CENTRAL Nº 2</t>
  </si>
  <si>
    <t>CARRERA 43 66C 40</t>
  </si>
  <si>
    <t>2116350-2337963</t>
  </si>
  <si>
    <t>GUSTAVO PATIÑO</t>
  </si>
  <si>
    <t>JUAN DE JESUS HIGUITA - PEDRO ANTONIO GOMEZ CESAR AUGUSTO OSORNO</t>
  </si>
  <si>
    <t>ie.pedroluisvilla@medellin.gov.co; gustavonata@gmail.com; cosorno@gmail.com; juanhigui@latinmail.com; pagomes02@yahoo.com; plv2011@hotmail.com</t>
  </si>
  <si>
    <t>CALLE 70A 43 74</t>
  </si>
  <si>
    <t>ANDREA HERRERA</t>
  </si>
  <si>
    <t>bendary.molina@hotmail.com; dollydelsocorro@yahoo.com.ar; horoscopo29@gmail.com; tlvcoordinacion@gmail.com</t>
  </si>
  <si>
    <t>SEC ESC BALDOMERO SANIN CANO</t>
  </si>
  <si>
    <t>CARRERA 37 75A 02</t>
  </si>
  <si>
    <t>2338492- 3206965291(COORDINADOR)</t>
  </si>
  <si>
    <t>NESTOR RENE OTALORA GARZON- GILDARDO LÒPEZ( COORDINADOR)</t>
  </si>
  <si>
    <t>LUZ MARINA CARDONA</t>
  </si>
  <si>
    <t>jaimehumbertofc@yahoo.es; daluqui@yahoo.es</t>
  </si>
  <si>
    <t>SEC ESC JOSE MANUEL MORA VASQUEZ</t>
  </si>
  <si>
    <t>CARRERA 42A 75 09</t>
  </si>
  <si>
    <t>2334402- 2331414 -3116381009(COORDINADORA)-3113325600 (DOCENTE)</t>
  </si>
  <si>
    <t>NESTOR RENE OTALORA GARZON- CLARA EUGENIA MOORE ( COORDINADORA)</t>
  </si>
  <si>
    <t>LIZ MADELEYNE RODRIGUEZ- GILDARDO LOPEZ</t>
  </si>
  <si>
    <t>joserobertovasquez@hotmail.com,ceumoore18@hotmail.com, dosica_29@hotmail.com, Imaderodriguez@hotmail.com; gildardolopez30@hotmail.com</t>
  </si>
  <si>
    <t>INST EDUC ALVARO MARIN VELASCO</t>
  </si>
  <si>
    <t>CARRERA 42A 76 28</t>
  </si>
  <si>
    <t>ALEJANDRO JARAMILLO YEPES (RECTOR)- VIVIANA OSSA ( coordinadora)</t>
  </si>
  <si>
    <t>RENATA VELEZ SALDARRIAGA</t>
  </si>
  <si>
    <t>ie.alvaromarin@medellin.gov.co; 
bibianaossa@hotmail.com; 
amarin2007@gmail.com</t>
  </si>
  <si>
    <t>SEC ESC VICTOR GOMEZ RESTREPO</t>
  </si>
  <si>
    <t>CAMPO VALDES Nº 2</t>
  </si>
  <si>
    <t>CALLE 79 44 57</t>
  </si>
  <si>
    <t>CARLOTA ACEVEDO</t>
  </si>
  <si>
    <t>ie.nuestraseñoradelasnieves@medellin.gov.co; ceacevedom@hotmail.com</t>
  </si>
  <si>
    <t>Comparten comedor -Los 100 RI de SE nuestra señora de las Nieves se debe entregar en SE Victor Gomez</t>
  </si>
  <si>
    <t>SEC ESC NUESTRA SEÑORA DE LAS NIEVES</t>
  </si>
  <si>
    <t>ceacevedom@hotmail.com</t>
  </si>
  <si>
    <t>INST EDUC  MONTECARLO GUILLERMO GAVIRIA CORREA - COMEDOR 2</t>
  </si>
  <si>
    <t>INST EDUC MONTECARLO GUILLERMO GAVIRIA CORREA - BLOQUE BARBADOS</t>
  </si>
  <si>
    <t>2639104-5160486</t>
  </si>
  <si>
    <t>ie.montecarlo-guillermogaviria@medellin.gov.co</t>
  </si>
  <si>
    <t>INST EDUC RODRIGO LARA BONILLA - COMEDOR 2</t>
  </si>
  <si>
    <t>INST EDUC RODRIGO LARA BONILLA - SEC ESC SUSANITA DIAZ</t>
  </si>
  <si>
    <t>CARRERA 41B 66E 50</t>
  </si>
  <si>
    <t>211 82 84</t>
  </si>
  <si>
    <t>ERIKA FRANCO CANO</t>
  </si>
  <si>
    <t>ie.rodrigolarabonill@medellin.gov.co; erika2486@hotmail.com; comitecalidad@hotmail.com</t>
  </si>
  <si>
    <t>CENT PEDAG LA MAGIA DE APRENDER</t>
  </si>
  <si>
    <t>CALLE 69 33 12</t>
  </si>
  <si>
    <t>2911974-2547607</t>
  </si>
  <si>
    <t>MARIA TERESA PELAEZ</t>
  </si>
  <si>
    <t>JENNIFER GÒMEZ OLIVEROS</t>
  </si>
  <si>
    <t>gestiongeneralccf@gmail.com</t>
  </si>
  <si>
    <t>INST EDUC JOSE MARIA BRAVO MARQUEZ</t>
  </si>
  <si>
    <t>CALLE 70 47A 04</t>
  </si>
  <si>
    <t>2114410 2635951 2331575</t>
  </si>
  <si>
    <t>BLANCA DORA GALEANO UPEGUI</t>
  </si>
  <si>
    <t>SANTIAGO CORREA</t>
  </si>
  <si>
    <t>ie.josemariabravomar@medellin.gov.co; santiagocorreacorrea@hotmail.com</t>
  </si>
  <si>
    <t>SEC ESC PORFIRIO BARBA JACOB</t>
  </si>
  <si>
    <t>CARRERA 47 74 32</t>
  </si>
  <si>
    <t>2118236 2636085</t>
  </si>
  <si>
    <t>HECTOR J. BUILES</t>
  </si>
  <si>
    <t>seporfirio@gmail.com; javierbuiles.bravomar@gmail.com</t>
  </si>
  <si>
    <t>INST EDUC SAN JUAN BOSCO</t>
  </si>
  <si>
    <t>CALLE 82 50C 10</t>
  </si>
  <si>
    <t>2120355 2122419</t>
  </si>
  <si>
    <t>DIEGO GARCIA</t>
  </si>
  <si>
    <t>HERMANA FILOMENA ZULUAGA
FRANCISCO PALACIOS</t>
  </si>
  <si>
    <t>filomenazuluaga75@yahoo.es diegorec2009@hotmail.com franciscopalcuar@hotmail.com
franciscopalcuar@hotmail.com</t>
  </si>
  <si>
    <t>INST EDUC ALVERNIA</t>
  </si>
  <si>
    <t>BRASILIA</t>
  </si>
  <si>
    <t>CALLE 82C 50C 120</t>
  </si>
  <si>
    <t>2333540-2334296</t>
  </si>
  <si>
    <t>ALEXANDRA LATORRE AHUMADA</t>
  </si>
  <si>
    <t>DORLAN ALEXANDER MUÑOZ</t>
  </si>
  <si>
    <t>ie.alvernia@medellin.gov.co; dorlantax@gmail.com; ie.alvernia@medellin.gov.co; secretariaalvernia@gmail.com</t>
  </si>
  <si>
    <t>INST EDUC EL BOSQUE</t>
  </si>
  <si>
    <t>MORAVIA</t>
  </si>
  <si>
    <t>CARRERA 58 85B 081</t>
  </si>
  <si>
    <t>5160365-8853156</t>
  </si>
  <si>
    <t>CARLOS HORACIO BETANCUR ALVAREZ</t>
  </si>
  <si>
    <t>JUAN C. CASTAÑO</t>
  </si>
  <si>
    <t>ieelbosque@gmail.com; carloshoraciob@yahoo.es</t>
  </si>
  <si>
    <t>SEC ESC TOMAS CARRASQUILLA NO 1</t>
  </si>
  <si>
    <t>5717731 EXT 124</t>
  </si>
  <si>
    <t>blancacisazaj@gmail.com</t>
  </si>
  <si>
    <t>SEC ESC SEGUROS BOLIVAR</t>
  </si>
  <si>
    <t>BERMEJAL - LOS ALAMOS</t>
  </si>
  <si>
    <t>CARRERA 52 86 21</t>
  </si>
  <si>
    <t>MARIA GALVIS</t>
  </si>
  <si>
    <t>mariagalvis150@hotmail.com</t>
  </si>
  <si>
    <t>INST EDUC LORENZA VILLEGAS DE SANTOS</t>
  </si>
  <si>
    <t>CARRERA 51 87 40</t>
  </si>
  <si>
    <t>2117446 -2634408- 2114779</t>
  </si>
  <si>
    <t>CLAUDIA QUINTERO-AM; DORALBA ARISTIZABAL-PM</t>
  </si>
  <si>
    <t>ie.lorenzavillegas@medellin.gov.co ; juang.villa@medellin.gov.co; familiaquinterolondoo@yahoo.es; joaros@hotmail.com</t>
  </si>
  <si>
    <t>SEC ESC ANA FRANK</t>
  </si>
  <si>
    <t>CARRERA 50AA 88 13</t>
  </si>
  <si>
    <t>LUIS ALFONSO QUINTERO CORREA</t>
  </si>
  <si>
    <t>luisqco@yahoo.com; info.iecristobaltoro@gmail.com</t>
  </si>
  <si>
    <t>SEC ESC EPIFANIO MEJIA</t>
  </si>
  <si>
    <t>CALLE 90 50A 09</t>
  </si>
  <si>
    <t>ALBA FORONDA</t>
  </si>
  <si>
    <t>albam-foronda@hotmail.com</t>
  </si>
  <si>
    <t>INST EDUC FE Y ALEGRIA LUIS AMIGO</t>
  </si>
  <si>
    <t>CARRERA 58 84 40</t>
  </si>
  <si>
    <t>MARGARITA MARIA SANCHEZ</t>
  </si>
  <si>
    <t>SUSANA ARROYAVE</t>
  </si>
  <si>
    <t>ie.feyalegrialuisami@medellin.gov.co; susan3024@hotmail.com; margarita.sanchez@medellin.gov.co</t>
  </si>
  <si>
    <t>COL GENTE UNIDA JOVENES POR LA PAZ - MORAVIA</t>
  </si>
  <si>
    <t>CARRERA 58 85B 25</t>
  </si>
  <si>
    <t>6046777-4447405</t>
  </si>
  <si>
    <t>DORALBA BENITEZ ARIAS</t>
  </si>
  <si>
    <t>CLAUDIA TAMAYO</t>
  </si>
  <si>
    <t>moravia@genteunida.org.co; academicomoravia@genteunida.org.co; administracionmoravia@genteunida.org.co</t>
  </si>
  <si>
    <t>COL NUESTRA SENORA DE LOURDES</t>
  </si>
  <si>
    <t>CALLE 82 50BB 30</t>
  </si>
  <si>
    <t>HNA LIBIA MARGARITA CADAVID</t>
  </si>
  <si>
    <t>DIANA P. FLOREZ</t>
  </si>
  <si>
    <t>paty0210@yahoo.es; margy7027@yahoo.es</t>
  </si>
  <si>
    <t>SEC ESC LA UNION</t>
  </si>
  <si>
    <t>CARRERA 67 93 75</t>
  </si>
  <si>
    <t>RUBÉN DARÍO BUILES</t>
  </si>
  <si>
    <t>YURANI RIOS.</t>
  </si>
  <si>
    <t>rubencho442@hotmail.com</t>
  </si>
  <si>
    <t>INST EDUC COLEGIO LOYOLA PARA LA CIENCIA Y LA INNOVACIÓN</t>
  </si>
  <si>
    <t>CARRERA 64AA 113A 04</t>
  </si>
  <si>
    <t>CESAR CEBALLOS</t>
  </si>
  <si>
    <t>ROSALBA QUINTERO</t>
  </si>
  <si>
    <t>rectorialoyola@gmail.com</t>
  </si>
  <si>
    <t>SEC ESC CARDENAL CRISANTO LUQUE</t>
  </si>
  <si>
    <t>CARRERA 71C 89A 71</t>
  </si>
  <si>
    <t>2574197  2573944  2579575</t>
  </si>
  <si>
    <t>INST EDUC FELIX DE BEDOUT MORENO</t>
  </si>
  <si>
    <t>CALLE 108 70 39</t>
  </si>
  <si>
    <t>4631980  4633090</t>
  </si>
  <si>
    <t>RENE DE JESUS ANDRADE (COORD9 PM. CECILIA VILLEGAS.</t>
  </si>
  <si>
    <t>JAZMIN CALLEJAS ( D) PM  -  MAGNOLIA RESTREPO AM</t>
  </si>
  <si>
    <t>malu.ospina@gmail.com - febemo@gmail.com</t>
  </si>
  <si>
    <t>INST EDUC SEBASTIAN DE BELALCAZAR</t>
  </si>
  <si>
    <t>BELALCAZAR</t>
  </si>
  <si>
    <t>CALLE 103EE 63D 185</t>
  </si>
  <si>
    <t>2672090 - 2674506</t>
  </si>
  <si>
    <t>JOSÉ CICERÓN PEREA (RECTOR)</t>
  </si>
  <si>
    <t>NORA GALLEGO PM - DOLLY SERNA AM</t>
  </si>
  <si>
    <t>gloriaeugenia06@hotmail.com; joseperea@medellin.gov.co - IE.SEBASTIANDEBELAC@GMAIL.COM</t>
  </si>
  <si>
    <t>INST EDUC PEDRO CLAVER AGUIRRE</t>
  </si>
  <si>
    <t>CARRERA 67 95 118</t>
  </si>
  <si>
    <t>SIMÓN ENRIQUE IBARG"UEN PALACIO 311 711 8195</t>
  </si>
  <si>
    <t>SOR YANET SALAZAR. IBSEN COSSIO P.</t>
  </si>
  <si>
    <t>ibsencossio@gmail.com - pedroclaveraguirre@yahoo.es</t>
  </si>
  <si>
    <t>INST EDUC REPUBLICA DE URUGUAY</t>
  </si>
  <si>
    <t>CALLE 91A 70A 123</t>
  </si>
  <si>
    <t>2574945  4427746</t>
  </si>
  <si>
    <t>OSCAR EMILIO MURILLO (RECTOR)</t>
  </si>
  <si>
    <t>NIDIA MARÍN - ELVA AUXILIO VELEZ</t>
  </si>
  <si>
    <t>iuruguay@hotmail.com</t>
  </si>
  <si>
    <t>INST EDUC JOSE ASUNCION SILVA</t>
  </si>
  <si>
    <t>CALLE 118 64CC 68</t>
  </si>
  <si>
    <t>JAIME SUAREZ ESCOBAR. (RECTOR)</t>
  </si>
  <si>
    <t>LEIDA MONSALVE (COORD)</t>
  </si>
  <si>
    <t>ie.joseasuncionsilva@medellin.gov.co</t>
  </si>
  <si>
    <t>INST EDUC MANUEL JOSE GOMEZ SERNA</t>
  </si>
  <si>
    <t>CARRERA 71 97 101</t>
  </si>
  <si>
    <t>2671962  4715574</t>
  </si>
  <si>
    <t>ALDEMAR TAPIAS</t>
  </si>
  <si>
    <t>HELMER FRANCO</t>
  </si>
  <si>
    <t>manueljosegomez@hotmail.es</t>
  </si>
  <si>
    <t>INST EDUC SOR JUANA INES DE LA CRUZ</t>
  </si>
  <si>
    <t>GIRARDOT</t>
  </si>
  <si>
    <t>CARRERA 67 103EE 1</t>
  </si>
  <si>
    <t>2678688  2675005</t>
  </si>
  <si>
    <t>IVÁN DARIO ESCOBAR GONZALEZ - FRANKLIN GONZALES LLOREDA ( C)</t>
  </si>
  <si>
    <t>iesorjuanadelacruz@medellin.gov.co</t>
  </si>
  <si>
    <t>SEC ESC SOR JUANA</t>
  </si>
  <si>
    <t>CENT EDUC JESUS AMIGO</t>
  </si>
  <si>
    <t>CALLE 99 82 08</t>
  </si>
  <si>
    <t>DORA NELLY CANO DE GIRALDO</t>
  </si>
  <si>
    <t>ANDRES COSSIO ( C)</t>
  </si>
  <si>
    <t>i.ejesusamigo@gmail.com; isabelcristinatorresd@gmail.com</t>
  </si>
  <si>
    <t>SEC ESC CONRADO GONZÁLEZ MEJÍA</t>
  </si>
  <si>
    <t>CALLE 76 N° 80 496 - CALLE 76 80 496</t>
  </si>
  <si>
    <t>421 64 83  320 687 33 86</t>
  </si>
  <si>
    <t>SAYDA RUEDA</t>
  </si>
  <si>
    <t>srueda@iemariscalrobledo.edu.co</t>
  </si>
  <si>
    <t>INST EDUC LUIS LOPEZ DE MESA</t>
  </si>
  <si>
    <t>LOPEZ DE MESA</t>
  </si>
  <si>
    <t>CALLE 84 74 60</t>
  </si>
  <si>
    <t>EDI ESTEA LOPEZ VARGAS</t>
  </si>
  <si>
    <t>NIDIA DUARTE  AM - ANGELA HERNANDEZ PM</t>
  </si>
  <si>
    <t>rectoria.ielopezdemesa@gmail.com - lopezdemesa16241@yahoo.es</t>
  </si>
  <si>
    <t>SEC ESC ALFREDO COCK ARANGO</t>
  </si>
  <si>
    <t>CARRERA 70 79A 43</t>
  </si>
  <si>
    <t>YOLANDA LOZANO (RECTORA) DIANA CECILIA PELAEZ (COORD) 312 7292952</t>
  </si>
  <si>
    <t>MARIA DOLORES DIEZ GARCIA</t>
  </si>
  <si>
    <t>dianaceciliapelaez@yahoo.com; coordinación.ea@gmail.com - secretaria.sedealfredocock@gmail.com</t>
  </si>
  <si>
    <t>INST EDUC MONSEÑOR GERARDO VALENCIA CANO</t>
  </si>
  <si>
    <t>SAN GERMAN</t>
  </si>
  <si>
    <t>CALLE 65 74B 273</t>
  </si>
  <si>
    <t>LUZ ANGELA PUERTA</t>
  </si>
  <si>
    <t>MIRIAM ZULETA AM - VICKY GOMEZ PM</t>
  </si>
  <si>
    <t>colegiogerardo@yahoo.es; rectoria@iemonsegerardovalencia.edu.co</t>
  </si>
  <si>
    <t>INST EDUC RODRIGO ARENAS BENTANCUR</t>
  </si>
  <si>
    <t>CALLE 81 94AA 15</t>
  </si>
  <si>
    <t>AIDA MARIA RAMIREZ DE OSSA</t>
  </si>
  <si>
    <t>MARLENY MONTOYA</t>
  </si>
  <si>
    <t>vidaypazrodrigoarenas@funde.org.co</t>
  </si>
  <si>
    <t>INST EDUC JESUS REY - COMEDOR 1</t>
  </si>
  <si>
    <t>INST EDUC JESUS REY</t>
  </si>
  <si>
    <t>CARRERA 88 NO. 77 A 11</t>
  </si>
  <si>
    <t>NANCY HERRERA LOPEZ ( R)</t>
  </si>
  <si>
    <t>WILSON URREGO  (DOCENTE) - EURLINE VILLADIEGO (COORD)</t>
  </si>
  <si>
    <t>iejesusrey2011@gmail.com - wincour@hotmail.com</t>
  </si>
  <si>
    <t>INST EDUC JESUS REY - COMEDOR 2</t>
  </si>
  <si>
    <t>INST EDUC JESUS REY - BLOQUE 2</t>
  </si>
  <si>
    <t>CALLE 77C. NO. 88 - 21 INTERIOR 101</t>
  </si>
  <si>
    <t>EURLINE VILLEGAS ( C) WILSON URREGO (D )</t>
  </si>
  <si>
    <t>wincour@hotmail.com</t>
  </si>
  <si>
    <t>GIMN GUAYACANES</t>
  </si>
  <si>
    <t>CALLE 77BB 82 69</t>
  </si>
  <si>
    <t>2640547  2341111</t>
  </si>
  <si>
    <t>WILLIAM GIRALDO LOPEZ. COORD.DIANA PAULINA JIMENEZ G.</t>
  </si>
  <si>
    <t>FÁTIMA GUTIERREZ</t>
  </si>
  <si>
    <t>gimnasioguayacanes@hotmail.com; gutierrezfatima@hotmail.com</t>
  </si>
  <si>
    <t>INS TEC INDUSTRIAL PASCUAL BRAVO</t>
  </si>
  <si>
    <t>LA PILARICA</t>
  </si>
  <si>
    <t>TRANSVERSAL 73 73A 226 - CALLE 73 73A 226</t>
  </si>
  <si>
    <t>4223700  EXT 105  CEL 311 2392209</t>
  </si>
  <si>
    <t>JHON ARIEL AGUDELO  ECHEVERRI</t>
  </si>
  <si>
    <t>BERNANDO MEJIA TAMAYO (COORD)</t>
  </si>
  <si>
    <t>iepascualbravo@medellin.gov.co - bernardomejia@tecnicopascualbravo.edu.co</t>
  </si>
  <si>
    <t>COL SAN JUAN EUDES</t>
  </si>
  <si>
    <t>ALTAMIRA</t>
  </si>
  <si>
    <t>CARRERA 78 79B 35</t>
  </si>
  <si>
    <t>2345349 - 2341590</t>
  </si>
  <si>
    <t>DARIO RESTREPO</t>
  </si>
  <si>
    <t>ANDRES FELIPE TRIANA PARRA ( C)</t>
  </si>
  <si>
    <t>sanjuaneudes@gmail.com</t>
  </si>
  <si>
    <t>SEC ESC NIÑO JESUS DE PRAGA</t>
  </si>
  <si>
    <t>CALLE 57C 23 200</t>
  </si>
  <si>
    <t>ANTONIO GUISAO</t>
  </si>
  <si>
    <t>sede.jesus2112@gmail.com</t>
  </si>
  <si>
    <t>SEC ESC EL PINAL</t>
  </si>
  <si>
    <t>CALLE 56EE 25AA 10</t>
  </si>
  <si>
    <t>ADRIANA DIAZ DUQUE  MARTHA HINCAPIE</t>
  </si>
  <si>
    <t>ie.elpinal@medellin.gov.co  adriana.diaz@iepinal.edu.co</t>
  </si>
  <si>
    <t>INST EDUC ALFONSO LOPEZ PUMAREJO</t>
  </si>
  <si>
    <t>CALLE 58 36B 41</t>
  </si>
  <si>
    <t>DORA EDILMA ALVAREZ</t>
  </si>
  <si>
    <t>ie.alfonsolopespumar@medellin.gov.co</t>
  </si>
  <si>
    <t>SEC ESC FRANCISCO ANTONIO URIBE</t>
  </si>
  <si>
    <t>VILLA HERMOSA</t>
  </si>
  <si>
    <t>CALLE 66A 39 75</t>
  </si>
  <si>
    <t>2549659  2545366</t>
  </si>
  <si>
    <t>OLGA RUBIELA MENESES(AM) ANA MARIA CORREA(PM)</t>
  </si>
  <si>
    <t>iejuancposada@gmail.com /anaco24@hotmail.com</t>
  </si>
  <si>
    <t>INST EDUC CARACAS</t>
  </si>
  <si>
    <t>CALLE 54 33 67</t>
  </si>
  <si>
    <t>YADIRA MEJIA</t>
  </si>
  <si>
    <t>ie.caracas@ hotmail.com     yadireme@gmail.com</t>
  </si>
  <si>
    <t>INST EDUC JOSE CELESTINO MUTIS</t>
  </si>
  <si>
    <t>LA MANSION</t>
  </si>
  <si>
    <t>CALLE 65 45 15</t>
  </si>
  <si>
    <t>MARIA LUCELLY GIRALDO</t>
  </si>
  <si>
    <t>CARLOS UPEGUI MEJIA</t>
  </si>
  <si>
    <t>infomutis12@gmail.com</t>
  </si>
  <si>
    <t>INST EDUC SAN FRANCISCO DE ASIS</t>
  </si>
  <si>
    <t>CALLE 56 16 18</t>
  </si>
  <si>
    <t>FLOR DEISY AGUDELO DURANGO .</t>
  </si>
  <si>
    <t>CARLOS MARIO GUTIERREZ E.</t>
  </si>
  <si>
    <t>ie.sanfranciscodeasi@medellin.gov.co</t>
  </si>
  <si>
    <t>INST EDUC JUAN DE DIOS CARVAJAL</t>
  </si>
  <si>
    <t>CALLE 65AA 36 39</t>
  </si>
  <si>
    <t>2840808      3006197039(RECTOR)</t>
  </si>
  <si>
    <t>DORIAN ALEXANDER AGUDELO</t>
  </si>
  <si>
    <t>CRUZ RODRIGUEZ</t>
  </si>
  <si>
    <t>ie.juandedioscarvaja@medellin.gov.co   CRUZRODRIGUEZ@IEJUANDEDIOSCARVAJAL.EDU.CO</t>
  </si>
  <si>
    <t>SEC ESC BATALLON GIRARDOT</t>
  </si>
  <si>
    <t>CALLE 66D 39A 20</t>
  </si>
  <si>
    <t>PAOLA ARENAS</t>
  </si>
  <si>
    <t>ie.juandedioscarvaja@medellin.gov.co paolaarenas@yahoo.com</t>
  </si>
  <si>
    <t>SEC ESC ALTOS DE LA TORRE</t>
  </si>
  <si>
    <t>CALLE 57 B 16 B 139</t>
  </si>
  <si>
    <t>FANNY ARBELAEZ SOTO</t>
  </si>
  <si>
    <t>fannyarbelaez@gmail.com   rectoriaiejva@gmail.com</t>
  </si>
  <si>
    <t>SEC ESC LAS ESTANCIAS</t>
  </si>
  <si>
    <t>CALLE 52 4 38</t>
  </si>
  <si>
    <t>JUAN DÍAZ LONDOÑO</t>
  </si>
  <si>
    <t>JUAN CARLOS VALENCIA</t>
  </si>
  <si>
    <t>INST EDUC MERCEDITAS GOMEZ MARTINEZ</t>
  </si>
  <si>
    <t>CALLE 45 18 03</t>
  </si>
  <si>
    <t>ALONSO ALBERTO GONZALEZ</t>
  </si>
  <si>
    <t>ie.merceditasgomez@medellin.gov.com  nora_429@hotmail.com  nerbehu@yahoo.es</t>
  </si>
  <si>
    <t>SEC ESC JUAN MANUEL GONZALEZ ARBELAEZ</t>
  </si>
  <si>
    <t>GERONA</t>
  </si>
  <si>
    <t>CALLE 40A 32 80</t>
  </si>
  <si>
    <t>MAURICIO LONDOÑO LONDOÑO</t>
  </si>
  <si>
    <t>maurojlondo@gmail.com    nora_429@homail.com ie.merceditasgomez@medellin.gov.com</t>
  </si>
  <si>
    <t>SEC ESC ETERNA PRIMAVERA</t>
  </si>
  <si>
    <t>CALLE 34 19 05</t>
  </si>
  <si>
    <t>INST EDUC ANA DE CASTRILLON</t>
  </si>
  <si>
    <t>CARRERA 38C 39B 86</t>
  </si>
  <si>
    <t>CALOS COSIO                          FELIX GOMEZ</t>
  </si>
  <si>
    <t>ieacastrillón@yahoo.es maceblan@yahoo.com</t>
  </si>
  <si>
    <t>SEC ESC MERCEDES YEPES ISAZA</t>
  </si>
  <si>
    <t>CARRERA 32 32A 57</t>
  </si>
  <si>
    <t>2396564 2390090 2393159</t>
  </si>
  <si>
    <t>GUSTAVO DE J. HOYOS AGUDELO (RECTOR)</t>
  </si>
  <si>
    <t>ie.loreto@gmail.com   juank151@hotmail.com</t>
  </si>
  <si>
    <t>SEC ESC ALEJANDRO ECHAVARRIA</t>
  </si>
  <si>
    <t>ALEJANDRO ECHEVARRIA</t>
  </si>
  <si>
    <t>CARRERA 30 50 07</t>
  </si>
  <si>
    <t>269 45 23 Coord. 269 71 82 Porteria</t>
  </si>
  <si>
    <t>JUAN CARLOS AGUDELO SOSA(RECTOR)</t>
  </si>
  <si>
    <t>JULIO CESAR RODRIGUEZ</t>
  </si>
  <si>
    <t>ie.asamblea@gmail.com;  juanca.jas@homail.com  ceferino25@gmail.com</t>
  </si>
  <si>
    <t>INST EDUC MADRE LAURA</t>
  </si>
  <si>
    <t>CATALUÑA</t>
  </si>
  <si>
    <t>CALLE 45 22A 81</t>
  </si>
  <si>
    <t>HNA: MARIA ISABEL LONDOÑO VASQUEZ(RECTORA)</t>
  </si>
  <si>
    <t>NANCY YANETH MIRANDA</t>
  </si>
  <si>
    <t>iemadrelaura@hotmail.com; nayamire@hotmail.com</t>
  </si>
  <si>
    <t>INST EDUC MADRE MARIA MAZARELLO</t>
  </si>
  <si>
    <t>CALLE 48 33 62</t>
  </si>
  <si>
    <t>2167211*112  *104  2167901</t>
  </si>
  <si>
    <t>HERMANA SOR LUZ GLORIA YEPEZ VALLEJO</t>
  </si>
  <si>
    <t>MARIA TERESA VELASQUEZ</t>
  </si>
  <si>
    <t>ie.madremazzarello@medellin.gov.co     iemmazzarello@yahoo.com</t>
  </si>
  <si>
    <t>COL TOMAS CARRASQUILLA</t>
  </si>
  <si>
    <t>CARRERA 38 TRV2 42 41</t>
  </si>
  <si>
    <t>MARGARITA DEL SOCORRO OSPINA DE RAMIREZ</t>
  </si>
  <si>
    <t>colegiotc@hotmail.co</t>
  </si>
  <si>
    <t>INST EDUC MATER DEI</t>
  </si>
  <si>
    <t>CR 68 N° 42 71</t>
  </si>
  <si>
    <t>NANCY BERNAL</t>
  </si>
  <si>
    <t>MARGARITA MARÍA CEBALLOS CORREA</t>
  </si>
  <si>
    <t>nancy.bernal@medellin.gov.co</t>
  </si>
  <si>
    <t>SEC ESC AGRUPACION COLOMBIA</t>
  </si>
  <si>
    <t>FLORIDA NUEVA</t>
  </si>
  <si>
    <t>CLL 44 A N° 75 68</t>
  </si>
  <si>
    <t>ADRIANA MARÍA MONTAÑO PELAEZ</t>
  </si>
  <si>
    <t>LUZ ESTELLA HERRERA-LUCELY RUIZ</t>
  </si>
  <si>
    <t>ie.lucreciojaramillo@medellin.gov.co</t>
  </si>
  <si>
    <t>INST EDUC RAFAEL URIBE URIBE</t>
  </si>
  <si>
    <t>CR 82 Nº 42C 58</t>
  </si>
  <si>
    <t>2504191- 2508312</t>
  </si>
  <si>
    <t>MARCO AURELIO GAVIRIA</t>
  </si>
  <si>
    <t>GLORIA JIMÉNEZ-MANUEL PALACIO</t>
  </si>
  <si>
    <t>glojila@yahoo.es</t>
  </si>
  <si>
    <t>SEC ESC PEDRO DE CASTRO</t>
  </si>
  <si>
    <t>BARRIO CRISTÓBAL</t>
  </si>
  <si>
    <t>CLL. 40 N° 86 A 101</t>
  </si>
  <si>
    <t>GLORIA PATRICIA GARCIA</t>
  </si>
  <si>
    <t>GLADIS OSPINA</t>
  </si>
  <si>
    <t>epedrodecastro@gmail.com</t>
  </si>
  <si>
    <t>INST EDUC CONCEJO DE MEDELLIN - COMEDOR 2</t>
  </si>
  <si>
    <t>INST EDUC CONCEJO DE MEDELLIN - ANEXO</t>
  </si>
  <si>
    <t>CLL 47 A N° 83 38</t>
  </si>
  <si>
    <t>JADY GISELA CUESTA</t>
  </si>
  <si>
    <t>lettyblandon@gmail.com</t>
  </si>
  <si>
    <t>SEC ESC EL CORAZON</t>
  </si>
  <si>
    <t>CLL 34B N°116 D 25</t>
  </si>
  <si>
    <t>YOLANDA JIMENEZ</t>
  </si>
  <si>
    <t>yolandapjimenez@hotmail.com</t>
  </si>
  <si>
    <t>COL EL HOGAR DE SU NIÑO</t>
  </si>
  <si>
    <t>CLL. 45 N° 99 29</t>
  </si>
  <si>
    <t>LUIS ALBERTO GIRÓN</t>
  </si>
  <si>
    <t>JOSÉ ALDEMAR ACEVEDO AGUDELO</t>
  </si>
  <si>
    <t>montaneros@gmail.com</t>
  </si>
  <si>
    <t>SEC ESC PIO XII</t>
  </si>
  <si>
    <t>CR 98 Nº 44 52</t>
  </si>
  <si>
    <t>MARÍA GRACIELA ARANGO</t>
  </si>
  <si>
    <t>EUGENIA GIRALDO</t>
  </si>
  <si>
    <t>marulyn94@yahoo.es</t>
  </si>
  <si>
    <t>SEC ESC EL SOCORRO</t>
  </si>
  <si>
    <t>CR 102B Nº 47 B 32</t>
  </si>
  <si>
    <t>GUSTAVO MUÑOZ</t>
  </si>
  <si>
    <t>MARÍA ELCY GARCÍA-GLORIA RIVERA</t>
  </si>
  <si>
    <t>deschampsenix@gmail.com</t>
  </si>
  <si>
    <t>INST EDUC CARLOS VIECO ORTIZ</t>
  </si>
  <si>
    <t>CLL 40 N°105 36</t>
  </si>
  <si>
    <t>2532504 ext:103</t>
  </si>
  <si>
    <t>YOLANDA VAHOS CEBALLOS</t>
  </si>
  <si>
    <t>LUIS HERNANDO VARGAS</t>
  </si>
  <si>
    <t>vargasluis28@gmail.com</t>
  </si>
  <si>
    <t>SEC ESC JUAN DE DIOS ARANZAZU</t>
  </si>
  <si>
    <t>CLL 42 Nº 105 42</t>
  </si>
  <si>
    <t>CARLOS CASTAÑEDA</t>
  </si>
  <si>
    <t>CLAUDIA PATRICIA TOBON</t>
  </si>
  <si>
    <t>carlos.castaneda@carlosvieco.edu.co</t>
  </si>
  <si>
    <t>SEC ESC MUNICIPAL SAN JAVIER</t>
  </si>
  <si>
    <t>VEINTE DE JULIO</t>
  </si>
  <si>
    <t>CR 108 Nº 39D 07</t>
  </si>
  <si>
    <t>BEATRIZ ELENA MORA</t>
  </si>
  <si>
    <t>SEC ESC REPUBLICA DE PANAMA</t>
  </si>
  <si>
    <t>SANTA ROSA DE LIMA</t>
  </si>
  <si>
    <t>CRA. 88 NO. 49DD 70</t>
  </si>
  <si>
    <t>LEONARDO OSORIO</t>
  </si>
  <si>
    <t>ADIELA AGUDELO</t>
  </si>
  <si>
    <t>ie.santarosadelima@medellin.gov.co</t>
  </si>
  <si>
    <t>INST CORFERRINI - SEDE LA DIVISA</t>
  </si>
  <si>
    <t>CLL 49B Nº 99 EE 117</t>
  </si>
  <si>
    <t>4913526 - 4346334</t>
  </si>
  <si>
    <t>PHAYSULY BALDOSEA MENA</t>
  </si>
  <si>
    <t>LAURA BEATRIZ BUSTAMANTE</t>
  </si>
  <si>
    <t>luz.espinal.do@ferrini.edu.co</t>
  </si>
  <si>
    <t>COL ARENYS DEL MAR</t>
  </si>
  <si>
    <t>CLL 58D Nº 93 A 87</t>
  </si>
  <si>
    <t>MADRE CLAUDIA ZAMIRA AVILA</t>
  </si>
  <si>
    <t>ANA CECILIA VALLEJO</t>
  </si>
  <si>
    <t>anace235@gmail.com</t>
  </si>
  <si>
    <t>INST EDUC PRESBITERO JUAN J. ESCOBAR</t>
  </si>
  <si>
    <t>CLL. 62 N° 128 120</t>
  </si>
  <si>
    <t>JAIME ALBERTO CASTAÑO BOTERO</t>
  </si>
  <si>
    <t>ALVARO ALVAREZ</t>
  </si>
  <si>
    <t>rector.jjescobar@gmail.com</t>
  </si>
  <si>
    <t>COL GENTE UNIDA JOVENES POR LA PAZ - SEDE VILLA CAFE</t>
  </si>
  <si>
    <t>GENTE UNIDA SAGRADA FAMILIA</t>
  </si>
  <si>
    <t>VEREDA PAJARITO KILOMETRO 8</t>
  </si>
  <si>
    <t>JHON FREDY GÓMEZ</t>
  </si>
  <si>
    <t>MARÍA ISABEL RUA</t>
  </si>
  <si>
    <t>sagradafamilia@genteunida.org.co</t>
  </si>
  <si>
    <t>SEC ESC EL TIROL</t>
  </si>
  <si>
    <t>CL 66A 104 74</t>
  </si>
  <si>
    <t>INST EDUC BENJAMIN HERRERA</t>
  </si>
  <si>
    <t>TRINIDAD</t>
  </si>
  <si>
    <t>CRA 52 NO. 52 140</t>
  </si>
  <si>
    <t>2650073 - 2653004 - 2657072</t>
  </si>
  <si>
    <t>CARLOS BENGUECHEA (R )</t>
  </si>
  <si>
    <t>YOLANDA ARANGO V (D)</t>
  </si>
  <si>
    <t>benjamin.herrera1@medellin.gov.co</t>
  </si>
  <si>
    <t>SEC ESC SANTISIMA TRINIDAD</t>
  </si>
  <si>
    <t>CLL 26 NO. 65 C 100</t>
  </si>
  <si>
    <t>235 52 36 265 6646</t>
  </si>
  <si>
    <t>GONZALO VILLA ARBOLEDA (C )</t>
  </si>
  <si>
    <t>BEATRIZ ELENA GALLEGO (D)</t>
  </si>
  <si>
    <t>coortrinidad@gmail.com</t>
  </si>
  <si>
    <t>INST EDUC SANTOS ANGELES CUSTODIOS</t>
  </si>
  <si>
    <t>CALLE 17A 65G 04</t>
  </si>
  <si>
    <t>MARY LUZ RODRIGUEZ GIRALDO</t>
  </si>
  <si>
    <t>WALTER OSSA ( C) FRANCISCO CARDONA CASTAÑO (AM)- CARLOS HUGO PANIAGUA (PM)</t>
  </si>
  <si>
    <t>iacustod@une.net.co 
nancy5098@hotmail.com</t>
  </si>
  <si>
    <t>SEC ESC JUAN PABLO II</t>
  </si>
  <si>
    <t>CARRERA 65G 16A 12</t>
  </si>
  <si>
    <t>WALTER OSSA ( C) NANCY VELEZ HOYOS (A.M) MARIA ELIDA (P.M)</t>
  </si>
  <si>
    <t>iacustod@une.net.co</t>
  </si>
  <si>
    <t>INST EDUC SANTO ANGEL</t>
  </si>
  <si>
    <t>CALLE 2 SUR Nª 53 - 140</t>
  </si>
  <si>
    <t>2853623 (ext 104) - 2851411</t>
  </si>
  <si>
    <t>ALBA RUTH JARAMILLO CARDONA ( R)</t>
  </si>
  <si>
    <t>LUZ NASLY GARCIA AMADOR ( C)</t>
  </si>
  <si>
    <t>coor.academica.sa@gmail.com</t>
  </si>
  <si>
    <t>SEC ESC CARLOS FRANCO</t>
  </si>
  <si>
    <t>CRA 77 NO. 25-67</t>
  </si>
  <si>
    <t>FABIOLA J. LIZARAZO ( C)</t>
  </si>
  <si>
    <t>PIEDAD GIRALDO (A.M) GLORIA ELENA PIEDRAHITA (P.M)</t>
  </si>
  <si>
    <t>fain.lizh@gmail.com</t>
  </si>
  <si>
    <t>INST EDUC ALCALDIA DE MEDELLIN</t>
  </si>
  <si>
    <t>CRR 2B B Nº 79 - 80</t>
  </si>
  <si>
    <t>3419090 - 342 37 42</t>
  </si>
  <si>
    <t>CARLOS FERNANDO A JARAMILLO ( C )</t>
  </si>
  <si>
    <t>institucionalcaldiademedellin@gmail.com</t>
  </si>
  <si>
    <t>SEC ESC YERMO Y PARRES</t>
  </si>
  <si>
    <t>CRA.2 Nº 2 - 15</t>
  </si>
  <si>
    <t>341 65 78</t>
  </si>
  <si>
    <t>SEC ESC MUNICIPAL BELEN</t>
  </si>
  <si>
    <t>CLL 30 A NO. 80-18</t>
  </si>
  <si>
    <t>LUCERO ZAPATA ( C)</t>
  </si>
  <si>
    <t>MARTA INES LOPEZ ( C)</t>
  </si>
  <si>
    <t>iersuarez@latinmail.com</t>
  </si>
  <si>
    <t>SEC SOFIA OSPINA DE NAVARRO</t>
  </si>
  <si>
    <t>CLLE 32 NO. 65 - 20</t>
  </si>
  <si>
    <t>INST EDUC JOSE MARIA BERNAL</t>
  </si>
  <si>
    <t>CRA. 70 A NO. 13 A 19</t>
  </si>
  <si>
    <t>343 20 86 - 3104179378 ©</t>
  </si>
  <si>
    <t>JOSE HUGO CASTAÑO GARCIA (R ) MARIA FERNANDA ARCE (C )</t>
  </si>
  <si>
    <t>CLARA MAESTRE BUITRAGO</t>
  </si>
  <si>
    <t>iejmb@hotmail.com - gcmaestre@yahoo.com</t>
  </si>
  <si>
    <t>SEC ESC LAS PLAYAS</t>
  </si>
  <si>
    <t>SEC ESC MANO DE DIOS</t>
  </si>
  <si>
    <t>SECTOR NUEVO AMANECER</t>
  </si>
  <si>
    <t>CRA: 90 NO. 15-60</t>
  </si>
  <si>
    <t>GLEIDYS AVENDAÑO ( D)</t>
  </si>
  <si>
    <t>gleidysavendano@gmail.com</t>
  </si>
  <si>
    <t>INST EDUC SAN ANTONIO DE PRADO</t>
  </si>
  <si>
    <t>CRA 79 CON CALLE 42 SUR- PARQUE PPAL.</t>
  </si>
  <si>
    <t>2864285 - 2864372</t>
  </si>
  <si>
    <t>CONSUELO GIRALDO ARROYAVE (R )</t>
  </si>
  <si>
    <t>CLARA MAESTRE ( C ) HERNÁN ALVAREZ (D)</t>
  </si>
  <si>
    <t>ie.sanantoniodeprado@medellin.gov.co</t>
  </si>
  <si>
    <t>SEC ESC MANUEL MARIA MALLARINO</t>
  </si>
  <si>
    <t>C.SAN ANTONIO</t>
  </si>
  <si>
    <t>CALLE 40 SUR 75 B 101</t>
  </si>
  <si>
    <t>CARLOS AYARZA ( C)</t>
  </si>
  <si>
    <t>PATRICIA GOMEZ (P.M) LUZ MATILDE LAVERDE (A.M)</t>
  </si>
  <si>
    <t>jadumall@yahoo.com</t>
  </si>
  <si>
    <t>SEC ESC LA VERDE</t>
  </si>
  <si>
    <t>VDA. LA VERDE</t>
  </si>
  <si>
    <t>CRA 60 D 36 C SUR 2</t>
  </si>
  <si>
    <t>MARIA ISABEL ALVARES GIL ( C)</t>
  </si>
  <si>
    <t>CATALINA MOSQUERA PINO ( D)</t>
  </si>
  <si>
    <t>ie.victorwiedemann@medellin.gov.co</t>
  </si>
  <si>
    <t>INST EDUC FE Y ALEGRIA EL LIMONAR</t>
  </si>
  <si>
    <t>CALLE 55 SUR 60 A 13</t>
  </si>
  <si>
    <t>337 06 53</t>
  </si>
  <si>
    <t>EDGAR ROMÁN ( R)</t>
  </si>
  <si>
    <t>SERGIO ANDRÉS ROJAS GÓMEZ (C )</t>
  </si>
  <si>
    <t>ie.feyalegriaellimonar@medellin.gov.co</t>
  </si>
  <si>
    <t>INST EDUC COMPARTIR</t>
  </si>
  <si>
    <t>CRA 62 A 42 D SUR 26</t>
  </si>
  <si>
    <t>2865300 - 2868822</t>
  </si>
  <si>
    <t>RUBEN DARIO ISAZA GOMEZ ( R)</t>
  </si>
  <si>
    <t>BERTA LUCY AGUDELO (C )</t>
  </si>
  <si>
    <t>ccprado@une.net.co</t>
  </si>
  <si>
    <t>INST EDUC CORVIDE</t>
  </si>
  <si>
    <t>LIMONAR NO. 2</t>
  </si>
  <si>
    <t>CR 60 D 48 SUR 25</t>
  </si>
  <si>
    <t>286 55 79</t>
  </si>
  <si>
    <t>BEATRIZ GÓMEZ ( R)</t>
  </si>
  <si>
    <t>AMALIA BETANCUR ( C ) 
TATIANA ROJAS VALENCIA (D)</t>
  </si>
  <si>
    <t>cesargomez@coomulsap.com</t>
  </si>
  <si>
    <t>COL COOP SAN ANTONIO DE PRADO (AC) - COMEDOR 1</t>
  </si>
  <si>
    <t>4444262 ext. 601 y 602</t>
  </si>
  <si>
    <t>CESAR AUGUSTO</t>
  </si>
  <si>
    <t>VANESA PAOLA ROLONG (A.M) YANETH ASTRID ZAPATA (P.M)</t>
  </si>
  <si>
    <t>rubenisaza@coomulsap.com</t>
  </si>
  <si>
    <t>INST EDUC MANUEL J. BETANCUR - COMEDOR 2</t>
  </si>
  <si>
    <t>INST EDUC MANUEL J BETANCUR - ANEXO</t>
  </si>
  <si>
    <t>CALLE 44 SUR NO. 81-28</t>
  </si>
  <si>
    <t>2860078 ext 27</t>
  </si>
  <si>
    <t>GLORIA INES VALENCIA ( D)</t>
  </si>
  <si>
    <t>COLEGIO EMPRESARIAL</t>
  </si>
  <si>
    <t>VILLA LOMA</t>
  </si>
  <si>
    <t>CALLE 42 SUR 69 A 58</t>
  </si>
  <si>
    <t>RAMON ECHAVARRIA (R )</t>
  </si>
  <si>
    <t>RAMIRO CORTES (D)</t>
  </si>
  <si>
    <t>empresarial@coomulsap,com</t>
  </si>
  <si>
    <t>ID SEDE (CODIGO INTERNO INTERVENTORIA)</t>
  </si>
  <si>
    <t>NOMBRE COMEDOR</t>
  </si>
  <si>
    <t>No LOTE</t>
  </si>
  <si>
    <t>CONTRATISTA</t>
  </si>
  <si>
    <t>RACIÓN INDUSTRIALIZADA</t>
  </si>
  <si>
    <t>ALIRIO GÓMEZ G S.A.S</t>
  </si>
  <si>
    <t>SALAMANCA S.A.</t>
  </si>
  <si>
    <t>SERVICIOS Y SUMINISTROS DE ALIMENTACION S.A.S</t>
  </si>
  <si>
    <t>UT PAE 2019</t>
  </si>
  <si>
    <t>VISITA EFECTIVA</t>
  </si>
  <si>
    <t>R.I.T</t>
  </si>
  <si>
    <t>R.I</t>
  </si>
  <si>
    <t>V.L</t>
  </si>
  <si>
    <t>ZONA</t>
  </si>
  <si>
    <t>Columna11</t>
  </si>
  <si>
    <r>
      <t>NOTAS DE APOYO (</t>
    </r>
    <r>
      <rPr>
        <sz val="10"/>
        <color theme="1"/>
        <rFont val="Calibri"/>
        <family val="2"/>
        <scheme val="minor"/>
      </rPr>
      <t>Utilice el cuadro de Notas de Apoyo para ampliar o justificar calificaciones como N.A – N.O u otras variables encontradas durante de la visita de Supervisión que ameriten claridad</t>
    </r>
    <r>
      <rPr>
        <b/>
        <sz val="10"/>
        <color theme="1"/>
        <rFont val="Calibri"/>
        <family val="2"/>
        <scheme val="minor"/>
      </rPr>
      <t>.)</t>
    </r>
  </si>
  <si>
    <t>Columna59</t>
  </si>
  <si>
    <t>Columna61</t>
  </si>
  <si>
    <t>RACIÓN INDUSTRIALIZADA TEMPORAL</t>
  </si>
  <si>
    <t>GRADO</t>
  </si>
  <si>
    <t>NC</t>
  </si>
  <si>
    <t>AM / PM</t>
  </si>
  <si>
    <t>ALMUERZO</t>
  </si>
  <si>
    <t>TIPO COMPLEMENTO</t>
  </si>
  <si>
    <t xml:space="preserve">TOTAL CUPOS
</t>
  </si>
  <si>
    <t>OPERADOR2</t>
  </si>
  <si>
    <t>TIPO COMPLEMENTO2</t>
  </si>
  <si>
    <t>OPERADOR3</t>
  </si>
  <si>
    <t>TOTAL CUPOS
4</t>
  </si>
  <si>
    <t>UT MEDELLIN SOCIAL 2019</t>
  </si>
  <si>
    <t>SALAMANCA S.A</t>
  </si>
  <si>
    <t>CAM/PM</t>
  </si>
  <si>
    <t>CAM/PM
VL</t>
  </si>
  <si>
    <t>VL</t>
  </si>
  <si>
    <t>ALIRIO GOMEZ G S.A.S</t>
  </si>
  <si>
    <t>CTA</t>
  </si>
  <si>
    <t>CTA
VL</t>
  </si>
  <si>
    <t>RI</t>
  </si>
  <si>
    <t>RI
VL</t>
  </si>
  <si>
    <t>SINO</t>
  </si>
  <si>
    <t>NO</t>
  </si>
  <si>
    <t>SI</t>
  </si>
  <si>
    <t>CONTACTO INTERVENTOR</t>
  </si>
  <si>
    <t>CONTACTO</t>
  </si>
  <si>
    <t>OPCION2</t>
  </si>
  <si>
    <t>ADMINISTRACION</t>
  </si>
  <si>
    <t>TIPO</t>
  </si>
  <si>
    <t>OBSERVACIONES GENERALES DE LA VISITA (SECRETARIA Y PAE)</t>
  </si>
  <si>
    <t>No CONTRATO</t>
  </si>
  <si>
    <t>ADRIANA MARIA TORO AMADO</t>
  </si>
  <si>
    <t>INTERVENTOR_EJECUTOR_25</t>
  </si>
  <si>
    <t>ALBANY HENAO VALENCIA</t>
  </si>
  <si>
    <t>INTERVENTOR_EJECUTOR_12</t>
  </si>
  <si>
    <t>ALEXANDRA TAMAYO VASQUEZ</t>
  </si>
  <si>
    <t>INTERVENTOR_EJECUTOR_50</t>
  </si>
  <si>
    <t>ANGELA CAROLINA GIRALDO SALAZAR</t>
  </si>
  <si>
    <t>INTERVENTOR_EJECUTOR_51</t>
  </si>
  <si>
    <t>ANGELA MARÍA JARAMILLO HINCAPIÉ</t>
  </si>
  <si>
    <t>INTERVENTOR_EJECUTOR_22</t>
  </si>
  <si>
    <t>ASTRID EUGENIA VILLA GÓMEZ</t>
  </si>
  <si>
    <t>INTERVENTOR_EJECUTOR_34</t>
  </si>
  <si>
    <t>ASTRID JOHANA GIRALDO CIRO</t>
  </si>
  <si>
    <t>INTERVENTOR_EJECUTOR_19</t>
  </si>
  <si>
    <t>BEATRIZ CELENE CARMONA CORREA</t>
  </si>
  <si>
    <t>INTERVENTOR_EJECUTOR_36</t>
  </si>
  <si>
    <t>CARMEN IRENE VALLEJO CHAUCANEZ</t>
  </si>
  <si>
    <t>INTERVENTOR_EJECUTOR_44</t>
  </si>
  <si>
    <t>CAROLINA RESTREPO QUIROZ</t>
  </si>
  <si>
    <t>INTERVENTOR_EJECUTOR_30</t>
  </si>
  <si>
    <t>CLAUDIA ELENA LOPERA MESA</t>
  </si>
  <si>
    <t>INTERVENTOR_EJECUTOR_13</t>
  </si>
  <si>
    <t>CRUZ ELENA GARCIA OCHOA</t>
  </si>
  <si>
    <t>ENLACE TECNICO</t>
  </si>
  <si>
    <t>DANNY YULIEHT LÓPEZ RESTREPO</t>
  </si>
  <si>
    <t>INTERVENTOR_EJECUTOR_32</t>
  </si>
  <si>
    <t>DIANA MARIA FONSECA FERNANDEZ</t>
  </si>
  <si>
    <t>INTERVENTOR_EJECUTOR_7</t>
  </si>
  <si>
    <t>DIEGO NAPOLEON HERRERA CADAVID</t>
  </si>
  <si>
    <t>INTERVENTOR_EJECUTOR_45</t>
  </si>
  <si>
    <t>EDDY YANED MONTOYA VASQUEZ</t>
  </si>
  <si>
    <t>INTERVENTOR_EJECUTOR_17</t>
  </si>
  <si>
    <t>EDILSON ARLEY QUINTERO YEPES</t>
  </si>
  <si>
    <t>INTERVENTOR_EJECUTOR_10</t>
  </si>
  <si>
    <t>ERIK SEBASTIAN LLANO METRIO</t>
  </si>
  <si>
    <t>TECNÓLOGO EN MANTENIMIENTO</t>
  </si>
  <si>
    <t>ERIKA VIVIANA SUÁREZ ZULETA</t>
  </si>
  <si>
    <t>INTERVENTOR_EJECUTOR_20</t>
  </si>
  <si>
    <t>ESPERANZA DEL SOCORRO PALACIO PEREZ</t>
  </si>
  <si>
    <t>INTERVENTOR_EJECUTOR_37</t>
  </si>
  <si>
    <t>FABIO ALEJANDRO TABORDA GALLEGO</t>
  </si>
  <si>
    <t>TÉCNICO EN MANTENIMIENTO</t>
  </si>
  <si>
    <t>GLORIA CRISTINA CASTAÑO ZULUAGA</t>
  </si>
  <si>
    <t>INTERVENTOR_EJECUTOR_3</t>
  </si>
  <si>
    <t>GLORIA EMILCEN GAVIRIA LLANOS</t>
  </si>
  <si>
    <t>INTERVENTOR_EJECUTOR_31</t>
  </si>
  <si>
    <t>IDIANA PATRICIA DUQUE RUA</t>
  </si>
  <si>
    <t>INTERVENTOR FINANCIERO</t>
  </si>
  <si>
    <t>ISABEL CRISTINA RÚA CARDONA</t>
  </si>
  <si>
    <t>INTERVENTOR_EJECUTOR_28</t>
  </si>
  <si>
    <t>JAVIER FRANCISCO SÁNCHEZ BLANCO</t>
  </si>
  <si>
    <t>INTERVENTOR_EJECUTOR_48</t>
  </si>
  <si>
    <t>JENNY ENNITH OSPINA DURANGO</t>
  </si>
  <si>
    <t>INTERVENTOR_EJECUTOR_42</t>
  </si>
  <si>
    <t>JENY MARLEN ARGUELLO LEÓN</t>
  </si>
  <si>
    <t>INTERVENTOR_EJECUTOR_21</t>
  </si>
  <si>
    <t>JESUS ALBEIRO YEPES CHALARCA</t>
  </si>
  <si>
    <t>INTERVENTOR_EJECUTOR_23</t>
  </si>
  <si>
    <t>JOHN ALEJANDRO ATEHORTÚA CORREA</t>
  </si>
  <si>
    <t>INTERVENTOR_EJECUTOR_8</t>
  </si>
  <si>
    <t>JORGE ORLANDO CORREA RODAS</t>
  </si>
  <si>
    <t>JOSE ELIBER TORRES AREIZA</t>
  </si>
  <si>
    <t>COORDINADOR TECNICO</t>
  </si>
  <si>
    <t>JOSE JULIÁN VALENCIA LÓPEZ</t>
  </si>
  <si>
    <t>INTERVENTOR_EJECUTOR_14</t>
  </si>
  <si>
    <t>JOSÉ UVARNEY TABORDA MARÍN</t>
  </si>
  <si>
    <t>INTERVENTOR_EJECUTOR_5</t>
  </si>
  <si>
    <t>JUAN CARLOS BARÓN PUCHE</t>
  </si>
  <si>
    <t>INTERVENTOR_EJECUTOR_46</t>
  </si>
  <si>
    <t>JUAN ESTEBAN DUQUE CARDONA</t>
  </si>
  <si>
    <t>INTERVENTOR_EJECUTOR_4</t>
  </si>
  <si>
    <t>JUAN FERNANDO CORDOBA BERMUDEZ</t>
  </si>
  <si>
    <t>JUAN PABLO SALDARRIAGA FERNANDEZ</t>
  </si>
  <si>
    <t>INTERVENTOR_EJECUTOR_49</t>
  </si>
  <si>
    <t>JULIANA JARAMILLO RODRÍGUEZ</t>
  </si>
  <si>
    <t>INTERVENTOR_EJECUTOR_11</t>
  </si>
  <si>
    <t>KELLY BERNAYS DURANGO ALEANS</t>
  </si>
  <si>
    <t>INTERVENTOR_EJECUTOR_52</t>
  </si>
  <si>
    <t>KEY KABIR ORTEGA VERBEL</t>
  </si>
  <si>
    <t>INTERVENTOR_EJECUTOR_40</t>
  </si>
  <si>
    <t>LIANA PATRICIA CAMPO RODRIGUEZ</t>
  </si>
  <si>
    <t>LILIANA PATRICIA MONSALVE OSORIO</t>
  </si>
  <si>
    <t>INTERVENTOR_EJECUTOR_33</t>
  </si>
  <si>
    <t>LUIS CARLOS PAZOS</t>
  </si>
  <si>
    <t>LUIS FELIPE ROJO ALVAREZ</t>
  </si>
  <si>
    <t>INTERVENTOR_EJECUTOR_1</t>
  </si>
  <si>
    <t>LUZ ESTELA ZAPATA JIMEMEZ</t>
  </si>
  <si>
    <t>INTERVENTOR_EJECUTOR_2</t>
  </si>
  <si>
    <t>LUZ MAGDALENA RIOS ARBELAEZ</t>
  </si>
  <si>
    <t>LUZ MARINA JIMÉNEZ DÁVILA</t>
  </si>
  <si>
    <t>INTERVENTOR_EJECUTOR_24</t>
  </si>
  <si>
    <t>MANUELITA ANGÉLICA GIL HOYOS</t>
  </si>
  <si>
    <t>INTERVENTOR_EJECUTOR_41</t>
  </si>
  <si>
    <t>MARIA ANGELA CALLE VERA</t>
  </si>
  <si>
    <t>MARIA EDILIA BONILLA SANCHEZ</t>
  </si>
  <si>
    <t>MARÍA MAGDALENA PABÓN ALVAREZ</t>
  </si>
  <si>
    <t>INTERVENTOR_EJECUTOR_18</t>
  </si>
  <si>
    <t>MARIBELL DUQUE BUILES</t>
  </si>
  <si>
    <t>INTERVENTOR_EJECUTOR_15</t>
  </si>
  <si>
    <t xml:space="preserve">MARTHA ISABEL RINCON AYA </t>
  </si>
  <si>
    <t>MARTHA LILIANA RENDON ACEVEDO</t>
  </si>
  <si>
    <t>INTERVENTOR_EJECUTOR_29</t>
  </si>
  <si>
    <t>MIGUEL ANGEL URIBE VARGAS</t>
  </si>
  <si>
    <t>INTERVENTOR_EJECUTOR_47</t>
  </si>
  <si>
    <t>MIRYAM NATALIA TEJADA PEÑA</t>
  </si>
  <si>
    <t>INTERVENTOR_EJECUTOR_26</t>
  </si>
  <si>
    <t>MONICA PATRICIA CADAVID ESTRELLA</t>
  </si>
  <si>
    <t>INTERVENTOR_EJECUTOR_38</t>
  </si>
  <si>
    <t>PAULA ANDREA URIBE YEPES</t>
  </si>
  <si>
    <t>INTERVENTOR_EJECUTOR_9</t>
  </si>
  <si>
    <t>RONNY ANTONIO ARRIETA RIVERO</t>
  </si>
  <si>
    <t>INTERVENTOR_EJECUTOR_16</t>
  </si>
  <si>
    <t>RUBY CAROLINA VARGAS VELASQUEZ</t>
  </si>
  <si>
    <t>INTERVENTOR_EJECUTOR_43</t>
  </si>
  <si>
    <t>SANTIAGO ALBERTO VARGAS CARDONA</t>
  </si>
  <si>
    <t>INTERVENTOR_EJECUTOR_35</t>
  </si>
  <si>
    <t>SANTIAGO GIRALDO GARCÍA</t>
  </si>
  <si>
    <t>INTERVENTOR_EJECUTOR_27</t>
  </si>
  <si>
    <t>SEBASTIAN PUENTES GONZÁLEZ</t>
  </si>
  <si>
    <t>INTERVENTOR_EJECUTOR_6</t>
  </si>
  <si>
    <t>VANESA PINO GUIRALES</t>
  </si>
  <si>
    <t>INTERVENTOR_EJECUTOR_39</t>
  </si>
  <si>
    <t>SERVICIOS Y SUMINISTRO DE ALIMENTACIÓN S.A.S</t>
  </si>
  <si>
    <t>CTA/VL</t>
  </si>
  <si>
    <t>SALAMANCA S.A
SERVICIOS Y SUMINISTRO DE ALIMENTACIÓN S.A.S</t>
  </si>
  <si>
    <t>CAM/PM / VL</t>
  </si>
  <si>
    <t>COMPLEMENTO AM / PM</t>
  </si>
  <si>
    <t xml:space="preserve">TIPO VASO DE LECHE </t>
  </si>
  <si>
    <t>Columna76</t>
  </si>
  <si>
    <t>Columna77</t>
  </si>
  <si>
    <t>Columna78</t>
  </si>
  <si>
    <t>Columna79</t>
  </si>
  <si>
    <t>Columna80</t>
  </si>
  <si>
    <t>Columna81</t>
  </si>
  <si>
    <t>SALAMANCA S.A SERVICIOS Y SUMINISTRO DE ALIMENTACIÓN S.A.S</t>
  </si>
  <si>
    <t>UT PAE 20219</t>
  </si>
  <si>
    <t>RI-VL</t>
  </si>
  <si>
    <t>INST EDUC CEFA</t>
  </si>
  <si>
    <t>BOMBONA</t>
  </si>
  <si>
    <t>Calle 50 No. 41-55</t>
  </si>
  <si>
    <t>217 5337</t>
  </si>
  <si>
    <t>SEC LIC LEON DE GREIFF</t>
  </si>
  <si>
    <t>CIBERCOLEGIO EL SALADO</t>
  </si>
  <si>
    <t>CALLE 103EE 65 85</t>
  </si>
  <si>
    <t>2678688 ext 107</t>
  </si>
  <si>
    <t>CENDI</t>
  </si>
  <si>
    <t xml:space="preserve">	
Cód. FO-GESR -1653 	
Formato
FO-GESR Acta de Visita de Supervisión General en Establecimiento Educativo  – Seguridad Alimentaria
Versión. 1		
 </t>
  </si>
  <si>
    <t>Formato
FO-GESR Acta de Visita de Supervisión General en Establecimiento Educativo – Seguridad Alimentaria</t>
  </si>
  <si>
    <t>COMPLEMENTO TIPO ALMUERZO - AM / PM  - DATOS GENERALES DE LA VISITA DE INTERVENTORIA</t>
  </si>
  <si>
    <t>TOTAL TITULARES POR MODALIDAD</t>
  </si>
  <si>
    <t>CUPOS ATENDIDOS</t>
  </si>
  <si>
    <t xml:space="preserve">HORA INICIO DE VISITA HH:MM </t>
  </si>
  <si>
    <t xml:space="preserve">HORA FINALIZACION DE VISITA HH:MM </t>
  </si>
  <si>
    <t>CONCEPTO DE SECRETARÍA DE SALUD R.P.S</t>
  </si>
  <si>
    <t>FECHACONCEPTO DE SECRETARÍA DE SALUD R.P.S DD/MM/AAAA</t>
  </si>
  <si>
    <t>CONCEPTO DE SECRETARÍA DE SALUD  R.C</t>
  </si>
  <si>
    <t>FECHA CONCEPTO DE SECRETARÍA DE SALUD  R.C DD/MM/AAAA</t>
  </si>
  <si>
    <t>CONCEPTO DE SECRETARÍA DE SALUD - R.I</t>
  </si>
  <si>
    <t>FECHA CONCEPTO DE SECRETARÍA DE SALUD - R.I DD/MM/AAAA</t>
  </si>
  <si>
    <t>CONCEPTO DE SECRETARÍA DE SALUD  V.L</t>
  </si>
  <si>
    <t>FECHA CONCEPTO DE SECRETARÍA DE SALUD  V.L DD/MM/AAAA</t>
  </si>
  <si>
    <t>DIRECCION OPERADOR</t>
  </si>
  <si>
    <t>1. No TITULARES DE DERECHO 1: TRANSICION</t>
  </si>
  <si>
    <t>2. No TITULARES DE DERECHO 1 A 3</t>
  </si>
  <si>
    <t>3. No TITULARES DE DERECHO 4 A 5</t>
  </si>
  <si>
    <t>4. No TITULARES DE DERECHO 6 A 9</t>
  </si>
  <si>
    <t>5. No TITULARES DE DERECHO 10 A 11</t>
  </si>
  <si>
    <t>No PROCESADORAS</t>
  </si>
  <si>
    <t>1. PUNTAJE ESPERADO</t>
  </si>
  <si>
    <t xml:space="preserve">1. PUNTAJE OBTENIDO </t>
  </si>
  <si>
    <t>1. PORCENTAJE CUMPLIMIENTO</t>
  </si>
  <si>
    <t>1. CUMPLIMIENTO GENERAL</t>
  </si>
  <si>
    <t>2. PUNTAJE ESPERADO</t>
  </si>
  <si>
    <t xml:space="preserve">2. PUNTAJE OBTENIDO </t>
  </si>
  <si>
    <t>2. PORCENTAJE CUMPLIMIENTO</t>
  </si>
  <si>
    <t>2. CUMPLIMIENTO GENERAL</t>
  </si>
  <si>
    <t>3. PUNTAJE ESPERADO</t>
  </si>
  <si>
    <t xml:space="preserve">3. PUNTAJE OBTENIDO </t>
  </si>
  <si>
    <t>3. PORCENTAJE CUMPLIMIENTO</t>
  </si>
  <si>
    <t>3. CUMPLIMIENTO GENERAL</t>
  </si>
  <si>
    <t>4. PUNTAJE ESPERADO</t>
  </si>
  <si>
    <t xml:space="preserve">4. PUNTAJE OBTENIDO </t>
  </si>
  <si>
    <t>4. PORCENTAJE CUMPLIMIENTO</t>
  </si>
  <si>
    <t>4. CUMPLIMIENTO GENERAL</t>
  </si>
  <si>
    <t>5. PUNTAJE ESPERADO</t>
  </si>
  <si>
    <t xml:space="preserve">5. PUNTAJE OBTENIDO </t>
  </si>
  <si>
    <t>5. PORCENTAJE CUMPLIMIENTO</t>
  </si>
  <si>
    <t>5. CUMPLIMIENTO GENERAL</t>
  </si>
  <si>
    <t>Columna82</t>
  </si>
  <si>
    <t>Columna83</t>
  </si>
  <si>
    <t>Columna84</t>
  </si>
  <si>
    <t>LAURA PEREZ</t>
  </si>
  <si>
    <t>No</t>
  </si>
  <si>
    <t>PREGUNTAS ORIENTADORAS MANTENIMIENTO</t>
  </si>
  <si>
    <t>REGISTRO</t>
  </si>
  <si>
    <t>AM/ PM</t>
  </si>
  <si>
    <t>RC</t>
  </si>
  <si>
    <t>Inventario físico de dotación</t>
  </si>
  <si>
    <t>1.1</t>
  </si>
  <si>
    <t>¿El contratista codifica los equipos, teniendo en cuenta la utilización de material resistente a la humedad que permita su visualización en todo momento?</t>
  </si>
  <si>
    <t>1.2</t>
  </si>
  <si>
    <t>¿El contratista cuenta con el inventario de equipos debidamente diligenciado y actualizado?</t>
  </si>
  <si>
    <t xml:space="preserve">        1.3        </t>
  </si>
  <si>
    <t>El inventario que reposa en los establecimientos educativos, corresponde al entregado en Excel por los contratistas con todas las variables establecidas por especificaciones técnicas</t>
  </si>
  <si>
    <t>Mantenimiento de equipos</t>
  </si>
  <si>
    <t>2.1</t>
  </si>
  <si>
    <t>¿El contratista cuenta con el Cronograma por Establecimiento Educativo y fecha de ejecución de Mantenimientos Preventivos, igualmente se actualiza la información cuando se realiza dicho mantenimiento?</t>
  </si>
  <si>
    <t>2.2</t>
  </si>
  <si>
    <t>¿El contratista cuenta en su documentación, con el Plan de mantenimiento?</t>
  </si>
  <si>
    <t>2.3</t>
  </si>
  <si>
    <t>¿El contratista utiliza los formatos de calidad establecidos por el ESAN, para el diligenciamiento de hojas de vida, fichas técnicas, e inventario de equipos?</t>
  </si>
  <si>
    <t>2.4</t>
  </si>
  <si>
    <t>¿El contratista actualiza las Fichas técnicas y hojas de vida y reporta los resultados de los mantenimientos realizados?</t>
  </si>
  <si>
    <t>Mantenimiento preventivo</t>
  </si>
  <si>
    <t>3.1</t>
  </si>
  <si>
    <t>¿El contratista ejecuta los mantenimientos preventivos en la fecha programada, y levanta la información detallada en la hoja de vida de cada uno de los equipos, al igual que en la ficha técnica cuando requiere ser actualizada?</t>
  </si>
  <si>
    <t>3.2</t>
  </si>
  <si>
    <t>¿Las fichas técnicas y hojas de vida de los equipos están debidamente diligenciadas, y corresponden a los equipos del comedor escolar y fechas de la licitación vigente?</t>
  </si>
  <si>
    <t>3.3</t>
  </si>
  <si>
    <t>¿El contratista realiza el mantenimiento de pintura de equipos, de acuerdo al proceso de: limpieza, lijado, fosfatado, ¿aplicación de anticorrosivo y uniformidad de pintura que garantice la buena presentación del equipo, como lo indican las especificaciones técnicas?</t>
  </si>
  <si>
    <t>3.4</t>
  </si>
  <si>
    <t>¿El contratista realiza los mantenimientos preventivos a los equipos del comedor escolar, de acuerdo a los lineamientos de los numerales 9.2.3 y 10.3 del pliego de condiciones?</t>
  </si>
  <si>
    <t>Mantenimiento correctivo</t>
  </si>
  <si>
    <t>4.1</t>
  </si>
  <si>
    <t>¿El contratista realiza los mantenimientos correctivos dentro del plazo establecido en el pliego, 5 días hábiles escolares?</t>
  </si>
  <si>
    <t>4.2</t>
  </si>
  <si>
    <t>¿El contratista Informa el retiro de un equipo cuando la reparación de este lo requiera, y garantiza la disponibilidad de un equipo en óptimas condiciones que garantice la prestación del servicio?</t>
  </si>
  <si>
    <t>4.3</t>
  </si>
  <si>
    <t>¿Si en el mantenimiento preventivo se detectan fallas del equipo que requieran una acción correctiva, el contratista las repara dentro de 5 días hábiles escolares, como lo indica el pliego?</t>
  </si>
  <si>
    <t>4.4</t>
  </si>
  <si>
    <t>¿El funcionamiento de los equipos se encuentra en óptimas condiciones?</t>
  </si>
  <si>
    <t>4.5</t>
  </si>
  <si>
    <t>¿En términos generales, los mantenimientos correctivos se evidencian bien realizados?</t>
  </si>
  <si>
    <t>4.6</t>
  </si>
  <si>
    <t>¿La estructura de los equipos se evidencia en buenas condiciones, sin golpes significativos o partes rotas?</t>
  </si>
  <si>
    <t>Dotación de equipos de medición</t>
  </si>
  <si>
    <t>5.1</t>
  </si>
  <si>
    <t xml:space="preserve">¿El Contratista cuenta con  equipos de medición que permiten calibración, y repone aquellos que requieren ser cambiados? </t>
  </si>
  <si>
    <t>AMPMV1E12002</t>
  </si>
  <si>
    <t>1. INVENTARIO FÍSICO DE DOTACIÓN</t>
  </si>
  <si>
    <t>1.1. ¿El contratista codifica los equipos, teniendo en cuenta la utilización de material resistente a la humedad que permita su visualización en todo momento?</t>
  </si>
  <si>
    <t>1.2. ¿El contratista cuenta con el inventario de equipos debidamente diligenciado y actualizado?</t>
  </si>
  <si>
    <t>1.3. El inventario que reposa en los establecimientos educativos, corresponde al entregado en Excel por los contratistas con todas las variables establecidas por especificaciones técnicas</t>
  </si>
  <si>
    <t>RG LOSGISTICA</t>
  </si>
  <si>
    <t>CARRERA 35 No 34 -16</t>
  </si>
  <si>
    <t>2. MANTENIMIENTO DE EQUIPOS</t>
  </si>
  <si>
    <t>2.1. ¿El contratista cuenta con el Cronograma por Establecimiento Educativo y fecha de ejecución de Mantenimientos Preventivos, igualmente se actualiza la información cuando se realiza dicho mantenimiento?</t>
  </si>
  <si>
    <t>2.2. ¿El contratista cuenta en su documentación, con el Plan de mantenimiento?</t>
  </si>
  <si>
    <t>2.3. ¿El contratista utiliza los formatos de calidad establecidos por el ESAN, para el diligenciamiento de hojas de vida, fichas técnicas, e inventario de equipos?</t>
  </si>
  <si>
    <t>2.4. ¿El contratista actualiza las Fichas técnicas y hojas de vida y reporta los resultados de los mantenimientos realizados?</t>
  </si>
  <si>
    <t>3. MANTENIMIENTO PREVENTIVO</t>
  </si>
  <si>
    <t>3.1. ¿El contratista ejecuta los mantenimientos preventivos en la fecha programada, y levanta la información detallada en la hoja de vida de cada uno de los equipos, al igual que en la ficha técnica cuando requiere ser actualizada?</t>
  </si>
  <si>
    <t>3.2. ¿Las fichas técnicas y hojas de vida de los equipos están debidamente diligenciadas, y corresponden a los equipos del comedor escolar y fechas de la licitación vigente?</t>
  </si>
  <si>
    <t>3.3. ¿El contratista realiza el mantenimiento de pintura de equipos, de acuerdo al proceso de: limpieza, lijado, fosfatado, ¿aplicación de anticorrosivo y uniformidad de pintura que garantice la buena presentación del equipo, como lo indican las especificaciones técnicas?</t>
  </si>
  <si>
    <t>3.4. ¿El contratista realiza los mantenimientos preventivos a los equipos del comedor escolar, de acuerdo a los lineamientos de los numerales 9.2.3 y 10.3 del pliego de condiciones?</t>
  </si>
  <si>
    <t>4. MANTENIMIENTO CORRECTIVO</t>
  </si>
  <si>
    <t>4.1. ¿El contratista realiza los mantenimientos correctivos dentro del plazo establecido en el pliego, 5 días hábiles escolares?</t>
  </si>
  <si>
    <t>4.2. ¿El contratista Informa el retiro de un equipo cuando la reparación de este lo requiera, y garantiza la disponibilidad de un equipo en óptimas condiciones que garantice la prestación del servicio?</t>
  </si>
  <si>
    <t>4.3. ¿Si en el mantenimiento preventivo se detectan fallas del equipo que requieran una acción correctiva, el contratista las repara dentro de 5 días hábiles escolares, como lo indica el pliego?</t>
  </si>
  <si>
    <t>4.4. ¿El funcionamiento de los equipos se encuentra en óptimas condiciones?</t>
  </si>
  <si>
    <t>4.5. ¿En términos generales, los mantenimientos correctivos se evidencian bien realizados?</t>
  </si>
  <si>
    <t>4.6. ¿La estructura de los equipos se evidencia en buenas condiciones, sin golpes significativos o partes rotas?</t>
  </si>
  <si>
    <t>5. DOTACIÓN DE EQUIPOS DE MEDICIÓN</t>
  </si>
  <si>
    <t xml:space="preserve">5.1. ¿El Contratista cuenta con  equipos de medición que permiten calibración, y repone aquellos que requieren ser cambiados?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</si>
</sst>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_(&quot;$&quot;\ * #,##0.00_);_(&quot;$&quot;\ * \(#,##0.00\);_(&quot;$&quot;\ * &quot;-&quot;??_);_(@_)"/>
    <numFmt numFmtId="165" formatCode="_(* #,##0.00_);_(* \(#,##0.00\);_(* &quot;-&quot;??_);_(@_)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 [$€-2]\ * #,##0.00_ ;_ [$€-2]\ * \-#,##0.00_ ;_ [$€-2]\ * &quot;-&quot;??_ "/>
    <numFmt numFmtId="169" formatCode="_([$€]* #,##0.00_);_([$€]* \(#,##0.00\);_([$€]* &quot;-&quot;??_);_(@_)"/>
    <numFmt numFmtId="170" formatCode="_-* #,##0.00\ [$€]_-;\-* #,##0.00\ [$€]_-;_-* &quot;-&quot;??\ [$€]_-;_-@_-"/>
    <numFmt numFmtId="171" formatCode="_-* #,##0\ _P_t_s_-;\-* #,##0\ _P_t_s_-;_-* &quot;-&quot;\ _P_t_s_-;_-@_-"/>
    <numFmt numFmtId="172" formatCode="_ * #,##0.00_ ;_ * \-#,##0.00_ ;_ * &quot;-&quot;??_ ;_ @_ "/>
    <numFmt numFmtId="173" formatCode="_-* #,##0.00\ _P_t_s_-;\-* #,##0.00\ _P_t_s_-;_-* &quot;-&quot;??\ _P_t_s_-;_-@_-"/>
    <numFmt numFmtId="174" formatCode="_ &quot;$&quot;\ * #,##0.00_ ;_ &quot;$&quot;\ * \-#,##0.00_ ;_ &quot;$&quot;\ * &quot;-&quot;??_ ;_ @_ "/>
    <numFmt numFmtId="175" formatCode="_-* #,##0.00\ &quot;Pts&quot;_-;\-* #,##0.00\ &quot;Pts&quot;_-;_-* &quot;-&quot;??\ &quot;Pts&quot;_-;_-@_-"/>
    <numFmt numFmtId="176" formatCode="[$-240A]d&quot; de &quot;mmmm&quot; de &quot;yyyy;@"/>
    <numFmt numFmtId="177" formatCode="h:mm:ss;@"/>
  </numFmts>
  <fonts count="8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u/>
      <sz val="11"/>
      <color theme="10"/>
      <name val="Calibri"/>
      <family val="2"/>
    </font>
    <font>
      <u/>
      <sz val="12.65"/>
      <color theme="10"/>
      <name val="Calibri"/>
      <family val="2"/>
    </font>
    <font>
      <u/>
      <sz val="12.65"/>
      <color indexed="12"/>
      <name val="Calibri"/>
      <family val="2"/>
    </font>
    <font>
      <sz val="11"/>
      <color indexed="20"/>
      <name val="Calibri"/>
      <family val="2"/>
    </font>
    <font>
      <sz val="10"/>
      <name val="Zurich BT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</font>
    <font>
      <b/>
      <sz val="11"/>
      <name val="Calibri"/>
      <family val="2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8"/>
      <name val="Calibri"/>
      <family val="2"/>
      <scheme val="minor"/>
    </font>
    <font>
      <sz val="10"/>
      <name val="MS Sans Serif"/>
      <family val="2"/>
    </font>
    <font>
      <b/>
      <sz val="9"/>
      <name val="Calibri"/>
      <family val="2"/>
      <scheme val="minor"/>
    </font>
    <font>
      <sz val="9"/>
      <name val="Arial"/>
      <family val="2"/>
    </font>
    <font>
      <sz val="9"/>
      <name val="Calibri"/>
      <family val="2"/>
    </font>
    <font>
      <b/>
      <sz val="9"/>
      <name val="Calibri"/>
      <family val="2"/>
    </font>
    <font>
      <sz val="11"/>
      <name val="Calibri"/>
      <family val="2"/>
    </font>
    <font>
      <b/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9"/>
      <name val="Arial"/>
      <family val="2"/>
    </font>
    <font>
      <sz val="12"/>
      <name val="Times"/>
    </font>
    <font>
      <u/>
      <sz val="11"/>
      <name val="Calibri"/>
      <family val="2"/>
    </font>
    <font>
      <sz val="12"/>
      <name val="Arial"/>
      <family val="2"/>
    </font>
    <font>
      <sz val="9"/>
      <name val="Calibri"/>
      <family val="2"/>
      <scheme val="minor"/>
    </font>
    <font>
      <sz val="11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9"/>
      <color rgb="FF000000"/>
      <name val="Calibri"/>
      <family val="2"/>
    </font>
    <font>
      <b/>
      <sz val="9"/>
      <color theme="1"/>
      <name val="Calibri"/>
      <family val="2"/>
    </font>
    <font>
      <b/>
      <sz val="9"/>
      <color rgb="FF000000"/>
      <name val="Calibri"/>
      <family val="2"/>
    </font>
    <font>
      <b/>
      <vertAlign val="superscript"/>
      <sz val="15"/>
      <color rgb="FF000000"/>
      <name val="Calibri"/>
      <family val="2"/>
    </font>
    <font>
      <sz val="5"/>
      <color rgb="FF000000"/>
      <name val="Courier New"/>
      <family val="3"/>
    </font>
    <font>
      <sz val="9"/>
      <color rgb="FF201F1E"/>
      <name val="Calibri"/>
      <family val="2"/>
    </font>
  </fonts>
  <fills count="8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DBE5F1"/>
        <bgColor rgb="FFDBE5F1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A5A5A5"/>
        <bgColor rgb="FFA5A5A5"/>
      </patternFill>
    </fill>
    <fill>
      <patternFill patternType="solid">
        <fgColor rgb="FFFFFFFF"/>
        <bgColor rgb="FFFFFFFF"/>
      </patternFill>
    </fill>
    <fill>
      <patternFill patternType="solid">
        <fgColor rgb="FF8FAFD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rgb="FFA5A5A5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rgb="FFD8D8D8"/>
      </patternFill>
    </fill>
    <fill>
      <patternFill patternType="solid">
        <fgColor rgb="FFFFFF00"/>
        <bgColor rgb="FFD9E2F3"/>
      </patternFill>
    </fill>
    <fill>
      <patternFill patternType="solid">
        <fgColor rgb="FFB2B2B2"/>
        <bgColor indexed="64"/>
      </patternFill>
    </fill>
    <fill>
      <patternFill patternType="solid">
        <fgColor rgb="FFFFFFFF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06">
    <xf numFmtId="0" fontId="0" fillId="0" borderId="0"/>
    <xf numFmtId="0" fontId="20" fillId="0" borderId="0"/>
    <xf numFmtId="0" fontId="21" fillId="33" borderId="0" applyNumberFormat="0" applyBorder="0" applyAlignment="0" applyProtection="0"/>
    <xf numFmtId="0" fontId="1" fillId="10" borderId="0" applyNumberFormat="0" applyBorder="0" applyAlignment="0" applyProtection="0"/>
    <xf numFmtId="0" fontId="21" fillId="34" borderId="0" applyNumberFormat="0" applyBorder="0" applyAlignment="0" applyProtection="0"/>
    <xf numFmtId="0" fontId="1" fillId="14" borderId="0" applyNumberFormat="0" applyBorder="0" applyAlignment="0" applyProtection="0"/>
    <xf numFmtId="0" fontId="21" fillId="35" borderId="0" applyNumberFormat="0" applyBorder="0" applyAlignment="0" applyProtection="0"/>
    <xf numFmtId="0" fontId="1" fillId="18" borderId="0" applyNumberFormat="0" applyBorder="0" applyAlignment="0" applyProtection="0"/>
    <xf numFmtId="0" fontId="21" fillId="36" borderId="0" applyNumberFormat="0" applyBorder="0" applyAlignment="0" applyProtection="0"/>
    <xf numFmtId="0" fontId="1" fillId="22" borderId="0" applyNumberFormat="0" applyBorder="0" applyAlignment="0" applyProtection="0"/>
    <xf numFmtId="0" fontId="21" fillId="37" borderId="0" applyNumberFormat="0" applyBorder="0" applyAlignment="0" applyProtection="0"/>
    <xf numFmtId="0" fontId="1" fillId="26" borderId="0" applyNumberFormat="0" applyBorder="0" applyAlignment="0" applyProtection="0"/>
    <xf numFmtId="0" fontId="21" fillId="38" borderId="0" applyNumberFormat="0" applyBorder="0" applyAlignment="0" applyProtection="0"/>
    <xf numFmtId="0" fontId="1" fillId="30" borderId="0" applyNumberFormat="0" applyBorder="0" applyAlignment="0" applyProtection="0"/>
    <xf numFmtId="0" fontId="21" fillId="39" borderId="0" applyNumberFormat="0" applyBorder="0" applyAlignment="0" applyProtection="0"/>
    <xf numFmtId="0" fontId="1" fillId="11" borderId="0" applyNumberFormat="0" applyBorder="0" applyAlignment="0" applyProtection="0"/>
    <xf numFmtId="0" fontId="21" fillId="40" borderId="0" applyNumberFormat="0" applyBorder="0" applyAlignment="0" applyProtection="0"/>
    <xf numFmtId="0" fontId="1" fillId="15" borderId="0" applyNumberFormat="0" applyBorder="0" applyAlignment="0" applyProtection="0"/>
    <xf numFmtId="0" fontId="21" fillId="41" borderId="0" applyNumberFormat="0" applyBorder="0" applyAlignment="0" applyProtection="0"/>
    <xf numFmtId="0" fontId="1" fillId="19" borderId="0" applyNumberFormat="0" applyBorder="0" applyAlignment="0" applyProtection="0"/>
    <xf numFmtId="0" fontId="21" fillId="36" borderId="0" applyNumberFormat="0" applyBorder="0" applyAlignment="0" applyProtection="0"/>
    <xf numFmtId="0" fontId="1" fillId="23" borderId="0" applyNumberFormat="0" applyBorder="0" applyAlignment="0" applyProtection="0"/>
    <xf numFmtId="0" fontId="21" fillId="39" borderId="0" applyNumberFormat="0" applyBorder="0" applyAlignment="0" applyProtection="0"/>
    <xf numFmtId="0" fontId="1" fillId="27" borderId="0" applyNumberFormat="0" applyBorder="0" applyAlignment="0" applyProtection="0"/>
    <xf numFmtId="0" fontId="21" fillId="42" borderId="0" applyNumberFormat="0" applyBorder="0" applyAlignment="0" applyProtection="0"/>
    <xf numFmtId="0" fontId="1" fillId="31" borderId="0" applyNumberFormat="0" applyBorder="0" applyAlignment="0" applyProtection="0"/>
    <xf numFmtId="0" fontId="22" fillId="43" borderId="0" applyNumberFormat="0" applyBorder="0" applyAlignment="0" applyProtection="0"/>
    <xf numFmtId="0" fontId="17" fillId="12" borderId="0" applyNumberFormat="0" applyBorder="0" applyAlignment="0" applyProtection="0"/>
    <xf numFmtId="0" fontId="22" fillId="40" borderId="0" applyNumberFormat="0" applyBorder="0" applyAlignment="0" applyProtection="0"/>
    <xf numFmtId="0" fontId="17" fillId="16" borderId="0" applyNumberFormat="0" applyBorder="0" applyAlignment="0" applyProtection="0"/>
    <xf numFmtId="0" fontId="22" fillId="41" borderId="0" applyNumberFormat="0" applyBorder="0" applyAlignment="0" applyProtection="0"/>
    <xf numFmtId="0" fontId="17" fillId="20" borderId="0" applyNumberFormat="0" applyBorder="0" applyAlignment="0" applyProtection="0"/>
    <xf numFmtId="0" fontId="22" fillId="44" borderId="0" applyNumberFormat="0" applyBorder="0" applyAlignment="0" applyProtection="0"/>
    <xf numFmtId="0" fontId="17" fillId="24" borderId="0" applyNumberFormat="0" applyBorder="0" applyAlignment="0" applyProtection="0"/>
    <xf numFmtId="0" fontId="22" fillId="45" borderId="0" applyNumberFormat="0" applyBorder="0" applyAlignment="0" applyProtection="0"/>
    <xf numFmtId="0" fontId="17" fillId="28" borderId="0" applyNumberFormat="0" applyBorder="0" applyAlignment="0" applyProtection="0"/>
    <xf numFmtId="0" fontId="22" fillId="46" borderId="0" applyNumberFormat="0" applyBorder="0" applyAlignment="0" applyProtection="0"/>
    <xf numFmtId="0" fontId="17" fillId="32" borderId="0" applyNumberFormat="0" applyBorder="0" applyAlignment="0" applyProtection="0"/>
    <xf numFmtId="0" fontId="23" fillId="35" borderId="0" applyNumberFormat="0" applyBorder="0" applyAlignment="0" applyProtection="0"/>
    <xf numFmtId="0" fontId="6" fillId="2" borderId="0" applyNumberFormat="0" applyBorder="0" applyAlignment="0" applyProtection="0"/>
    <xf numFmtId="0" fontId="24" fillId="47" borderId="10" applyNumberFormat="0" applyAlignment="0" applyProtection="0"/>
    <xf numFmtId="0" fontId="11" fillId="6" borderId="4" applyNumberFormat="0" applyAlignment="0" applyProtection="0"/>
    <xf numFmtId="0" fontId="25" fillId="48" borderId="11" applyNumberFormat="0" applyAlignment="0" applyProtection="0"/>
    <xf numFmtId="0" fontId="13" fillId="7" borderId="7" applyNumberFormat="0" applyAlignment="0" applyProtection="0"/>
    <xf numFmtId="0" fontId="26" fillId="0" borderId="12" applyNumberFormat="0" applyFill="0" applyAlignment="0" applyProtection="0"/>
    <xf numFmtId="0" fontId="12" fillId="0" borderId="6" applyNumberFormat="0" applyFill="0" applyAlignment="0" applyProtection="0"/>
    <xf numFmtId="0" fontId="27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2" fillId="4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2" fillId="4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2" fillId="50" borderId="0" applyNumberFormat="0" applyBorder="0" applyAlignment="0" applyProtection="0"/>
    <xf numFmtId="0" fontId="17" fillId="13" borderId="0" applyNumberFormat="0" applyBorder="0" applyAlignment="0" applyProtection="0"/>
    <xf numFmtId="0" fontId="22" fillId="51" borderId="0" applyNumberFormat="0" applyBorder="0" applyAlignment="0" applyProtection="0"/>
    <xf numFmtId="0" fontId="17" fillId="17" borderId="0" applyNumberFormat="0" applyBorder="0" applyAlignment="0" applyProtection="0"/>
    <xf numFmtId="0" fontId="22" fillId="44" borderId="0" applyNumberFormat="0" applyBorder="0" applyAlignment="0" applyProtection="0"/>
    <xf numFmtId="0" fontId="17" fillId="21" borderId="0" applyNumberFormat="0" applyBorder="0" applyAlignment="0" applyProtection="0"/>
    <xf numFmtId="0" fontId="22" fillId="45" borderId="0" applyNumberFormat="0" applyBorder="0" applyAlignment="0" applyProtection="0"/>
    <xf numFmtId="0" fontId="17" fillId="25" borderId="0" applyNumberFormat="0" applyBorder="0" applyAlignment="0" applyProtection="0"/>
    <xf numFmtId="0" fontId="22" fillId="52" borderId="0" applyNumberFormat="0" applyBorder="0" applyAlignment="0" applyProtection="0"/>
    <xf numFmtId="0" fontId="17" fillId="29" borderId="0" applyNumberFormat="0" applyBorder="0" applyAlignment="0" applyProtection="0"/>
    <xf numFmtId="0" fontId="28" fillId="38" borderId="10" applyNumberFormat="0" applyAlignment="0" applyProtection="0"/>
    <xf numFmtId="0" fontId="9" fillId="5" borderId="4" applyNumberFormat="0" applyAlignment="0" applyProtection="0"/>
    <xf numFmtId="168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31" fillId="0" borderId="0" applyNumberFormat="0" applyFill="0" applyBorder="0" applyAlignment="0" applyProtection="0"/>
    <xf numFmtId="0" fontId="32" fillId="34" borderId="0" applyNumberFormat="0" applyBorder="0" applyAlignment="0" applyProtection="0"/>
    <xf numFmtId="0" fontId="7" fillId="3" borderId="0" applyNumberFormat="0" applyBorder="0" applyAlignment="0" applyProtection="0"/>
    <xf numFmtId="171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5" fontId="33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74" fontId="33" fillId="0" borderId="0" applyFont="0" applyFill="0" applyBorder="0" applyAlignment="0" applyProtection="0"/>
    <xf numFmtId="175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33" fillId="0" borderId="0" applyFont="0" applyFill="0" applyBorder="0" applyAlignment="0" applyProtection="0"/>
    <xf numFmtId="174" fontId="20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5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0" fontId="34" fillId="53" borderId="0" applyNumberFormat="0" applyBorder="0" applyAlignment="0" applyProtection="0"/>
    <xf numFmtId="0" fontId="8" fillId="4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20" fillId="0" borderId="0"/>
    <xf numFmtId="0" fontId="1" fillId="0" borderId="0"/>
    <xf numFmtId="0" fontId="20" fillId="0" borderId="0"/>
    <xf numFmtId="0" fontId="36" fillId="0" borderId="0"/>
    <xf numFmtId="0" fontId="20" fillId="0" borderId="0"/>
    <xf numFmtId="176" fontId="20" fillId="0" borderId="0"/>
    <xf numFmtId="176" fontId="20" fillId="0" borderId="0"/>
    <xf numFmtId="0" fontId="1" fillId="0" borderId="0"/>
    <xf numFmtId="0" fontId="2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20" fillId="0" borderId="0"/>
    <xf numFmtId="0" fontId="33" fillId="0" borderId="0"/>
    <xf numFmtId="0" fontId="20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21" fillId="0" borderId="0"/>
    <xf numFmtId="0" fontId="36" fillId="0" borderId="0"/>
    <xf numFmtId="0" fontId="20" fillId="0" borderId="0" applyNumberFormat="0" applyFont="0" applyFill="0" applyBorder="0" applyAlignment="0" applyProtection="0"/>
    <xf numFmtId="0" fontId="1" fillId="0" borderId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1" fillId="0" borderId="0"/>
    <xf numFmtId="0" fontId="20" fillId="0" borderId="0"/>
    <xf numFmtId="0" fontId="1" fillId="8" borderId="8" applyNumberFormat="0" applyFont="0" applyAlignment="0" applyProtection="0"/>
    <xf numFmtId="0" fontId="20" fillId="54" borderId="13" applyNumberFormat="0" applyFont="0" applyAlignment="0" applyProtection="0"/>
    <xf numFmtId="0" fontId="20" fillId="54" borderId="13" applyNumberFormat="0" applyFont="0" applyAlignment="0" applyProtection="0"/>
    <xf numFmtId="0" fontId="20" fillId="0" borderId="14">
      <alignment horizontal="centerContinuous"/>
    </xf>
    <xf numFmtId="9" fontId="2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NumberFormat="0" applyFont="0" applyFill="0" applyBorder="0" applyAlignment="0" applyProtection="0"/>
    <xf numFmtId="9" fontId="20" fillId="0" borderId="0" applyNumberFormat="0" applyFont="0" applyFill="0" applyBorder="0" applyAlignment="0" applyProtection="0"/>
    <xf numFmtId="9" fontId="20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37" fillId="47" borderId="15" applyNumberFormat="0" applyAlignment="0" applyProtection="0"/>
    <xf numFmtId="0" fontId="10" fillId="6" borderId="5" applyNumberFormat="0" applyAlignment="0" applyProtection="0"/>
    <xf numFmtId="0" fontId="3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3" fillId="0" borderId="1" applyNumberFormat="0" applyFill="0" applyAlignment="0" applyProtection="0"/>
    <xf numFmtId="0" fontId="41" fillId="0" borderId="17" applyNumberFormat="0" applyFill="0" applyAlignment="0" applyProtection="0"/>
    <xf numFmtId="0" fontId="4" fillId="0" borderId="2" applyNumberFormat="0" applyFill="0" applyAlignment="0" applyProtection="0"/>
    <xf numFmtId="0" fontId="27" fillId="0" borderId="18" applyNumberFormat="0" applyFill="0" applyAlignment="0" applyProtection="0"/>
    <xf numFmtId="0" fontId="5" fillId="0" borderId="3" applyNumberFormat="0" applyFill="0" applyAlignment="0" applyProtection="0"/>
    <xf numFmtId="0" fontId="4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19" applyNumberFormat="0" applyFill="0" applyAlignment="0" applyProtection="0"/>
    <xf numFmtId="0" fontId="16" fillId="0" borderId="9" applyNumberFormat="0" applyFill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8" fillId="0" borderId="0"/>
    <xf numFmtId="9" fontId="1" fillId="0" borderId="0" applyFont="0" applyFill="0" applyBorder="0" applyAlignment="0" applyProtection="0"/>
    <xf numFmtId="0" fontId="51" fillId="0" borderId="0"/>
    <xf numFmtId="0" fontId="24" fillId="47" borderId="28" applyNumberFormat="0" applyAlignment="0" applyProtection="0"/>
    <xf numFmtId="0" fontId="28" fillId="38" borderId="28" applyNumberFormat="0" applyAlignment="0" applyProtection="0"/>
    <xf numFmtId="0" fontId="20" fillId="54" borderId="29" applyNumberFormat="0" applyFont="0" applyAlignment="0" applyProtection="0"/>
    <xf numFmtId="0" fontId="20" fillId="54" borderId="29" applyNumberFormat="0" applyFont="0" applyAlignment="0" applyProtection="0"/>
    <xf numFmtId="0" fontId="37" fillId="47" borderId="30" applyNumberFormat="0" applyAlignment="0" applyProtection="0"/>
    <xf numFmtId="0" fontId="43" fillId="0" borderId="31" applyNumberFormat="0" applyFill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0" fillId="0" borderId="0"/>
    <xf numFmtId="0" fontId="52" fillId="0" borderId="0"/>
    <xf numFmtId="0" fontId="24" fillId="47" borderId="34" applyNumberFormat="0" applyAlignment="0" applyProtection="0"/>
    <xf numFmtId="0" fontId="28" fillId="38" borderId="34" applyNumberFormat="0" applyAlignment="0" applyProtection="0"/>
    <xf numFmtId="0" fontId="20" fillId="54" borderId="35" applyNumberFormat="0" applyFont="0" applyAlignment="0" applyProtection="0"/>
    <xf numFmtId="0" fontId="20" fillId="54" borderId="35" applyNumberFormat="0" applyFon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37" fillId="47" borderId="36" applyNumberFormat="0" applyAlignment="0" applyProtection="0"/>
    <xf numFmtId="0" fontId="43" fillId="0" borderId="37" applyNumberFormat="0" applyFill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58" fillId="0" borderId="0"/>
  </cellStyleXfs>
  <cellXfs count="545">
    <xf numFmtId="0" fontId="0" fillId="0" borderId="0" xfId="0"/>
    <xf numFmtId="0" fontId="16" fillId="58" borderId="0" xfId="0" applyFont="1" applyFill="1"/>
    <xf numFmtId="0" fontId="0" fillId="0" borderId="0" xfId="0" applyAlignment="1">
      <alignment horizontal="left"/>
    </xf>
    <xf numFmtId="0" fontId="0" fillId="55" borderId="0" xfId="0" applyFill="1" applyProtection="1">
      <protection hidden="1"/>
    </xf>
    <xf numFmtId="0" fontId="46" fillId="57" borderId="20" xfId="0" applyFont="1" applyFill="1" applyBorder="1" applyAlignment="1" applyProtection="1">
      <alignment horizontal="center" vertical="center" wrapText="1"/>
      <protection hidden="1"/>
    </xf>
    <xf numFmtId="0" fontId="49" fillId="58" borderId="0" xfId="0" applyFont="1" applyFill="1"/>
    <xf numFmtId="0" fontId="50" fillId="58" borderId="0" xfId="0" applyFont="1" applyFill="1"/>
    <xf numFmtId="0" fontId="49" fillId="0" borderId="0" xfId="0" applyFont="1"/>
    <xf numFmtId="0" fontId="48" fillId="62" borderId="27" xfId="367" applyFill="1" applyBorder="1"/>
    <xf numFmtId="0" fontId="0" fillId="55" borderId="0" xfId="0" applyFill="1" applyAlignment="1" applyProtection="1">
      <alignment horizontal="center" vertical="center"/>
      <protection hidden="1"/>
    </xf>
    <xf numFmtId="1" fontId="46" fillId="61" borderId="20" xfId="0" applyNumberFormat="1" applyFont="1" applyFill="1" applyBorder="1" applyAlignment="1" applyProtection="1">
      <alignment horizontal="center" vertical="center" wrapText="1"/>
      <protection hidden="1"/>
    </xf>
    <xf numFmtId="0" fontId="46" fillId="61" borderId="20" xfId="0" applyFont="1" applyFill="1" applyBorder="1" applyAlignment="1" applyProtection="1">
      <alignment horizontal="center" vertical="center" wrapText="1"/>
      <protection hidden="1"/>
    </xf>
    <xf numFmtId="0" fontId="50" fillId="57" borderId="21" xfId="0" applyFont="1" applyFill="1" applyBorder="1" applyAlignment="1" applyProtection="1">
      <alignment horizontal="center" vertical="center"/>
      <protection hidden="1"/>
    </xf>
    <xf numFmtId="1" fontId="16" fillId="55" borderId="20" xfId="0" applyNumberFormat="1" applyFont="1" applyFill="1" applyBorder="1" applyAlignment="1" applyProtection="1">
      <alignment horizontal="center" vertical="center" wrapText="1"/>
      <protection hidden="1"/>
    </xf>
    <xf numFmtId="2" fontId="16" fillId="55" borderId="20" xfId="368" applyNumberFormat="1" applyFont="1" applyFill="1" applyBorder="1" applyAlignment="1" applyProtection="1">
      <alignment horizontal="center" vertical="center" wrapText="1"/>
      <protection hidden="1"/>
    </xf>
    <xf numFmtId="0" fontId="46" fillId="60" borderId="20" xfId="0" applyFont="1" applyFill="1" applyBorder="1" applyAlignment="1" applyProtection="1">
      <alignment horizontal="center" vertical="center" wrapText="1"/>
      <protection hidden="1"/>
    </xf>
    <xf numFmtId="0" fontId="46" fillId="57" borderId="21" xfId="0" applyFont="1" applyFill="1" applyBorder="1" applyAlignment="1" applyProtection="1">
      <alignment horizontal="center" vertical="center" wrapText="1"/>
      <protection hidden="1"/>
    </xf>
    <xf numFmtId="177" fontId="46" fillId="57" borderId="21" xfId="0" applyNumberFormat="1" applyFont="1" applyFill="1" applyBorder="1" applyAlignment="1" applyProtection="1">
      <alignment horizontal="center" vertical="center" wrapText="1"/>
      <protection hidden="1"/>
    </xf>
    <xf numFmtId="1" fontId="46" fillId="60" borderId="20" xfId="0" applyNumberFormat="1" applyFont="1" applyFill="1" applyBorder="1" applyAlignment="1" applyProtection="1">
      <alignment horizontal="center" vertical="center" wrapText="1"/>
      <protection hidden="1"/>
    </xf>
    <xf numFmtId="0" fontId="0" fillId="58" borderId="0" xfId="0" applyFill="1"/>
    <xf numFmtId="0" fontId="0" fillId="0" borderId="0" xfId="0" applyAlignment="1">
      <alignment horizontal="center"/>
    </xf>
    <xf numFmtId="0" fontId="16" fillId="58" borderId="0" xfId="0" applyFont="1" applyFill="1" applyAlignment="1">
      <alignment horizontal="center"/>
    </xf>
    <xf numFmtId="0" fontId="16" fillId="57" borderId="44" xfId="0" applyFont="1" applyFill="1" applyBorder="1" applyAlignment="1">
      <alignment horizontal="center" vertical="center"/>
    </xf>
    <xf numFmtId="1" fontId="16" fillId="57" borderId="44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1" fontId="46" fillId="57" borderId="21" xfId="0" applyNumberFormat="1" applyFont="1" applyFill="1" applyBorder="1" applyAlignment="1" applyProtection="1">
      <alignment horizontal="center" vertical="center" wrapText="1"/>
      <protection hidden="1"/>
    </xf>
    <xf numFmtId="0" fontId="56" fillId="0" borderId="0" xfId="369" applyFont="1" applyFill="1" applyBorder="1" applyAlignment="1">
      <alignment horizontal="left" vertical="center"/>
    </xf>
    <xf numFmtId="0" fontId="59" fillId="58" borderId="44" xfId="405" applyFont="1" applyFill="1" applyBorder="1" applyAlignment="1" applyProtection="1">
      <alignment horizontal="center" vertical="center" wrapText="1"/>
    </xf>
    <xf numFmtId="0" fontId="59" fillId="59" borderId="44" xfId="405" applyFont="1" applyFill="1" applyBorder="1" applyAlignment="1" applyProtection="1">
      <alignment horizontal="center" vertical="center" wrapText="1"/>
    </xf>
    <xf numFmtId="0" fontId="59" fillId="56" borderId="44" xfId="405" applyFont="1" applyFill="1" applyBorder="1" applyAlignment="1" applyProtection="1">
      <alignment horizontal="center" vertical="center" wrapText="1"/>
    </xf>
    <xf numFmtId="0" fontId="59" fillId="56" borderId="44" xfId="405" applyNumberFormat="1" applyFont="1" applyFill="1" applyBorder="1" applyAlignment="1" applyProtection="1">
      <alignment horizontal="center" vertical="center" wrapText="1"/>
    </xf>
    <xf numFmtId="3" fontId="59" fillId="56" borderId="44" xfId="0" applyNumberFormat="1" applyFont="1" applyFill="1" applyBorder="1" applyAlignment="1" applyProtection="1">
      <alignment horizontal="center" vertical="center" textRotation="90" wrapText="1"/>
    </xf>
    <xf numFmtId="3" fontId="59" fillId="64" borderId="44" xfId="0" applyNumberFormat="1" applyFont="1" applyFill="1" applyBorder="1" applyAlignment="1" applyProtection="1">
      <alignment horizontal="center" vertical="center" wrapText="1"/>
    </xf>
    <xf numFmtId="0" fontId="1" fillId="0" borderId="0" xfId="0" applyFont="1" applyFill="1"/>
    <xf numFmtId="3" fontId="59" fillId="56" borderId="21" xfId="405" applyNumberFormat="1" applyFont="1" applyFill="1" applyBorder="1" applyAlignment="1" applyProtection="1">
      <alignment horizontal="center" vertical="center" textRotation="90" wrapText="1"/>
    </xf>
    <xf numFmtId="3" fontId="59" fillId="56" borderId="21" xfId="0" applyNumberFormat="1" applyFont="1" applyFill="1" applyBorder="1" applyAlignment="1" applyProtection="1">
      <alignment horizontal="center" vertical="center" textRotation="90" wrapText="1"/>
    </xf>
    <xf numFmtId="0" fontId="60" fillId="0" borderId="38" xfId="0" applyFont="1" applyBorder="1" applyAlignment="1">
      <alignment vertical="center" wrapText="1"/>
    </xf>
    <xf numFmtId="0" fontId="60" fillId="0" borderId="38" xfId="0" applyFont="1" applyBorder="1" applyAlignment="1">
      <alignment horizontal="center" vertical="center" wrapText="1"/>
    </xf>
    <xf numFmtId="0" fontId="59" fillId="65" borderId="47" xfId="0" applyFont="1" applyFill="1" applyBorder="1" applyAlignment="1">
      <alignment horizontal="center" vertical="center" wrapText="1"/>
    </xf>
    <xf numFmtId="0" fontId="59" fillId="65" borderId="47" xfId="0" applyFont="1" applyFill="1" applyBorder="1" applyAlignment="1">
      <alignment horizontal="center" vertical="center" textRotation="90" wrapText="1"/>
    </xf>
    <xf numFmtId="0" fontId="50" fillId="55" borderId="0" xfId="0" applyFont="1" applyFill="1" applyProtection="1">
      <protection hidden="1"/>
    </xf>
    <xf numFmtId="0" fontId="16" fillId="55" borderId="20" xfId="0" applyFont="1" applyFill="1" applyBorder="1" applyAlignment="1" applyProtection="1">
      <alignment horizontal="center" vertical="center" wrapText="1"/>
      <protection hidden="1"/>
    </xf>
    <xf numFmtId="0" fontId="16" fillId="55" borderId="20" xfId="0" applyFont="1" applyFill="1" applyBorder="1" applyAlignment="1" applyProtection="1">
      <alignment horizontal="center" vertical="center" wrapText="1"/>
      <protection locked="0"/>
    </xf>
    <xf numFmtId="14" fontId="16" fillId="55" borderId="20" xfId="0" applyNumberFormat="1" applyFont="1" applyFill="1" applyBorder="1" applyAlignment="1" applyProtection="1">
      <alignment horizontal="center" vertical="center" wrapText="1"/>
      <protection locked="0"/>
    </xf>
    <xf numFmtId="0" fontId="16" fillId="55" borderId="44" xfId="0" applyFont="1" applyFill="1" applyBorder="1" applyAlignment="1" applyProtection="1">
      <alignment horizontal="center" vertical="center" wrapText="1"/>
      <protection hidden="1"/>
    </xf>
    <xf numFmtId="0" fontId="16" fillId="55" borderId="49" xfId="0" applyFont="1" applyFill="1" applyBorder="1" applyAlignment="1" applyProtection="1">
      <alignment horizontal="center" vertical="center" wrapText="1"/>
      <protection hidden="1"/>
    </xf>
    <xf numFmtId="177" fontId="16" fillId="55" borderId="20" xfId="0" applyNumberFormat="1" applyFont="1" applyFill="1" applyBorder="1" applyAlignment="1" applyProtection="1">
      <alignment horizontal="center" vertical="center" wrapText="1"/>
      <protection locked="0"/>
    </xf>
    <xf numFmtId="9" fontId="16" fillId="55" borderId="20" xfId="0" applyNumberFormat="1" applyFont="1" applyFill="1" applyBorder="1" applyAlignment="1" applyProtection="1">
      <alignment horizontal="center" vertical="center" wrapText="1"/>
      <protection hidden="1"/>
    </xf>
    <xf numFmtId="1" fontId="46" fillId="57" borderId="44" xfId="0" applyNumberFormat="1" applyFont="1" applyFill="1" applyBorder="1" applyAlignment="1">
      <alignment horizontal="center" vertical="center"/>
    </xf>
    <xf numFmtId="1" fontId="64" fillId="56" borderId="21" xfId="0" applyNumberFormat="1" applyFont="1" applyFill="1" applyBorder="1" applyAlignment="1" applyProtection="1">
      <alignment horizontal="center" vertical="center" textRotation="90" wrapText="1"/>
    </xf>
    <xf numFmtId="1" fontId="47" fillId="0" borderId="0" xfId="0" applyNumberFormat="1" applyFont="1" applyAlignment="1">
      <alignment horizontal="center" vertical="center"/>
    </xf>
    <xf numFmtId="0" fontId="53" fillId="63" borderId="32" xfId="382" applyFont="1" applyFill="1" applyBorder="1" applyAlignment="1" applyProtection="1">
      <alignment horizontal="center" vertical="center" wrapText="1"/>
      <protection hidden="1"/>
    </xf>
    <xf numFmtId="0" fontId="53" fillId="63" borderId="32" xfId="208" applyFont="1" applyFill="1" applyBorder="1" applyAlignment="1" applyProtection="1">
      <alignment horizontal="center" vertical="center" wrapText="1"/>
      <protection hidden="1"/>
    </xf>
    <xf numFmtId="0" fontId="49" fillId="0" borderId="44" xfId="0" applyFont="1" applyFill="1" applyBorder="1" applyAlignment="1"/>
    <xf numFmtId="1" fontId="49" fillId="0" borderId="44" xfId="0" applyNumberFormat="1" applyFont="1" applyFill="1" applyBorder="1" applyAlignment="1">
      <alignment horizontal="center" vertical="center"/>
    </xf>
    <xf numFmtId="0" fontId="49" fillId="0" borderId="44" xfId="0" applyFont="1" applyFill="1" applyBorder="1" applyAlignment="1">
      <alignment horizontal="right"/>
    </xf>
    <xf numFmtId="0" fontId="0" fillId="0" borderId="44" xfId="0" applyFont="1" applyFill="1" applyBorder="1" applyAlignment="1"/>
    <xf numFmtId="1" fontId="0" fillId="0" borderId="44" xfId="0" applyNumberFormat="1" applyFont="1" applyFill="1" applyBorder="1" applyAlignment="1">
      <alignment horizontal="center" vertical="center"/>
    </xf>
    <xf numFmtId="0" fontId="49" fillId="0" borderId="44" xfId="0" applyFont="1" applyBorder="1" applyAlignment="1"/>
    <xf numFmtId="1" fontId="49" fillId="0" borderId="44" xfId="0" applyNumberFormat="1" applyFont="1" applyBorder="1" applyAlignment="1">
      <alignment horizontal="center" vertical="center"/>
    </xf>
    <xf numFmtId="0" fontId="49" fillId="0" borderId="44" xfId="0" applyFont="1" applyBorder="1" applyAlignment="1">
      <alignment horizontal="right"/>
    </xf>
    <xf numFmtId="0" fontId="0" fillId="0" borderId="44" xfId="0" applyFont="1" applyBorder="1"/>
    <xf numFmtId="1" fontId="0" fillId="0" borderId="44" xfId="0" applyNumberFormat="1" applyFont="1" applyBorder="1" applyAlignment="1">
      <alignment horizontal="center" vertical="center"/>
    </xf>
    <xf numFmtId="0" fontId="49" fillId="0" borderId="44" xfId="0" applyFont="1" applyFill="1" applyBorder="1" applyAlignment="1">
      <alignment horizontal="right" vertical="center"/>
    </xf>
    <xf numFmtId="0" fontId="0" fillId="0" borderId="44" xfId="0" applyFont="1" applyBorder="1" applyAlignment="1"/>
    <xf numFmtId="0" fontId="0" fillId="0" borderId="38" xfId="0" applyFont="1" applyBorder="1" applyAlignment="1">
      <alignment horizontal="center" vertical="center"/>
    </xf>
    <xf numFmtId="0" fontId="0" fillId="0" borderId="38" xfId="0" applyFont="1" applyBorder="1" applyAlignment="1">
      <alignment horizontal="center" vertical="center" wrapText="1"/>
    </xf>
    <xf numFmtId="0" fontId="60" fillId="68" borderId="48" xfId="0" applyFont="1" applyFill="1" applyBorder="1" applyAlignment="1">
      <alignment horizontal="center" vertical="center" wrapText="1"/>
    </xf>
    <xf numFmtId="0" fontId="60" fillId="68" borderId="38" xfId="0" applyFont="1" applyFill="1" applyBorder="1" applyAlignment="1">
      <alignment horizontal="center" vertical="center" wrapText="1"/>
    </xf>
    <xf numFmtId="1" fontId="60" fillId="0" borderId="38" xfId="0" applyNumberFormat="1" applyFont="1" applyBorder="1" applyAlignment="1">
      <alignment horizontal="center" vertical="center" wrapText="1"/>
    </xf>
    <xf numFmtId="0" fontId="60" fillId="0" borderId="38" xfId="0" applyFont="1" applyBorder="1" applyAlignment="1">
      <alignment horizontal="left" vertical="center" wrapText="1"/>
    </xf>
    <xf numFmtId="0" fontId="60" fillId="0" borderId="33" xfId="0" applyFont="1" applyBorder="1" applyAlignment="1">
      <alignment vertical="center" wrapText="1"/>
    </xf>
    <xf numFmtId="3" fontId="61" fillId="0" borderId="54" xfId="0" applyNumberFormat="1" applyFont="1" applyBorder="1" applyAlignment="1">
      <alignment horizontal="center" vertical="center" wrapText="1"/>
    </xf>
    <xf numFmtId="3" fontId="61" fillId="0" borderId="38" xfId="0" applyNumberFormat="1" applyFont="1" applyBorder="1" applyAlignment="1">
      <alignment horizontal="center" vertical="center" wrapText="1"/>
    </xf>
    <xf numFmtId="3" fontId="61" fillId="0" borderId="33" xfId="0" applyNumberFormat="1" applyFont="1" applyBorder="1" applyAlignment="1">
      <alignment horizontal="center" vertical="center" wrapText="1"/>
    </xf>
    <xf numFmtId="3" fontId="62" fillId="66" borderId="55" xfId="0" applyNumberFormat="1" applyFont="1" applyFill="1" applyBorder="1" applyAlignment="1">
      <alignment horizontal="center" vertical="center" wrapText="1"/>
    </xf>
    <xf numFmtId="3" fontId="62" fillId="67" borderId="48" xfId="0" applyNumberFormat="1" applyFont="1" applyFill="1" applyBorder="1" applyAlignment="1">
      <alignment horizontal="center" vertical="center" wrapText="1"/>
    </xf>
    <xf numFmtId="0" fontId="63" fillId="0" borderId="38" xfId="0" applyFont="1" applyBorder="1" applyAlignment="1">
      <alignment horizontal="center" vertical="center" wrapText="1"/>
    </xf>
    <xf numFmtId="0" fontId="63" fillId="0" borderId="38" xfId="0" applyFont="1" applyBorder="1" applyAlignment="1">
      <alignment vertical="center" wrapText="1"/>
    </xf>
    <xf numFmtId="0" fontId="0" fillId="0" borderId="0" xfId="0" applyFont="1" applyAlignment="1"/>
    <xf numFmtId="0" fontId="55" fillId="57" borderId="0" xfId="0" applyFont="1" applyFill="1" applyBorder="1" applyAlignment="1" applyProtection="1">
      <alignment horizontal="center" vertical="center"/>
      <protection hidden="1"/>
    </xf>
    <xf numFmtId="1" fontId="65" fillId="70" borderId="49" xfId="367" applyNumberFormat="1" applyFont="1" applyFill="1" applyBorder="1" applyAlignment="1"/>
    <xf numFmtId="0" fontId="60" fillId="66" borderId="48" xfId="0" applyFont="1" applyFill="1" applyBorder="1" applyAlignment="1">
      <alignment horizontal="center" vertical="center" wrapText="1"/>
    </xf>
    <xf numFmtId="0" fontId="60" fillId="71" borderId="38" xfId="0" applyFont="1" applyFill="1" applyBorder="1" applyAlignment="1">
      <alignment vertical="center" wrapText="1"/>
    </xf>
    <xf numFmtId="0" fontId="60" fillId="66" borderId="38" xfId="0" applyFont="1" applyFill="1" applyBorder="1" applyAlignment="1">
      <alignment vertical="center" wrapText="1"/>
    </xf>
    <xf numFmtId="1" fontId="60" fillId="66" borderId="38" xfId="0" applyNumberFormat="1" applyFont="1" applyFill="1" applyBorder="1" applyAlignment="1">
      <alignment horizontal="center" vertical="center" wrapText="1"/>
    </xf>
    <xf numFmtId="0" fontId="60" fillId="66" borderId="38" xfId="0" applyFont="1" applyFill="1" applyBorder="1" applyAlignment="1">
      <alignment horizontal="center" vertical="center" wrapText="1"/>
    </xf>
    <xf numFmtId="0" fontId="60" fillId="71" borderId="38" xfId="0" applyFont="1" applyFill="1" applyBorder="1" applyAlignment="1">
      <alignment horizontal="center" vertical="center" wrapText="1"/>
    </xf>
    <xf numFmtId="0" fontId="60" fillId="66" borderId="38" xfId="0" applyFont="1" applyFill="1" applyBorder="1" applyAlignment="1">
      <alignment horizontal="left" vertical="center" wrapText="1"/>
    </xf>
    <xf numFmtId="0" fontId="60" fillId="66" borderId="33" xfId="0" applyFont="1" applyFill="1" applyBorder="1" applyAlignment="1">
      <alignment vertical="center" wrapText="1"/>
    </xf>
    <xf numFmtId="3" fontId="61" fillId="66" borderId="54" xfId="0" applyNumberFormat="1" applyFont="1" applyFill="1" applyBorder="1" applyAlignment="1">
      <alignment horizontal="center" vertical="center" wrapText="1"/>
    </xf>
    <xf numFmtId="3" fontId="61" fillId="66" borderId="38" xfId="0" applyNumberFormat="1" applyFont="1" applyFill="1" applyBorder="1" applyAlignment="1">
      <alignment horizontal="center" vertical="center" wrapText="1"/>
    </xf>
    <xf numFmtId="3" fontId="62" fillId="66" borderId="48" xfId="0" applyNumberFormat="1" applyFont="1" applyFill="1" applyBorder="1" applyAlignment="1">
      <alignment horizontal="center" vertical="center" wrapText="1"/>
    </xf>
    <xf numFmtId="0" fontId="63" fillId="66" borderId="38" xfId="0" applyFont="1" applyFill="1" applyBorder="1" applyAlignment="1">
      <alignment horizontal="center" vertical="center" wrapText="1"/>
    </xf>
    <xf numFmtId="0" fontId="63" fillId="66" borderId="38" xfId="0" applyFont="1" applyFill="1" applyBorder="1" applyAlignment="1">
      <alignment vertical="center" wrapText="1"/>
    </xf>
    <xf numFmtId="0" fontId="52" fillId="0" borderId="38" xfId="0" applyFont="1" applyBorder="1" applyAlignment="1">
      <alignment horizontal="center" vertical="center" wrapText="1"/>
    </xf>
    <xf numFmtId="0" fontId="20" fillId="0" borderId="33" xfId="0" applyFont="1" applyBorder="1" applyAlignment="1">
      <alignment vertical="center" wrapText="1"/>
    </xf>
    <xf numFmtId="3" fontId="61" fillId="0" borderId="54" xfId="0" applyNumberFormat="1" applyFont="1" applyBorder="1" applyAlignment="1">
      <alignment horizontal="center" vertical="center"/>
    </xf>
    <xf numFmtId="3" fontId="61" fillId="0" borderId="38" xfId="0" applyNumberFormat="1" applyFont="1" applyBorder="1" applyAlignment="1">
      <alignment horizontal="center" vertical="center"/>
    </xf>
    <xf numFmtId="0" fontId="63" fillId="66" borderId="56" xfId="0" applyFont="1" applyFill="1" applyBorder="1" applyAlignment="1">
      <alignment horizontal="center" vertical="center" wrapText="1"/>
    </xf>
    <xf numFmtId="0" fontId="63" fillId="66" borderId="57" xfId="0" applyFont="1" applyFill="1" applyBorder="1" applyAlignment="1">
      <alignment horizontal="center" vertical="center" wrapText="1"/>
    </xf>
    <xf numFmtId="0" fontId="63" fillId="66" borderId="48" xfId="0" applyFont="1" applyFill="1" applyBorder="1" applyAlignment="1">
      <alignment horizontal="center" vertical="center" wrapText="1"/>
    </xf>
    <xf numFmtId="0" fontId="63" fillId="0" borderId="33" xfId="0" applyFont="1" applyBorder="1" applyAlignment="1">
      <alignment vertical="center" wrapText="1"/>
    </xf>
    <xf numFmtId="0" fontId="66" fillId="0" borderId="38" xfId="0" applyFont="1" applyBorder="1" applyAlignment="1">
      <alignment horizontal="center" vertical="center" wrapText="1"/>
    </xf>
    <xf numFmtId="3" fontId="61" fillId="68" borderId="54" xfId="0" applyNumberFormat="1" applyFont="1" applyFill="1" applyBorder="1" applyAlignment="1">
      <alignment horizontal="center" vertical="center" wrapText="1"/>
    </xf>
    <xf numFmtId="3" fontId="61" fillId="68" borderId="38" xfId="0" applyNumberFormat="1" applyFont="1" applyFill="1" applyBorder="1" applyAlignment="1">
      <alignment horizontal="center" vertical="center" wrapText="1"/>
    </xf>
    <xf numFmtId="1" fontId="61" fillId="68" borderId="38" xfId="0" applyNumberFormat="1" applyFont="1" applyFill="1" applyBorder="1" applyAlignment="1">
      <alignment horizontal="center" vertical="center" wrapText="1"/>
    </xf>
    <xf numFmtId="0" fontId="63" fillId="68" borderId="48" xfId="0" applyFont="1" applyFill="1" applyBorder="1" applyAlignment="1">
      <alignment horizontal="center" vertical="center" wrapText="1"/>
    </xf>
    <xf numFmtId="3" fontId="62" fillId="66" borderId="55" xfId="0" applyNumberFormat="1" applyFont="1" applyFill="1" applyBorder="1" applyAlignment="1">
      <alignment horizontal="center" vertical="center"/>
    </xf>
    <xf numFmtId="0" fontId="60" fillId="68" borderId="48" xfId="0" applyFont="1" applyFill="1" applyBorder="1" applyAlignment="1">
      <alignment horizontal="center" vertical="center"/>
    </xf>
    <xf numFmtId="0" fontId="60" fillId="0" borderId="38" xfId="0" applyFont="1" applyBorder="1" applyAlignment="1">
      <alignment vertical="center"/>
    </xf>
    <xf numFmtId="1" fontId="60" fillId="0" borderId="38" xfId="0" applyNumberFormat="1" applyFont="1" applyBorder="1" applyAlignment="1">
      <alignment vertical="center"/>
    </xf>
    <xf numFmtId="1" fontId="60" fillId="0" borderId="38" xfId="0" applyNumberFormat="1" applyFont="1" applyBorder="1" applyAlignment="1">
      <alignment horizontal="center" vertical="center"/>
    </xf>
    <xf numFmtId="0" fontId="60" fillId="0" borderId="38" xfId="0" applyFont="1" applyBorder="1" applyAlignment="1">
      <alignment horizontal="center" vertical="center"/>
    </xf>
    <xf numFmtId="0" fontId="60" fillId="0" borderId="38" xfId="0" applyFont="1" applyBorder="1" applyAlignment="1">
      <alignment horizontal="left" vertical="center"/>
    </xf>
    <xf numFmtId="0" fontId="60" fillId="0" borderId="33" xfId="0" applyFont="1" applyBorder="1" applyAlignment="1">
      <alignment vertical="center"/>
    </xf>
    <xf numFmtId="3" fontId="62" fillId="67" borderId="48" xfId="0" applyNumberFormat="1" applyFont="1" applyFill="1" applyBorder="1" applyAlignment="1">
      <alignment horizontal="center" vertical="center"/>
    </xf>
    <xf numFmtId="1" fontId="60" fillId="0" borderId="33" xfId="0" applyNumberFormat="1" applyFont="1" applyBorder="1" applyAlignment="1">
      <alignment horizontal="center" vertical="center"/>
    </xf>
    <xf numFmtId="0" fontId="63" fillId="0" borderId="38" xfId="0" applyFont="1" applyBorder="1"/>
    <xf numFmtId="0" fontId="60" fillId="66" borderId="48" xfId="0" applyFont="1" applyFill="1" applyBorder="1" applyAlignment="1">
      <alignment horizontal="center" vertical="center"/>
    </xf>
    <xf numFmtId="0" fontId="60" fillId="66" borderId="38" xfId="0" applyFont="1" applyFill="1" applyBorder="1" applyAlignment="1">
      <alignment vertical="center"/>
    </xf>
    <xf numFmtId="1" fontId="60" fillId="66" borderId="38" xfId="0" applyNumberFormat="1" applyFont="1" applyFill="1" applyBorder="1" applyAlignment="1">
      <alignment vertical="center"/>
    </xf>
    <xf numFmtId="1" fontId="60" fillId="66" borderId="38" xfId="0" applyNumberFormat="1" applyFont="1" applyFill="1" applyBorder="1" applyAlignment="1">
      <alignment horizontal="center" vertical="center"/>
    </xf>
    <xf numFmtId="0" fontId="60" fillId="66" borderId="38" xfId="0" applyFont="1" applyFill="1" applyBorder="1" applyAlignment="1">
      <alignment horizontal="center" vertical="center"/>
    </xf>
    <xf numFmtId="0" fontId="60" fillId="66" borderId="38" xfId="0" applyFont="1" applyFill="1" applyBorder="1" applyAlignment="1">
      <alignment horizontal="left" vertical="center"/>
    </xf>
    <xf numFmtId="0" fontId="60" fillId="66" borderId="33" xfId="0" applyFont="1" applyFill="1" applyBorder="1" applyAlignment="1">
      <alignment vertical="center"/>
    </xf>
    <xf numFmtId="3" fontId="61" fillId="66" borderId="54" xfId="0" applyNumberFormat="1" applyFont="1" applyFill="1" applyBorder="1" applyAlignment="1">
      <alignment horizontal="center" vertical="center"/>
    </xf>
    <xf numFmtId="3" fontId="61" fillId="66" borderId="38" xfId="0" applyNumberFormat="1" applyFont="1" applyFill="1" applyBorder="1" applyAlignment="1">
      <alignment horizontal="center" vertical="center"/>
    </xf>
    <xf numFmtId="1" fontId="60" fillId="66" borderId="33" xfId="0" applyNumberFormat="1" applyFont="1" applyFill="1" applyBorder="1" applyAlignment="1">
      <alignment horizontal="center" vertical="center"/>
    </xf>
    <xf numFmtId="3" fontId="61" fillId="68" borderId="54" xfId="0" applyNumberFormat="1" applyFont="1" applyFill="1" applyBorder="1" applyAlignment="1">
      <alignment horizontal="center" vertical="center"/>
    </xf>
    <xf numFmtId="3" fontId="61" fillId="68" borderId="38" xfId="0" applyNumberFormat="1" applyFont="1" applyFill="1" applyBorder="1" applyAlignment="1">
      <alignment horizontal="center" vertical="center"/>
    </xf>
    <xf numFmtId="0" fontId="63" fillId="0" borderId="33" xfId="0" applyFont="1" applyBorder="1" applyAlignment="1">
      <alignment horizontal="center" vertical="center"/>
    </xf>
    <xf numFmtId="0" fontId="60" fillId="72" borderId="38" xfId="0" applyFont="1" applyFill="1" applyBorder="1" applyAlignment="1">
      <alignment vertical="center"/>
    </xf>
    <xf numFmtId="0" fontId="60" fillId="72" borderId="38" xfId="0" applyFont="1" applyFill="1" applyBorder="1" applyAlignment="1">
      <alignment horizontal="center" vertical="center"/>
    </xf>
    <xf numFmtId="3" fontId="62" fillId="66" borderId="48" xfId="0" applyNumberFormat="1" applyFont="1" applyFill="1" applyBorder="1" applyAlignment="1">
      <alignment horizontal="center" vertical="center"/>
    </xf>
    <xf numFmtId="0" fontId="60" fillId="0" borderId="33" xfId="0" applyFont="1" applyBorder="1" applyAlignment="1">
      <alignment horizontal="center" vertical="center"/>
    </xf>
    <xf numFmtId="3" fontId="67" fillId="68" borderId="58" xfId="0" applyNumberFormat="1" applyFont="1" applyFill="1" applyBorder="1" applyAlignment="1">
      <alignment horizontal="center" vertical="top"/>
    </xf>
    <xf numFmtId="3" fontId="67" fillId="68" borderId="59" xfId="0" applyNumberFormat="1" applyFont="1" applyFill="1" applyBorder="1" applyAlignment="1">
      <alignment horizontal="center" vertical="top"/>
    </xf>
    <xf numFmtId="1" fontId="61" fillId="0" borderId="38" xfId="0" applyNumberFormat="1" applyFont="1" applyBorder="1" applyAlignment="1">
      <alignment horizontal="center" vertical="center"/>
    </xf>
    <xf numFmtId="0" fontId="63" fillId="0" borderId="38" xfId="0" applyFont="1" applyBorder="1" applyAlignment="1">
      <alignment vertical="center"/>
    </xf>
    <xf numFmtId="1" fontId="63" fillId="0" borderId="38" xfId="0" applyNumberFormat="1" applyFont="1" applyBorder="1" applyAlignment="1">
      <alignment vertical="center"/>
    </xf>
    <xf numFmtId="1" fontId="61" fillId="0" borderId="57" xfId="0" applyNumberFormat="1" applyFont="1" applyBorder="1" applyAlignment="1">
      <alignment horizontal="center" vertical="center"/>
    </xf>
    <xf numFmtId="0" fontId="60" fillId="0" borderId="60" xfId="0" applyFont="1" applyBorder="1" applyAlignment="1">
      <alignment vertical="center"/>
    </xf>
    <xf numFmtId="0" fontId="60" fillId="0" borderId="60" xfId="0" applyFont="1" applyBorder="1" applyAlignment="1">
      <alignment horizontal="center" vertical="center"/>
    </xf>
    <xf numFmtId="0" fontId="60" fillId="68" borderId="38" xfId="0" applyFont="1" applyFill="1" applyBorder="1" applyAlignment="1">
      <alignment vertical="center"/>
    </xf>
    <xf numFmtId="0" fontId="60" fillId="68" borderId="38" xfId="0" applyFont="1" applyFill="1" applyBorder="1" applyAlignment="1">
      <alignment horizontal="left" vertical="center"/>
    </xf>
    <xf numFmtId="1" fontId="60" fillId="68" borderId="38" xfId="0" applyNumberFormat="1" applyFont="1" applyFill="1" applyBorder="1" applyAlignment="1">
      <alignment horizontal="center" vertical="center"/>
    </xf>
    <xf numFmtId="0" fontId="60" fillId="68" borderId="38" xfId="0" applyFont="1" applyFill="1" applyBorder="1" applyAlignment="1">
      <alignment horizontal="center" vertical="center"/>
    </xf>
    <xf numFmtId="0" fontId="60" fillId="68" borderId="33" xfId="0" applyFont="1" applyFill="1" applyBorder="1" applyAlignment="1">
      <alignment vertical="center"/>
    </xf>
    <xf numFmtId="0" fontId="63" fillId="68" borderId="38" xfId="0" applyFont="1" applyFill="1" applyBorder="1" applyAlignment="1">
      <alignment vertical="center" wrapText="1"/>
    </xf>
    <xf numFmtId="0" fontId="60" fillId="68" borderId="61" xfId="0" applyFont="1" applyFill="1" applyBorder="1" applyAlignment="1">
      <alignment horizontal="center" vertical="center"/>
    </xf>
    <xf numFmtId="0" fontId="60" fillId="0" borderId="56" xfId="0" applyFont="1" applyBorder="1" applyAlignment="1">
      <alignment horizontal="left" vertical="center"/>
    </xf>
    <xf numFmtId="1" fontId="60" fillId="0" borderId="56" xfId="0" applyNumberFormat="1" applyFont="1" applyBorder="1" applyAlignment="1">
      <alignment horizontal="center" vertical="center"/>
    </xf>
    <xf numFmtId="0" fontId="60" fillId="0" borderId="56" xfId="0" applyFont="1" applyBorder="1" applyAlignment="1">
      <alignment horizontal="center" vertical="center"/>
    </xf>
    <xf numFmtId="0" fontId="60" fillId="0" borderId="56" xfId="0" applyFont="1" applyBorder="1" applyAlignment="1">
      <alignment vertical="center"/>
    </xf>
    <xf numFmtId="0" fontId="60" fillId="0" borderId="62" xfId="0" applyFont="1" applyBorder="1" applyAlignment="1">
      <alignment vertical="center"/>
    </xf>
    <xf numFmtId="3" fontId="61" fillId="0" borderId="63" xfId="0" applyNumberFormat="1" applyFont="1" applyBorder="1" applyAlignment="1">
      <alignment horizontal="center" vertical="center"/>
    </xf>
    <xf numFmtId="3" fontId="61" fillId="0" borderId="56" xfId="0" applyNumberFormat="1" applyFont="1" applyBorder="1" applyAlignment="1">
      <alignment horizontal="center" vertical="center"/>
    </xf>
    <xf numFmtId="3" fontId="62" fillId="66" borderId="64" xfId="0" applyNumberFormat="1" applyFont="1" applyFill="1" applyBorder="1" applyAlignment="1">
      <alignment horizontal="center" vertical="center"/>
    </xf>
    <xf numFmtId="3" fontId="62" fillId="67" borderId="61" xfId="0" applyNumberFormat="1" applyFont="1" applyFill="1" applyBorder="1" applyAlignment="1">
      <alignment horizontal="center" vertical="center"/>
    </xf>
    <xf numFmtId="0" fontId="63" fillId="0" borderId="56" xfId="0" applyFont="1" applyBorder="1" applyAlignment="1">
      <alignment vertical="center"/>
    </xf>
    <xf numFmtId="0" fontId="60" fillId="66" borderId="65" xfId="0" applyFont="1" applyFill="1" applyBorder="1" applyAlignment="1">
      <alignment horizontal="center" vertical="center"/>
    </xf>
    <xf numFmtId="0" fontId="60" fillId="66" borderId="66" xfId="0" applyFont="1" applyFill="1" applyBorder="1" applyAlignment="1">
      <alignment horizontal="left" vertical="center"/>
    </xf>
    <xf numFmtId="1" fontId="60" fillId="66" borderId="66" xfId="0" applyNumberFormat="1" applyFont="1" applyFill="1" applyBorder="1" applyAlignment="1">
      <alignment horizontal="center" vertical="center"/>
    </xf>
    <xf numFmtId="0" fontId="60" fillId="66" borderId="66" xfId="0" applyFont="1" applyFill="1" applyBorder="1" applyAlignment="1">
      <alignment horizontal="center" vertical="center"/>
    </xf>
    <xf numFmtId="0" fontId="60" fillId="66" borderId="66" xfId="0" applyFont="1" applyFill="1" applyBorder="1" applyAlignment="1">
      <alignment vertical="center"/>
    </xf>
    <xf numFmtId="0" fontId="60" fillId="66" borderId="67" xfId="0" applyFont="1" applyFill="1" applyBorder="1" applyAlignment="1">
      <alignment vertical="center"/>
    </xf>
    <xf numFmtId="3" fontId="61" fillId="66" borderId="68" xfId="0" applyNumberFormat="1" applyFont="1" applyFill="1" applyBorder="1" applyAlignment="1">
      <alignment horizontal="center" vertical="center"/>
    </xf>
    <xf numFmtId="3" fontId="61" fillId="66" borderId="66" xfId="0" applyNumberFormat="1" applyFont="1" applyFill="1" applyBorder="1" applyAlignment="1">
      <alignment horizontal="center" vertical="center"/>
    </xf>
    <xf numFmtId="3" fontId="62" fillId="66" borderId="69" xfId="0" applyNumberFormat="1" applyFont="1" applyFill="1" applyBorder="1" applyAlignment="1">
      <alignment horizontal="center" vertical="center"/>
    </xf>
    <xf numFmtId="3" fontId="62" fillId="66" borderId="65" xfId="0" applyNumberFormat="1" applyFont="1" applyFill="1" applyBorder="1" applyAlignment="1">
      <alignment horizontal="center" vertical="center"/>
    </xf>
    <xf numFmtId="1" fontId="61" fillId="66" borderId="66" xfId="0" applyNumberFormat="1" applyFont="1" applyFill="1" applyBorder="1" applyAlignment="1">
      <alignment horizontal="center" vertical="center"/>
    </xf>
    <xf numFmtId="1" fontId="61" fillId="66" borderId="66" xfId="0" applyNumberFormat="1" applyFont="1" applyFill="1" applyBorder="1" applyAlignment="1">
      <alignment horizontal="center" vertical="center" wrapText="1"/>
    </xf>
    <xf numFmtId="0" fontId="60" fillId="66" borderId="70" xfId="0" applyFont="1" applyFill="1" applyBorder="1" applyAlignment="1">
      <alignment horizontal="center" vertical="center"/>
    </xf>
    <xf numFmtId="0" fontId="60" fillId="66" borderId="60" xfId="0" applyFont="1" applyFill="1" applyBorder="1" applyAlignment="1">
      <alignment horizontal="left" vertical="center"/>
    </xf>
    <xf numFmtId="1" fontId="60" fillId="66" borderId="60" xfId="0" applyNumberFormat="1" applyFont="1" applyFill="1" applyBorder="1" applyAlignment="1">
      <alignment horizontal="center" vertical="center"/>
    </xf>
    <xf numFmtId="0" fontId="60" fillId="66" borderId="60" xfId="0" applyFont="1" applyFill="1" applyBorder="1" applyAlignment="1">
      <alignment horizontal="center" vertical="center"/>
    </xf>
    <xf numFmtId="0" fontId="60" fillId="66" borderId="60" xfId="0" applyFont="1" applyFill="1" applyBorder="1" applyAlignment="1">
      <alignment vertical="center"/>
    </xf>
    <xf numFmtId="0" fontId="60" fillId="66" borderId="71" xfId="0" applyFont="1" applyFill="1" applyBorder="1" applyAlignment="1">
      <alignment vertical="center"/>
    </xf>
    <xf numFmtId="3" fontId="61" fillId="66" borderId="72" xfId="0" applyNumberFormat="1" applyFont="1" applyFill="1" applyBorder="1" applyAlignment="1">
      <alignment horizontal="center" vertical="center"/>
    </xf>
    <xf numFmtId="3" fontId="61" fillId="66" borderId="60" xfId="0" applyNumberFormat="1" applyFont="1" applyFill="1" applyBorder="1" applyAlignment="1">
      <alignment horizontal="center" vertical="center"/>
    </xf>
    <xf numFmtId="3" fontId="62" fillId="66" borderId="73" xfId="0" applyNumberFormat="1" applyFont="1" applyFill="1" applyBorder="1" applyAlignment="1">
      <alignment horizontal="center" vertical="center"/>
    </xf>
    <xf numFmtId="3" fontId="62" fillId="66" borderId="70" xfId="0" applyNumberFormat="1" applyFont="1" applyFill="1" applyBorder="1" applyAlignment="1">
      <alignment horizontal="center" vertical="center"/>
    </xf>
    <xf numFmtId="0" fontId="63" fillId="66" borderId="71" xfId="0" applyFont="1" applyFill="1" applyBorder="1" applyAlignment="1">
      <alignment vertical="center" wrapText="1"/>
    </xf>
    <xf numFmtId="0" fontId="60" fillId="68" borderId="59" xfId="0" applyFont="1" applyFill="1" applyBorder="1" applyAlignment="1">
      <alignment horizontal="center" vertical="center"/>
    </xf>
    <xf numFmtId="0" fontId="60" fillId="0" borderId="57" xfId="0" applyFont="1" applyBorder="1" applyAlignment="1">
      <alignment horizontal="left" vertical="center"/>
    </xf>
    <xf numFmtId="1" fontId="60" fillId="0" borderId="57" xfId="0" applyNumberFormat="1" applyFont="1" applyBorder="1" applyAlignment="1">
      <alignment horizontal="center" vertical="center"/>
    </xf>
    <xf numFmtId="0" fontId="60" fillId="0" borderId="57" xfId="0" applyFont="1" applyBorder="1" applyAlignment="1">
      <alignment horizontal="center" vertical="center"/>
    </xf>
    <xf numFmtId="0" fontId="60" fillId="0" borderId="57" xfId="0" applyFont="1" applyBorder="1" applyAlignment="1">
      <alignment vertical="center"/>
    </xf>
    <xf numFmtId="0" fontId="60" fillId="0" borderId="74" xfId="0" applyFont="1" applyBorder="1" applyAlignment="1">
      <alignment vertical="center"/>
    </xf>
    <xf numFmtId="3" fontId="61" fillId="0" borderId="58" xfId="0" applyNumberFormat="1" applyFont="1" applyBorder="1" applyAlignment="1">
      <alignment horizontal="center" vertical="center"/>
    </xf>
    <xf numFmtId="3" fontId="61" fillId="0" borderId="57" xfId="0" applyNumberFormat="1" applyFont="1" applyBorder="1" applyAlignment="1">
      <alignment horizontal="center" vertical="center"/>
    </xf>
    <xf numFmtId="3" fontId="62" fillId="66" borderId="75" xfId="0" applyNumberFormat="1" applyFont="1" applyFill="1" applyBorder="1" applyAlignment="1">
      <alignment horizontal="center" vertical="center"/>
    </xf>
    <xf numFmtId="3" fontId="62" fillId="67" borderId="59" xfId="0" applyNumberFormat="1" applyFont="1" applyFill="1" applyBorder="1" applyAlignment="1">
      <alignment horizontal="center" vertical="center"/>
    </xf>
    <xf numFmtId="0" fontId="63" fillId="0" borderId="57" xfId="0" applyFont="1" applyBorder="1" applyAlignment="1">
      <alignment vertical="center"/>
    </xf>
    <xf numFmtId="0" fontId="60" fillId="0" borderId="38" xfId="0" applyFont="1" applyBorder="1" applyAlignment="1">
      <alignment wrapText="1"/>
    </xf>
    <xf numFmtId="0" fontId="68" fillId="0" borderId="33" xfId="0" applyFont="1" applyBorder="1" applyAlignment="1">
      <alignment wrapText="1"/>
    </xf>
    <xf numFmtId="0" fontId="60" fillId="0" borderId="33" xfId="0" applyFont="1" applyBorder="1" applyAlignment="1">
      <alignment wrapText="1"/>
    </xf>
    <xf numFmtId="0" fontId="63" fillId="68" borderId="38" xfId="0" applyFont="1" applyFill="1" applyBorder="1" applyAlignment="1">
      <alignment horizontal="center" vertical="center" wrapText="1"/>
    </xf>
    <xf numFmtId="0" fontId="0" fillId="73" borderId="38" xfId="0" applyFont="1" applyFill="1" applyBorder="1" applyAlignment="1">
      <alignment horizontal="center" vertical="center"/>
    </xf>
    <xf numFmtId="0" fontId="52" fillId="73" borderId="38" xfId="0" applyFont="1" applyFill="1" applyBorder="1" applyAlignment="1">
      <alignment horizontal="center" vertical="center" wrapText="1"/>
    </xf>
    <xf numFmtId="0" fontId="60" fillId="73" borderId="48" xfId="0" applyFont="1" applyFill="1" applyBorder="1" applyAlignment="1">
      <alignment horizontal="center" vertical="center" wrapText="1"/>
    </xf>
    <xf numFmtId="0" fontId="60" fillId="73" borderId="38" xfId="0" applyFont="1" applyFill="1" applyBorder="1" applyAlignment="1"/>
    <xf numFmtId="1" fontId="60" fillId="73" borderId="38" xfId="0" applyNumberFormat="1" applyFont="1" applyFill="1" applyBorder="1" applyAlignment="1">
      <alignment horizontal="center"/>
    </xf>
    <xf numFmtId="0" fontId="60" fillId="73" borderId="38" xfId="0" applyFont="1" applyFill="1" applyBorder="1" applyAlignment="1">
      <alignment horizontal="center" vertical="center" wrapText="1"/>
    </xf>
    <xf numFmtId="0" fontId="63" fillId="73" borderId="38" xfId="0" applyFont="1" applyFill="1" applyBorder="1" applyAlignment="1">
      <alignment vertical="center" wrapText="1"/>
    </xf>
    <xf numFmtId="0" fontId="60" fillId="73" borderId="38" xfId="0" applyFont="1" applyFill="1" applyBorder="1" applyAlignment="1">
      <alignment vertical="center" wrapText="1"/>
    </xf>
    <xf numFmtId="0" fontId="60" fillId="73" borderId="33" xfId="0" applyFont="1" applyFill="1" applyBorder="1" applyAlignment="1">
      <alignment vertical="center" wrapText="1"/>
    </xf>
    <xf numFmtId="3" fontId="61" fillId="73" borderId="54" xfId="0" applyNumberFormat="1" applyFont="1" applyFill="1" applyBorder="1" applyAlignment="1">
      <alignment horizontal="center" vertical="center" wrapText="1"/>
    </xf>
    <xf numFmtId="3" fontId="61" fillId="73" borderId="38" xfId="0" applyNumberFormat="1" applyFont="1" applyFill="1" applyBorder="1" applyAlignment="1">
      <alignment horizontal="center" vertical="center" wrapText="1"/>
    </xf>
    <xf numFmtId="3" fontId="61" fillId="73" borderId="33" xfId="0" applyNumberFormat="1" applyFont="1" applyFill="1" applyBorder="1" applyAlignment="1">
      <alignment horizontal="center" vertical="center"/>
    </xf>
    <xf numFmtId="3" fontId="61" fillId="73" borderId="33" xfId="0" applyNumberFormat="1" applyFont="1" applyFill="1" applyBorder="1" applyAlignment="1">
      <alignment horizontal="center" vertical="top" wrapText="1"/>
    </xf>
    <xf numFmtId="3" fontId="62" fillId="73" borderId="55" xfId="0" applyNumberFormat="1" applyFont="1" applyFill="1" applyBorder="1" applyAlignment="1">
      <alignment horizontal="center" vertical="center" wrapText="1"/>
    </xf>
    <xf numFmtId="3" fontId="61" fillId="73" borderId="33" xfId="0" applyNumberFormat="1" applyFont="1" applyFill="1" applyBorder="1" applyAlignment="1">
      <alignment horizontal="center" vertical="center" wrapText="1"/>
    </xf>
    <xf numFmtId="3" fontId="62" fillId="74" borderId="48" xfId="0" applyNumberFormat="1" applyFont="1" applyFill="1" applyBorder="1" applyAlignment="1">
      <alignment horizontal="center" vertical="center" wrapText="1"/>
    </xf>
    <xf numFmtId="0" fontId="0" fillId="73" borderId="56" xfId="0" applyFont="1" applyFill="1" applyBorder="1"/>
    <xf numFmtId="0" fontId="0" fillId="58" borderId="38" xfId="0" applyFont="1" applyFill="1" applyBorder="1" applyAlignment="1">
      <alignment horizontal="center" vertical="center"/>
    </xf>
    <xf numFmtId="0" fontId="0" fillId="58" borderId="38" xfId="0" applyFont="1" applyFill="1" applyBorder="1" applyAlignment="1">
      <alignment horizontal="center" vertical="center" wrapText="1"/>
    </xf>
    <xf numFmtId="0" fontId="0" fillId="73" borderId="38" xfId="0" applyFont="1" applyFill="1" applyBorder="1" applyAlignment="1">
      <alignment horizontal="center" vertical="center" wrapText="1"/>
    </xf>
    <xf numFmtId="3" fontId="61" fillId="58" borderId="33" xfId="0" applyNumberFormat="1" applyFont="1" applyFill="1" applyBorder="1" applyAlignment="1">
      <alignment horizontal="center" vertical="center" wrapText="1"/>
    </xf>
    <xf numFmtId="0" fontId="60" fillId="75" borderId="48" xfId="0" applyFont="1" applyFill="1" applyBorder="1" applyAlignment="1">
      <alignment horizontal="center" vertical="center"/>
    </xf>
    <xf numFmtId="0" fontId="60" fillId="58" borderId="38" xfId="0" applyFont="1" applyFill="1" applyBorder="1" applyAlignment="1">
      <alignment vertical="center"/>
    </xf>
    <xf numFmtId="0" fontId="60" fillId="58" borderId="38" xfId="0" applyFont="1" applyFill="1" applyBorder="1" applyAlignment="1">
      <alignment horizontal="left" vertical="center"/>
    </xf>
    <xf numFmtId="1" fontId="60" fillId="58" borderId="38" xfId="0" applyNumberFormat="1" applyFont="1" applyFill="1" applyBorder="1" applyAlignment="1">
      <alignment horizontal="center" vertical="center"/>
    </xf>
    <xf numFmtId="0" fontId="60" fillId="58" borderId="38" xfId="0" applyFont="1" applyFill="1" applyBorder="1" applyAlignment="1">
      <alignment horizontal="center" vertical="center"/>
    </xf>
    <xf numFmtId="0" fontId="60" fillId="58" borderId="33" xfId="0" applyFont="1" applyFill="1" applyBorder="1" applyAlignment="1">
      <alignment vertical="center"/>
    </xf>
    <xf numFmtId="3" fontId="61" fillId="58" borderId="54" xfId="0" applyNumberFormat="1" applyFont="1" applyFill="1" applyBorder="1" applyAlignment="1">
      <alignment horizontal="center" vertical="center"/>
    </xf>
    <xf numFmtId="3" fontId="61" fillId="58" borderId="38" xfId="0" applyNumberFormat="1" applyFont="1" applyFill="1" applyBorder="1" applyAlignment="1">
      <alignment horizontal="center" vertical="center"/>
    </xf>
    <xf numFmtId="3" fontId="62" fillId="76" borderId="55" xfId="0" applyNumberFormat="1" applyFont="1" applyFill="1" applyBorder="1" applyAlignment="1">
      <alignment horizontal="center" vertical="center"/>
    </xf>
    <xf numFmtId="1" fontId="61" fillId="58" borderId="38" xfId="0" applyNumberFormat="1" applyFont="1" applyFill="1" applyBorder="1" applyAlignment="1">
      <alignment horizontal="center" vertical="center"/>
    </xf>
    <xf numFmtId="0" fontId="52" fillId="58" borderId="38" xfId="0" applyFont="1" applyFill="1" applyBorder="1" applyAlignment="1">
      <alignment horizontal="center" vertical="center" wrapText="1"/>
    </xf>
    <xf numFmtId="1" fontId="61" fillId="58" borderId="54" xfId="0" applyNumberFormat="1" applyFont="1" applyFill="1" applyBorder="1" applyAlignment="1">
      <alignment horizontal="center" vertical="center"/>
    </xf>
    <xf numFmtId="1" fontId="61" fillId="58" borderId="33" xfId="0" applyNumberFormat="1" applyFont="1" applyFill="1" applyBorder="1" applyAlignment="1">
      <alignment horizontal="center" vertical="center" wrapText="1"/>
    </xf>
    <xf numFmtId="1" fontId="62" fillId="76" borderId="55" xfId="0" applyNumberFormat="1" applyFont="1" applyFill="1" applyBorder="1" applyAlignment="1">
      <alignment horizontal="center" vertical="center"/>
    </xf>
    <xf numFmtId="1" fontId="62" fillId="74" borderId="48" xfId="0" applyNumberFormat="1" applyFont="1" applyFill="1" applyBorder="1" applyAlignment="1">
      <alignment horizontal="center" vertical="center"/>
    </xf>
    <xf numFmtId="0" fontId="63" fillId="58" borderId="38" xfId="0" applyFont="1" applyFill="1" applyBorder="1"/>
    <xf numFmtId="0" fontId="60" fillId="76" borderId="48" xfId="0" applyFont="1" applyFill="1" applyBorder="1" applyAlignment="1">
      <alignment horizontal="center" vertical="center"/>
    </xf>
    <xf numFmtId="0" fontId="60" fillId="76" borderId="38" xfId="0" applyFont="1" applyFill="1" applyBorder="1" applyAlignment="1">
      <alignment vertical="center"/>
    </xf>
    <xf numFmtId="1" fontId="60" fillId="76" borderId="38" xfId="0" applyNumberFormat="1" applyFont="1" applyFill="1" applyBorder="1" applyAlignment="1">
      <alignment vertical="center"/>
    </xf>
    <xf numFmtId="1" fontId="60" fillId="76" borderId="38" xfId="0" applyNumberFormat="1" applyFont="1" applyFill="1" applyBorder="1" applyAlignment="1">
      <alignment horizontal="center" vertical="center"/>
    </xf>
    <xf numFmtId="0" fontId="60" fillId="76" borderId="38" xfId="0" applyFont="1" applyFill="1" applyBorder="1" applyAlignment="1">
      <alignment horizontal="center" vertical="center"/>
    </xf>
    <xf numFmtId="0" fontId="60" fillId="76" borderId="38" xfId="0" applyFont="1" applyFill="1" applyBorder="1" applyAlignment="1">
      <alignment horizontal="left" vertical="center"/>
    </xf>
    <xf numFmtId="0" fontId="60" fillId="76" borderId="33" xfId="0" applyFont="1" applyFill="1" applyBorder="1" applyAlignment="1">
      <alignment vertical="center"/>
    </xf>
    <xf numFmtId="3" fontId="61" fillId="76" borderId="54" xfId="0" applyNumberFormat="1" applyFont="1" applyFill="1" applyBorder="1" applyAlignment="1">
      <alignment horizontal="center" vertical="center"/>
    </xf>
    <xf numFmtId="3" fontId="61" fillId="76" borderId="38" xfId="0" applyNumberFormat="1" applyFont="1" applyFill="1" applyBorder="1" applyAlignment="1">
      <alignment horizontal="center" vertical="center"/>
    </xf>
    <xf numFmtId="3" fontId="61" fillId="58" borderId="33" xfId="0" applyNumberFormat="1" applyFont="1" applyFill="1" applyBorder="1" applyAlignment="1">
      <alignment horizontal="center" vertical="center"/>
    </xf>
    <xf numFmtId="3" fontId="62" fillId="74" borderId="48" xfId="0" applyNumberFormat="1" applyFont="1" applyFill="1" applyBorder="1" applyAlignment="1">
      <alignment horizontal="center" vertical="center"/>
    </xf>
    <xf numFmtId="0" fontId="0" fillId="58" borderId="38" xfId="0" applyFont="1" applyFill="1" applyBorder="1"/>
    <xf numFmtId="0" fontId="60" fillId="58" borderId="48" xfId="0" applyFont="1" applyFill="1" applyBorder="1" applyAlignment="1">
      <alignment horizontal="center" vertical="center" wrapText="1"/>
    </xf>
    <xf numFmtId="0" fontId="60" fillId="58" borderId="38" xfId="0" applyFont="1" applyFill="1" applyBorder="1" applyAlignment="1">
      <alignment vertical="center" wrapText="1"/>
    </xf>
    <xf numFmtId="1" fontId="60" fillId="58" borderId="38" xfId="0" applyNumberFormat="1" applyFont="1" applyFill="1" applyBorder="1" applyAlignment="1">
      <alignment horizontal="center" vertical="center" wrapText="1"/>
    </xf>
    <xf numFmtId="0" fontId="60" fillId="58" borderId="38" xfId="0" applyFont="1" applyFill="1" applyBorder="1" applyAlignment="1">
      <alignment horizontal="center" vertical="center" wrapText="1"/>
    </xf>
    <xf numFmtId="0" fontId="60" fillId="58" borderId="38" xfId="0" applyFont="1" applyFill="1" applyBorder="1" applyAlignment="1">
      <alignment horizontal="left" vertical="center" wrapText="1"/>
    </xf>
    <xf numFmtId="0" fontId="60" fillId="58" borderId="33" xfId="0" applyFont="1" applyFill="1" applyBorder="1" applyAlignment="1">
      <alignment vertical="center" wrapText="1"/>
    </xf>
    <xf numFmtId="3" fontId="61" fillId="58" borderId="54" xfId="0" applyNumberFormat="1" applyFont="1" applyFill="1" applyBorder="1" applyAlignment="1">
      <alignment horizontal="center" vertical="center" wrapText="1"/>
    </xf>
    <xf numFmtId="3" fontId="61" fillId="58" borderId="38" xfId="0" applyNumberFormat="1" applyFont="1" applyFill="1" applyBorder="1" applyAlignment="1">
      <alignment horizontal="center" vertical="center" wrapText="1"/>
    </xf>
    <xf numFmtId="3" fontId="62" fillId="58" borderId="55" xfId="0" applyNumberFormat="1" applyFont="1" applyFill="1" applyBorder="1" applyAlignment="1">
      <alignment horizontal="center" vertical="center" wrapText="1"/>
    </xf>
    <xf numFmtId="3" fontId="62" fillId="58" borderId="48" xfId="0" applyNumberFormat="1" applyFont="1" applyFill="1" applyBorder="1" applyAlignment="1">
      <alignment horizontal="center" vertical="center" wrapText="1"/>
    </xf>
    <xf numFmtId="0" fontId="63" fillId="58" borderId="38" xfId="0" applyFont="1" applyFill="1" applyBorder="1" applyAlignment="1">
      <alignment horizontal="center" vertical="center" wrapText="1"/>
    </xf>
    <xf numFmtId="0" fontId="63" fillId="58" borderId="38" xfId="0" applyFont="1" applyFill="1" applyBorder="1" applyAlignment="1">
      <alignment vertical="center" wrapText="1"/>
    </xf>
    <xf numFmtId="3" fontId="62" fillId="76" borderId="55" xfId="0" applyNumberFormat="1" applyFont="1" applyFill="1" applyBorder="1" applyAlignment="1">
      <alignment horizontal="center" vertical="center" wrapText="1"/>
    </xf>
    <xf numFmtId="1" fontId="60" fillId="71" borderId="38" xfId="0" applyNumberFormat="1" applyFont="1" applyFill="1" applyBorder="1" applyAlignment="1">
      <alignment horizontal="center" vertical="center" wrapText="1"/>
    </xf>
    <xf numFmtId="0" fontId="60" fillId="71" borderId="38" xfId="0" applyFont="1" applyFill="1" applyBorder="1" applyAlignment="1">
      <alignment horizontal="left" vertical="center" wrapText="1"/>
    </xf>
    <xf numFmtId="0" fontId="60" fillId="71" borderId="33" xfId="0" applyFont="1" applyFill="1" applyBorder="1" applyAlignment="1">
      <alignment vertical="center" wrapText="1"/>
    </xf>
    <xf numFmtId="1" fontId="61" fillId="71" borderId="54" xfId="0" applyNumberFormat="1" applyFont="1" applyFill="1" applyBorder="1" applyAlignment="1">
      <alignment horizontal="center" vertical="center" wrapText="1"/>
    </xf>
    <xf numFmtId="1" fontId="61" fillId="71" borderId="38" xfId="0" applyNumberFormat="1" applyFont="1" applyFill="1" applyBorder="1" applyAlignment="1">
      <alignment horizontal="center" vertical="center" wrapText="1"/>
    </xf>
    <xf numFmtId="1" fontId="61" fillId="0" borderId="33" xfId="0" applyNumberFormat="1" applyFont="1" applyBorder="1" applyAlignment="1">
      <alignment horizontal="center" vertical="center" wrapText="1"/>
    </xf>
    <xf numFmtId="1" fontId="62" fillId="66" borderId="55" xfId="0" applyNumberFormat="1" applyFont="1" applyFill="1" applyBorder="1" applyAlignment="1">
      <alignment horizontal="center" vertical="center" wrapText="1"/>
    </xf>
    <xf numFmtId="1" fontId="62" fillId="67" borderId="48" xfId="0" applyNumberFormat="1" applyFont="1" applyFill="1" applyBorder="1" applyAlignment="1">
      <alignment horizontal="center" vertical="center" wrapText="1"/>
    </xf>
    <xf numFmtId="0" fontId="63" fillId="71" borderId="38" xfId="0" applyFont="1" applyFill="1" applyBorder="1" applyAlignment="1">
      <alignment horizontal="center" vertical="center" wrapText="1"/>
    </xf>
    <xf numFmtId="0" fontId="63" fillId="71" borderId="38" xfId="0" applyFont="1" applyFill="1" applyBorder="1" applyAlignment="1">
      <alignment vertical="center" wrapText="1"/>
    </xf>
    <xf numFmtId="1" fontId="61" fillId="0" borderId="54" xfId="0" applyNumberFormat="1" applyFont="1" applyBorder="1" applyAlignment="1">
      <alignment horizontal="center" vertical="center" wrapText="1"/>
    </xf>
    <xf numFmtId="1" fontId="61" fillId="0" borderId="38" xfId="0" applyNumberFormat="1" applyFont="1" applyBorder="1" applyAlignment="1">
      <alignment horizontal="center" vertical="center" wrapText="1"/>
    </xf>
    <xf numFmtId="1" fontId="61" fillId="0" borderId="54" xfId="0" applyNumberFormat="1" applyFont="1" applyBorder="1" applyAlignment="1">
      <alignment horizontal="center" vertical="center"/>
    </xf>
    <xf numFmtId="0" fontId="63" fillId="0" borderId="38" xfId="0" applyFont="1" applyBorder="1" applyAlignment="1">
      <alignment wrapText="1"/>
    </xf>
    <xf numFmtId="0" fontId="53" fillId="0" borderId="38" xfId="0" applyFont="1" applyBorder="1" applyAlignment="1">
      <alignment vertical="center" wrapText="1"/>
    </xf>
    <xf numFmtId="1" fontId="62" fillId="67" borderId="54" xfId="0" applyNumberFormat="1" applyFont="1" applyFill="1" applyBorder="1" applyAlignment="1">
      <alignment horizontal="center" vertical="center" wrapText="1"/>
    </xf>
    <xf numFmtId="0" fontId="63" fillId="0" borderId="33" xfId="0" applyFont="1" applyBorder="1" applyAlignment="1">
      <alignment horizontal="center" vertical="center" wrapText="1"/>
    </xf>
    <xf numFmtId="0" fontId="60" fillId="72" borderId="38" xfId="0" applyFont="1" applyFill="1" applyBorder="1" applyAlignment="1">
      <alignment vertical="center" wrapText="1"/>
    </xf>
    <xf numFmtId="0" fontId="60" fillId="72" borderId="38" xfId="0" applyFont="1" applyFill="1" applyBorder="1" applyAlignment="1">
      <alignment horizontal="center" vertical="center" wrapText="1"/>
    </xf>
    <xf numFmtId="1" fontId="61" fillId="66" borderId="54" xfId="0" applyNumberFormat="1" applyFont="1" applyFill="1" applyBorder="1" applyAlignment="1">
      <alignment horizontal="center" vertical="center" wrapText="1"/>
    </xf>
    <xf numFmtId="1" fontId="61" fillId="66" borderId="38" xfId="0" applyNumberFormat="1" applyFont="1" applyFill="1" applyBorder="1" applyAlignment="1">
      <alignment horizontal="center" vertical="center" wrapText="1"/>
    </xf>
    <xf numFmtId="1" fontId="62" fillId="66" borderId="48" xfId="0" applyNumberFormat="1" applyFont="1" applyFill="1" applyBorder="1" applyAlignment="1">
      <alignment horizontal="center" vertical="center" wrapText="1"/>
    </xf>
    <xf numFmtId="1" fontId="61" fillId="66" borderId="33" xfId="0" applyNumberFormat="1" applyFont="1" applyFill="1" applyBorder="1" applyAlignment="1">
      <alignment horizontal="center" vertical="center" wrapText="1"/>
    </xf>
    <xf numFmtId="1" fontId="62" fillId="66" borderId="55" xfId="0" applyNumberFormat="1" applyFont="1" applyFill="1" applyBorder="1" applyAlignment="1">
      <alignment horizontal="center" vertical="center"/>
    </xf>
    <xf numFmtId="1" fontId="62" fillId="67" borderId="48" xfId="0" applyNumberFormat="1" applyFont="1" applyFill="1" applyBorder="1" applyAlignment="1">
      <alignment horizontal="center" vertical="center"/>
    </xf>
    <xf numFmtId="1" fontId="61" fillId="68" borderId="54" xfId="0" applyNumberFormat="1" applyFont="1" applyFill="1" applyBorder="1" applyAlignment="1">
      <alignment horizontal="center" vertical="center"/>
    </xf>
    <xf numFmtId="1" fontId="61" fillId="68" borderId="38" xfId="0" applyNumberFormat="1" applyFont="1" applyFill="1" applyBorder="1" applyAlignment="1">
      <alignment horizontal="center" vertical="center"/>
    </xf>
    <xf numFmtId="1" fontId="60" fillId="68" borderId="33" xfId="0" applyNumberFormat="1" applyFont="1" applyFill="1" applyBorder="1" applyAlignment="1">
      <alignment horizontal="center" vertical="center"/>
    </xf>
    <xf numFmtId="1" fontId="60" fillId="68" borderId="38" xfId="0" applyNumberFormat="1" applyFont="1" applyFill="1" applyBorder="1" applyAlignment="1">
      <alignment vertical="center"/>
    </xf>
    <xf numFmtId="0" fontId="63" fillId="68" borderId="38" xfId="0" applyFont="1" applyFill="1" applyBorder="1"/>
    <xf numFmtId="1" fontId="61" fillId="0" borderId="38" xfId="0" applyNumberFormat="1" applyFont="1" applyBorder="1" applyAlignment="1">
      <alignment horizontal="left" vertical="center"/>
    </xf>
    <xf numFmtId="0" fontId="69" fillId="0" borderId="38" xfId="0" applyFont="1" applyBorder="1" applyAlignment="1">
      <alignment horizontal="center" vertical="center"/>
    </xf>
    <xf numFmtId="1" fontId="62" fillId="66" borderId="38" xfId="0" applyNumberFormat="1" applyFont="1" applyFill="1" applyBorder="1" applyAlignment="1">
      <alignment horizontal="center" vertical="center"/>
    </xf>
    <xf numFmtId="1" fontId="62" fillId="67" borderId="38" xfId="0" applyNumberFormat="1" applyFont="1" applyFill="1" applyBorder="1" applyAlignment="1">
      <alignment horizontal="center" vertical="center"/>
    </xf>
    <xf numFmtId="1" fontId="61" fillId="66" borderId="54" xfId="0" applyNumberFormat="1" applyFont="1" applyFill="1" applyBorder="1" applyAlignment="1">
      <alignment horizontal="center" vertical="center"/>
    </xf>
    <xf numFmtId="1" fontId="61" fillId="66" borderId="38" xfId="0" applyNumberFormat="1" applyFont="1" applyFill="1" applyBorder="1" applyAlignment="1">
      <alignment horizontal="center" vertical="center"/>
    </xf>
    <xf numFmtId="1" fontId="62" fillId="66" borderId="48" xfId="0" applyNumberFormat="1" applyFont="1" applyFill="1" applyBorder="1" applyAlignment="1">
      <alignment horizontal="center" vertical="center"/>
    </xf>
    <xf numFmtId="0" fontId="63" fillId="66" borderId="38" xfId="0" applyFont="1" applyFill="1" applyBorder="1" applyAlignment="1">
      <alignment vertical="center"/>
    </xf>
    <xf numFmtId="0" fontId="60" fillId="66" borderId="33" xfId="0" applyFont="1" applyFill="1" applyBorder="1" applyAlignment="1">
      <alignment horizontal="left" vertical="center"/>
    </xf>
    <xf numFmtId="0" fontId="60" fillId="66" borderId="54" xfId="0" applyFont="1" applyFill="1" applyBorder="1" applyAlignment="1">
      <alignment horizontal="center" vertical="center"/>
    </xf>
    <xf numFmtId="0" fontId="60" fillId="66" borderId="55" xfId="0" applyFont="1" applyFill="1" applyBorder="1" applyAlignment="1">
      <alignment horizontal="center" vertical="center"/>
    </xf>
    <xf numFmtId="1" fontId="60" fillId="0" borderId="56" xfId="0" applyNumberFormat="1" applyFont="1" applyBorder="1" applyAlignment="1">
      <alignment vertical="center"/>
    </xf>
    <xf numFmtId="1" fontId="61" fillId="0" borderId="63" xfId="0" applyNumberFormat="1" applyFont="1" applyBorder="1" applyAlignment="1">
      <alignment horizontal="center" vertical="center"/>
    </xf>
    <xf numFmtId="1" fontId="61" fillId="0" borderId="56" xfId="0" applyNumberFormat="1" applyFont="1" applyBorder="1" applyAlignment="1">
      <alignment horizontal="center" vertical="center"/>
    </xf>
    <xf numFmtId="1" fontId="62" fillId="66" borderId="64" xfId="0" applyNumberFormat="1" applyFont="1" applyFill="1" applyBorder="1" applyAlignment="1">
      <alignment horizontal="center" vertical="center"/>
    </xf>
    <xf numFmtId="1" fontId="62" fillId="67" borderId="61" xfId="0" applyNumberFormat="1" applyFont="1" applyFill="1" applyBorder="1" applyAlignment="1">
      <alignment horizontal="center" vertical="center"/>
    </xf>
    <xf numFmtId="0" fontId="63" fillId="68" borderId="38" xfId="0" applyFont="1" applyFill="1" applyBorder="1" applyAlignment="1">
      <alignment wrapText="1"/>
    </xf>
    <xf numFmtId="0" fontId="60" fillId="0" borderId="57" xfId="0" applyFont="1" applyBorder="1" applyAlignment="1">
      <alignment vertical="center" wrapText="1"/>
    </xf>
    <xf numFmtId="0" fontId="63" fillId="0" borderId="57" xfId="0" applyFont="1" applyBorder="1" applyAlignment="1">
      <alignment vertical="center" wrapText="1"/>
    </xf>
    <xf numFmtId="0" fontId="63" fillId="0" borderId="0" xfId="0" applyFont="1" applyBorder="1" applyAlignment="1">
      <alignment vertical="center" wrapText="1"/>
    </xf>
    <xf numFmtId="0" fontId="63" fillId="0" borderId="56" xfId="0" applyFont="1" applyBorder="1" applyAlignment="1">
      <alignment horizontal="center" vertical="center" wrapText="1"/>
    </xf>
    <xf numFmtId="0" fontId="60" fillId="0" borderId="57" xfId="0" applyFont="1" applyBorder="1" applyAlignment="1">
      <alignment horizontal="center" vertical="center" wrapText="1"/>
    </xf>
    <xf numFmtId="1" fontId="60" fillId="73" borderId="38" xfId="0" applyNumberFormat="1" applyFont="1" applyFill="1" applyBorder="1" applyAlignment="1">
      <alignment horizontal="center" vertical="center" wrapText="1"/>
    </xf>
    <xf numFmtId="0" fontId="0" fillId="73" borderId="0" xfId="0" applyFont="1" applyFill="1" applyBorder="1"/>
    <xf numFmtId="0" fontId="63" fillId="75" borderId="48" xfId="0" applyFont="1" applyFill="1" applyBorder="1" applyAlignment="1">
      <alignment horizontal="center" vertical="center" wrapText="1"/>
    </xf>
    <xf numFmtId="0" fontId="60" fillId="76" borderId="38" xfId="0" applyFont="1" applyFill="1" applyBorder="1" applyAlignment="1">
      <alignment vertical="center" wrapText="1"/>
    </xf>
    <xf numFmtId="1" fontId="60" fillId="76" borderId="38" xfId="0" applyNumberFormat="1" applyFont="1" applyFill="1" applyBorder="1" applyAlignment="1">
      <alignment horizontal="center" vertical="center" wrapText="1"/>
    </xf>
    <xf numFmtId="0" fontId="60" fillId="76" borderId="38" xfId="0" applyFont="1" applyFill="1" applyBorder="1" applyAlignment="1">
      <alignment horizontal="center" vertical="center" wrapText="1"/>
    </xf>
    <xf numFmtId="0" fontId="63" fillId="76" borderId="38" xfId="0" applyFont="1" applyFill="1" applyBorder="1" applyAlignment="1">
      <alignment vertical="center" wrapText="1"/>
    </xf>
    <xf numFmtId="0" fontId="60" fillId="76" borderId="38" xfId="0" applyFont="1" applyFill="1" applyBorder="1" applyAlignment="1">
      <alignment horizontal="left" vertical="center" wrapText="1"/>
    </xf>
    <xf numFmtId="0" fontId="60" fillId="76" borderId="33" xfId="0" applyFont="1" applyFill="1" applyBorder="1" applyAlignment="1">
      <alignment vertical="center" wrapText="1"/>
    </xf>
    <xf numFmtId="3" fontId="61" fillId="76" borderId="54" xfId="0" applyNumberFormat="1" applyFont="1" applyFill="1" applyBorder="1" applyAlignment="1">
      <alignment horizontal="center" vertical="center" wrapText="1"/>
    </xf>
    <xf numFmtId="3" fontId="61" fillId="76" borderId="38" xfId="0" applyNumberFormat="1" applyFont="1" applyFill="1" applyBorder="1" applyAlignment="1">
      <alignment horizontal="center" vertical="center" wrapText="1"/>
    </xf>
    <xf numFmtId="0" fontId="63" fillId="76" borderId="38" xfId="0" applyFont="1" applyFill="1" applyBorder="1" applyAlignment="1">
      <alignment horizontal="center" vertical="center" wrapText="1"/>
    </xf>
    <xf numFmtId="0" fontId="63" fillId="76" borderId="0" xfId="0" applyFont="1" applyFill="1" applyBorder="1" applyAlignment="1">
      <alignment horizontal="center" vertical="center" wrapText="1"/>
    </xf>
    <xf numFmtId="0" fontId="63" fillId="75" borderId="38" xfId="0" applyFont="1" applyFill="1" applyBorder="1" applyAlignment="1">
      <alignment vertical="center" wrapText="1"/>
    </xf>
    <xf numFmtId="0" fontId="0" fillId="58" borderId="0" xfId="0" applyFont="1" applyFill="1" applyBorder="1"/>
    <xf numFmtId="0" fontId="60" fillId="75" borderId="48" xfId="0" applyFont="1" applyFill="1" applyBorder="1" applyAlignment="1">
      <alignment horizontal="center" vertical="center" wrapText="1"/>
    </xf>
    <xf numFmtId="0" fontId="60" fillId="75" borderId="38" xfId="0" applyFont="1" applyFill="1" applyBorder="1" applyAlignment="1">
      <alignment horizontal="center" vertical="center" wrapText="1"/>
    </xf>
    <xf numFmtId="0" fontId="63" fillId="75" borderId="0" xfId="0" applyFont="1" applyFill="1" applyBorder="1" applyAlignment="1">
      <alignment vertical="center" wrapText="1"/>
    </xf>
    <xf numFmtId="0" fontId="0" fillId="73" borderId="56" xfId="0" applyFont="1" applyFill="1" applyBorder="1" applyAlignment="1">
      <alignment horizontal="center" vertical="center" wrapText="1"/>
    </xf>
    <xf numFmtId="0" fontId="0" fillId="58" borderId="56" xfId="0" applyFont="1" applyFill="1" applyBorder="1" applyAlignment="1">
      <alignment horizontal="center" vertical="center" wrapText="1"/>
    </xf>
    <xf numFmtId="0" fontId="0" fillId="58" borderId="56" xfId="0" applyFont="1" applyFill="1" applyBorder="1" applyAlignment="1">
      <alignment horizontal="center" vertical="center"/>
    </xf>
    <xf numFmtId="0" fontId="60" fillId="58" borderId="61" xfId="0" applyFont="1" applyFill="1" applyBorder="1" applyAlignment="1">
      <alignment horizontal="center" vertical="center" wrapText="1"/>
    </xf>
    <xf numFmtId="0" fontId="60" fillId="58" borderId="56" xfId="0" applyFont="1" applyFill="1" applyBorder="1" applyAlignment="1">
      <alignment vertical="center" wrapText="1"/>
    </xf>
    <xf numFmtId="1" fontId="60" fillId="58" borderId="56" xfId="0" applyNumberFormat="1" applyFont="1" applyFill="1" applyBorder="1" applyAlignment="1">
      <alignment horizontal="center" vertical="center" wrapText="1"/>
    </xf>
    <xf numFmtId="0" fontId="60" fillId="58" borderId="56" xfId="0" applyFont="1" applyFill="1" applyBorder="1" applyAlignment="1">
      <alignment horizontal="center" vertical="center" wrapText="1"/>
    </xf>
    <xf numFmtId="0" fontId="63" fillId="58" borderId="56" xfId="0" applyFont="1" applyFill="1" applyBorder="1" applyAlignment="1">
      <alignment vertical="center" wrapText="1"/>
    </xf>
    <xf numFmtId="0" fontId="60" fillId="58" borderId="62" xfId="0" applyFont="1" applyFill="1" applyBorder="1" applyAlignment="1">
      <alignment vertical="center" wrapText="1"/>
    </xf>
    <xf numFmtId="3" fontId="61" fillId="58" borderId="63" xfId="0" applyNumberFormat="1" applyFont="1" applyFill="1" applyBorder="1" applyAlignment="1">
      <alignment horizontal="center" vertical="center" wrapText="1"/>
    </xf>
    <xf numFmtId="3" fontId="61" fillId="58" borderId="56" xfId="0" applyNumberFormat="1" applyFont="1" applyFill="1" applyBorder="1" applyAlignment="1">
      <alignment horizontal="center" vertical="center" wrapText="1"/>
    </xf>
    <xf numFmtId="3" fontId="61" fillId="58" borderId="62" xfId="0" applyNumberFormat="1" applyFont="1" applyFill="1" applyBorder="1" applyAlignment="1">
      <alignment horizontal="center" vertical="center"/>
    </xf>
    <xf numFmtId="3" fontId="61" fillId="73" borderId="62" xfId="0" applyNumberFormat="1" applyFont="1" applyFill="1" applyBorder="1" applyAlignment="1">
      <alignment horizontal="center" vertical="center"/>
    </xf>
    <xf numFmtId="3" fontId="62" fillId="76" borderId="64" xfId="0" applyNumberFormat="1" applyFont="1" applyFill="1" applyBorder="1" applyAlignment="1">
      <alignment horizontal="center" vertical="center" wrapText="1"/>
    </xf>
    <xf numFmtId="3" fontId="61" fillId="58" borderId="62" xfId="0" applyNumberFormat="1" applyFont="1" applyFill="1" applyBorder="1" applyAlignment="1">
      <alignment horizontal="center" vertical="center" wrapText="1"/>
    </xf>
    <xf numFmtId="3" fontId="62" fillId="74" borderId="61" xfId="0" applyNumberFormat="1" applyFont="1" applyFill="1" applyBorder="1" applyAlignment="1">
      <alignment horizontal="center" vertical="center" wrapText="1"/>
    </xf>
    <xf numFmtId="0" fontId="63" fillId="75" borderId="56" xfId="0" applyFont="1" applyFill="1" applyBorder="1" applyAlignment="1">
      <alignment vertical="center" wrapText="1"/>
    </xf>
    <xf numFmtId="0" fontId="0" fillId="73" borderId="38" xfId="0" applyFill="1" applyBorder="1" applyAlignment="1">
      <alignment horizontal="center" vertical="center"/>
    </xf>
    <xf numFmtId="0" fontId="52" fillId="77" borderId="38" xfId="0" applyFont="1" applyFill="1" applyBorder="1" applyAlignment="1">
      <alignment horizontal="center" vertical="center" wrapText="1"/>
    </xf>
    <xf numFmtId="0" fontId="0" fillId="58" borderId="38" xfId="0" applyFill="1" applyBorder="1" applyAlignment="1">
      <alignment horizontal="center" vertical="center" wrapText="1"/>
    </xf>
    <xf numFmtId="0" fontId="0" fillId="58" borderId="38" xfId="0" applyFill="1" applyBorder="1" applyAlignment="1">
      <alignment horizontal="center" vertical="center"/>
    </xf>
    <xf numFmtId="1" fontId="61" fillId="77" borderId="33" xfId="0" applyNumberFormat="1" applyFont="1" applyFill="1" applyBorder="1" applyAlignment="1">
      <alignment horizontal="center" vertical="center" wrapText="1"/>
    </xf>
    <xf numFmtId="0" fontId="0" fillId="58" borderId="0" xfId="0" applyFill="1" applyBorder="1"/>
    <xf numFmtId="0" fontId="1" fillId="58" borderId="38" xfId="0" applyFont="1" applyFill="1" applyBorder="1" applyAlignment="1" applyProtection="1">
      <alignment horizontal="center" vertical="center"/>
      <protection hidden="1"/>
    </xf>
    <xf numFmtId="0" fontId="60" fillId="58" borderId="48" xfId="0" applyFont="1" applyFill="1" applyBorder="1" applyAlignment="1" applyProtection="1">
      <alignment horizontal="center" vertical="center" wrapText="1"/>
      <protection hidden="1"/>
    </xf>
    <xf numFmtId="0" fontId="60" fillId="58" borderId="38" xfId="0" applyFont="1" applyFill="1" applyBorder="1" applyAlignment="1" applyProtection="1">
      <alignment vertical="center" wrapText="1"/>
      <protection hidden="1"/>
    </xf>
    <xf numFmtId="1" fontId="60" fillId="58" borderId="38" xfId="0" applyNumberFormat="1" applyFont="1" applyFill="1" applyBorder="1" applyAlignment="1" applyProtection="1">
      <alignment horizontal="center" vertical="center" wrapText="1"/>
      <protection hidden="1"/>
    </xf>
    <xf numFmtId="0" fontId="60" fillId="58" borderId="38" xfId="0" applyFont="1" applyFill="1" applyBorder="1" applyAlignment="1" applyProtection="1">
      <alignment horizontal="center" vertical="center" wrapText="1"/>
      <protection hidden="1"/>
    </xf>
    <xf numFmtId="0" fontId="60" fillId="58" borderId="38" xfId="0" applyFont="1" applyFill="1" applyBorder="1" applyAlignment="1" applyProtection="1">
      <alignment horizontal="left" vertical="center" wrapText="1"/>
      <protection hidden="1"/>
    </xf>
    <xf numFmtId="0" fontId="60" fillId="58" borderId="33" xfId="0" applyFont="1" applyFill="1" applyBorder="1" applyAlignment="1" applyProtection="1">
      <alignment vertical="center" wrapText="1"/>
      <protection hidden="1"/>
    </xf>
    <xf numFmtId="3" fontId="70" fillId="58" borderId="54" xfId="0" applyNumberFormat="1" applyFont="1" applyFill="1" applyBorder="1" applyAlignment="1" applyProtection="1">
      <alignment horizontal="center" vertical="center" wrapText="1"/>
      <protection hidden="1"/>
    </xf>
    <xf numFmtId="3" fontId="70" fillId="58" borderId="38" xfId="0" applyNumberFormat="1" applyFont="1" applyFill="1" applyBorder="1" applyAlignment="1" applyProtection="1">
      <alignment horizontal="center" vertical="center" wrapText="1"/>
      <protection hidden="1"/>
    </xf>
    <xf numFmtId="3" fontId="59" fillId="58" borderId="55" xfId="0" applyNumberFormat="1" applyFont="1" applyFill="1" applyBorder="1" applyAlignment="1" applyProtection="1">
      <alignment horizontal="center" vertical="center" wrapText="1"/>
      <protection hidden="1"/>
    </xf>
    <xf numFmtId="3" fontId="70" fillId="58" borderId="33" xfId="0" applyNumberFormat="1" applyFont="1" applyFill="1" applyBorder="1" applyAlignment="1" applyProtection="1">
      <alignment horizontal="center" vertical="center" wrapText="1"/>
      <protection hidden="1"/>
    </xf>
    <xf numFmtId="3" fontId="59" fillId="58" borderId="48" xfId="0" applyNumberFormat="1" applyFont="1" applyFill="1" applyBorder="1" applyAlignment="1" applyProtection="1">
      <alignment horizontal="center" vertical="center" wrapText="1"/>
      <protection hidden="1"/>
    </xf>
    <xf numFmtId="0" fontId="49" fillId="58" borderId="38" xfId="0" applyFont="1" applyFill="1" applyBorder="1" applyAlignment="1" applyProtection="1">
      <alignment horizontal="center" vertical="center" wrapText="1"/>
      <protection hidden="1"/>
    </xf>
    <xf numFmtId="0" fontId="49" fillId="58" borderId="0" xfId="0" applyFont="1" applyFill="1" applyBorder="1" applyAlignment="1" applyProtection="1">
      <alignment horizontal="center" vertical="center" wrapText="1"/>
      <protection hidden="1"/>
    </xf>
    <xf numFmtId="1" fontId="60" fillId="58" borderId="38" xfId="0" applyNumberFormat="1" applyFont="1" applyFill="1" applyBorder="1" applyAlignment="1">
      <alignment vertical="center"/>
    </xf>
    <xf numFmtId="0" fontId="63" fillId="58" borderId="38" xfId="0" applyFont="1" applyFill="1" applyBorder="1" applyAlignment="1">
      <alignment vertical="center"/>
    </xf>
    <xf numFmtId="0" fontId="0" fillId="58" borderId="0" xfId="0" applyFont="1" applyFill="1"/>
    <xf numFmtId="0" fontId="60" fillId="0" borderId="48" xfId="0" applyFont="1" applyBorder="1" applyAlignment="1">
      <alignment horizontal="center" vertical="center" wrapText="1"/>
    </xf>
    <xf numFmtId="3" fontId="61" fillId="0" borderId="33" xfId="0" applyNumberFormat="1" applyFont="1" applyBorder="1" applyAlignment="1">
      <alignment horizontal="center" vertical="center"/>
    </xf>
    <xf numFmtId="0" fontId="0" fillId="0" borderId="0" xfId="0" applyFont="1"/>
    <xf numFmtId="0" fontId="60" fillId="71" borderId="48" xfId="0" applyFont="1" applyFill="1" applyBorder="1" applyAlignment="1">
      <alignment horizontal="center" vertical="center" wrapText="1"/>
    </xf>
    <xf numFmtId="3" fontId="61" fillId="71" borderId="54" xfId="0" applyNumberFormat="1" applyFont="1" applyFill="1" applyBorder="1" applyAlignment="1">
      <alignment horizontal="center" vertical="center" wrapText="1"/>
    </xf>
    <xf numFmtId="3" fontId="61" fillId="71" borderId="38" xfId="0" applyNumberFormat="1" applyFont="1" applyFill="1" applyBorder="1" applyAlignment="1">
      <alignment horizontal="center" vertical="center" wrapText="1"/>
    </xf>
    <xf numFmtId="0" fontId="71" fillId="68" borderId="38" xfId="0" applyFont="1" applyFill="1" applyBorder="1" applyAlignment="1">
      <alignment wrapText="1"/>
    </xf>
    <xf numFmtId="3" fontId="61" fillId="0" borderId="48" xfId="0" applyNumberFormat="1" applyFont="1" applyBorder="1" applyAlignment="1">
      <alignment horizontal="center" vertical="center" wrapText="1"/>
    </xf>
    <xf numFmtId="3" fontId="62" fillId="67" borderId="76" xfId="0" applyNumberFormat="1" applyFont="1" applyFill="1" applyBorder="1" applyAlignment="1">
      <alignment horizontal="center" vertical="center" wrapText="1"/>
    </xf>
    <xf numFmtId="0" fontId="60" fillId="0" borderId="70" xfId="0" applyFont="1" applyBorder="1" applyAlignment="1">
      <alignment horizontal="center" vertical="center" wrapText="1"/>
    </xf>
    <xf numFmtId="0" fontId="60" fillId="0" borderId="60" xfId="0" applyFont="1" applyBorder="1" applyAlignment="1">
      <alignment vertical="center" wrapText="1"/>
    </xf>
    <xf numFmtId="1" fontId="60" fillId="0" borderId="60" xfId="0" applyNumberFormat="1" applyFont="1" applyBorder="1" applyAlignment="1">
      <alignment horizontal="center" vertical="center" wrapText="1"/>
    </xf>
    <xf numFmtId="0" fontId="60" fillId="0" borderId="60" xfId="0" applyFont="1" applyBorder="1" applyAlignment="1">
      <alignment horizontal="center" vertical="center" wrapText="1"/>
    </xf>
    <xf numFmtId="0" fontId="60" fillId="0" borderId="60" xfId="0" applyFont="1" applyBorder="1" applyAlignment="1">
      <alignment horizontal="left" vertical="center" wrapText="1"/>
    </xf>
    <xf numFmtId="0" fontId="60" fillId="0" borderId="71" xfId="0" applyFont="1" applyBorder="1" applyAlignment="1">
      <alignment vertical="center" wrapText="1"/>
    </xf>
    <xf numFmtId="3" fontId="61" fillId="0" borderId="72" xfId="0" applyNumberFormat="1" applyFont="1" applyBorder="1" applyAlignment="1">
      <alignment horizontal="center" vertical="center" wrapText="1"/>
    </xf>
    <xf numFmtId="3" fontId="61" fillId="0" borderId="60" xfId="0" applyNumberFormat="1" applyFont="1" applyBorder="1" applyAlignment="1">
      <alignment horizontal="center" vertical="center" wrapText="1"/>
    </xf>
    <xf numFmtId="3" fontId="62" fillId="66" borderId="64" xfId="0" applyNumberFormat="1" applyFont="1" applyFill="1" applyBorder="1" applyAlignment="1">
      <alignment horizontal="center" vertical="center" wrapText="1"/>
    </xf>
    <xf numFmtId="3" fontId="62" fillId="66" borderId="73" xfId="0" applyNumberFormat="1" applyFont="1" applyFill="1" applyBorder="1" applyAlignment="1">
      <alignment horizontal="center" vertical="center" wrapText="1"/>
    </xf>
    <xf numFmtId="3" fontId="62" fillId="67" borderId="77" xfId="0" applyNumberFormat="1" applyFont="1" applyFill="1" applyBorder="1" applyAlignment="1">
      <alignment horizontal="center" vertical="center" wrapText="1"/>
    </xf>
    <xf numFmtId="0" fontId="60" fillId="0" borderId="0" xfId="0" applyFont="1" applyBorder="1" applyAlignment="1">
      <alignment horizontal="center" vertical="center" wrapText="1"/>
    </xf>
    <xf numFmtId="0" fontId="60" fillId="68" borderId="38" xfId="0" applyFont="1" applyFill="1" applyBorder="1" applyAlignment="1">
      <alignment vertical="center" wrapText="1"/>
    </xf>
    <xf numFmtId="1" fontId="62" fillId="68" borderId="54" xfId="0" applyNumberFormat="1" applyFont="1" applyFill="1" applyBorder="1" applyAlignment="1">
      <alignment horizontal="center" vertical="center" wrapText="1"/>
    </xf>
    <xf numFmtId="0" fontId="63" fillId="0" borderId="48" xfId="0" applyFont="1" applyBorder="1" applyAlignment="1">
      <alignment horizontal="center" vertical="center"/>
    </xf>
    <xf numFmtId="3" fontId="62" fillId="67" borderId="76" xfId="0" applyNumberFormat="1" applyFont="1" applyFill="1" applyBorder="1" applyAlignment="1">
      <alignment horizontal="center" vertical="center"/>
    </xf>
    <xf numFmtId="0" fontId="60" fillId="0" borderId="48" xfId="0" applyFont="1" applyBorder="1" applyAlignment="1">
      <alignment horizontal="center" vertical="center"/>
    </xf>
    <xf numFmtId="0" fontId="63" fillId="0" borderId="57" xfId="0" applyFont="1" applyBorder="1"/>
    <xf numFmtId="3" fontId="61" fillId="0" borderId="62" xfId="0" applyNumberFormat="1" applyFont="1" applyBorder="1" applyAlignment="1">
      <alignment horizontal="center" vertical="center" wrapText="1"/>
    </xf>
    <xf numFmtId="3" fontId="61" fillId="0" borderId="62" xfId="0" applyNumberFormat="1" applyFont="1" applyBorder="1" applyAlignment="1">
      <alignment horizontal="center" vertical="center"/>
    </xf>
    <xf numFmtId="3" fontId="62" fillId="0" borderId="55" xfId="0" applyNumberFormat="1" applyFont="1" applyBorder="1" applyAlignment="1">
      <alignment horizontal="center" vertical="center" wrapText="1"/>
    </xf>
    <xf numFmtId="3" fontId="62" fillId="67" borderId="61" xfId="0" applyNumberFormat="1" applyFont="1" applyFill="1" applyBorder="1" applyAlignment="1">
      <alignment horizontal="center" vertical="center" wrapText="1"/>
    </xf>
    <xf numFmtId="0" fontId="0" fillId="0" borderId="57" xfId="0" applyFont="1" applyBorder="1"/>
    <xf numFmtId="0" fontId="0" fillId="0" borderId="56" xfId="0" applyFont="1" applyBorder="1" applyAlignment="1">
      <alignment horizontal="center" vertical="center"/>
    </xf>
    <xf numFmtId="0" fontId="0" fillId="0" borderId="56" xfId="0" applyFont="1" applyBorder="1" applyAlignment="1">
      <alignment horizontal="center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56" xfId="0" applyFont="1" applyBorder="1" applyAlignment="1">
      <alignment vertical="center" wrapText="1"/>
    </xf>
    <xf numFmtId="1" fontId="60" fillId="0" borderId="56" xfId="0" applyNumberFormat="1" applyFont="1" applyBorder="1" applyAlignment="1">
      <alignment horizontal="center" vertical="center" wrapText="1"/>
    </xf>
    <xf numFmtId="0" fontId="60" fillId="0" borderId="56" xfId="0" applyFont="1" applyBorder="1" applyAlignment="1">
      <alignment horizontal="center" vertical="center" wrapText="1"/>
    </xf>
    <xf numFmtId="0" fontId="63" fillId="0" borderId="56" xfId="0" applyFont="1" applyBorder="1" applyAlignment="1">
      <alignment vertical="center" wrapText="1"/>
    </xf>
    <xf numFmtId="0" fontId="60" fillId="0" borderId="62" xfId="0" applyFont="1" applyBorder="1" applyAlignment="1">
      <alignment vertical="center" wrapText="1"/>
    </xf>
    <xf numFmtId="3" fontId="61" fillId="0" borderId="63" xfId="0" applyNumberFormat="1" applyFont="1" applyBorder="1" applyAlignment="1">
      <alignment horizontal="center" vertical="center" wrapText="1"/>
    </xf>
    <xf numFmtId="3" fontId="61" fillId="0" borderId="56" xfId="0" applyNumberFormat="1" applyFont="1" applyBorder="1" applyAlignment="1">
      <alignment horizontal="center" vertical="center" wrapText="1"/>
    </xf>
    <xf numFmtId="0" fontId="0" fillId="0" borderId="0" xfId="0" applyFont="1" applyBorder="1"/>
    <xf numFmtId="0" fontId="63" fillId="68" borderId="56" xfId="0" applyFont="1" applyFill="1" applyBorder="1" applyAlignment="1">
      <alignment vertical="center" wrapText="1"/>
    </xf>
    <xf numFmtId="0" fontId="0" fillId="0" borderId="56" xfId="0" applyFont="1" applyBorder="1"/>
    <xf numFmtId="0" fontId="0" fillId="0" borderId="38" xfId="0" applyFont="1" applyBorder="1"/>
    <xf numFmtId="0" fontId="0" fillId="0" borderId="20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 wrapText="1"/>
    </xf>
    <xf numFmtId="0" fontId="60" fillId="0" borderId="20" xfId="0" applyFont="1" applyBorder="1" applyAlignment="1">
      <alignment horizontal="center" vertical="center" wrapText="1"/>
    </xf>
    <xf numFmtId="0" fontId="60" fillId="0" borderId="20" xfId="0" applyFont="1" applyBorder="1" applyAlignment="1">
      <alignment vertical="center" wrapText="1"/>
    </xf>
    <xf numFmtId="1" fontId="60" fillId="0" borderId="20" xfId="0" applyNumberFormat="1" applyFont="1" applyBorder="1" applyAlignment="1">
      <alignment horizontal="center" vertical="center" wrapText="1"/>
    </xf>
    <xf numFmtId="0" fontId="63" fillId="0" borderId="20" xfId="0" applyFont="1" applyBorder="1" applyAlignment="1">
      <alignment vertical="center" wrapText="1"/>
    </xf>
    <xf numFmtId="3" fontId="61" fillId="0" borderId="20" xfId="0" applyNumberFormat="1" applyFont="1" applyBorder="1" applyAlignment="1">
      <alignment horizontal="center" vertical="center" wrapText="1"/>
    </xf>
    <xf numFmtId="3" fontId="61" fillId="0" borderId="20" xfId="0" applyNumberFormat="1" applyFont="1" applyBorder="1" applyAlignment="1">
      <alignment horizontal="center" vertical="center"/>
    </xf>
    <xf numFmtId="3" fontId="62" fillId="66" borderId="20" xfId="0" applyNumberFormat="1" applyFont="1" applyFill="1" applyBorder="1" applyAlignment="1">
      <alignment horizontal="center" vertical="center" wrapText="1"/>
    </xf>
    <xf numFmtId="3" fontId="62" fillId="67" borderId="20" xfId="0" applyNumberFormat="1" applyFont="1" applyFill="1" applyBorder="1" applyAlignment="1">
      <alignment horizontal="center" vertical="center" wrapText="1"/>
    </xf>
    <xf numFmtId="0" fontId="0" fillId="0" borderId="20" xfId="0" applyFont="1" applyBorder="1"/>
    <xf numFmtId="0" fontId="0" fillId="0" borderId="45" xfId="0" applyFont="1" applyBorder="1" applyAlignment="1">
      <alignment horizontal="center" vertical="center"/>
    </xf>
    <xf numFmtId="0" fontId="0" fillId="0" borderId="45" xfId="0" applyFont="1" applyBorder="1" applyAlignment="1">
      <alignment horizontal="center" vertical="center" wrapText="1"/>
    </xf>
    <xf numFmtId="0" fontId="60" fillId="0" borderId="45" xfId="0" applyFont="1" applyBorder="1" applyAlignment="1">
      <alignment horizontal="center" vertical="center" wrapText="1"/>
    </xf>
    <xf numFmtId="0" fontId="60" fillId="0" borderId="45" xfId="0" applyFont="1" applyBorder="1" applyAlignment="1">
      <alignment vertical="center" wrapText="1"/>
    </xf>
    <xf numFmtId="1" fontId="60" fillId="0" borderId="45" xfId="0" applyNumberFormat="1" applyFont="1" applyBorder="1" applyAlignment="1">
      <alignment horizontal="center" vertical="center" wrapText="1"/>
    </xf>
    <xf numFmtId="0" fontId="63" fillId="0" borderId="45" xfId="0" applyFont="1" applyBorder="1" applyAlignment="1">
      <alignment vertical="center" wrapText="1"/>
    </xf>
    <xf numFmtId="3" fontId="61" fillId="0" borderId="45" xfId="0" applyNumberFormat="1" applyFont="1" applyBorder="1" applyAlignment="1">
      <alignment horizontal="center" vertical="center" wrapText="1"/>
    </xf>
    <xf numFmtId="3" fontId="61" fillId="0" borderId="45" xfId="0" applyNumberFormat="1" applyFont="1" applyBorder="1" applyAlignment="1">
      <alignment horizontal="center" vertical="center"/>
    </xf>
    <xf numFmtId="3" fontId="62" fillId="66" borderId="45" xfId="0" applyNumberFormat="1" applyFont="1" applyFill="1" applyBorder="1" applyAlignment="1">
      <alignment horizontal="center" vertical="center" wrapText="1"/>
    </xf>
    <xf numFmtId="3" fontId="62" fillId="67" borderId="45" xfId="0" applyNumberFormat="1" applyFont="1" applyFill="1" applyBorder="1" applyAlignment="1">
      <alignment horizontal="center" vertical="center" wrapText="1"/>
    </xf>
    <xf numFmtId="0" fontId="0" fillId="0" borderId="45" xfId="0" applyFont="1" applyBorder="1"/>
    <xf numFmtId="0" fontId="60" fillId="0" borderId="52" xfId="0" applyFont="1" applyBorder="1" applyAlignment="1">
      <alignment horizontal="center" vertical="center" wrapText="1"/>
    </xf>
    <xf numFmtId="0" fontId="60" fillId="0" borderId="50" xfId="0" applyFont="1" applyBorder="1" applyAlignment="1">
      <alignment vertical="center" wrapText="1"/>
    </xf>
    <xf numFmtId="3" fontId="61" fillId="0" borderId="78" xfId="0" applyNumberFormat="1" applyFont="1" applyBorder="1" applyAlignment="1">
      <alignment horizontal="center" vertical="center" wrapText="1"/>
    </xf>
    <xf numFmtId="3" fontId="62" fillId="66" borderId="79" xfId="0" applyNumberFormat="1" applyFont="1" applyFill="1" applyBorder="1" applyAlignment="1">
      <alignment horizontal="center" vertical="center" wrapText="1"/>
    </xf>
    <xf numFmtId="3" fontId="61" fillId="0" borderId="50" xfId="0" applyNumberFormat="1" applyFont="1" applyBorder="1" applyAlignment="1">
      <alignment horizontal="center" vertical="center" wrapText="1"/>
    </xf>
    <xf numFmtId="3" fontId="61" fillId="0" borderId="50" xfId="0" applyNumberFormat="1" applyFont="1" applyBorder="1" applyAlignment="1">
      <alignment horizontal="center" vertical="center"/>
    </xf>
    <xf numFmtId="3" fontId="62" fillId="67" borderId="52" xfId="0" applyNumberFormat="1" applyFont="1" applyFill="1" applyBorder="1" applyAlignment="1">
      <alignment horizontal="center" vertical="center" wrapText="1"/>
    </xf>
    <xf numFmtId="0" fontId="52" fillId="73" borderId="56" xfId="0" applyFont="1" applyFill="1" applyBorder="1" applyAlignment="1">
      <alignment horizontal="center" vertical="center" wrapText="1"/>
    </xf>
    <xf numFmtId="0" fontId="60" fillId="75" borderId="61" xfId="0" applyFont="1" applyFill="1" applyBorder="1" applyAlignment="1">
      <alignment horizontal="center" vertical="center"/>
    </xf>
    <xf numFmtId="0" fontId="60" fillId="58" borderId="56" xfId="0" applyFont="1" applyFill="1" applyBorder="1" applyAlignment="1">
      <alignment vertical="center"/>
    </xf>
    <xf numFmtId="1" fontId="60" fillId="58" borderId="56" xfId="0" applyNumberFormat="1" applyFont="1" applyFill="1" applyBorder="1" applyAlignment="1">
      <alignment vertical="center"/>
    </xf>
    <xf numFmtId="1" fontId="60" fillId="58" borderId="56" xfId="0" applyNumberFormat="1" applyFont="1" applyFill="1" applyBorder="1" applyAlignment="1">
      <alignment horizontal="center" vertical="center"/>
    </xf>
    <xf numFmtId="0" fontId="60" fillId="58" borderId="56" xfId="0" applyFont="1" applyFill="1" applyBorder="1" applyAlignment="1">
      <alignment horizontal="center" vertical="center"/>
    </xf>
    <xf numFmtId="0" fontId="60" fillId="58" borderId="56" xfId="0" applyFont="1" applyFill="1" applyBorder="1" applyAlignment="1">
      <alignment horizontal="left" vertical="center"/>
    </xf>
    <xf numFmtId="0" fontId="60" fillId="58" borderId="62" xfId="0" applyFont="1" applyFill="1" applyBorder="1" applyAlignment="1">
      <alignment vertical="center"/>
    </xf>
    <xf numFmtId="3" fontId="61" fillId="75" borderId="63" xfId="0" applyNumberFormat="1" applyFont="1" applyFill="1" applyBorder="1" applyAlignment="1">
      <alignment horizontal="center" vertical="center"/>
    </xf>
    <xf numFmtId="3" fontId="61" fillId="75" borderId="56" xfId="0" applyNumberFormat="1" applyFont="1" applyFill="1" applyBorder="1" applyAlignment="1">
      <alignment horizontal="center" vertical="center"/>
    </xf>
    <xf numFmtId="3" fontId="62" fillId="76" borderId="64" xfId="0" applyNumberFormat="1" applyFont="1" applyFill="1" applyBorder="1" applyAlignment="1">
      <alignment horizontal="center" vertical="center"/>
    </xf>
    <xf numFmtId="3" fontId="61" fillId="58" borderId="56" xfId="0" applyNumberFormat="1" applyFont="1" applyFill="1" applyBorder="1" applyAlignment="1">
      <alignment horizontal="center" vertical="center"/>
    </xf>
    <xf numFmtId="3" fontId="62" fillId="74" borderId="61" xfId="0" applyNumberFormat="1" applyFont="1" applyFill="1" applyBorder="1" applyAlignment="1">
      <alignment horizontal="center" vertical="center"/>
    </xf>
    <xf numFmtId="0" fontId="63" fillId="58" borderId="0" xfId="0" applyFont="1" applyFill="1" applyBorder="1"/>
    <xf numFmtId="0" fontId="60" fillId="68" borderId="56" xfId="0" applyFont="1" applyFill="1" applyBorder="1" applyAlignment="1">
      <alignment horizontal="center" vertical="center" wrapText="1"/>
    </xf>
    <xf numFmtId="0" fontId="60" fillId="76" borderId="56" xfId="0" applyFont="1" applyFill="1" applyBorder="1" applyAlignment="1">
      <alignment vertical="center"/>
    </xf>
    <xf numFmtId="0" fontId="60" fillId="76" borderId="56" xfId="0" applyFont="1" applyFill="1" applyBorder="1" applyAlignment="1">
      <alignment horizontal="left" vertical="center"/>
    </xf>
    <xf numFmtId="0" fontId="55" fillId="57" borderId="40" xfId="0" applyFont="1" applyFill="1" applyBorder="1" applyAlignment="1" applyProtection="1">
      <alignment horizontal="center" vertical="center"/>
      <protection hidden="1"/>
    </xf>
    <xf numFmtId="0" fontId="18" fillId="60" borderId="26" xfId="0" applyFont="1" applyFill="1" applyBorder="1" applyAlignment="1" applyProtection="1">
      <alignment horizontal="center" vertical="center"/>
      <protection hidden="1"/>
    </xf>
    <xf numFmtId="0" fontId="18" fillId="60" borderId="43" xfId="0" applyFont="1" applyFill="1" applyBorder="1" applyAlignment="1" applyProtection="1">
      <alignment horizontal="center" vertical="center"/>
      <protection hidden="1"/>
    </xf>
    <xf numFmtId="0" fontId="54" fillId="57" borderId="23" xfId="0" applyFont="1" applyFill="1" applyBorder="1" applyAlignment="1" applyProtection="1">
      <alignment horizontal="center" vertical="center"/>
      <protection hidden="1"/>
    </xf>
    <xf numFmtId="0" fontId="54" fillId="57" borderId="25" xfId="0" applyFont="1" applyFill="1" applyBorder="1" applyAlignment="1" applyProtection="1">
      <alignment horizontal="center" vertical="center"/>
      <protection hidden="1"/>
    </xf>
    <xf numFmtId="0" fontId="16" fillId="0" borderId="20" xfId="0" applyFont="1" applyBorder="1" applyAlignment="1" applyProtection="1">
      <alignment horizontal="center" vertical="center"/>
      <protection hidden="1"/>
    </xf>
    <xf numFmtId="0" fontId="55" fillId="57" borderId="51" xfId="0" applyFont="1" applyFill="1" applyBorder="1" applyAlignment="1" applyProtection="1">
      <alignment horizontal="center" vertical="center"/>
      <protection hidden="1"/>
    </xf>
    <xf numFmtId="0" fontId="55" fillId="57" borderId="40" xfId="0" applyFont="1" applyFill="1" applyBorder="1" applyAlignment="1" applyProtection="1">
      <alignment horizontal="center" vertical="center"/>
      <protection hidden="1"/>
    </xf>
    <xf numFmtId="0" fontId="54" fillId="69" borderId="42" xfId="0" applyFont="1" applyFill="1" applyBorder="1" applyAlignment="1" applyProtection="1">
      <alignment horizontal="center" vertical="center" wrapText="1"/>
      <protection hidden="1"/>
    </xf>
    <xf numFmtId="0" fontId="19" fillId="69" borderId="45" xfId="0" applyFont="1" applyFill="1" applyBorder="1" applyAlignment="1" applyProtection="1">
      <alignment horizontal="center" vertical="center"/>
      <protection hidden="1"/>
    </xf>
    <xf numFmtId="0" fontId="19" fillId="69" borderId="39" xfId="0" applyFont="1" applyFill="1" applyBorder="1" applyAlignment="1" applyProtection="1">
      <alignment horizontal="center" vertical="center"/>
      <protection hidden="1"/>
    </xf>
    <xf numFmtId="0" fontId="19" fillId="69" borderId="21" xfId="0" applyFont="1" applyFill="1" applyBorder="1" applyAlignment="1" applyProtection="1">
      <alignment horizontal="center" vertical="center"/>
      <protection hidden="1"/>
    </xf>
    <xf numFmtId="0" fontId="19" fillId="57" borderId="42" xfId="0" applyFont="1" applyFill="1" applyBorder="1" applyAlignment="1" applyProtection="1">
      <alignment horizontal="center" vertical="center" wrapText="1"/>
      <protection hidden="1"/>
    </xf>
    <xf numFmtId="0" fontId="18" fillId="69" borderId="51" xfId="0" applyFont="1" applyFill="1" applyBorder="1" applyAlignment="1" applyProtection="1">
      <alignment horizontal="center" vertical="center"/>
      <protection hidden="1"/>
    </xf>
    <xf numFmtId="0" fontId="18" fillId="69" borderId="46" xfId="0" applyFont="1" applyFill="1" applyBorder="1" applyAlignment="1" applyProtection="1">
      <alignment horizontal="center" vertical="center"/>
      <protection hidden="1"/>
    </xf>
    <xf numFmtId="0" fontId="18" fillId="69" borderId="40" xfId="0" applyFont="1" applyFill="1" applyBorder="1" applyAlignment="1" applyProtection="1">
      <alignment horizontal="center" vertical="center"/>
      <protection hidden="1"/>
    </xf>
    <xf numFmtId="1" fontId="16" fillId="55" borderId="20" xfId="0" applyNumberFormat="1" applyFont="1" applyFill="1" applyBorder="1" applyAlignment="1" applyProtection="1">
      <alignment horizontal="center" vertical="center" wrapText="1"/>
      <protection locked="0"/>
    </xf>
    <xf numFmtId="0" fontId="54" fillId="57" borderId="23" xfId="0" applyFont="1" applyFill="1" applyBorder="1" applyAlignment="1" applyProtection="1">
      <alignment horizontal="center" vertical="center" wrapText="1"/>
      <protection hidden="1"/>
    </xf>
    <xf numFmtId="0" fontId="19" fillId="57" borderId="53" xfId="0" applyFont="1" applyFill="1" applyBorder="1" applyAlignment="1" applyProtection="1">
      <alignment horizontal="center" vertical="center" wrapText="1"/>
      <protection hidden="1"/>
    </xf>
    <xf numFmtId="0" fontId="18" fillId="69" borderId="50" xfId="0" applyFont="1" applyFill="1" applyBorder="1" applyAlignment="1" applyProtection="1">
      <alignment horizontal="center" vertical="center"/>
      <protection hidden="1"/>
    </xf>
    <xf numFmtId="0" fontId="54" fillId="0" borderId="53" xfId="0" applyFont="1" applyBorder="1" applyAlignment="1" applyProtection="1">
      <alignment horizontal="center" vertical="center" wrapText="1"/>
      <protection hidden="1"/>
    </xf>
    <xf numFmtId="0" fontId="54" fillId="0" borderId="42" xfId="0" applyFont="1" applyBorder="1" applyAlignment="1" applyProtection="1">
      <alignment horizontal="center" vertical="center" wrapText="1"/>
      <protection hidden="1"/>
    </xf>
    <xf numFmtId="0" fontId="54" fillId="0" borderId="41" xfId="0" applyFont="1" applyBorder="1" applyAlignment="1" applyProtection="1">
      <alignment horizontal="center" vertical="center" wrapText="1"/>
      <protection hidden="1"/>
    </xf>
    <xf numFmtId="0" fontId="54" fillId="69" borderId="53" xfId="0" applyFont="1" applyFill="1" applyBorder="1" applyAlignment="1" applyProtection="1">
      <alignment horizontal="center" vertical="center" wrapText="1"/>
      <protection hidden="1"/>
    </xf>
    <xf numFmtId="0" fontId="54" fillId="69" borderId="41" xfId="0" applyFont="1" applyFill="1" applyBorder="1" applyAlignment="1" applyProtection="1">
      <alignment horizontal="center" vertical="center" wrapText="1"/>
      <protection hidden="1"/>
    </xf>
    <xf numFmtId="49" fontId="46" fillId="58" borderId="21" xfId="0" applyNumberFormat="1" applyFont="1" applyFill="1" applyBorder="1" applyAlignment="1" applyProtection="1">
      <alignment horizontal="center" vertical="center" wrapText="1"/>
      <protection hidden="1"/>
    </xf>
    <xf numFmtId="0" fontId="46" fillId="58" borderId="21" xfId="0" applyFont="1" applyFill="1" applyBorder="1" applyAlignment="1" applyProtection="1">
      <alignment horizontal="center" vertical="center" wrapText="1"/>
      <protection hidden="1"/>
    </xf>
    <xf numFmtId="0" fontId="47" fillId="57" borderId="21" xfId="0" applyFont="1" applyFill="1" applyBorder="1" applyAlignment="1" applyProtection="1">
      <alignment horizontal="center" vertical="center" wrapText="1"/>
      <protection hidden="1"/>
    </xf>
    <xf numFmtId="0" fontId="16" fillId="55" borderId="0" xfId="0" applyFont="1" applyFill="1" applyAlignment="1" applyProtection="1">
      <alignment horizontal="center" vertical="center" wrapText="1"/>
      <protection hidden="1"/>
    </xf>
    <xf numFmtId="49" fontId="0" fillId="55" borderId="0" xfId="0" applyNumberFormat="1" applyFill="1" applyProtection="1">
      <protection hidden="1"/>
    </xf>
    <xf numFmtId="1" fontId="0" fillId="55" borderId="0" xfId="0" applyNumberFormat="1" applyFill="1" applyProtection="1">
      <protection hidden="1"/>
    </xf>
    <xf numFmtId="177" fontId="0" fillId="55" borderId="0" xfId="0" applyNumberFormat="1" applyFill="1" applyProtection="1">
      <protection hidden="1"/>
    </xf>
    <xf numFmtId="0" fontId="76" fillId="78" borderId="84" xfId="0" applyFont="1" applyFill="1" applyBorder="1" applyAlignment="1">
      <alignment horizontal="center" vertical="center" wrapText="1"/>
    </xf>
    <xf numFmtId="0" fontId="76" fillId="78" borderId="82" xfId="0" applyFont="1" applyFill="1" applyBorder="1" applyAlignment="1">
      <alignment horizontal="center" vertical="center" wrapText="1"/>
    </xf>
    <xf numFmtId="0" fontId="77" fillId="78" borderId="82" xfId="0" applyFont="1" applyFill="1" applyBorder="1" applyAlignment="1">
      <alignment horizontal="center" vertical="center" wrapText="1"/>
    </xf>
    <xf numFmtId="0" fontId="74" fillId="79" borderId="22" xfId="0" applyFont="1" applyFill="1" applyBorder="1" applyAlignment="1">
      <alignment vertical="center" wrapText="1"/>
    </xf>
    <xf numFmtId="0" fontId="78" fillId="79" borderId="85" xfId="0" applyFont="1" applyFill="1" applyBorder="1" applyAlignment="1">
      <alignment vertical="center" wrapText="1"/>
    </xf>
    <xf numFmtId="0" fontId="78" fillId="79" borderId="23" xfId="0" applyFont="1" applyFill="1" applyBorder="1" applyAlignment="1">
      <alignment vertical="center" wrapText="1"/>
    </xf>
    <xf numFmtId="0" fontId="78" fillId="79" borderId="22" xfId="0" applyFont="1" applyFill="1" applyBorder="1" applyAlignment="1">
      <alignment vertical="center" wrapText="1"/>
    </xf>
    <xf numFmtId="0" fontId="74" fillId="79" borderId="14" xfId="0" applyFont="1" applyFill="1" applyBorder="1" applyAlignment="1">
      <alignment vertical="center" wrapText="1"/>
    </xf>
    <xf numFmtId="0" fontId="78" fillId="79" borderId="86" xfId="0" applyFont="1" applyFill="1" applyBorder="1" applyAlignment="1">
      <alignment vertical="center" wrapText="1"/>
    </xf>
    <xf numFmtId="0" fontId="78" fillId="79" borderId="82" xfId="0" applyFont="1" applyFill="1" applyBorder="1" applyAlignment="1">
      <alignment vertical="center" wrapText="1"/>
    </xf>
    <xf numFmtId="0" fontId="74" fillId="78" borderId="85" xfId="0" applyFont="1" applyFill="1" applyBorder="1" applyAlignment="1">
      <alignment horizontal="center" vertical="center" wrapText="1"/>
    </xf>
    <xf numFmtId="0" fontId="74" fillId="78" borderId="84" xfId="0" applyFont="1" applyFill="1" applyBorder="1" applyAlignment="1">
      <alignment horizontal="center" vertical="center" wrapText="1"/>
    </xf>
    <xf numFmtId="0" fontId="76" fillId="78" borderId="22" xfId="0" applyFont="1" applyFill="1" applyBorder="1" applyAlignment="1">
      <alignment horizontal="center" vertical="center" wrapText="1"/>
    </xf>
    <xf numFmtId="0" fontId="76" fillId="78" borderId="86" xfId="0" applyFont="1" applyFill="1" applyBorder="1" applyAlignment="1">
      <alignment horizontal="center" vertical="center" wrapText="1"/>
    </xf>
    <xf numFmtId="0" fontId="76" fillId="78" borderId="24" xfId="0" applyFont="1" applyFill="1" applyBorder="1" applyAlignment="1">
      <alignment horizontal="center" vertical="center" wrapText="1"/>
    </xf>
    <xf numFmtId="0" fontId="76" fillId="78" borderId="83" xfId="0" applyFont="1" applyFill="1" applyBorder="1" applyAlignment="1">
      <alignment horizontal="center" vertical="center" wrapText="1"/>
    </xf>
    <xf numFmtId="0" fontId="76" fillId="78" borderId="80" xfId="0" applyFont="1" applyFill="1" applyBorder="1" applyAlignment="1">
      <alignment horizontal="center" vertical="center" wrapText="1"/>
    </xf>
    <xf numFmtId="0" fontId="76" fillId="78" borderId="81" xfId="0" applyFont="1" applyFill="1" applyBorder="1" applyAlignment="1">
      <alignment horizontal="center" vertical="center" wrapText="1"/>
    </xf>
    <xf numFmtId="0" fontId="76" fillId="78" borderId="82" xfId="0" applyFont="1" applyFill="1" applyBorder="1" applyAlignment="1">
      <alignment horizontal="center" vertical="center" wrapText="1"/>
    </xf>
    <xf numFmtId="0" fontId="75" fillId="78" borderId="80" xfId="0" applyFont="1" applyFill="1" applyBorder="1" applyAlignment="1">
      <alignment horizontal="center" vertical="center" wrapText="1"/>
    </xf>
    <xf numFmtId="0" fontId="75" fillId="78" borderId="82" xfId="0" applyFont="1" applyFill="1" applyBorder="1" applyAlignment="1">
      <alignment horizontal="center" vertical="center" wrapText="1"/>
    </xf>
    <xf numFmtId="0" fontId="74" fillId="79" borderId="80" xfId="0" applyFont="1" applyFill="1" applyBorder="1" applyAlignment="1">
      <alignment horizontal="justify" vertical="center" wrapText="1"/>
    </xf>
    <xf numFmtId="0" fontId="74" fillId="79" borderId="82" xfId="0" applyFont="1" applyFill="1" applyBorder="1" applyAlignment="1">
      <alignment horizontal="justify" vertical="center" wrapText="1"/>
    </xf>
    <xf numFmtId="0" fontId="76" fillId="78" borderId="25" xfId="0" applyFont="1" applyFill="1" applyBorder="1" applyAlignment="1">
      <alignment horizontal="center" vertical="center" wrapText="1"/>
    </xf>
    <xf numFmtId="0" fontId="0" fillId="0" borderId="0" xfId="0" applyAlignment="1"/>
    <xf numFmtId="0" fontId="75" fillId="78" borderId="80" xfId="0" applyFont="1" applyFill="1" applyBorder="1" applyAlignment="1">
      <alignment vertical="center" wrapText="1"/>
    </xf>
    <xf numFmtId="0" fontId="75" fillId="78" borderId="82" xfId="0" applyFont="1" applyFill="1" applyBorder="1" applyAlignment="1">
      <alignment vertical="center" wrapText="1"/>
    </xf>
    <xf numFmtId="0" fontId="76" fillId="78" borderId="80" xfId="0" applyFont="1" applyFill="1" applyBorder="1" applyAlignment="1">
      <alignment vertical="center" wrapText="1"/>
    </xf>
    <xf numFmtId="0" fontId="76" fillId="78" borderId="81" xfId="0" applyFont="1" applyFill="1" applyBorder="1" applyAlignment="1">
      <alignment vertical="center" wrapText="1"/>
    </xf>
    <xf numFmtId="0" fontId="76" fillId="78" borderId="82" xfId="0" applyFont="1" applyFill="1" applyBorder="1" applyAlignment="1">
      <alignment vertical="center" wrapText="1"/>
    </xf>
    <xf numFmtId="0" fontId="74" fillId="79" borderId="80" xfId="0" applyFont="1" applyFill="1" applyBorder="1" applyAlignment="1">
      <alignment vertical="center" wrapText="1"/>
    </xf>
    <xf numFmtId="0" fontId="74" fillId="79" borderId="82" xfId="0" applyFont="1" applyFill="1" applyBorder="1" applyAlignment="1">
      <alignment vertical="center" wrapText="1"/>
    </xf>
    <xf numFmtId="0" fontId="74" fillId="57" borderId="80" xfId="0" applyFont="1" applyFill="1" applyBorder="1" applyAlignment="1">
      <alignment horizontal="center" vertical="center" wrapText="1"/>
    </xf>
    <xf numFmtId="0" fontId="46" fillId="60" borderId="53" xfId="0" applyFont="1" applyFill="1" applyBorder="1" applyAlignment="1" applyProtection="1">
      <alignment horizontal="center" vertical="center" wrapText="1"/>
      <protection hidden="1"/>
    </xf>
    <xf numFmtId="0" fontId="50" fillId="57" borderId="46" xfId="0" applyFont="1" applyFill="1" applyBorder="1" applyAlignment="1" applyProtection="1">
      <alignment horizontal="center" vertical="center"/>
      <protection hidden="1"/>
    </xf>
    <xf numFmtId="9" fontId="16" fillId="55" borderId="53" xfId="0" applyNumberFormat="1" applyFont="1" applyFill="1" applyBorder="1" applyAlignment="1" applyProtection="1">
      <alignment horizontal="center" vertical="center" wrapText="1"/>
      <protection hidden="1"/>
    </xf>
    <xf numFmtId="0" fontId="74" fillId="57" borderId="20" xfId="0" applyFont="1" applyFill="1" applyBorder="1" applyAlignment="1">
      <alignment horizontal="center" vertical="center" wrapText="1"/>
    </xf>
    <xf numFmtId="0" fontId="50" fillId="57" borderId="20" xfId="0" applyFont="1" applyFill="1" applyBorder="1" applyAlignment="1" applyProtection="1">
      <alignment horizontal="center" vertical="center"/>
      <protection hidden="1"/>
    </xf>
    <xf numFmtId="0" fontId="54" fillId="55" borderId="50" xfId="0" applyFont="1" applyFill="1" applyBorder="1" applyAlignment="1" applyProtection="1">
      <alignment horizontal="center" vertical="center" wrapText="1"/>
      <protection hidden="1"/>
    </xf>
    <xf numFmtId="0" fontId="54" fillId="55" borderId="51" xfId="0" applyFont="1" applyFill="1" applyBorder="1" applyAlignment="1" applyProtection="1">
      <alignment horizontal="center" vertical="center" wrapText="1"/>
      <protection hidden="1"/>
    </xf>
    <xf numFmtId="0" fontId="54" fillId="55" borderId="52" xfId="0" applyFont="1" applyFill="1" applyBorder="1" applyAlignment="1" applyProtection="1">
      <alignment horizontal="center" vertical="center" wrapText="1"/>
      <protection hidden="1"/>
    </xf>
    <xf numFmtId="0" fontId="79" fillId="79" borderId="80" xfId="0" applyFont="1" applyFill="1" applyBorder="1" applyAlignment="1">
      <alignment vertical="center" wrapText="1"/>
    </xf>
    <xf numFmtId="0" fontId="79" fillId="79" borderId="82" xfId="0" applyFont="1" applyFill="1" applyBorder="1" applyAlignment="1">
      <alignment vertical="center" wrapText="1"/>
    </xf>
    <xf numFmtId="9" fontId="16" fillId="55" borderId="39" xfId="0" applyNumberFormat="1" applyFont="1" applyFill="1" applyBorder="1" applyAlignment="1" applyProtection="1">
      <alignment horizontal="center" vertical="center" wrapText="1"/>
      <protection locked="0"/>
    </xf>
    <xf numFmtId="0" fontId="79" fillId="57" borderId="20" xfId="0" applyFont="1" applyFill="1" applyBorder="1" applyAlignment="1">
      <alignment horizontal="center" vertical="center" wrapText="1"/>
    </xf>
    <xf numFmtId="0" fontId="54" fillId="55" borderId="45" xfId="0" applyFont="1" applyFill="1" applyBorder="1" applyAlignment="1" applyProtection="1">
      <alignment horizontal="center" vertical="center" wrapText="1"/>
      <protection hidden="1"/>
    </xf>
    <xf numFmtId="0" fontId="50" fillId="57" borderId="53" xfId="0" applyFont="1" applyFill="1" applyBorder="1" applyAlignment="1" applyProtection="1">
      <alignment horizontal="center" vertical="center"/>
      <protection hidden="1"/>
    </xf>
    <xf numFmtId="0" fontId="0" fillId="57" borderId="0" xfId="0" applyFill="1" applyProtection="1">
      <protection hidden="1"/>
    </xf>
    <xf numFmtId="0" fontId="0" fillId="57" borderId="0" xfId="0" applyFill="1" applyBorder="1" applyProtection="1">
      <protection hidden="1"/>
    </xf>
  </cellXfs>
  <cellStyles count="406">
    <cellStyle name="20% - Énfasis1 2" xfId="2" xr:uid="{00000000-0005-0000-0000-000000000000}"/>
    <cellStyle name="20% - Énfasis1 3" xfId="3" xr:uid="{00000000-0005-0000-0000-000001000000}"/>
    <cellStyle name="20% - Énfasis2 2" xfId="4" xr:uid="{00000000-0005-0000-0000-000002000000}"/>
    <cellStyle name="20% - Énfasis2 3" xfId="5" xr:uid="{00000000-0005-0000-0000-000003000000}"/>
    <cellStyle name="20% - Énfasis3 2" xfId="6" xr:uid="{00000000-0005-0000-0000-000004000000}"/>
    <cellStyle name="20% - Énfasis3 3" xfId="7" xr:uid="{00000000-0005-0000-0000-000005000000}"/>
    <cellStyle name="20% - Énfasis4 2" xfId="8" xr:uid="{00000000-0005-0000-0000-000006000000}"/>
    <cellStyle name="20% - Énfasis4 3" xfId="9" xr:uid="{00000000-0005-0000-0000-000007000000}"/>
    <cellStyle name="20% - Énfasis5 2" xfId="10" xr:uid="{00000000-0005-0000-0000-000008000000}"/>
    <cellStyle name="20% - Énfasis5 3" xfId="11" xr:uid="{00000000-0005-0000-0000-000009000000}"/>
    <cellStyle name="20% - Énfasis6 2" xfId="12" xr:uid="{00000000-0005-0000-0000-00000A000000}"/>
    <cellStyle name="20% - Énfasis6 3" xfId="13" xr:uid="{00000000-0005-0000-0000-00000B000000}"/>
    <cellStyle name="40% - Énfasis1 2" xfId="14" xr:uid="{00000000-0005-0000-0000-00000C000000}"/>
    <cellStyle name="40% - Énfasis1 3" xfId="15" xr:uid="{00000000-0005-0000-0000-00000D000000}"/>
    <cellStyle name="40% - Énfasis2 2" xfId="16" xr:uid="{00000000-0005-0000-0000-00000E000000}"/>
    <cellStyle name="40% - Énfasis2 3" xfId="17" xr:uid="{00000000-0005-0000-0000-00000F000000}"/>
    <cellStyle name="40% - Énfasis3 2" xfId="18" xr:uid="{00000000-0005-0000-0000-000010000000}"/>
    <cellStyle name="40% - Énfasis3 3" xfId="19" xr:uid="{00000000-0005-0000-0000-000011000000}"/>
    <cellStyle name="40% - Énfasis4 2" xfId="20" xr:uid="{00000000-0005-0000-0000-000012000000}"/>
    <cellStyle name="40% - Énfasis4 3" xfId="21" xr:uid="{00000000-0005-0000-0000-000013000000}"/>
    <cellStyle name="40% - Énfasis5 2" xfId="22" xr:uid="{00000000-0005-0000-0000-000014000000}"/>
    <cellStyle name="40% - Énfasis5 3" xfId="23" xr:uid="{00000000-0005-0000-0000-000015000000}"/>
    <cellStyle name="40% - Énfasis6 2" xfId="24" xr:uid="{00000000-0005-0000-0000-000016000000}"/>
    <cellStyle name="40% - Énfasis6 3" xfId="25" xr:uid="{00000000-0005-0000-0000-000017000000}"/>
    <cellStyle name="60% - Énfasis1 2" xfId="26" xr:uid="{00000000-0005-0000-0000-000018000000}"/>
    <cellStyle name="60% - Énfasis1 3" xfId="27" xr:uid="{00000000-0005-0000-0000-000019000000}"/>
    <cellStyle name="60% - Énfasis2 2" xfId="28" xr:uid="{00000000-0005-0000-0000-00001A000000}"/>
    <cellStyle name="60% - Énfasis2 3" xfId="29" xr:uid="{00000000-0005-0000-0000-00001B000000}"/>
    <cellStyle name="60% - Énfasis3 2" xfId="30" xr:uid="{00000000-0005-0000-0000-00001C000000}"/>
    <cellStyle name="60% - Énfasis3 3" xfId="31" xr:uid="{00000000-0005-0000-0000-00001D000000}"/>
    <cellStyle name="60% - Énfasis4 2" xfId="32" xr:uid="{00000000-0005-0000-0000-00001E000000}"/>
    <cellStyle name="60% - Énfasis4 3" xfId="33" xr:uid="{00000000-0005-0000-0000-00001F000000}"/>
    <cellStyle name="60% - Énfasis5 2" xfId="34" xr:uid="{00000000-0005-0000-0000-000020000000}"/>
    <cellStyle name="60% - Énfasis5 3" xfId="35" xr:uid="{00000000-0005-0000-0000-000021000000}"/>
    <cellStyle name="60% - Énfasis6 2" xfId="36" xr:uid="{00000000-0005-0000-0000-000022000000}"/>
    <cellStyle name="60% - Énfasis6 3" xfId="37" xr:uid="{00000000-0005-0000-0000-000023000000}"/>
    <cellStyle name="Buena 2" xfId="38" xr:uid="{00000000-0005-0000-0000-000024000000}"/>
    <cellStyle name="Buena 3" xfId="39" xr:uid="{00000000-0005-0000-0000-000025000000}"/>
    <cellStyle name="Cálculo 2" xfId="40" xr:uid="{00000000-0005-0000-0000-000026000000}"/>
    <cellStyle name="Cálculo 2 2" xfId="370" xr:uid="{00000000-0005-0000-0000-000027000000}"/>
    <cellStyle name="Cálculo 2 3" xfId="384" xr:uid="{00000000-0005-0000-0000-000028000000}"/>
    <cellStyle name="Cálculo 3" xfId="41" xr:uid="{00000000-0005-0000-0000-000029000000}"/>
    <cellStyle name="Celda de comprobación 2" xfId="42" xr:uid="{00000000-0005-0000-0000-00002A000000}"/>
    <cellStyle name="Celda de comprobación 3" xfId="43" xr:uid="{00000000-0005-0000-0000-00002B000000}"/>
    <cellStyle name="Celda vinculada 2" xfId="44" xr:uid="{00000000-0005-0000-0000-00002C000000}"/>
    <cellStyle name="Celda vinculada 3" xfId="45" xr:uid="{00000000-0005-0000-0000-00002D000000}"/>
    <cellStyle name="Encabezado 4 2" xfId="46" xr:uid="{00000000-0005-0000-0000-00002E000000}"/>
    <cellStyle name="Encabezado 4 3" xfId="47" xr:uid="{00000000-0005-0000-0000-00002F000000}"/>
    <cellStyle name="Énfasis1 2" xfId="48" xr:uid="{00000000-0005-0000-0000-000030000000}"/>
    <cellStyle name="Énfasis1 2 2" xfId="49" xr:uid="{00000000-0005-0000-0000-000031000000}"/>
    <cellStyle name="Énfasis1 3" xfId="50" xr:uid="{00000000-0005-0000-0000-000032000000}"/>
    <cellStyle name="Énfasis1 3 2" xfId="51" xr:uid="{00000000-0005-0000-0000-000033000000}"/>
    <cellStyle name="Énfasis1 3 2 2" xfId="52" xr:uid="{00000000-0005-0000-0000-000034000000}"/>
    <cellStyle name="Énfasis1 3 3" xfId="53" xr:uid="{00000000-0005-0000-0000-000035000000}"/>
    <cellStyle name="Énfasis2 2" xfId="54" xr:uid="{00000000-0005-0000-0000-000036000000}"/>
    <cellStyle name="Énfasis2 3" xfId="55" xr:uid="{00000000-0005-0000-0000-000037000000}"/>
    <cellStyle name="Énfasis3 2" xfId="56" xr:uid="{00000000-0005-0000-0000-000038000000}"/>
    <cellStyle name="Énfasis3 3" xfId="57" xr:uid="{00000000-0005-0000-0000-000039000000}"/>
    <cellStyle name="Énfasis4 2" xfId="58" xr:uid="{00000000-0005-0000-0000-00003A000000}"/>
    <cellStyle name="Énfasis4 3" xfId="59" xr:uid="{00000000-0005-0000-0000-00003B000000}"/>
    <cellStyle name="Énfasis5 2" xfId="60" xr:uid="{00000000-0005-0000-0000-00003C000000}"/>
    <cellStyle name="Énfasis5 3" xfId="61" xr:uid="{00000000-0005-0000-0000-00003D000000}"/>
    <cellStyle name="Énfasis6 2" xfId="62" xr:uid="{00000000-0005-0000-0000-00003E000000}"/>
    <cellStyle name="Énfasis6 3" xfId="63" xr:uid="{00000000-0005-0000-0000-00003F000000}"/>
    <cellStyle name="Entrada 2" xfId="64" xr:uid="{00000000-0005-0000-0000-000040000000}"/>
    <cellStyle name="Entrada 2 2" xfId="371" xr:uid="{00000000-0005-0000-0000-000041000000}"/>
    <cellStyle name="Entrada 2 3" xfId="385" xr:uid="{00000000-0005-0000-0000-000042000000}"/>
    <cellStyle name="Entrada 3" xfId="65" xr:uid="{00000000-0005-0000-0000-000043000000}"/>
    <cellStyle name="Euro" xfId="66" xr:uid="{00000000-0005-0000-0000-000044000000}"/>
    <cellStyle name="Euro 10" xfId="67" xr:uid="{00000000-0005-0000-0000-000045000000}"/>
    <cellStyle name="Euro 10 2" xfId="68" xr:uid="{00000000-0005-0000-0000-000046000000}"/>
    <cellStyle name="Euro 11" xfId="69" xr:uid="{00000000-0005-0000-0000-000047000000}"/>
    <cellStyle name="Euro 11 2" xfId="70" xr:uid="{00000000-0005-0000-0000-000048000000}"/>
    <cellStyle name="Euro 12" xfId="71" xr:uid="{00000000-0005-0000-0000-000049000000}"/>
    <cellStyle name="Euro 12 2" xfId="72" xr:uid="{00000000-0005-0000-0000-00004A000000}"/>
    <cellStyle name="Euro 13" xfId="73" xr:uid="{00000000-0005-0000-0000-00004B000000}"/>
    <cellStyle name="Euro 13 2" xfId="74" xr:uid="{00000000-0005-0000-0000-00004C000000}"/>
    <cellStyle name="Euro 14" xfId="75" xr:uid="{00000000-0005-0000-0000-00004D000000}"/>
    <cellStyle name="Euro 14 2" xfId="76" xr:uid="{00000000-0005-0000-0000-00004E000000}"/>
    <cellStyle name="Euro 15" xfId="77" xr:uid="{00000000-0005-0000-0000-00004F000000}"/>
    <cellStyle name="Euro 15 2" xfId="78" xr:uid="{00000000-0005-0000-0000-000050000000}"/>
    <cellStyle name="Euro 16" xfId="79" xr:uid="{00000000-0005-0000-0000-000051000000}"/>
    <cellStyle name="Euro 17" xfId="80" xr:uid="{00000000-0005-0000-0000-000052000000}"/>
    <cellStyle name="Euro 2" xfId="81" xr:uid="{00000000-0005-0000-0000-000053000000}"/>
    <cellStyle name="Euro 2 2" xfId="82" xr:uid="{00000000-0005-0000-0000-000054000000}"/>
    <cellStyle name="Euro 3" xfId="83" xr:uid="{00000000-0005-0000-0000-000055000000}"/>
    <cellStyle name="Euro 3 2" xfId="84" xr:uid="{00000000-0005-0000-0000-000056000000}"/>
    <cellStyle name="Euro 4" xfId="85" xr:uid="{00000000-0005-0000-0000-000057000000}"/>
    <cellStyle name="Euro 4 2" xfId="86" xr:uid="{00000000-0005-0000-0000-000058000000}"/>
    <cellStyle name="Euro 5" xfId="87" xr:uid="{00000000-0005-0000-0000-000059000000}"/>
    <cellStyle name="Euro 5 2" xfId="88" xr:uid="{00000000-0005-0000-0000-00005A000000}"/>
    <cellStyle name="Euro 6" xfId="89" xr:uid="{00000000-0005-0000-0000-00005B000000}"/>
    <cellStyle name="Euro 6 2" xfId="90" xr:uid="{00000000-0005-0000-0000-00005C000000}"/>
    <cellStyle name="Euro 7" xfId="91" xr:uid="{00000000-0005-0000-0000-00005D000000}"/>
    <cellStyle name="Euro 7 2" xfId="92" xr:uid="{00000000-0005-0000-0000-00005E000000}"/>
    <cellStyle name="Euro 8" xfId="93" xr:uid="{00000000-0005-0000-0000-00005F000000}"/>
    <cellStyle name="Euro 8 2" xfId="94" xr:uid="{00000000-0005-0000-0000-000060000000}"/>
    <cellStyle name="Euro 9" xfId="95" xr:uid="{00000000-0005-0000-0000-000061000000}"/>
    <cellStyle name="Euro 9 2" xfId="96" xr:uid="{00000000-0005-0000-0000-000062000000}"/>
    <cellStyle name="Euro_010910HS" xfId="97" xr:uid="{00000000-0005-0000-0000-000063000000}"/>
    <cellStyle name="Hipervínculo" xfId="378" builtinId="8" hidden="1"/>
    <cellStyle name="Hipervínculo" xfId="380" builtinId="8" hidden="1"/>
    <cellStyle name="Hipervínculo" xfId="365" builtinId="8" hidden="1"/>
    <cellStyle name="Hipervínculo" xfId="376" builtinId="8" hidden="1"/>
    <cellStyle name="Hipervínculo" xfId="363" builtinId="8" hidden="1"/>
    <cellStyle name="Hipervínculo" xfId="361" builtinId="8" hidden="1"/>
    <cellStyle name="Hipervínculo 2" xfId="98" xr:uid="{00000000-0005-0000-0000-00006A000000}"/>
    <cellStyle name="Hipervínculo 2 2" xfId="99" xr:uid="{00000000-0005-0000-0000-00006B000000}"/>
    <cellStyle name="Hipervínculo 3" xfId="100" xr:uid="{00000000-0005-0000-0000-00006C000000}"/>
    <cellStyle name="Hipervínculo 4" xfId="392" xr:uid="{00000000-0005-0000-0000-00006D000000}"/>
    <cellStyle name="Hipervínculo 5" xfId="394" xr:uid="{00000000-0005-0000-0000-00006E000000}"/>
    <cellStyle name="Hipervínculo 6" xfId="396" xr:uid="{00000000-0005-0000-0000-00006F000000}"/>
    <cellStyle name="Hipervínculo visitado" xfId="400" builtinId="9" hidden="1"/>
    <cellStyle name="Hipervínculo visitado" xfId="401" builtinId="9" hidden="1"/>
    <cellStyle name="Hipervínculo visitado" xfId="402" builtinId="9" hidden="1"/>
    <cellStyle name="Hipervínculo visitado" xfId="388" builtinId="9" hidden="1"/>
    <cellStyle name="Hipervínculo visitado" xfId="389" builtinId="9" hidden="1"/>
    <cellStyle name="Hipervínculo visitado" xfId="398" builtinId="9" hidden="1"/>
    <cellStyle name="Hipervínculo visitado" xfId="399" builtinId="9" hidden="1"/>
    <cellStyle name="Hipervínculo visitado" xfId="404" builtinId="9" hidden="1"/>
    <cellStyle name="Hipervínculo visitado" xfId="403" builtinId="9" hidden="1"/>
    <cellStyle name="Hipervínculo visitado" xfId="379" builtinId="9" hidden="1"/>
    <cellStyle name="Hipervínculo visitado" xfId="381" builtinId="9" hidden="1"/>
    <cellStyle name="Hipervínculo visitado" xfId="393" builtinId="9" hidden="1"/>
    <cellStyle name="Hipervínculo visitado" xfId="395" builtinId="9" hidden="1"/>
    <cellStyle name="Hipervínculo visitado" xfId="397" builtinId="9" hidden="1"/>
    <cellStyle name="Hipervínculo visitado" xfId="366" builtinId="9" hidden="1"/>
    <cellStyle name="Hipervínculo visitado" xfId="377" builtinId="9" hidden="1"/>
    <cellStyle name="Hipervínculo visitado" xfId="364" builtinId="9" hidden="1"/>
    <cellStyle name="Hipervínculo visitado" xfId="362" builtinId="9" hidden="1"/>
    <cellStyle name="Incorrecto 2" xfId="101" xr:uid="{00000000-0005-0000-0000-000082000000}"/>
    <cellStyle name="Incorrecto 3" xfId="102" xr:uid="{00000000-0005-0000-0000-000083000000}"/>
    <cellStyle name="Millares [0] 2" xfId="103" xr:uid="{00000000-0005-0000-0000-000084000000}"/>
    <cellStyle name="Millares 10" xfId="104" xr:uid="{00000000-0005-0000-0000-000085000000}"/>
    <cellStyle name="Millares 11" xfId="105" xr:uid="{00000000-0005-0000-0000-000086000000}"/>
    <cellStyle name="Millares 12" xfId="106" xr:uid="{00000000-0005-0000-0000-000087000000}"/>
    <cellStyle name="Millares 13" xfId="107" xr:uid="{00000000-0005-0000-0000-000088000000}"/>
    <cellStyle name="Millares 14" xfId="108" xr:uid="{00000000-0005-0000-0000-000089000000}"/>
    <cellStyle name="Millares 15" xfId="109" xr:uid="{00000000-0005-0000-0000-00008A000000}"/>
    <cellStyle name="Millares 16" xfId="110" xr:uid="{00000000-0005-0000-0000-00008B000000}"/>
    <cellStyle name="Millares 17" xfId="111" xr:uid="{00000000-0005-0000-0000-00008C000000}"/>
    <cellStyle name="Millares 18" xfId="112" xr:uid="{00000000-0005-0000-0000-00008D000000}"/>
    <cellStyle name="Millares 19" xfId="113" xr:uid="{00000000-0005-0000-0000-00008E000000}"/>
    <cellStyle name="Millares 2" xfId="114" xr:uid="{00000000-0005-0000-0000-00008F000000}"/>
    <cellStyle name="Millares 2 2" xfId="115" xr:uid="{00000000-0005-0000-0000-000090000000}"/>
    <cellStyle name="Millares 2 2 2" xfId="116" xr:uid="{00000000-0005-0000-0000-000091000000}"/>
    <cellStyle name="Millares 2 3" xfId="117" xr:uid="{00000000-0005-0000-0000-000092000000}"/>
    <cellStyle name="Millares 2 3 2" xfId="118" xr:uid="{00000000-0005-0000-0000-000093000000}"/>
    <cellStyle name="Millares 2 4" xfId="119" xr:uid="{00000000-0005-0000-0000-000094000000}"/>
    <cellStyle name="Millares 2 4 2" xfId="120" xr:uid="{00000000-0005-0000-0000-000095000000}"/>
    <cellStyle name="Millares 2 5" xfId="121" xr:uid="{00000000-0005-0000-0000-000096000000}"/>
    <cellStyle name="Millares 2 5 2" xfId="122" xr:uid="{00000000-0005-0000-0000-000097000000}"/>
    <cellStyle name="Millares 2 6" xfId="123" xr:uid="{00000000-0005-0000-0000-000098000000}"/>
    <cellStyle name="Millares 2 7" xfId="124" xr:uid="{00000000-0005-0000-0000-000099000000}"/>
    <cellStyle name="Millares 2 8" xfId="125" xr:uid="{00000000-0005-0000-0000-00009A000000}"/>
    <cellStyle name="Millares 2 9" xfId="126" xr:uid="{00000000-0005-0000-0000-00009B000000}"/>
    <cellStyle name="Millares 20" xfId="127" xr:uid="{00000000-0005-0000-0000-00009C000000}"/>
    <cellStyle name="Millares 21" xfId="128" xr:uid="{00000000-0005-0000-0000-00009D000000}"/>
    <cellStyle name="Millares 22" xfId="129" xr:uid="{00000000-0005-0000-0000-00009E000000}"/>
    <cellStyle name="Millares 23" xfId="130" xr:uid="{00000000-0005-0000-0000-00009F000000}"/>
    <cellStyle name="Millares 24" xfId="131" xr:uid="{00000000-0005-0000-0000-0000A0000000}"/>
    <cellStyle name="Millares 25" xfId="132" xr:uid="{00000000-0005-0000-0000-0000A1000000}"/>
    <cellStyle name="Millares 26" xfId="133" xr:uid="{00000000-0005-0000-0000-0000A2000000}"/>
    <cellStyle name="Millares 27" xfId="134" xr:uid="{00000000-0005-0000-0000-0000A3000000}"/>
    <cellStyle name="Millares 28" xfId="135" xr:uid="{00000000-0005-0000-0000-0000A4000000}"/>
    <cellStyle name="Millares 29" xfId="136" xr:uid="{00000000-0005-0000-0000-0000A5000000}"/>
    <cellStyle name="Millares 3" xfId="137" xr:uid="{00000000-0005-0000-0000-0000A6000000}"/>
    <cellStyle name="Millares 3 2" xfId="138" xr:uid="{00000000-0005-0000-0000-0000A7000000}"/>
    <cellStyle name="Millares 3 3" xfId="139" xr:uid="{00000000-0005-0000-0000-0000A8000000}"/>
    <cellStyle name="Millares 3 4" xfId="140" xr:uid="{00000000-0005-0000-0000-0000A9000000}"/>
    <cellStyle name="Millares 30" xfId="141" xr:uid="{00000000-0005-0000-0000-0000AA000000}"/>
    <cellStyle name="Millares 31" xfId="142" xr:uid="{00000000-0005-0000-0000-0000AB000000}"/>
    <cellStyle name="Millares 32" xfId="143" xr:uid="{00000000-0005-0000-0000-0000AC000000}"/>
    <cellStyle name="Millares 33" xfId="144" xr:uid="{00000000-0005-0000-0000-0000AD000000}"/>
    <cellStyle name="Millares 34" xfId="145" xr:uid="{00000000-0005-0000-0000-0000AE000000}"/>
    <cellStyle name="Millares 35" xfId="146" xr:uid="{00000000-0005-0000-0000-0000AF000000}"/>
    <cellStyle name="Millares 36" xfId="147" xr:uid="{00000000-0005-0000-0000-0000B0000000}"/>
    <cellStyle name="Millares 37" xfId="148" xr:uid="{00000000-0005-0000-0000-0000B1000000}"/>
    <cellStyle name="Millares 38" xfId="149" xr:uid="{00000000-0005-0000-0000-0000B2000000}"/>
    <cellStyle name="Millares 39" xfId="150" xr:uid="{00000000-0005-0000-0000-0000B3000000}"/>
    <cellStyle name="Millares 4" xfId="151" xr:uid="{00000000-0005-0000-0000-0000B4000000}"/>
    <cellStyle name="Millares 40" xfId="152" xr:uid="{00000000-0005-0000-0000-0000B5000000}"/>
    <cellStyle name="Millares 41" xfId="153" xr:uid="{00000000-0005-0000-0000-0000B6000000}"/>
    <cellStyle name="Millares 42" xfId="154" xr:uid="{00000000-0005-0000-0000-0000B7000000}"/>
    <cellStyle name="Millares 43" xfId="155" xr:uid="{00000000-0005-0000-0000-0000B8000000}"/>
    <cellStyle name="Millares 44" xfId="156" xr:uid="{00000000-0005-0000-0000-0000B9000000}"/>
    <cellStyle name="Millares 45" xfId="157" xr:uid="{00000000-0005-0000-0000-0000BA000000}"/>
    <cellStyle name="Millares 46" xfId="158" xr:uid="{00000000-0005-0000-0000-0000BB000000}"/>
    <cellStyle name="Millares 47" xfId="159" xr:uid="{00000000-0005-0000-0000-0000BC000000}"/>
    <cellStyle name="Millares 48" xfId="160" xr:uid="{00000000-0005-0000-0000-0000BD000000}"/>
    <cellStyle name="Millares 49" xfId="161" xr:uid="{00000000-0005-0000-0000-0000BE000000}"/>
    <cellStyle name="Millares 5" xfId="162" xr:uid="{00000000-0005-0000-0000-0000BF000000}"/>
    <cellStyle name="Millares 50" xfId="163" xr:uid="{00000000-0005-0000-0000-0000C0000000}"/>
    <cellStyle name="Millares 51" xfId="164" xr:uid="{00000000-0005-0000-0000-0000C1000000}"/>
    <cellStyle name="Millares 52" xfId="165" xr:uid="{00000000-0005-0000-0000-0000C2000000}"/>
    <cellStyle name="Millares 53" xfId="166" xr:uid="{00000000-0005-0000-0000-0000C3000000}"/>
    <cellStyle name="Millares 54" xfId="167" xr:uid="{00000000-0005-0000-0000-0000C4000000}"/>
    <cellStyle name="Millares 55" xfId="168" xr:uid="{00000000-0005-0000-0000-0000C5000000}"/>
    <cellStyle name="Millares 56" xfId="169" xr:uid="{00000000-0005-0000-0000-0000C6000000}"/>
    <cellStyle name="Millares 56 2" xfId="170" xr:uid="{00000000-0005-0000-0000-0000C7000000}"/>
    <cellStyle name="Millares 57" xfId="171" xr:uid="{00000000-0005-0000-0000-0000C8000000}"/>
    <cellStyle name="Millares 57 2" xfId="172" xr:uid="{00000000-0005-0000-0000-0000C9000000}"/>
    <cellStyle name="Millares 58" xfId="173" xr:uid="{00000000-0005-0000-0000-0000CA000000}"/>
    <cellStyle name="Millares 59" xfId="174" xr:uid="{00000000-0005-0000-0000-0000CB000000}"/>
    <cellStyle name="Millares 6" xfId="175" xr:uid="{00000000-0005-0000-0000-0000CC000000}"/>
    <cellStyle name="Millares 60" xfId="176" xr:uid="{00000000-0005-0000-0000-0000CD000000}"/>
    <cellStyle name="Millares 61" xfId="177" xr:uid="{00000000-0005-0000-0000-0000CE000000}"/>
    <cellStyle name="Millares 62" xfId="178" xr:uid="{00000000-0005-0000-0000-0000CF000000}"/>
    <cellStyle name="Millares 63" xfId="179" xr:uid="{00000000-0005-0000-0000-0000D0000000}"/>
    <cellStyle name="Millares 64" xfId="180" xr:uid="{00000000-0005-0000-0000-0000D1000000}"/>
    <cellStyle name="Millares 7" xfId="181" xr:uid="{00000000-0005-0000-0000-0000D2000000}"/>
    <cellStyle name="Millares 8" xfId="182" xr:uid="{00000000-0005-0000-0000-0000D3000000}"/>
    <cellStyle name="Millares 9" xfId="183" xr:uid="{00000000-0005-0000-0000-0000D4000000}"/>
    <cellStyle name="Moneda 10" xfId="184" xr:uid="{00000000-0005-0000-0000-0000D5000000}"/>
    <cellStyle name="Moneda 2" xfId="185" xr:uid="{00000000-0005-0000-0000-0000D6000000}"/>
    <cellStyle name="Moneda 2 2" xfId="186" xr:uid="{00000000-0005-0000-0000-0000D7000000}"/>
    <cellStyle name="Moneda 2 3" xfId="187" xr:uid="{00000000-0005-0000-0000-0000D8000000}"/>
    <cellStyle name="Moneda 3" xfId="188" xr:uid="{00000000-0005-0000-0000-0000D9000000}"/>
    <cellStyle name="Moneda 3 2" xfId="189" xr:uid="{00000000-0005-0000-0000-0000DA000000}"/>
    <cellStyle name="Moneda 4" xfId="190" xr:uid="{00000000-0005-0000-0000-0000DB000000}"/>
    <cellStyle name="Moneda 4 2" xfId="191" xr:uid="{00000000-0005-0000-0000-0000DC000000}"/>
    <cellStyle name="Moneda 4 3" xfId="192" xr:uid="{00000000-0005-0000-0000-0000DD000000}"/>
    <cellStyle name="Moneda 5" xfId="193" xr:uid="{00000000-0005-0000-0000-0000DE000000}"/>
    <cellStyle name="Moneda 6" xfId="194" xr:uid="{00000000-0005-0000-0000-0000DF000000}"/>
    <cellStyle name="Moneda 7" xfId="195" xr:uid="{00000000-0005-0000-0000-0000E0000000}"/>
    <cellStyle name="Moneda 8" xfId="196" xr:uid="{00000000-0005-0000-0000-0000E1000000}"/>
    <cellStyle name="Moneda 9" xfId="197" xr:uid="{00000000-0005-0000-0000-0000E2000000}"/>
    <cellStyle name="Moneda 9 2" xfId="198" xr:uid="{00000000-0005-0000-0000-0000E3000000}"/>
    <cellStyle name="Neutral 2" xfId="199" xr:uid="{00000000-0005-0000-0000-0000E4000000}"/>
    <cellStyle name="Neutral 3" xfId="200" xr:uid="{00000000-0005-0000-0000-0000E5000000}"/>
    <cellStyle name="Normal" xfId="0" builtinId="0"/>
    <cellStyle name="Normal 10" xfId="201" xr:uid="{00000000-0005-0000-0000-0000E7000000}"/>
    <cellStyle name="Normal 11" xfId="202" xr:uid="{00000000-0005-0000-0000-0000E8000000}"/>
    <cellStyle name="Normal 12" xfId="203" xr:uid="{00000000-0005-0000-0000-0000E9000000}"/>
    <cellStyle name="Normal 13" xfId="204" xr:uid="{00000000-0005-0000-0000-0000EA000000}"/>
    <cellStyle name="Normal 14" xfId="205" xr:uid="{00000000-0005-0000-0000-0000EB000000}"/>
    <cellStyle name="Normal 15" xfId="206" xr:uid="{00000000-0005-0000-0000-0000EC000000}"/>
    <cellStyle name="Normal 16" xfId="207" xr:uid="{00000000-0005-0000-0000-0000ED000000}"/>
    <cellStyle name="Normal 17" xfId="208" xr:uid="{00000000-0005-0000-0000-0000EE000000}"/>
    <cellStyle name="Normal 18" xfId="209" xr:uid="{00000000-0005-0000-0000-0000EF000000}"/>
    <cellStyle name="Normal 19" xfId="210" xr:uid="{00000000-0005-0000-0000-0000F0000000}"/>
    <cellStyle name="Normal 2" xfId="1" xr:uid="{00000000-0005-0000-0000-0000F1000000}"/>
    <cellStyle name="Normal 2 10" xfId="382" xr:uid="{00000000-0005-0000-0000-0000F2000000}"/>
    <cellStyle name="Normal 2 11" xfId="383" xr:uid="{00000000-0005-0000-0000-0000F3000000}"/>
    <cellStyle name="Normal 2 2" xfId="211" xr:uid="{00000000-0005-0000-0000-0000F4000000}"/>
    <cellStyle name="Normal 2 2 2" xfId="212" xr:uid="{00000000-0005-0000-0000-0000F5000000}"/>
    <cellStyle name="Normal 2 3" xfId="213" xr:uid="{00000000-0005-0000-0000-0000F6000000}"/>
    <cellStyle name="Normal 2 3 2" xfId="214" xr:uid="{00000000-0005-0000-0000-0000F7000000}"/>
    <cellStyle name="Normal 2 4" xfId="215" xr:uid="{00000000-0005-0000-0000-0000F8000000}"/>
    <cellStyle name="Normal 2 4 2" xfId="216" xr:uid="{00000000-0005-0000-0000-0000F9000000}"/>
    <cellStyle name="Normal 2 5" xfId="217" xr:uid="{00000000-0005-0000-0000-0000FA000000}"/>
    <cellStyle name="Normal 2 5 2" xfId="218" xr:uid="{00000000-0005-0000-0000-0000FB000000}"/>
    <cellStyle name="Normal 2 6" xfId="219" xr:uid="{00000000-0005-0000-0000-0000FC000000}"/>
    <cellStyle name="Normal 2 7" xfId="220" xr:uid="{00000000-0005-0000-0000-0000FD000000}"/>
    <cellStyle name="Normal 2 8" xfId="221" xr:uid="{00000000-0005-0000-0000-0000FE000000}"/>
    <cellStyle name="Normal 2 9" xfId="222" xr:uid="{00000000-0005-0000-0000-0000FF000000}"/>
    <cellStyle name="Normal 20" xfId="223" xr:uid="{00000000-0005-0000-0000-000000010000}"/>
    <cellStyle name="Normal 21" xfId="224" xr:uid="{00000000-0005-0000-0000-000001010000}"/>
    <cellStyle name="Normal 22" xfId="225" xr:uid="{00000000-0005-0000-0000-000002010000}"/>
    <cellStyle name="Normal 23" xfId="226" xr:uid="{00000000-0005-0000-0000-000003010000}"/>
    <cellStyle name="Normal 24" xfId="227" xr:uid="{00000000-0005-0000-0000-000004010000}"/>
    <cellStyle name="Normal 25" xfId="228" xr:uid="{00000000-0005-0000-0000-000005010000}"/>
    <cellStyle name="Normal 26" xfId="229" xr:uid="{00000000-0005-0000-0000-000006010000}"/>
    <cellStyle name="Normal 27" xfId="230" xr:uid="{00000000-0005-0000-0000-000007010000}"/>
    <cellStyle name="Normal 28" xfId="231" xr:uid="{00000000-0005-0000-0000-000008010000}"/>
    <cellStyle name="Normal 29" xfId="232" xr:uid="{00000000-0005-0000-0000-000009010000}"/>
    <cellStyle name="Normal 3" xfId="233" xr:uid="{00000000-0005-0000-0000-00000A010000}"/>
    <cellStyle name="Normal 3 2" xfId="234" xr:uid="{00000000-0005-0000-0000-00000B010000}"/>
    <cellStyle name="Normal 3 3" xfId="235" xr:uid="{00000000-0005-0000-0000-00000C010000}"/>
    <cellStyle name="Normal 3 3 2" xfId="236" xr:uid="{00000000-0005-0000-0000-00000D010000}"/>
    <cellStyle name="Normal 3 4" xfId="237" xr:uid="{00000000-0005-0000-0000-00000E010000}"/>
    <cellStyle name="Normal 30" xfId="238" xr:uid="{00000000-0005-0000-0000-00000F010000}"/>
    <cellStyle name="Normal 31" xfId="239" xr:uid="{00000000-0005-0000-0000-000010010000}"/>
    <cellStyle name="Normal 32" xfId="240" xr:uid="{00000000-0005-0000-0000-000011010000}"/>
    <cellStyle name="Normal 33" xfId="241" xr:uid="{00000000-0005-0000-0000-000012010000}"/>
    <cellStyle name="Normal 34" xfId="242" xr:uid="{00000000-0005-0000-0000-000013010000}"/>
    <cellStyle name="Normal 35" xfId="243" xr:uid="{00000000-0005-0000-0000-000014010000}"/>
    <cellStyle name="Normal 36" xfId="244" xr:uid="{00000000-0005-0000-0000-000015010000}"/>
    <cellStyle name="Normal 37" xfId="245" xr:uid="{00000000-0005-0000-0000-000016010000}"/>
    <cellStyle name="Normal 38" xfId="246" xr:uid="{00000000-0005-0000-0000-000017010000}"/>
    <cellStyle name="Normal 39" xfId="247" xr:uid="{00000000-0005-0000-0000-000018010000}"/>
    <cellStyle name="Normal 4" xfId="248" xr:uid="{00000000-0005-0000-0000-000019010000}"/>
    <cellStyle name="Normal 4 2" xfId="249" xr:uid="{00000000-0005-0000-0000-00001A010000}"/>
    <cellStyle name="Normal 4 2 2" xfId="250" xr:uid="{00000000-0005-0000-0000-00001B010000}"/>
    <cellStyle name="Normal 4 3" xfId="251" xr:uid="{00000000-0005-0000-0000-00001C010000}"/>
    <cellStyle name="Normal 4 4" xfId="252" xr:uid="{00000000-0005-0000-0000-00001D010000}"/>
    <cellStyle name="Normal 40" xfId="253" xr:uid="{00000000-0005-0000-0000-00001E010000}"/>
    <cellStyle name="Normal 41" xfId="254" xr:uid="{00000000-0005-0000-0000-00001F010000}"/>
    <cellStyle name="Normal 42" xfId="255" xr:uid="{00000000-0005-0000-0000-000020010000}"/>
    <cellStyle name="Normal 43" xfId="256" xr:uid="{00000000-0005-0000-0000-000021010000}"/>
    <cellStyle name="Normal 44" xfId="257" xr:uid="{00000000-0005-0000-0000-000022010000}"/>
    <cellStyle name="Normal 45" xfId="258" xr:uid="{00000000-0005-0000-0000-000023010000}"/>
    <cellStyle name="Normal 46" xfId="259" xr:uid="{00000000-0005-0000-0000-000024010000}"/>
    <cellStyle name="Normal 47" xfId="260" xr:uid="{00000000-0005-0000-0000-000025010000}"/>
    <cellStyle name="Normal 48" xfId="261" xr:uid="{00000000-0005-0000-0000-000026010000}"/>
    <cellStyle name="Normal 48 2" xfId="262" xr:uid="{00000000-0005-0000-0000-000027010000}"/>
    <cellStyle name="Normal 49" xfId="263" xr:uid="{00000000-0005-0000-0000-000028010000}"/>
    <cellStyle name="Normal 5" xfId="264" xr:uid="{00000000-0005-0000-0000-000029010000}"/>
    <cellStyle name="Normal 5 2" xfId="265" xr:uid="{00000000-0005-0000-0000-00002A010000}"/>
    <cellStyle name="Normal 5 3" xfId="266" xr:uid="{00000000-0005-0000-0000-00002B010000}"/>
    <cellStyle name="Normal 50" xfId="267" xr:uid="{00000000-0005-0000-0000-00002C010000}"/>
    <cellStyle name="Normal 51" xfId="268" xr:uid="{00000000-0005-0000-0000-00002D010000}"/>
    <cellStyle name="Normal 52" xfId="269" xr:uid="{00000000-0005-0000-0000-00002E010000}"/>
    <cellStyle name="Normal 52 2" xfId="270" xr:uid="{00000000-0005-0000-0000-00002F010000}"/>
    <cellStyle name="Normal 53" xfId="271" xr:uid="{00000000-0005-0000-0000-000030010000}"/>
    <cellStyle name="Normal 54" xfId="272" xr:uid="{00000000-0005-0000-0000-000031010000}"/>
    <cellStyle name="Normal 55" xfId="273" xr:uid="{00000000-0005-0000-0000-000032010000}"/>
    <cellStyle name="Normal 56" xfId="274" xr:uid="{00000000-0005-0000-0000-000033010000}"/>
    <cellStyle name="Normal 57" xfId="275" xr:uid="{00000000-0005-0000-0000-000034010000}"/>
    <cellStyle name="Normal 58" xfId="276" xr:uid="{00000000-0005-0000-0000-000035010000}"/>
    <cellStyle name="Normal 59" xfId="277" xr:uid="{00000000-0005-0000-0000-000036010000}"/>
    <cellStyle name="Normal 6" xfId="278" xr:uid="{00000000-0005-0000-0000-000037010000}"/>
    <cellStyle name="Normal 6 2" xfId="279" xr:uid="{00000000-0005-0000-0000-000038010000}"/>
    <cellStyle name="Normal 60" xfId="280" xr:uid="{00000000-0005-0000-0000-000039010000}"/>
    <cellStyle name="Normal 61" xfId="281" xr:uid="{00000000-0005-0000-0000-00003A010000}"/>
    <cellStyle name="Normal 62" xfId="282" xr:uid="{00000000-0005-0000-0000-00003B010000}"/>
    <cellStyle name="Normal 63" xfId="283" xr:uid="{00000000-0005-0000-0000-00003C010000}"/>
    <cellStyle name="Normal 64" xfId="284" xr:uid="{00000000-0005-0000-0000-00003D010000}"/>
    <cellStyle name="Normal 65" xfId="285" xr:uid="{00000000-0005-0000-0000-00003E010000}"/>
    <cellStyle name="Normal 66" xfId="286" xr:uid="{00000000-0005-0000-0000-00003F010000}"/>
    <cellStyle name="Normal 67" xfId="287" xr:uid="{00000000-0005-0000-0000-000040010000}"/>
    <cellStyle name="Normal 68" xfId="288" xr:uid="{00000000-0005-0000-0000-000041010000}"/>
    <cellStyle name="Normal 69" xfId="289" xr:uid="{00000000-0005-0000-0000-000042010000}"/>
    <cellStyle name="Normal 7" xfId="290" xr:uid="{00000000-0005-0000-0000-000043010000}"/>
    <cellStyle name="Normal 70" xfId="291" xr:uid="{00000000-0005-0000-0000-000044010000}"/>
    <cellStyle name="Normal 71" xfId="292" xr:uid="{00000000-0005-0000-0000-000045010000}"/>
    <cellStyle name="Normal 72" xfId="293" xr:uid="{00000000-0005-0000-0000-000046010000}"/>
    <cellStyle name="Normal 73" xfId="294" xr:uid="{00000000-0005-0000-0000-000047010000}"/>
    <cellStyle name="Normal 74" xfId="295" xr:uid="{00000000-0005-0000-0000-000048010000}"/>
    <cellStyle name="Normal 75" xfId="296" xr:uid="{00000000-0005-0000-0000-000049010000}"/>
    <cellStyle name="Normal 76" xfId="297" xr:uid="{00000000-0005-0000-0000-00004A010000}"/>
    <cellStyle name="Normal 77" xfId="298" xr:uid="{00000000-0005-0000-0000-00004B010000}"/>
    <cellStyle name="Normal 78" xfId="299" xr:uid="{00000000-0005-0000-0000-00004C010000}"/>
    <cellStyle name="Normal 79" xfId="300" xr:uid="{00000000-0005-0000-0000-00004D010000}"/>
    <cellStyle name="Normal 8" xfId="301" xr:uid="{00000000-0005-0000-0000-00004E010000}"/>
    <cellStyle name="Normal 80" xfId="302" xr:uid="{00000000-0005-0000-0000-00004F010000}"/>
    <cellStyle name="Normal 81" xfId="303" xr:uid="{00000000-0005-0000-0000-000050010000}"/>
    <cellStyle name="Normal 82" xfId="304" xr:uid="{00000000-0005-0000-0000-000051010000}"/>
    <cellStyle name="Normal 83" xfId="305" xr:uid="{00000000-0005-0000-0000-000052010000}"/>
    <cellStyle name="Normal 84" xfId="367" xr:uid="{00000000-0005-0000-0000-000053010000}"/>
    <cellStyle name="Normal 85" xfId="369" xr:uid="{00000000-0005-0000-0000-000054010000}"/>
    <cellStyle name="Normal 9" xfId="306" xr:uid="{00000000-0005-0000-0000-000055010000}"/>
    <cellStyle name="Normal_Directorio 2003 Decretos Nuevos" xfId="405" xr:uid="{00000000-0005-0000-0000-000056010000}"/>
    <cellStyle name="Notas 2" xfId="307" xr:uid="{00000000-0005-0000-0000-000057010000}"/>
    <cellStyle name="Notas 2 2" xfId="308" xr:uid="{00000000-0005-0000-0000-000058010000}"/>
    <cellStyle name="Notas 2 2 2" xfId="372" xr:uid="{00000000-0005-0000-0000-000059010000}"/>
    <cellStyle name="Notas 2 2 3" xfId="386" xr:uid="{00000000-0005-0000-0000-00005A010000}"/>
    <cellStyle name="Notas 3" xfId="309" xr:uid="{00000000-0005-0000-0000-00005B010000}"/>
    <cellStyle name="Notas 3 2" xfId="373" xr:uid="{00000000-0005-0000-0000-00005C010000}"/>
    <cellStyle name="Notas 3 3" xfId="387" xr:uid="{00000000-0005-0000-0000-00005D010000}"/>
    <cellStyle name="OKBENE2.XLS" xfId="310" xr:uid="{00000000-0005-0000-0000-00005E010000}"/>
    <cellStyle name="Porcentaje" xfId="368" builtinId="5"/>
    <cellStyle name="Porcentaje 10" xfId="311" xr:uid="{00000000-0005-0000-0000-000060010000}"/>
    <cellStyle name="Porcentaje 2" xfId="312" xr:uid="{00000000-0005-0000-0000-000061010000}"/>
    <cellStyle name="Porcentaje 2 2" xfId="313" xr:uid="{00000000-0005-0000-0000-000062010000}"/>
    <cellStyle name="Porcentaje 2 2 2" xfId="314" xr:uid="{00000000-0005-0000-0000-000063010000}"/>
    <cellStyle name="Porcentaje 2 3" xfId="315" xr:uid="{00000000-0005-0000-0000-000064010000}"/>
    <cellStyle name="Porcentaje 3" xfId="316" xr:uid="{00000000-0005-0000-0000-000065010000}"/>
    <cellStyle name="Porcentaje 3 2" xfId="317" xr:uid="{00000000-0005-0000-0000-000066010000}"/>
    <cellStyle name="Porcentaje 3 3" xfId="318" xr:uid="{00000000-0005-0000-0000-000067010000}"/>
    <cellStyle name="Porcentaje 4" xfId="319" xr:uid="{00000000-0005-0000-0000-000068010000}"/>
    <cellStyle name="Porcentaje 4 2" xfId="320" xr:uid="{00000000-0005-0000-0000-000069010000}"/>
    <cellStyle name="Porcentaje 5" xfId="321" xr:uid="{00000000-0005-0000-0000-00006A010000}"/>
    <cellStyle name="Porcentaje 6" xfId="322" xr:uid="{00000000-0005-0000-0000-00006B010000}"/>
    <cellStyle name="Porcentaje 7" xfId="323" xr:uid="{00000000-0005-0000-0000-00006C010000}"/>
    <cellStyle name="Porcentaje 8" xfId="324" xr:uid="{00000000-0005-0000-0000-00006D010000}"/>
    <cellStyle name="Porcentaje 9" xfId="325" xr:uid="{00000000-0005-0000-0000-00006E010000}"/>
    <cellStyle name="Porcentual 2" xfId="326" xr:uid="{00000000-0005-0000-0000-00006F010000}"/>
    <cellStyle name="Porcentual 2 2" xfId="327" xr:uid="{00000000-0005-0000-0000-000070010000}"/>
    <cellStyle name="Porcentual 2 2 2" xfId="328" xr:uid="{00000000-0005-0000-0000-000071010000}"/>
    <cellStyle name="Porcentual 2 3" xfId="329" xr:uid="{00000000-0005-0000-0000-000072010000}"/>
    <cellStyle name="Porcentual 2 3 2" xfId="330" xr:uid="{00000000-0005-0000-0000-000073010000}"/>
    <cellStyle name="Porcentual 2 4" xfId="331" xr:uid="{00000000-0005-0000-0000-000074010000}"/>
    <cellStyle name="Porcentual 2 4 2" xfId="332" xr:uid="{00000000-0005-0000-0000-000075010000}"/>
    <cellStyle name="Porcentual 2 5" xfId="333" xr:uid="{00000000-0005-0000-0000-000076010000}"/>
    <cellStyle name="Porcentual 2 5 2" xfId="334" xr:uid="{00000000-0005-0000-0000-000077010000}"/>
    <cellStyle name="Porcentual 2 6" xfId="335" xr:uid="{00000000-0005-0000-0000-000078010000}"/>
    <cellStyle name="Porcentual 2 6 2" xfId="336" xr:uid="{00000000-0005-0000-0000-000079010000}"/>
    <cellStyle name="Porcentual 2 7" xfId="337" xr:uid="{00000000-0005-0000-0000-00007A010000}"/>
    <cellStyle name="Porcentual 2 7 2" xfId="338" xr:uid="{00000000-0005-0000-0000-00007B010000}"/>
    <cellStyle name="Porcentual 2 8" xfId="339" xr:uid="{00000000-0005-0000-0000-00007C010000}"/>
    <cellStyle name="Porcentual 3" xfId="340" xr:uid="{00000000-0005-0000-0000-00007D010000}"/>
    <cellStyle name="Porcentual 4" xfId="341" xr:uid="{00000000-0005-0000-0000-00007E010000}"/>
    <cellStyle name="Porcentual 5" xfId="342" xr:uid="{00000000-0005-0000-0000-00007F010000}"/>
    <cellStyle name="Salida 2" xfId="343" xr:uid="{00000000-0005-0000-0000-000080010000}"/>
    <cellStyle name="Salida 2 2" xfId="374" xr:uid="{00000000-0005-0000-0000-000081010000}"/>
    <cellStyle name="Salida 2 3" xfId="390" xr:uid="{00000000-0005-0000-0000-000082010000}"/>
    <cellStyle name="Salida 3" xfId="344" xr:uid="{00000000-0005-0000-0000-000083010000}"/>
    <cellStyle name="Texto de advertencia 2" xfId="345" xr:uid="{00000000-0005-0000-0000-000084010000}"/>
    <cellStyle name="Texto de advertencia 3" xfId="346" xr:uid="{00000000-0005-0000-0000-000085010000}"/>
    <cellStyle name="Texto explicativo 2" xfId="347" xr:uid="{00000000-0005-0000-0000-000086010000}"/>
    <cellStyle name="Texto explicativo 3" xfId="348" xr:uid="{00000000-0005-0000-0000-000087010000}"/>
    <cellStyle name="Título 1 2" xfId="349" xr:uid="{00000000-0005-0000-0000-000088010000}"/>
    <cellStyle name="Título 1 3" xfId="350" xr:uid="{00000000-0005-0000-0000-000089010000}"/>
    <cellStyle name="Título 2 2" xfId="351" xr:uid="{00000000-0005-0000-0000-00008A010000}"/>
    <cellStyle name="Título 2 3" xfId="352" xr:uid="{00000000-0005-0000-0000-00008B010000}"/>
    <cellStyle name="Título 3 2" xfId="353" xr:uid="{00000000-0005-0000-0000-00008C010000}"/>
    <cellStyle name="Título 3 3" xfId="354" xr:uid="{00000000-0005-0000-0000-00008D010000}"/>
    <cellStyle name="Título 4" xfId="355" xr:uid="{00000000-0005-0000-0000-00008E010000}"/>
    <cellStyle name="Título 4 2" xfId="356" xr:uid="{00000000-0005-0000-0000-00008F010000}"/>
    <cellStyle name="Título 5" xfId="357" xr:uid="{00000000-0005-0000-0000-000090010000}"/>
    <cellStyle name="Título 5 2" xfId="358" xr:uid="{00000000-0005-0000-0000-000091010000}"/>
    <cellStyle name="Total 2" xfId="359" xr:uid="{00000000-0005-0000-0000-000092010000}"/>
    <cellStyle name="Total 2 2" xfId="375" xr:uid="{00000000-0005-0000-0000-000093010000}"/>
    <cellStyle name="Total 2 3" xfId="391" xr:uid="{00000000-0005-0000-0000-000094010000}"/>
    <cellStyle name="Total 3" xfId="360" xr:uid="{00000000-0005-0000-0000-000095010000}"/>
  </cellStyles>
  <dxfs count="27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rgb="FF8FAFD5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8FAFD5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rgb="FF8FAF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1" hidden="1"/>
    </dxf>
    <dxf>
      <font>
        <b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1" hidden="1"/>
    </dxf>
    <dxf>
      <font>
        <b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  <protection locked="0" hidden="0"/>
    </dxf>
    <dxf>
      <font>
        <b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font>
        <b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  <protection locked="0" hidden="0"/>
    </dxf>
    <dxf>
      <font>
        <b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  <protection locked="0" hidden="0"/>
    </dxf>
    <dxf>
      <font>
        <b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  <protection locked="0" hidden="0"/>
    </dxf>
    <dxf>
      <font>
        <b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  <protection locked="1" hidden="1"/>
    </dxf>
    <dxf>
      <font>
        <b/>
      </font>
      <numFmt numFmtId="19" formatCode="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</font>
      <numFmt numFmtId="19" formatCode="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7" formatCode="h:mm:ss;@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7" formatCode="h:mm:ss;@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  <protection locked="0" hidden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/>
      </font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  <protection locked="1" hidden="1"/>
    </dxf>
    <dxf>
      <font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  <protection locked="1" hidden="1"/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rgb="FFDBE5F1"/>
          <bgColor rgb="FFDBE5F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" formatCode="0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3" formatCode="#,##0"/>
      <fill>
        <patternFill patternType="solid">
          <fgColor rgb="FFA5A5A5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3" formatCode="#,##0"/>
      <fill>
        <patternFill patternType="solid">
          <fgColor rgb="FFD8D8D8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medium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Dialog"/>
        <scheme val="none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3" formatCode="#,##0"/>
      <fill>
        <patternFill patternType="solid">
          <fgColor rgb="FFFFFFFF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3" formatCode="#,##0"/>
      <fill>
        <patternFill patternType="solid">
          <fgColor rgb="FFFFFFFF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3" formatCode="#,##0"/>
      <fill>
        <patternFill patternType="solid">
          <fgColor rgb="FFD8D8D8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medium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3" formatCode="#,##0"/>
      <fill>
        <patternFill patternType="solid">
          <fgColor rgb="FFFFFF00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numFmt numFmtId="3" formatCode="#,##0"/>
      <fill>
        <patternFill patternType="solid">
          <fgColor rgb="FFFFFF00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Dialog"/>
        <scheme val="none"/>
      </font>
      <numFmt numFmtId="3" formatCode="#,##0"/>
      <fill>
        <patternFill patternType="solid">
          <fgColor rgb="FFFFFFFF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Dialog"/>
        <scheme val="none"/>
      </font>
      <numFmt numFmtId="3" formatCode="#,##0"/>
      <fill>
        <patternFill patternType="solid">
          <fgColor rgb="FFFFFFFF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Dialog"/>
        <scheme val="none"/>
      </font>
      <numFmt numFmtId="3" formatCode="#,##0"/>
      <fill>
        <patternFill patternType="solid">
          <fgColor rgb="FFFFFFFF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rgb="FFFFFFFF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rgb="FFFFFFFF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Dialog"/>
        <scheme val="none"/>
      </font>
      <fill>
        <patternFill patternType="solid">
          <fgColor rgb="FFFFFF00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Calibri"/>
        <scheme val="minor"/>
      </font>
      <fill>
        <patternFill patternType="solid">
          <fgColor rgb="FFFFFF00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Dialog"/>
        <scheme val="none"/>
      </font>
      <fill>
        <patternFill patternType="solid">
          <fgColor rgb="FFFFFF00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sz val="9"/>
        <color indexed="8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3" formatCode="#,##0"/>
      <fill>
        <patternFill patternType="solid">
          <fgColor indexed="64"/>
          <bgColor theme="0" tint="-4.9989318521683403E-2"/>
        </patternFill>
      </fill>
      <alignment horizontal="center" vertical="center" textRotation="9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8FAFD5"/>
      <color rgb="FF008080"/>
      <color rgb="FFFFFF00"/>
      <color rgb="FF009999"/>
      <color rgb="FFFFFFCC"/>
      <color rgb="FF6893C6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896980</xdr:colOff>
      <xdr:row>0</xdr:row>
      <xdr:rowOff>179469</xdr:rowOff>
    </xdr:from>
    <xdr:to>
      <xdr:col>1</xdr:col>
      <xdr:colOff>647700</xdr:colOff>
      <xdr:row>1</xdr:row>
      <xdr:rowOff>50800</xdr:rowOff>
    </xdr:to>
    <xdr:pic>
      <xdr:nvPicPr>
        <xdr:cNvPr id="2" name="3 Imagen">
          <a:extLst>
            <a:ext uri="{FF2B5EF4-FFF2-40B4-BE49-F238E27FC236}">
              <a16:creationId xmlns:a16="http://schemas.microsoft.com/office/drawing/2014/main" id="{B1F0819D-E23C-418F-BA44-7E2AAF6D7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980" y="179469"/>
          <a:ext cx="1427120" cy="557131"/>
        </a:xfrm>
        <a:prstGeom prst="rect">
          <a:avLst/>
        </a:prstGeom>
      </xdr:spPr>
    </xdr:pic>
    <xdr:clientData/>
  </xdr:twoCellAnchor>
  <xdr:oneCellAnchor>
    <xdr:from>
      <xdr:col>9</xdr:col>
      <xdr:colOff>1797838</xdr:colOff>
      <xdr:row>0</xdr:row>
      <xdr:rowOff>119066</xdr:rowOff>
    </xdr:from>
    <xdr:ext cx="1344214" cy="953466"/>
    <xdr:sp macro="" textlink="">
      <xdr:nvSpPr>
        <xdr:cNvPr id="3" name="5 CuadroTexto">
          <a:extLst>
            <a:ext uri="{FF2B5EF4-FFF2-40B4-BE49-F238E27FC236}">
              <a16:creationId xmlns:a16="http://schemas.microsoft.com/office/drawing/2014/main" id="{6883C894-A75E-4E4F-AD23-434B9E726FB5}"/>
            </a:ext>
          </a:extLst>
        </xdr:cNvPr>
        <xdr:cNvSpPr txBox="1"/>
      </xdr:nvSpPr>
      <xdr:spPr>
        <a:xfrm>
          <a:off x="17426458" y="119066"/>
          <a:ext cx="1344214" cy="953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1100" b="1"/>
            <a:t>1 = Cumple</a:t>
          </a:r>
        </a:p>
        <a:p>
          <a:r>
            <a:rPr lang="es-CO" sz="1100" b="1"/>
            <a:t>0 = No</a:t>
          </a:r>
          <a:r>
            <a:rPr lang="es-CO" sz="1100" b="1" baseline="0"/>
            <a:t> Cumple</a:t>
          </a:r>
        </a:p>
        <a:p>
          <a:r>
            <a:rPr lang="es-CO" sz="1100" b="1" baseline="0"/>
            <a:t>NA = No Aplica</a:t>
          </a:r>
        </a:p>
        <a:p>
          <a:r>
            <a:rPr lang="es-CO" sz="1100" b="1" baseline="0"/>
            <a:t>NO = No Observado</a:t>
          </a:r>
        </a:p>
        <a:p>
          <a:endParaRPr lang="es-CO" sz="1100" b="1"/>
        </a:p>
      </xdr:txBody>
    </xdr:sp>
    <xdr:clientData/>
  </xdr:oneCellAnchor>
  <xdr:twoCellAnchor>
    <xdr:from>
      <xdr:col>7</xdr:col>
      <xdr:colOff>2619374</xdr:colOff>
      <xdr:row>0</xdr:row>
      <xdr:rowOff>130970</xdr:rowOff>
    </xdr:from>
    <xdr:to>
      <xdr:col>8</xdr:col>
      <xdr:colOff>362701</xdr:colOff>
      <xdr:row>1</xdr:row>
      <xdr:rowOff>26113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881E1567-DA26-45F6-9EB8-2FB24CF1B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3054" y="130970"/>
          <a:ext cx="1309487" cy="5809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O-GERS-1653-E.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AB.EDUCATIVO"/>
      <sheetName val="preguntas"/>
      <sheetName val="Hoja3"/>
      <sheetName val="SEDES"/>
      <sheetName val="DATOS"/>
    </sheetNames>
    <sheetDataSet>
      <sheetData sheetId="0"/>
      <sheetData sheetId="1" refreshError="1"/>
      <sheetData sheetId="2" refreshError="1"/>
      <sheetData sheetId="3"/>
      <sheetData sheetId="4">
        <row r="2">
          <cell r="A2">
            <v>1</v>
          </cell>
          <cell r="B2" t="str">
            <v>C</v>
          </cell>
          <cell r="L2" t="str">
            <v>NO TIENE</v>
          </cell>
          <cell r="O2">
            <v>1</v>
          </cell>
          <cell r="Q2" t="str">
            <v>SI</v>
          </cell>
          <cell r="S2" t="str">
            <v>C</v>
          </cell>
          <cell r="U2" t="str">
            <v>C</v>
          </cell>
        </row>
        <row r="3">
          <cell r="A3">
            <v>0</v>
          </cell>
          <cell r="B3" t="str">
            <v>NC</v>
          </cell>
          <cell r="L3" t="str">
            <v>FAVORABLE</v>
          </cell>
          <cell r="O3">
            <v>2</v>
          </cell>
          <cell r="Q3" t="str">
            <v>NO</v>
          </cell>
          <cell r="S3" t="str">
            <v>NC</v>
          </cell>
          <cell r="U3" t="str">
            <v>NC</v>
          </cell>
        </row>
        <row r="4">
          <cell r="A4" t="str">
            <v>NA</v>
          </cell>
          <cell r="L4" t="str">
            <v>CONDICIONADO</v>
          </cell>
          <cell r="O4">
            <v>3</v>
          </cell>
          <cell r="S4" t="str">
            <v>NA</v>
          </cell>
          <cell r="U4" t="str">
            <v>NA</v>
          </cell>
        </row>
        <row r="5">
          <cell r="O5">
            <v>4</v>
          </cell>
        </row>
        <row r="23">
          <cell r="A23" t="str">
            <v>COMPLEMENTO TIPO ALMUERZO</v>
          </cell>
        </row>
        <row r="24">
          <cell r="A24" t="str">
            <v>COMPLEMENTO AM/PM</v>
          </cell>
        </row>
        <row r="108">
          <cell r="A108">
            <v>1</v>
          </cell>
        </row>
        <row r="109">
          <cell r="A109">
            <v>2</v>
          </cell>
        </row>
        <row r="110">
          <cell r="A110">
            <v>3</v>
          </cell>
        </row>
        <row r="111">
          <cell r="A111">
            <v>4</v>
          </cell>
        </row>
        <row r="112">
          <cell r="A112">
            <v>5</v>
          </cell>
        </row>
        <row r="113">
          <cell r="A113">
            <v>6</v>
          </cell>
        </row>
        <row r="114">
          <cell r="A114">
            <v>7</v>
          </cell>
        </row>
        <row r="115">
          <cell r="A115">
            <v>8</v>
          </cell>
        </row>
        <row r="116">
          <cell r="A116">
            <v>9</v>
          </cell>
        </row>
        <row r="117">
          <cell r="A117">
            <v>10</v>
          </cell>
        </row>
        <row r="118">
          <cell r="A118">
            <v>11</v>
          </cell>
        </row>
        <row r="119">
          <cell r="A119">
            <v>12</v>
          </cell>
        </row>
        <row r="120">
          <cell r="A120">
            <v>13</v>
          </cell>
        </row>
        <row r="121">
          <cell r="A121">
            <v>14</v>
          </cell>
        </row>
        <row r="122">
          <cell r="A122">
            <v>15</v>
          </cell>
        </row>
        <row r="123">
          <cell r="A123">
            <v>16</v>
          </cell>
        </row>
        <row r="124">
          <cell r="A124">
            <v>17</v>
          </cell>
        </row>
        <row r="125">
          <cell r="A125">
            <v>18</v>
          </cell>
        </row>
        <row r="126">
          <cell r="A126">
            <v>19</v>
          </cell>
        </row>
        <row r="127">
          <cell r="A127">
            <v>20</v>
          </cell>
        </row>
        <row r="128">
          <cell r="A128">
            <v>21</v>
          </cell>
        </row>
        <row r="138">
          <cell r="A138" t="str">
            <v>X</v>
          </cell>
        </row>
        <row r="139">
          <cell r="A139" t="str">
            <v>NA</v>
          </cell>
        </row>
        <row r="144">
          <cell r="A144">
            <v>1</v>
          </cell>
        </row>
        <row r="145">
          <cell r="A145">
            <v>0</v>
          </cell>
        </row>
        <row r="146">
          <cell r="A146" t="str">
            <v>NA</v>
          </cell>
        </row>
        <row r="147">
          <cell r="A147" t="str">
            <v>NO</v>
          </cell>
        </row>
        <row r="152">
          <cell r="A152" t="str">
            <v>ACEITE</v>
          </cell>
          <cell r="C152" t="str">
            <v>ABURRÁ</v>
          </cell>
        </row>
        <row r="153">
          <cell r="A153" t="str">
            <v>ACEITE VEGETAL PURO O MEZCLA DE GIRASOL,CANOLA, SOYA O MAÍZ</v>
          </cell>
          <cell r="C153" t="str">
            <v>ABURRÁ / BARY</v>
          </cell>
        </row>
        <row r="154">
          <cell r="A154" t="str">
            <v>AJO</v>
          </cell>
          <cell r="C154" t="str">
            <v>ADEREZOS</v>
          </cell>
        </row>
        <row r="155">
          <cell r="A155" t="str">
            <v>ALBÓNDIGAS DE CARNE DE RES</v>
          </cell>
          <cell r="C155" t="str">
            <v>AGROFRUT</v>
          </cell>
        </row>
        <row r="156">
          <cell r="A156" t="str">
            <v xml:space="preserve">ALBONDIGAS DE CARNE DE RES PRECOCIDA </v>
          </cell>
          <cell r="C156" t="str">
            <v>AGROFRUT ( CANOA)</v>
          </cell>
        </row>
        <row r="157">
          <cell r="A157" t="str">
            <v>ALBÓNDIGAS EN SALSA</v>
          </cell>
          <cell r="C157" t="str">
            <v>AHUMADOS TOTO</v>
          </cell>
        </row>
        <row r="158">
          <cell r="A158" t="str">
            <v>ALBÓNDIGAS EN SALSA BBQ</v>
          </cell>
          <cell r="C158" t="str">
            <v>ALIMENTOS NOA</v>
          </cell>
        </row>
        <row r="159">
          <cell r="A159" t="str">
            <v>ALMOJABANA</v>
          </cell>
          <cell r="C159" t="str">
            <v>ALIMENTOS TOLUIS S.A.S.</v>
          </cell>
        </row>
        <row r="160">
          <cell r="A160" t="str">
            <v>AREPA BLANCA DELGADA</v>
          </cell>
          <cell r="C160" t="str">
            <v xml:space="preserve">ALMA DELEITE </v>
          </cell>
        </row>
        <row r="161">
          <cell r="A161" t="str">
            <v>AREPA BLANCA REDONDA</v>
          </cell>
          <cell r="C161" t="str">
            <v>ALMOJABANAS MUNDIALES</v>
          </cell>
        </row>
        <row r="162">
          <cell r="A162" t="str">
            <v>AREPA DE CHÓCOLO</v>
          </cell>
          <cell r="C162" t="str">
            <v>ALPINA</v>
          </cell>
        </row>
        <row r="163">
          <cell r="A163" t="str">
            <v>AREPA DE CHÓCOLO CON QUESO Y MARGARINA</v>
          </cell>
          <cell r="C163" t="str">
            <v>APANCOL</v>
          </cell>
        </row>
        <row r="164">
          <cell r="A164" t="str">
            <v>AREPA DE QUESO</v>
          </cell>
          <cell r="C164" t="str">
            <v>AREPAS SARY</v>
          </cell>
        </row>
        <row r="165">
          <cell r="A165" t="str">
            <v>AREPA DE QUESO TIPO  TELA</v>
          </cell>
          <cell r="C165" t="str">
            <v>AREPUES</v>
          </cell>
        </row>
        <row r="166">
          <cell r="A166" t="str">
            <v>AREPA DELGADA</v>
          </cell>
          <cell r="C166" t="str">
            <v>AROMA</v>
          </cell>
        </row>
        <row r="167">
          <cell r="A167" t="str">
            <v>AREPA DELGADA DE CHÓCOLO</v>
          </cell>
          <cell r="C167" t="str">
            <v>ARROZ CARIBE S.A</v>
          </cell>
        </row>
        <row r="168">
          <cell r="A168" t="str">
            <v xml:space="preserve">AREPA FRITA </v>
          </cell>
          <cell r="C168" t="str">
            <v>ASTEK</v>
          </cell>
        </row>
        <row r="169">
          <cell r="A169" t="str">
            <v>AREPA REDONDA</v>
          </cell>
          <cell r="C169" t="str">
            <v>AURALAC</v>
          </cell>
        </row>
        <row r="170">
          <cell r="A170" t="str">
            <v>ARROZ</v>
          </cell>
          <cell r="C170" t="str">
            <v>AVIFRESCO</v>
          </cell>
        </row>
        <row r="171">
          <cell r="A171" t="str">
            <v>ARROZ  CON CABELLO DE ÁNGEL</v>
          </cell>
          <cell r="C171" t="str">
            <v>AZTECA</v>
          </cell>
        </row>
        <row r="172">
          <cell r="A172" t="str">
            <v>ARROZ BLANCO</v>
          </cell>
          <cell r="C172" t="str">
            <v>BADIA</v>
          </cell>
        </row>
        <row r="173">
          <cell r="A173" t="str">
            <v xml:space="preserve">ARROZ BLANCO FORTIFICADO     </v>
          </cell>
          <cell r="C173" t="str">
            <v>BARY</v>
          </cell>
        </row>
        <row r="174">
          <cell r="A174" t="str">
            <v>ARROZ CON ESPINACA</v>
          </cell>
          <cell r="C174" t="str">
            <v>BARY / ABURRÁ</v>
          </cell>
        </row>
        <row r="175">
          <cell r="A175" t="str">
            <v>ARROZ CON LECHE</v>
          </cell>
          <cell r="C175" t="str">
            <v>BARY / HARDYS</v>
          </cell>
        </row>
        <row r="176">
          <cell r="A176" t="str">
            <v>ARROZ CON MADURO</v>
          </cell>
          <cell r="C176" t="str">
            <v>BARY/HARDYS/ABURRÁ</v>
          </cell>
        </row>
        <row r="177">
          <cell r="A177" t="str">
            <v>ARROZ CON PIMENTÓN</v>
          </cell>
          <cell r="C177" t="str">
            <v>BELPAGRIM</v>
          </cell>
        </row>
        <row r="178">
          <cell r="A178" t="str">
            <v>ARROZ CON ZANAHORIA</v>
          </cell>
          <cell r="C178" t="str">
            <v>BETANIA</v>
          </cell>
        </row>
        <row r="179">
          <cell r="A179" t="str">
            <v>ARROZ FORTIFICADO</v>
          </cell>
          <cell r="C179" t="str">
            <v>BIMBO</v>
          </cell>
        </row>
        <row r="180">
          <cell r="A180" t="str">
            <v>ARROZ MIXTO</v>
          </cell>
          <cell r="C180" t="str">
            <v>BIMBO DE COLOMBIA</v>
          </cell>
        </row>
        <row r="181">
          <cell r="A181" t="str">
            <v>ARROZ ROJO</v>
          </cell>
          <cell r="C181" t="str">
            <v>BIOPEC SAS- DEL NECTAR</v>
          </cell>
        </row>
        <row r="182">
          <cell r="A182" t="str">
            <v xml:space="preserve">ATÚN </v>
          </cell>
          <cell r="C182" t="str">
            <v>BIZCOCHUELO</v>
          </cell>
        </row>
        <row r="183">
          <cell r="A183" t="str">
            <v>ATUN LOMITO EN AGUA</v>
          </cell>
          <cell r="C183" t="str">
            <v>BON LIFE - WALTER GIRALDO</v>
          </cell>
        </row>
        <row r="184">
          <cell r="A184" t="str">
            <v>ATÚN LOMITO EN AGUA (PESO DRENADO)</v>
          </cell>
          <cell r="C184" t="str">
            <v>BRIDGE</v>
          </cell>
        </row>
        <row r="185">
          <cell r="A185" t="str">
            <v>ATÚN SOFRITO</v>
          </cell>
          <cell r="C185" t="str">
            <v>BUEN DIA</v>
          </cell>
        </row>
        <row r="186">
          <cell r="A186" t="str">
            <v>AUYAMA</v>
          </cell>
          <cell r="C186" t="str">
            <v>C,I INVERSIONES PENIEL S.A</v>
          </cell>
        </row>
        <row r="187">
          <cell r="A187" t="str">
            <v xml:space="preserve">AVENA </v>
          </cell>
          <cell r="C187" t="str">
            <v>CALYPSO</v>
          </cell>
        </row>
        <row r="188">
          <cell r="A188" t="str">
            <v xml:space="preserve">AVENA EN HOJUELAS </v>
          </cell>
          <cell r="C188" t="str">
            <v>CAMPI</v>
          </cell>
        </row>
        <row r="189">
          <cell r="A189" t="str">
            <v>AZÚCAR</v>
          </cell>
          <cell r="C189" t="str">
            <v>CAPUCCINO AL PASO</v>
          </cell>
        </row>
        <row r="190">
          <cell r="A190" t="str">
            <v>AZÚCAR REFINADA</v>
          </cell>
          <cell r="C190" t="str">
            <v>CARNICOS EXTRA</v>
          </cell>
        </row>
        <row r="191">
          <cell r="A191" t="str">
            <v>BANANO</v>
          </cell>
          <cell r="C191" t="str">
            <v>CASABLANCA</v>
          </cell>
        </row>
        <row r="192">
          <cell r="A192" t="str">
            <v>BANANO MADURO</v>
          </cell>
          <cell r="C192" t="str">
            <v>CASERITAS</v>
          </cell>
        </row>
        <row r="193">
          <cell r="A193" t="str">
            <v>BANANO PELADO</v>
          </cell>
          <cell r="C193" t="str">
            <v>CASTILLA</v>
          </cell>
        </row>
        <row r="194">
          <cell r="A194" t="str">
            <v>BANANO PELADO (PESO NETO)</v>
          </cell>
          <cell r="C194" t="str">
            <v>CATALINA</v>
          </cell>
        </row>
        <row r="195">
          <cell r="A195" t="str">
            <v>BARQUILLO CON CREMA SABOR A CHOCOLATE</v>
          </cell>
          <cell r="C195" t="str">
            <v>CATALINA / EL TRECE</v>
          </cell>
        </row>
        <row r="196">
          <cell r="A196" t="str">
            <v>BARRA DE CEREAL CON FRUTAS</v>
          </cell>
          <cell r="C196" t="str">
            <v>CELEMA</v>
          </cell>
        </row>
        <row r="197">
          <cell r="A197" t="str">
            <v xml:space="preserve">BATIDO DE FRUTA </v>
          </cell>
          <cell r="C197" t="str">
            <v>CEREALES LA DESPENSA S.A.S</v>
          </cell>
        </row>
        <row r="198">
          <cell r="A198" t="str">
            <v xml:space="preserve">BEBIDA CHOCOLATADA </v>
          </cell>
          <cell r="C198" t="str">
            <v>CEREALES NUTRISER</v>
          </cell>
        </row>
        <row r="199">
          <cell r="A199" t="str">
            <v>BEBIDA CHOCOLATADA FRÍA O CALIENTE</v>
          </cell>
          <cell r="C199" t="str">
            <v>CHOCODELI</v>
          </cell>
        </row>
        <row r="200">
          <cell r="A200" t="str">
            <v>BISTEC DE CARNE DE RES</v>
          </cell>
          <cell r="C200" t="str">
            <v>CHOCODELI / CHOCOBOYS</v>
          </cell>
        </row>
        <row r="201">
          <cell r="A201" t="str">
            <v>BLANQUILLO</v>
          </cell>
          <cell r="C201" t="str">
            <v>CLUB SOCIAL / NABISCO</v>
          </cell>
        </row>
        <row r="202">
          <cell r="A202" t="str">
            <v>BROWNIE</v>
          </cell>
          <cell r="C202" t="str">
            <v>COLANTA</v>
          </cell>
        </row>
        <row r="203">
          <cell r="A203" t="str">
            <v>BROWNIE DE CHOCOLATE</v>
          </cell>
          <cell r="C203" t="str">
            <v>COLANTA- MONTEFRIO</v>
          </cell>
        </row>
        <row r="204">
          <cell r="A204" t="str">
            <v>BROWNIE DE CHOCOLATE EN FORMA CUADRADA</v>
          </cell>
          <cell r="C204" t="str">
            <v>COLANTA-MONTEFRIO</v>
          </cell>
        </row>
        <row r="205">
          <cell r="A205" t="str">
            <v xml:space="preserve">CABELLO DE ANGEL </v>
          </cell>
          <cell r="C205" t="str">
            <v>COLOMBINA</v>
          </cell>
        </row>
        <row r="206">
          <cell r="A206" t="str">
            <v>CAFÉ CON LECHE</v>
          </cell>
          <cell r="C206" t="str">
            <v>COLOMBINA / CRAKEÑA</v>
          </cell>
        </row>
        <row r="207">
          <cell r="A207" t="str">
            <v>CAFÉ INSTANTANEO GRANULADO</v>
          </cell>
          <cell r="C207" t="str">
            <v>COLOMBINA / NUCITA</v>
          </cell>
        </row>
        <row r="208">
          <cell r="A208" t="str">
            <v>CANELA EN POLVO</v>
          </cell>
          <cell r="C208" t="str">
            <v>COLOMBINA S.A</v>
          </cell>
        </row>
        <row r="209">
          <cell r="A209" t="str">
            <v>CARNE DE CERDO DESMECHADA</v>
          </cell>
          <cell r="C209" t="str">
            <v>COLPAGRO</v>
          </cell>
        </row>
        <row r="210">
          <cell r="A210" t="str">
            <v>CARNE DE CERDO PIERNA O BRAZO</v>
          </cell>
          <cell r="C210" t="str">
            <v>COMAPAN</v>
          </cell>
        </row>
        <row r="211">
          <cell r="A211" t="str">
            <v>CARNE DE CERDO SOFRITA</v>
          </cell>
          <cell r="C211" t="str">
            <v>COMARRICO</v>
          </cell>
        </row>
        <row r="212">
          <cell r="A212" t="str">
            <v>CARNE DE RES</v>
          </cell>
          <cell r="C212" t="str">
            <v>COMERCIALIZADORA AGROSIGO S.A.S -CATALAN</v>
          </cell>
        </row>
        <row r="213">
          <cell r="A213" t="str">
            <v>CARNE DE RES DESMECHADA</v>
          </cell>
          <cell r="C213" t="str">
            <v>COMESTIBLES DAN</v>
          </cell>
        </row>
        <row r="214">
          <cell r="A214" t="str">
            <v xml:space="preserve">CARNE DE RES HUEVO DE ALDANA, SOLOMO EXTRANJERO,  </v>
          </cell>
          <cell r="C214" t="str">
            <v>COMESTIBLES PATICOS</v>
          </cell>
        </row>
        <row r="215">
          <cell r="A215" t="str">
            <v>CARNE DE RES PARA DESMECHAR, PUNTA DE ESPALDILLA O FALDA , POSTA,TABLA.</v>
          </cell>
          <cell r="C215" t="str">
            <v>COMPAÑÍA DE GALLETAS NOEL S.A.S</v>
          </cell>
        </row>
        <row r="216">
          <cell r="A216" t="str">
            <v>CARNE DE RES SOFRITA</v>
          </cell>
          <cell r="C216" t="str">
            <v>COMPAÑIA NACIONAL DE CHOCOLATES S.A.S.</v>
          </cell>
        </row>
        <row r="217">
          <cell r="A217" t="str">
            <v xml:space="preserve">CARNE PICADA </v>
          </cell>
          <cell r="C217" t="str">
            <v>CONDIMAR</v>
          </cell>
        </row>
        <row r="218">
          <cell r="A218" t="str">
            <v>CAZUELA DE FRÍJOLES</v>
          </cell>
          <cell r="C218" t="str">
            <v>CONDITODO</v>
          </cell>
        </row>
        <row r="219">
          <cell r="A219" t="str">
            <v>CEBOLLA DE HUEVO BLANCA</v>
          </cell>
          <cell r="C219" t="str">
            <v>CONDITODO / EL TRECE</v>
          </cell>
        </row>
        <row r="220">
          <cell r="A220" t="str">
            <v xml:space="preserve">CEBOLLA JUNCA </v>
          </cell>
          <cell r="C220" t="str">
            <v>CONOS Y DANNES</v>
          </cell>
        </row>
        <row r="221">
          <cell r="A221" t="str">
            <v>CEBOLLA JUNCA, CEBOLLIN Y CEBOLLA BLANCA</v>
          </cell>
          <cell r="C221" t="str">
            <v>COOLECHES S.A.S./ DELIMILK</v>
          </cell>
        </row>
        <row r="222">
          <cell r="A222" t="str">
            <v>CEBOLLÍN</v>
          </cell>
          <cell r="C222" t="str">
            <v>COOLECHES SAS (DELIMILK)</v>
          </cell>
        </row>
        <row r="223">
          <cell r="A223" t="str">
            <v>CEREAL DE ARROZ TOSTADO CON SABOR A CHOCOLATE ENRIQUECIDO CON VITAMINAS Y MINERALES</v>
          </cell>
          <cell r="C223" t="str">
            <v>COOPERATIVA COLANTA</v>
          </cell>
        </row>
        <row r="224">
          <cell r="A224" t="str">
            <v>CEREAL DE MAIZ EN HOJUELAS AZUCARADO, ENRIQUECIDO CON VITAMINAS Y MINERALES</v>
          </cell>
          <cell r="C224" t="str">
            <v>COOPERATIVA COLANTA LTDA</v>
          </cell>
        </row>
        <row r="225">
          <cell r="A225" t="str">
            <v xml:space="preserve">CEREAL DE MAIZ EN HOJUELAS AZUCARADO, SABOR A CHOCOLATE, ENRIQUECIDO CON VITAMINAS Y MINERALES  </v>
          </cell>
          <cell r="C225" t="str">
            <v>CORONA</v>
          </cell>
        </row>
        <row r="226">
          <cell r="A226" t="str">
            <v>CEREAL DULCE EN HOJUELAS</v>
          </cell>
          <cell r="C226" t="str">
            <v>COSTA RICA</v>
          </cell>
        </row>
        <row r="227">
          <cell r="A227" t="str">
            <v>CEREAL TOSTADO DULCE CON SABOR A CHOCOLATE</v>
          </cell>
          <cell r="C227" t="str">
            <v>CRAKEÑAS</v>
          </cell>
        </row>
        <row r="228">
          <cell r="A228" t="str">
            <v>CEREALES AZUCARADOS DE MAÍZ Y ARROZ</v>
          </cell>
          <cell r="C228" t="str">
            <v>DELEITE SALUDABLE</v>
          </cell>
        </row>
        <row r="229">
          <cell r="A229" t="str">
            <v>CILANTRO</v>
          </cell>
          <cell r="C229" t="str">
            <v>DERIVADOS DE LA CAÑA EL HACENDADO</v>
          </cell>
        </row>
        <row r="230">
          <cell r="A230" t="str">
            <v>COLOR</v>
          </cell>
          <cell r="C230" t="str">
            <v>DIANA</v>
          </cell>
        </row>
        <row r="231">
          <cell r="A231" t="str">
            <v>CREMA DE LECHE</v>
          </cell>
          <cell r="C231" t="str">
            <v>DIPSA FOOD</v>
          </cell>
        </row>
        <row r="232">
          <cell r="A232" t="str">
            <v>CREMA DE PAPA</v>
          </cell>
          <cell r="C232" t="str">
            <v>DIPSA FOOD S.A.S</v>
          </cell>
        </row>
        <row r="233">
          <cell r="A233" t="str">
            <v>CROISSANT HOJALDRADO</v>
          </cell>
          <cell r="C233" t="str">
            <v>DISTRIBUCIONES KASANA S.A.S.</v>
          </cell>
        </row>
        <row r="234">
          <cell r="A234" t="str">
            <v>CROISSANT HOJALDRADO CON MARGARINA Y QUESO</v>
          </cell>
          <cell r="C234" t="str">
            <v>DON SANCHO</v>
          </cell>
        </row>
        <row r="235">
          <cell r="A235" t="str">
            <v>CROISSANT HOJALDRADO CON RELLENO DE CHOCOLATE</v>
          </cell>
          <cell r="C235" t="str">
            <v>DONAS SWEET</v>
          </cell>
        </row>
        <row r="236">
          <cell r="A236" t="str">
            <v>CROISSANT HOJALDRADO DE QUESO</v>
          </cell>
          <cell r="C236" t="str">
            <v>DOÑA BLANCA</v>
          </cell>
        </row>
        <row r="237">
          <cell r="A237" t="str">
            <v>CROISSANT INTEGRAL HOJALDRADO DE QUESO</v>
          </cell>
          <cell r="C237" t="str">
            <v>DOÑA LUCHA</v>
          </cell>
        </row>
        <row r="238">
          <cell r="A238" t="str">
            <v>CROQUETA DE ZANAHORIA</v>
          </cell>
          <cell r="C238" t="str">
            <v>DUA RODAS</v>
          </cell>
        </row>
        <row r="239">
          <cell r="A239" t="str">
            <v>DONA HORNEADA RELLENA DE AREQUIPE</v>
          </cell>
          <cell r="C239" t="str">
            <v xml:space="preserve">DULCES DONAS </v>
          </cell>
        </row>
        <row r="240">
          <cell r="A240" t="str">
            <v>DONA RELLENA DE AREQUIPE</v>
          </cell>
          <cell r="C240" t="str">
            <v>DUQUESA/CREMESA CON GIRASOL</v>
          </cell>
        </row>
        <row r="241">
          <cell r="A241" t="str">
            <v>ENSALADA DE FRUTAS</v>
          </cell>
          <cell r="C241" t="str">
            <v>EL BIZCOCHUELO S.A.S</v>
          </cell>
        </row>
        <row r="242">
          <cell r="A242" t="str">
            <v>ENSALADA DE PAPA</v>
          </cell>
          <cell r="C242" t="str">
            <v>EL FORTIN</v>
          </cell>
        </row>
        <row r="243">
          <cell r="A243" t="str">
            <v>ENSALADA DULCE</v>
          </cell>
          <cell r="C243" t="str">
            <v>EL HACENDADO</v>
          </cell>
        </row>
        <row r="244">
          <cell r="A244" t="str">
            <v>ENSALADA FRESCA</v>
          </cell>
          <cell r="C244" t="str">
            <v>EL RANCHERO</v>
          </cell>
        </row>
        <row r="245">
          <cell r="A245" t="str">
            <v>ENSALADA PARA LA HAMBURGUESA</v>
          </cell>
          <cell r="C245" t="str">
            <v>EL TRECE</v>
          </cell>
        </row>
        <row r="246">
          <cell r="A246" t="str">
            <v>ESENCIA DE VAINILLA</v>
          </cell>
          <cell r="C246" t="str">
            <v>EL ZARZAL</v>
          </cell>
        </row>
        <row r="247">
          <cell r="A247" t="str">
            <v>ESPAGUETIS</v>
          </cell>
          <cell r="C247" t="str">
            <v>FEDERAL</v>
          </cell>
        </row>
        <row r="248">
          <cell r="A248" t="str">
            <v>ESPAGUETIS CON ATÚN</v>
          </cell>
          <cell r="C248" t="str">
            <v>FRIGOCARNES</v>
          </cell>
        </row>
        <row r="249">
          <cell r="A249" t="str">
            <v>ESPINACA</v>
          </cell>
          <cell r="C249" t="str">
            <v>FRUDELCA</v>
          </cell>
        </row>
        <row r="250">
          <cell r="A250" t="str">
            <v>FILETE DE PECHUGA DE POLLO SIN PIEL</v>
          </cell>
          <cell r="C250" t="str">
            <v>FRUTYSABOR</v>
          </cell>
        </row>
        <row r="251">
          <cell r="A251" t="str">
            <v>FRESAS</v>
          </cell>
          <cell r="C251" t="str">
            <v>GALLETA TOSH  CON SALVADO Y MIEL</v>
          </cell>
        </row>
        <row r="252">
          <cell r="A252" t="str">
            <v>FRIJOL BLANQUILLO</v>
          </cell>
          <cell r="C252" t="str">
            <v>GBM</v>
          </cell>
        </row>
        <row r="253">
          <cell r="A253" t="str">
            <v>FRIJOL LIMA</v>
          </cell>
          <cell r="C253" t="str">
            <v>GOLONDRINAS</v>
          </cell>
        </row>
        <row r="254">
          <cell r="A254" t="str">
            <v>FRÍJOLES</v>
          </cell>
          <cell r="C254" t="str">
            <v>GRECO</v>
          </cell>
        </row>
        <row r="255">
          <cell r="A255" t="str">
            <v>FRÍJOLES CON HOGAO</v>
          </cell>
          <cell r="C255" t="str">
            <v>HAZ DE OROS</v>
          </cell>
        </row>
        <row r="256">
          <cell r="A256" t="str">
            <v>FRUTA ENTERA</v>
          </cell>
          <cell r="C256" t="str">
            <v>HG HOLDING GROUP SAS</v>
          </cell>
        </row>
        <row r="257">
          <cell r="A257" t="str">
            <v>FRUTA PICADA</v>
          </cell>
          <cell r="C257" t="str">
            <v>HORNEADITOS</v>
          </cell>
        </row>
        <row r="258">
          <cell r="A258" t="str">
            <v xml:space="preserve">GALLETA DE SAL </v>
          </cell>
          <cell r="C258" t="str">
            <v>HUEVOS KIKES</v>
          </cell>
        </row>
        <row r="259">
          <cell r="A259" t="str">
            <v>GALLETA DE SAL CON SABOR A QUESO</v>
          </cell>
          <cell r="C259" t="str">
            <v>HUEVOS ORO</v>
          </cell>
        </row>
        <row r="260">
          <cell r="A260" t="str">
            <v>GALLETA DE SAL SABOR NATURAL O QUESO</v>
          </cell>
          <cell r="C260" t="str">
            <v>HUMBERT</v>
          </cell>
        </row>
        <row r="261">
          <cell r="A261" t="str">
            <v>GALLETA MULTICEREAL CON MACADAMIA</v>
          </cell>
          <cell r="C261" t="str">
            <v>INCAUCA</v>
          </cell>
        </row>
        <row r="262">
          <cell r="A262" t="str">
            <v>GALLETA TIPO CRACKER MIEL</v>
          </cell>
          <cell r="C262" t="str">
            <v>INVERSIONES CARNES TORRENTE</v>
          </cell>
        </row>
        <row r="263">
          <cell r="A263" t="str">
            <v>GALLETA TIPO CRACKER MULTICEREAL FRUTOS ROJOS</v>
          </cell>
          <cell r="C263" t="str">
            <v>INVERSIONES PENIEL</v>
          </cell>
        </row>
        <row r="264">
          <cell r="A264" t="str">
            <v>GALLETA TIPO CRAKER MIEL</v>
          </cell>
          <cell r="C264" t="str">
            <v>JAIME AREPAS</v>
          </cell>
        </row>
        <row r="265">
          <cell r="A265" t="str">
            <v>GALLETA TIPO CRAKER MULTICEREAL CON FRUTOS ROJOS</v>
          </cell>
          <cell r="C265" t="str">
            <v>JDH (Parmalat)</v>
          </cell>
        </row>
        <row r="266">
          <cell r="A266" t="str">
            <v>GALLETA WAFFER CUBIERTA CON CHOCOLATE</v>
          </cell>
          <cell r="C266" t="str">
            <v>KLIK</v>
          </cell>
        </row>
        <row r="267">
          <cell r="A267" t="str">
            <v>GALLETA WAFFER CUBIERTA DE CHOCOLATE</v>
          </cell>
          <cell r="C267" t="str">
            <v>LA COLINA</v>
          </cell>
        </row>
        <row r="268">
          <cell r="A268" t="str">
            <v>GARBANZOS</v>
          </cell>
          <cell r="C268" t="str">
            <v>LA CONSTANCIA</v>
          </cell>
        </row>
        <row r="269">
          <cell r="A269" t="str">
            <v xml:space="preserve">GARBANZOS GUISADOS </v>
          </cell>
          <cell r="C269" t="str">
            <v>LA CONSTANCIA / COLOMBINA</v>
          </cell>
        </row>
        <row r="270">
          <cell r="A270" t="str">
            <v>GOULASH DE RES</v>
          </cell>
          <cell r="C270" t="str">
            <v>LA DESPENSA</v>
          </cell>
        </row>
        <row r="271">
          <cell r="A271" t="str">
            <v>GRANADILLA</v>
          </cell>
          <cell r="C271" t="str">
            <v>LA DUQUESA S.A</v>
          </cell>
        </row>
        <row r="272">
          <cell r="A272" t="str">
            <v>GRANOLA</v>
          </cell>
          <cell r="C272" t="str">
            <v>LA FINCA</v>
          </cell>
        </row>
        <row r="273">
          <cell r="A273" t="str">
            <v>GUAYABA</v>
          </cell>
          <cell r="C273" t="str">
            <v>LA FONTANA</v>
          </cell>
        </row>
        <row r="274">
          <cell r="A274" t="str">
            <v>GUAYABA PINTONA (FRUTA)</v>
          </cell>
          <cell r="C274" t="str">
            <v>LA NEVADA</v>
          </cell>
        </row>
        <row r="275">
          <cell r="A275" t="str">
            <v>HABICHUELA</v>
          </cell>
          <cell r="C275" t="str">
            <v>LA NIEVE</v>
          </cell>
        </row>
        <row r="276">
          <cell r="A276" t="str">
            <v>HAMBURGUESA DE CARNE DE RES</v>
          </cell>
          <cell r="C276" t="str">
            <v>LA SOBERANA</v>
          </cell>
        </row>
        <row r="277">
          <cell r="A277" t="str">
            <v>HARINA DE TRIGO</v>
          </cell>
          <cell r="C277" t="str">
            <v>LACTEOS BETANIA</v>
          </cell>
        </row>
        <row r="278">
          <cell r="A278" t="str">
            <v>HARINA DE TRIGO FORTIFICADA</v>
          </cell>
          <cell r="C278" t="str">
            <v>LACTEOS EL RANCHERO</v>
          </cell>
        </row>
        <row r="279">
          <cell r="A279" t="str">
            <v>HOGAO</v>
          </cell>
          <cell r="C279" t="str">
            <v>LACTEOS IDEAL</v>
          </cell>
        </row>
        <row r="280">
          <cell r="A280" t="str">
            <v>HUEVO  DE GALLINA</v>
          </cell>
          <cell r="C280" t="str">
            <v>LACTEOS NUTRISER</v>
          </cell>
        </row>
        <row r="281">
          <cell r="A281" t="str">
            <v>HUEVO COCIDO</v>
          </cell>
          <cell r="C281" t="str">
            <v>LACTEOS RIONEGRO</v>
          </cell>
        </row>
        <row r="282">
          <cell r="A282" t="str">
            <v>HUEVO COCIDO CON SAL</v>
          </cell>
          <cell r="C282" t="str">
            <v>LACTEOS Y CONGELADOS IDEAL</v>
          </cell>
        </row>
        <row r="283">
          <cell r="A283" t="str">
            <v>HUEVO DE GALLINA</v>
          </cell>
          <cell r="C283" t="str">
            <v>LACTEOS Y CONGELADOS IDEAL / DACOTA</v>
          </cell>
        </row>
        <row r="284">
          <cell r="A284" t="str">
            <v>HUEVO REVUELTO</v>
          </cell>
          <cell r="C284" t="str">
            <v xml:space="preserve">LACTOLECHE / MIRAMONTE/INDUNILO   </v>
          </cell>
        </row>
        <row r="285">
          <cell r="A285" t="str">
            <v>HUEVO REVUELTO CON ALIÑOS</v>
          </cell>
          <cell r="C285" t="str">
            <v>LAMB WESTON</v>
          </cell>
        </row>
        <row r="286">
          <cell r="A286" t="str">
            <v>HUEVOS TIPO A</v>
          </cell>
          <cell r="C286" t="str">
            <v>LAS CASERITAS</v>
          </cell>
        </row>
        <row r="287">
          <cell r="A287" t="str">
            <v>JUGO DE FRESA</v>
          </cell>
          <cell r="C287" t="str">
            <v>LAS LOLAS</v>
          </cell>
        </row>
        <row r="288">
          <cell r="A288" t="str">
            <v xml:space="preserve">JUGO DE FRUTA </v>
          </cell>
          <cell r="C288" t="str">
            <v>LISTO EL POLLO</v>
          </cell>
        </row>
        <row r="289">
          <cell r="A289" t="str">
            <v>JUGO DE GUANABANA</v>
          </cell>
          <cell r="C289" t="str">
            <v xml:space="preserve">LUKAFE DE LUKER </v>
          </cell>
        </row>
        <row r="290">
          <cell r="A290" t="str">
            <v>JUGO DE GUAYABA</v>
          </cell>
          <cell r="C290" t="str">
            <v>MANI MOTO</v>
          </cell>
        </row>
        <row r="291">
          <cell r="A291" t="str">
            <v>JUGO DE LIMÓN</v>
          </cell>
          <cell r="C291" t="str">
            <v>MANITOBA LTDA</v>
          </cell>
        </row>
        <row r="292">
          <cell r="A292" t="str">
            <v>JUGO DE LULO</v>
          </cell>
          <cell r="C292" t="str">
            <v>MANTEL DE CUADROS</v>
          </cell>
        </row>
        <row r="293">
          <cell r="A293" t="str">
            <v>JUGO DE MANDARINA</v>
          </cell>
          <cell r="C293" t="str">
            <v>MANUELITA</v>
          </cell>
        </row>
        <row r="294">
          <cell r="A294" t="str">
            <v>JUGO DE MANDARINA O NARANJA, 100% FRUTA SIN AZUCAR</v>
          </cell>
          <cell r="C294" t="str">
            <v xml:space="preserve">MARINELA </v>
          </cell>
        </row>
        <row r="295">
          <cell r="A295" t="str">
            <v>JUGO DE MANGO</v>
          </cell>
          <cell r="C295" t="str">
            <v>MAXI MANIX</v>
          </cell>
        </row>
        <row r="296">
          <cell r="A296" t="str">
            <v>JUGO DE MARACUYA</v>
          </cell>
          <cell r="C296" t="str">
            <v>MEGAMARKET S.A.S</v>
          </cell>
        </row>
        <row r="297">
          <cell r="A297" t="str">
            <v>JUGO DE MORA</v>
          </cell>
          <cell r="C297" t="str">
            <v xml:space="preserve">METOO </v>
          </cell>
        </row>
        <row r="298">
          <cell r="A298" t="str">
            <v>JUGO DE PIÑA</v>
          </cell>
          <cell r="C298" t="str">
            <v>MOLINOS DEL ATLANTICO</v>
          </cell>
        </row>
        <row r="299">
          <cell r="A299" t="str">
            <v>JUGO DE TOMATE DE ARBOL</v>
          </cell>
          <cell r="C299" t="str">
            <v>MONTEFRIO</v>
          </cell>
        </row>
        <row r="300">
          <cell r="A300" t="str">
            <v>JUGO DE UVA</v>
          </cell>
          <cell r="C300" t="str">
            <v>MONTEFRIO / COOPERATIVA COLANTA</v>
          </cell>
        </row>
        <row r="301">
          <cell r="A301" t="str">
            <v>JUGO MIX DE PIÑA Y FRESA</v>
          </cell>
          <cell r="C301" t="str">
            <v>MOUNTAIN FOOD</v>
          </cell>
        </row>
        <row r="302">
          <cell r="A302" t="str">
            <v>JUGO NATURAL DE MANDARINA 100% FRUTA SIN AZÚCAR</v>
          </cell>
          <cell r="C302" t="str">
            <v>NACIONAL DE CHOCOLATES</v>
          </cell>
        </row>
        <row r="303">
          <cell r="A303" t="str">
            <v>JUGO NATURAL DE MANDARINA O NARANJA</v>
          </cell>
          <cell r="C303" t="str">
            <v>NATIO</v>
          </cell>
        </row>
        <row r="304">
          <cell r="A304" t="str">
            <v>JUGO NATURAL DE NARANJA 100% FRUTA SIN AZÚCAR</v>
          </cell>
          <cell r="C304" t="str">
            <v>NATURANJA</v>
          </cell>
        </row>
        <row r="305">
          <cell r="A305" t="str">
            <v xml:space="preserve">LECHE  DE VACA ENTERA EN POLVO      </v>
          </cell>
          <cell r="C305" t="str">
            <v>NEBRASKA</v>
          </cell>
        </row>
        <row r="306">
          <cell r="A306" t="str">
            <v>LECHE CHOCOLATADA</v>
          </cell>
          <cell r="C306" t="str">
            <v>NESTLE® Y/O FITNESS®</v>
          </cell>
        </row>
        <row r="307">
          <cell r="A307" t="str">
            <v>LECHE CONDENSADA</v>
          </cell>
          <cell r="C307" t="str">
            <v>NOVAPAN</v>
          </cell>
        </row>
        <row r="308">
          <cell r="A308" t="str">
            <v>LECHE EN POLVO ENTERA</v>
          </cell>
          <cell r="C308" t="str">
            <v>NUCITA</v>
          </cell>
        </row>
        <row r="309">
          <cell r="A309" t="str">
            <v xml:space="preserve">LECHE LÍQUIDA </v>
          </cell>
          <cell r="C309" t="str">
            <v>NUTRISER</v>
          </cell>
        </row>
        <row r="310">
          <cell r="A310" t="str">
            <v xml:space="preserve">LECHE LIQUIDA ENTERA </v>
          </cell>
          <cell r="C310" t="str">
            <v>NUTRISER (NATULPAN)</v>
          </cell>
        </row>
        <row r="311">
          <cell r="A311" t="str">
            <v>LECHE LIQUIDA ENTERA DE VACA</v>
          </cell>
          <cell r="C311" t="str">
            <v>OLEO EXPRESS</v>
          </cell>
        </row>
        <row r="312">
          <cell r="A312" t="str">
            <v>LECHE LIQUIDA ENTERA DE VACA  UHT UND X 1000 CC</v>
          </cell>
          <cell r="C312" t="str">
            <v>PEPSICO ALIMENTOS COLOMBIA  LTDA</v>
          </cell>
        </row>
        <row r="313">
          <cell r="A313" t="str">
            <v>LECHE LIQUIDA ENTERA DE VACA SABORIZADA CON CHOCOLATE</v>
          </cell>
          <cell r="C313" t="str">
            <v>PERMAN</v>
          </cell>
        </row>
        <row r="314">
          <cell r="A314" t="str">
            <v xml:space="preserve">LECHE LIQUIDA ENTERA DE VACA SABORIZADA CON FRESA </v>
          </cell>
          <cell r="C314" t="str">
            <v>PHILIPPE PASTELERIA SAS</v>
          </cell>
        </row>
        <row r="315">
          <cell r="A315" t="str">
            <v>LECHE LIQUIDA ENTERA DE VACA SABORIZADA CON FRESA - UHT</v>
          </cell>
          <cell r="C315" t="str">
            <v xml:space="preserve">PIAZZA </v>
          </cell>
        </row>
        <row r="316">
          <cell r="A316" t="str">
            <v>LECHE LIQUIDA ENTERA DE VACA SABORIZADA CON VAINILLA</v>
          </cell>
          <cell r="C316" t="str">
            <v>PRACTIPULPA</v>
          </cell>
        </row>
        <row r="317">
          <cell r="A317" t="str">
            <v>LECHE LIQUIDA ENTERA DE VACA SABORIZADA CON VAINILLA - UHT</v>
          </cell>
          <cell r="C317" t="str">
            <v>PRACTIS</v>
          </cell>
        </row>
        <row r="318">
          <cell r="A318" t="str">
            <v>LECHE LIQUIDA ENTERA DE VACA SABORIZADA UHT UND X 200</v>
          </cell>
          <cell r="C318" t="str">
            <v>PROALIMENTOS LIBER SAS</v>
          </cell>
        </row>
        <row r="319">
          <cell r="A319" t="str">
            <v>LECHE LIQUIDA ENTERA DE VACA- UHT</v>
          </cell>
          <cell r="C319" t="str">
            <v>PROD. LACTEOS AURA S.A</v>
          </cell>
        </row>
        <row r="320">
          <cell r="A320" t="str">
            <v>LECHE LIQUIDA ENTERA DE VACA UND X 200 CC</v>
          </cell>
          <cell r="C320" t="str">
            <v xml:space="preserve">PRODUCTOS DE LA FINCA	</v>
          </cell>
        </row>
        <row r="321">
          <cell r="A321" t="str">
            <v>LECHE LIQUIDA ENTERA DE VACA, BOLSA X 200 CC</v>
          </cell>
          <cell r="C321" t="str">
            <v>PRODUCTOS EL CARIBE</v>
          </cell>
        </row>
        <row r="322">
          <cell r="A322" t="str">
            <v>LECHE LIQUIDA ENTERA DE VACA, SABORIZADA UND X 200 CC</v>
          </cell>
          <cell r="C322" t="str">
            <v>PRODUCTOS HUMBERPAN</v>
          </cell>
        </row>
        <row r="323">
          <cell r="A323" t="str">
            <v>LECHE LIQUIDA ENTERA NATURAL Y SABORIZADA</v>
          </cell>
          <cell r="C323" t="str">
            <v>PRODUCTOS RAMO</v>
          </cell>
        </row>
        <row r="324">
          <cell r="A324" t="str">
            <v>LECHE LÍQUIDA ENTERA SABORIZADA</v>
          </cell>
          <cell r="C324" t="str">
            <v>PROLINCO</v>
          </cell>
        </row>
        <row r="325">
          <cell r="A325" t="str">
            <v>LECHE LIQUIDA ENTERA UHT</v>
          </cell>
          <cell r="C325" t="str">
            <v>PRONALCE S.A</v>
          </cell>
        </row>
        <row r="326">
          <cell r="A326" t="str">
            <v>LECHE LIQUIDA SABORIZADA</v>
          </cell>
          <cell r="C326" t="str">
            <v>PRONALCE S.A- CHOCOTOM</v>
          </cell>
        </row>
        <row r="327">
          <cell r="A327" t="str">
            <v>LECHE LIQUIDA UHT</v>
          </cell>
          <cell r="C327" t="str">
            <v>PRONALSE DEL SUR</v>
          </cell>
        </row>
        <row r="328">
          <cell r="A328" t="str">
            <v>LENTEJA</v>
          </cell>
          <cell r="C328" t="str">
            <v>PRONATURAL FOODS</v>
          </cell>
        </row>
        <row r="329">
          <cell r="A329" t="str">
            <v>LENTEJAS GUISADAS</v>
          </cell>
          <cell r="C329" t="str">
            <v>PRONUT</v>
          </cell>
        </row>
        <row r="330">
          <cell r="A330" t="str">
            <v>LULO</v>
          </cell>
          <cell r="C330" t="str">
            <v>RAMA</v>
          </cell>
        </row>
        <row r="331">
          <cell r="A331" t="str">
            <v>MAÍZ TIERNO</v>
          </cell>
          <cell r="C331" t="str">
            <v>REFISAL</v>
          </cell>
        </row>
        <row r="332">
          <cell r="A332" t="str">
            <v>MANDARINA</v>
          </cell>
          <cell r="C332" t="str">
            <v xml:space="preserve">REFISAL / DOÑA BLANCA </v>
          </cell>
        </row>
        <row r="333">
          <cell r="A333" t="str">
            <v>MANGO  TOMMY MADURO</v>
          </cell>
          <cell r="C333" t="str">
            <v>RICOLAC</v>
          </cell>
        </row>
        <row r="334">
          <cell r="A334" t="str">
            <v>MANGO MADURO</v>
          </cell>
          <cell r="C334" t="str">
            <v>RICOLIN</v>
          </cell>
        </row>
        <row r="335">
          <cell r="A335" t="str">
            <v>MANGO PINTON</v>
          </cell>
          <cell r="C335" t="str">
            <v>RIOPAILA</v>
          </cell>
        </row>
        <row r="336">
          <cell r="A336" t="str">
            <v>MANGO TOMMY PINTÓN</v>
          </cell>
          <cell r="C336" t="str">
            <v>ROA</v>
          </cell>
        </row>
        <row r="337">
          <cell r="A337" t="str">
            <v xml:space="preserve">MANI  CUBIERTO DE CHOCOLATE </v>
          </cell>
          <cell r="C337" t="str">
            <v>SAN AMBROSIO</v>
          </cell>
        </row>
        <row r="338">
          <cell r="A338" t="str">
            <v>MANI CON COBERTURA CRUJIENTE SALADO</v>
          </cell>
          <cell r="C338" t="str">
            <v>SAN VALENTIN / QUÍMICA AROMÁTICA ANDINA</v>
          </cell>
        </row>
        <row r="339">
          <cell r="A339" t="str">
            <v>MANÍ CON COBERTURA CRUJIENTE SALADO</v>
          </cell>
          <cell r="C339" t="str">
            <v>SANTA ANITA NAPOLES</v>
          </cell>
        </row>
        <row r="340">
          <cell r="A340" t="str">
            <v>MANI CONFITADO</v>
          </cell>
          <cell r="C340" t="str">
            <v>SANTA FRUTA</v>
          </cell>
        </row>
        <row r="341">
          <cell r="A341" t="str">
            <v>MANÍ CONFITADO</v>
          </cell>
          <cell r="C341" t="str">
            <v>SANTA RITA</v>
          </cell>
        </row>
        <row r="342">
          <cell r="A342" t="str">
            <v>MANÍ CONFITADO Y CUBIERTO CON CHOCOLATE</v>
          </cell>
          <cell r="C342" t="str">
            <v>SELECTA COMPAÑÍA DE CEREALES</v>
          </cell>
        </row>
        <row r="343">
          <cell r="A343" t="str">
            <v>MANÍ CRUJIENTE SALADO</v>
          </cell>
          <cell r="C343" t="str">
            <v>SERVIHUEVO</v>
          </cell>
        </row>
        <row r="344">
          <cell r="A344" t="str">
            <v>MANI CUBIERTO CON CHOCOLATE</v>
          </cell>
          <cell r="C344" t="str">
            <v>SOBERANA</v>
          </cell>
        </row>
        <row r="345">
          <cell r="A345" t="str">
            <v>MANÍ CUBIERTO CON CHOCOLATE</v>
          </cell>
          <cell r="C345" t="str">
            <v>SU DESPENSA</v>
          </cell>
        </row>
        <row r="346">
          <cell r="A346" t="str">
            <v>MANI CUBIERTO DE CHOCOLATE</v>
          </cell>
          <cell r="C346" t="str">
            <v>SUBMARINOS</v>
          </cell>
        </row>
        <row r="347">
          <cell r="A347" t="str">
            <v>MANÍ SALADO</v>
          </cell>
          <cell r="C347" t="str">
            <v xml:space="preserve">SUPREMO FORTIFICADO </v>
          </cell>
        </row>
        <row r="348">
          <cell r="A348" t="str">
            <v>MANZANA</v>
          </cell>
          <cell r="C348" t="str">
            <v>SUPREMO FORTIFICADO -UNION DE ARROCEROS</v>
          </cell>
        </row>
        <row r="349">
          <cell r="A349" t="str">
            <v>MARACUYA</v>
          </cell>
          <cell r="C349" t="str">
            <v>SUSANITA</v>
          </cell>
        </row>
        <row r="350">
          <cell r="A350" t="str">
            <v>MARGARINA</v>
          </cell>
          <cell r="C350" t="str">
            <v xml:space="preserve">TIA MIMA </v>
          </cell>
        </row>
        <row r="351">
          <cell r="A351" t="str">
            <v>MARGARINA SUAVE DE MESA</v>
          </cell>
          <cell r="C351" t="str">
            <v xml:space="preserve">TOMMY </v>
          </cell>
        </row>
        <row r="352">
          <cell r="A352" t="str">
            <v>MAYONESA</v>
          </cell>
          <cell r="C352" t="str">
            <v>TOSH-NOEL</v>
          </cell>
        </row>
        <row r="353">
          <cell r="A353" t="str">
            <v>MELON</v>
          </cell>
          <cell r="C353" t="str">
            <v>TRADER FOODS</v>
          </cell>
        </row>
        <row r="354">
          <cell r="A354" t="str">
            <v>MEZCLA DE FRUTOS SECOS</v>
          </cell>
          <cell r="C354" t="str">
            <v>TRIDER FOODS</v>
          </cell>
        </row>
        <row r="355">
          <cell r="A355" t="str">
            <v>MEZCLA DE FRUTOS SECOS (maní salado, maíz tostado y uva pasa)</v>
          </cell>
          <cell r="C355" t="str">
            <v>TUNEZ</v>
          </cell>
        </row>
        <row r="356">
          <cell r="A356" t="str">
            <v>MEZCLA DE MANÍ SALADO, MAÍZ TOSTADO Y UVA PASA</v>
          </cell>
          <cell r="C356" t="str">
            <v>TURKY</v>
          </cell>
        </row>
        <row r="357">
          <cell r="A357" t="str">
            <v>MIEL DE ABEJA</v>
          </cell>
          <cell r="C357" t="str">
            <v>TURKY/MILENIUM</v>
          </cell>
        </row>
        <row r="358">
          <cell r="A358" t="str">
            <v>MINI CROISSANT</v>
          </cell>
          <cell r="C358" t="str">
            <v>VITAL</v>
          </cell>
        </row>
        <row r="359">
          <cell r="A359" t="str">
            <v>MINI CROISSANT HOJALDRADO</v>
          </cell>
          <cell r="C359" t="str">
            <v>VITAMAR</v>
          </cell>
        </row>
        <row r="360">
          <cell r="A360" t="str">
            <v>MORA</v>
          </cell>
          <cell r="C360" t="str">
            <v>ZAFRAN</v>
          </cell>
        </row>
        <row r="361">
          <cell r="A361" t="str">
            <v>MORTADELA JAMONADA</v>
          </cell>
          <cell r="C361" t="str">
            <v>ZONIA</v>
          </cell>
        </row>
        <row r="362">
          <cell r="A362" t="str">
            <v>MOSTANEZA</v>
          </cell>
          <cell r="C362" t="str">
            <v>NA</v>
          </cell>
        </row>
        <row r="363">
          <cell r="A363" t="str">
            <v>MOSTAZA</v>
          </cell>
        </row>
        <row r="364">
          <cell r="A364" t="str">
            <v>MUFFIN INTEGRAL CON SABOR A COCO</v>
          </cell>
        </row>
        <row r="365">
          <cell r="A365" t="str">
            <v>MURRAPO</v>
          </cell>
        </row>
        <row r="366">
          <cell r="A366" t="str">
            <v>NACHO DE MAIZ</v>
          </cell>
        </row>
        <row r="367">
          <cell r="A367" t="str">
            <v>NARANJA</v>
          </cell>
        </row>
        <row r="368">
          <cell r="A368" t="str">
            <v>PALO HOJALDRADO DE QUESO</v>
          </cell>
        </row>
        <row r="369">
          <cell r="A369" t="str">
            <v>PAN BLANCO TAJADO</v>
          </cell>
        </row>
        <row r="370">
          <cell r="A370" t="str">
            <v>PAN DANES</v>
          </cell>
        </row>
        <row r="371">
          <cell r="A371" t="str">
            <v>PAN DULCE RELLENO CON AREQUIPE</v>
          </cell>
        </row>
        <row r="372">
          <cell r="A372" t="str">
            <v>PAN HAMBURGUESA</v>
          </cell>
        </row>
        <row r="373">
          <cell r="A373" t="str">
            <v>PAN HAMBURGUESA, PAN DANÉS</v>
          </cell>
        </row>
        <row r="374">
          <cell r="A374" t="str">
            <v xml:space="preserve">PAN MANTEQUILLA </v>
          </cell>
        </row>
        <row r="375">
          <cell r="A375" t="str">
            <v>PAN MANTEQUILLA REDONDO</v>
          </cell>
        </row>
        <row r="376">
          <cell r="A376" t="str">
            <v>PAN TAJADO BLANCO</v>
          </cell>
        </row>
        <row r="377">
          <cell r="A377" t="str">
            <v>PANDEBONO</v>
          </cell>
        </row>
        <row r="378">
          <cell r="A378" t="str">
            <v>PANDEQUESO</v>
          </cell>
        </row>
        <row r="379">
          <cell r="A379" t="str">
            <v>PANELA</v>
          </cell>
        </row>
        <row r="380">
          <cell r="A380" t="str">
            <v>PAPA CAPIRA</v>
          </cell>
        </row>
        <row r="381">
          <cell r="A381" t="str">
            <v>PAPA CAPIRA CON CÁSCARA</v>
          </cell>
        </row>
        <row r="382">
          <cell r="A382" t="str">
            <v>PAPA CAPIRA PELADA</v>
          </cell>
        </row>
        <row r="383">
          <cell r="A383" t="str">
            <v>PAPA CHORRIADA</v>
          </cell>
        </row>
        <row r="384">
          <cell r="A384" t="str">
            <v xml:space="preserve">PAPA COCIDA </v>
          </cell>
        </row>
        <row r="385">
          <cell r="A385" t="str">
            <v>PAPA CRIOLLA</v>
          </cell>
        </row>
        <row r="386">
          <cell r="A386" t="str">
            <v>PAPA CRIOLLA CON CÁSCARA</v>
          </cell>
        </row>
        <row r="387">
          <cell r="A387" t="str">
            <v>PAPA CRIOLLA FRITA</v>
          </cell>
        </row>
        <row r="388">
          <cell r="A388" t="str">
            <v>PAPA SALTEADA</v>
          </cell>
        </row>
        <row r="389">
          <cell r="A389" t="str">
            <v>PAPAS  A LA FRANCESA</v>
          </cell>
        </row>
        <row r="390">
          <cell r="A390" t="str">
            <v>PAPAS CRIOLLAS FRITAS</v>
          </cell>
        </row>
        <row r="391">
          <cell r="A391" t="str">
            <v>PAPAYA</v>
          </cell>
        </row>
        <row r="392">
          <cell r="A392" t="str">
            <v>PAPAYUELA</v>
          </cell>
        </row>
        <row r="393">
          <cell r="A393" t="str">
            <v xml:space="preserve">PAPAYUELA O PAPAYA </v>
          </cell>
        </row>
        <row r="394">
          <cell r="A394" t="str">
            <v>PASTEL HOJALDRADO DE  GUAYABA</v>
          </cell>
        </row>
        <row r="395">
          <cell r="A395" t="str">
            <v>PASTEL HOJALDRADO DE  QUESO</v>
          </cell>
        </row>
        <row r="396">
          <cell r="A396" t="str">
            <v>PASTEL HOJALDRADO DE AREQUIPE Y QUESO</v>
          </cell>
        </row>
        <row r="397">
          <cell r="A397" t="str">
            <v>PASTEL HOJALDRADO DE GUAYABA</v>
          </cell>
        </row>
        <row r="398">
          <cell r="A398" t="str">
            <v>PASTEL HOJALDRADO DE QUESO</v>
          </cell>
        </row>
        <row r="399">
          <cell r="A399" t="str">
            <v xml:space="preserve">PATACÓN </v>
          </cell>
        </row>
        <row r="400">
          <cell r="A400" t="str">
            <v>PECHUGA DE POLLO SIN MARINAR, SIN PIEL Y EN TROZOS</v>
          </cell>
        </row>
        <row r="401">
          <cell r="A401" t="str">
            <v>PECHUGA DE POLLO SIN PIEL</v>
          </cell>
        </row>
        <row r="402">
          <cell r="A402" t="str">
            <v>PEPINO COHOMBRO</v>
          </cell>
        </row>
        <row r="403">
          <cell r="A403" t="str">
            <v>PERA</v>
          </cell>
        </row>
        <row r="404">
          <cell r="A404" t="str">
            <v>PICADO DE CARNE Y MADURO</v>
          </cell>
        </row>
        <row r="405">
          <cell r="A405" t="str">
            <v>PIERNA DE CERDO</v>
          </cell>
        </row>
        <row r="406">
          <cell r="A406" t="str">
            <v>PIERNA DE CERDO EN SALSA BBQ</v>
          </cell>
        </row>
        <row r="407">
          <cell r="A407" t="str">
            <v>PIERNA O BRAZO DE CERDO</v>
          </cell>
        </row>
        <row r="408">
          <cell r="A408" t="str">
            <v>PIMENTÓN</v>
          </cell>
        </row>
        <row r="409">
          <cell r="A409" t="str">
            <v>PIMENTÓN ROJO</v>
          </cell>
        </row>
        <row r="410">
          <cell r="A410" t="str">
            <v>PIÑA</v>
          </cell>
        </row>
        <row r="411">
          <cell r="A411" t="str">
            <v>PIÑA FRUTA ENTERA</v>
          </cell>
        </row>
        <row r="412">
          <cell r="A412" t="str">
            <v>PIÑA FRUTA ENTERA SIN CORAZÓN</v>
          </cell>
        </row>
        <row r="413">
          <cell r="A413" t="str">
            <v>PIÑA ORO MIEL</v>
          </cell>
        </row>
        <row r="414">
          <cell r="A414" t="str">
            <v>PLÁTANO GUINEO</v>
          </cell>
        </row>
        <row r="415">
          <cell r="A415" t="str">
            <v>PLÁTANO HARTÓN MADURO</v>
          </cell>
        </row>
        <row r="416">
          <cell r="A416" t="str">
            <v>PLATANO HARTÓN VERDE</v>
          </cell>
        </row>
        <row r="417">
          <cell r="A417" t="str">
            <v>PLÁTANO HARTÓN VERDE, PINTÓN O MADURO.</v>
          </cell>
        </row>
        <row r="418">
          <cell r="A418" t="str">
            <v>PLÁTANO HARTÓN VERDE, PINTÓN, MADURO, GUINEO.</v>
          </cell>
        </row>
        <row r="419">
          <cell r="A419" t="str">
            <v>PLÁTANO MADURO CALADO</v>
          </cell>
        </row>
        <row r="420">
          <cell r="A420" t="str">
            <v xml:space="preserve">PLÁTANO MADURO PICADO CON QUESO </v>
          </cell>
        </row>
        <row r="421">
          <cell r="A421" t="str">
            <v>POLLO DESMECHADO</v>
          </cell>
        </row>
        <row r="422">
          <cell r="A422" t="str">
            <v>POLVO DE BIZCOCHO</v>
          </cell>
        </row>
        <row r="423">
          <cell r="A423" t="str">
            <v xml:space="preserve">POLVO INSTANTANEO FORTIFICADO  CON SABOR A CHOCOLATE </v>
          </cell>
        </row>
        <row r="424">
          <cell r="A424" t="str">
            <v>PONQUÉ</v>
          </cell>
        </row>
        <row r="425">
          <cell r="A425" t="str">
            <v xml:space="preserve">PONQUE RELLENO DE CREMA SABOR  A CHOCOLATE </v>
          </cell>
        </row>
        <row r="426">
          <cell r="A426" t="str">
            <v>PONQUE RELLENO DE CREMA SABOR  A VAINILLA</v>
          </cell>
        </row>
        <row r="427">
          <cell r="A427" t="str">
            <v>PULPA DE FRESA</v>
          </cell>
        </row>
        <row r="428">
          <cell r="A428" t="str">
            <v>PULPA DE FRUTA ÁCIDA GRUPO N° 2: MARACUYÁ, TOMATE DE ÁRBOL, MORA, LULO, PIÑA, MANDARINA, FRESA Y UVAS.</v>
          </cell>
        </row>
        <row r="429">
          <cell r="A429" t="str">
            <v>PULPA DE FRUTA DULCE GRUPO N° 1: MANGO, GUAYABA Y GUANÁBANA</v>
          </cell>
        </row>
        <row r="430">
          <cell r="A430" t="str">
            <v>PULPA DE FRUTA DULCE GRUPO N° 1: MANGO, GUAYABA, GUANÁBANA.</v>
          </cell>
        </row>
        <row r="431">
          <cell r="A431" t="str">
            <v xml:space="preserve">PULPA DE GUANÁBANA </v>
          </cell>
        </row>
        <row r="432">
          <cell r="A432" t="str">
            <v xml:space="preserve">PULPAS DE FRUTAS </v>
          </cell>
        </row>
        <row r="433">
          <cell r="A433" t="str">
            <v xml:space="preserve">QUESO BLANCO O CAMPESINO </v>
          </cell>
        </row>
        <row r="434">
          <cell r="A434" t="str">
            <v xml:space="preserve">QUESO BLANCO O CAMPESINO EMPACADO AL VACIO   </v>
          </cell>
        </row>
        <row r="435">
          <cell r="A435" t="str">
            <v>QUESO DULCE O PANELITA DE LECHE</v>
          </cell>
        </row>
        <row r="436">
          <cell r="A436" t="str">
            <v>QUESO MOZARELLA</v>
          </cell>
        </row>
        <row r="437">
          <cell r="A437" t="str">
            <v>QUESO MOZARELLA EN BLOQUE</v>
          </cell>
        </row>
        <row r="438">
          <cell r="A438" t="str">
            <v>QUESO MOZARELLA EN EMPAQUE INDIVIDUAL</v>
          </cell>
        </row>
        <row r="439">
          <cell r="A439" t="str">
            <v>QUESO MOZARELLA EN LONJA</v>
          </cell>
        </row>
        <row r="440">
          <cell r="A440" t="str">
            <v>QUESO MOZZARELLA (EN BLOQUE PARA RAYAR)</v>
          </cell>
        </row>
        <row r="441">
          <cell r="A441" t="str">
            <v>QUESO MOZZARELLA EN EMPAQUE INDIVIDUAL</v>
          </cell>
        </row>
        <row r="442">
          <cell r="A442" t="str">
            <v>QUESO MOZZARELLA EN LONJA</v>
          </cell>
        </row>
        <row r="443">
          <cell r="A443" t="str">
            <v xml:space="preserve">REFRESCO DE AVENA </v>
          </cell>
        </row>
        <row r="444">
          <cell r="A444" t="str">
            <v>REPOLLO BLANCO</v>
          </cell>
        </row>
        <row r="445">
          <cell r="A445" t="str">
            <v>REPOLLO BLANCO Y MORADO</v>
          </cell>
        </row>
        <row r="446">
          <cell r="A446" t="str">
            <v xml:space="preserve">REPOLLO MORADO </v>
          </cell>
        </row>
        <row r="447">
          <cell r="A447" t="str">
            <v>ROSCON DE GUAYABA</v>
          </cell>
        </row>
        <row r="448">
          <cell r="A448" t="str">
            <v>ROSQUILLAS HORNEADAS</v>
          </cell>
        </row>
        <row r="449">
          <cell r="A449" t="str">
            <v>SAL</v>
          </cell>
        </row>
        <row r="450">
          <cell r="A450" t="str">
            <v>SAL YODADA</v>
          </cell>
        </row>
        <row r="451">
          <cell r="A451" t="str">
            <v>SAL YODADA (ARROZ)</v>
          </cell>
        </row>
        <row r="452">
          <cell r="A452" t="str">
            <v>SAL YODADA (CARNE)</v>
          </cell>
        </row>
        <row r="453">
          <cell r="A453" t="str">
            <v>SALSA BARBECUE (BBQ)</v>
          </cell>
        </row>
        <row r="454">
          <cell r="A454" t="str">
            <v>SALSA BBQ</v>
          </cell>
        </row>
        <row r="455">
          <cell r="A455" t="str">
            <v>SALSA DE TOMATE</v>
          </cell>
        </row>
        <row r="456">
          <cell r="A456" t="str">
            <v>SALSA ROSADA</v>
          </cell>
        </row>
        <row r="457">
          <cell r="A457" t="str">
            <v>SANDIA</v>
          </cell>
        </row>
        <row r="458">
          <cell r="A458" t="str">
            <v>SÁNDUCHE DE POLLO</v>
          </cell>
        </row>
        <row r="459">
          <cell r="A459" t="str">
            <v xml:space="preserve">SÁNDWICH DE JAMÓN Y QUESO </v>
          </cell>
        </row>
        <row r="460">
          <cell r="A460" t="str">
            <v>SOPA DE BLANQUILLO</v>
          </cell>
        </row>
        <row r="461">
          <cell r="A461" t="str">
            <v>SOPA DE GUINEO</v>
          </cell>
        </row>
        <row r="462">
          <cell r="A462" t="str">
            <v>SOPA DE PAPA</v>
          </cell>
        </row>
        <row r="463">
          <cell r="A463" t="str">
            <v>SOPA DE VERDURAS</v>
          </cell>
        </row>
        <row r="464">
          <cell r="A464" t="str">
            <v xml:space="preserve">SORBETE DE FRUTA </v>
          </cell>
        </row>
        <row r="465">
          <cell r="A465" t="str">
            <v>SORBETE DE GUANÁBANA</v>
          </cell>
        </row>
        <row r="466">
          <cell r="A466" t="str">
            <v>SORBETE DE GUAYABA</v>
          </cell>
        </row>
        <row r="467">
          <cell r="A467" t="str">
            <v>SUDADO DE POLLO</v>
          </cell>
        </row>
        <row r="468">
          <cell r="A468" t="str">
            <v>TAJADA DE PLÁTANO MADURO</v>
          </cell>
        </row>
        <row r="469">
          <cell r="A469" t="str">
            <v>TAJADA DE PLÁTANO MADURO CON QUESO</v>
          </cell>
        </row>
        <row r="470">
          <cell r="A470" t="str">
            <v>TOMATE CHONTO</v>
          </cell>
        </row>
        <row r="471">
          <cell r="A471" t="str">
            <v>TOMATE CHONTO MADURO</v>
          </cell>
        </row>
        <row r="472">
          <cell r="A472" t="str">
            <v>TOMATE CHONTO PINTÓN</v>
          </cell>
        </row>
        <row r="473">
          <cell r="A473" t="str">
            <v>TOMATE CHONTO PINTÓN EN RODAJA</v>
          </cell>
        </row>
        <row r="474">
          <cell r="A474" t="str">
            <v>TOMATE CHONTO VERDE</v>
          </cell>
        </row>
        <row r="475">
          <cell r="A475" t="str">
            <v>TOMATE DE ALIÑO</v>
          </cell>
        </row>
        <row r="476">
          <cell r="A476" t="str">
            <v>TOMATE DE ARBOL</v>
          </cell>
        </row>
        <row r="477">
          <cell r="A477" t="str">
            <v>TOMATE EN CUBOS</v>
          </cell>
        </row>
        <row r="478">
          <cell r="A478" t="str">
            <v>TOMATE VERDE EN RODAJAS</v>
          </cell>
        </row>
        <row r="479">
          <cell r="A479" t="str">
            <v>TORTA CON SABOR A COCO</v>
          </cell>
        </row>
        <row r="480">
          <cell r="A480" t="str">
            <v>TORTA CON SABOR A LIMÓN</v>
          </cell>
        </row>
        <row r="481">
          <cell r="A481" t="str">
            <v>TORTA CON SABOR A VAINILLA</v>
          </cell>
        </row>
        <row r="482">
          <cell r="A482" t="str">
            <v>TORTA CON SABOR A VAINILLA EN FORMA CUADRADA</v>
          </cell>
        </row>
        <row r="483">
          <cell r="A483" t="str">
            <v>TORTA DE ATÚN</v>
          </cell>
        </row>
        <row r="484">
          <cell r="A484" t="str">
            <v>TORTA DE AUYAMA</v>
          </cell>
        </row>
        <row r="485">
          <cell r="A485" t="str">
            <v>TORTA DE BANANO</v>
          </cell>
        </row>
        <row r="486">
          <cell r="A486" t="str">
            <v xml:space="preserve">TORTA DE CARNE </v>
          </cell>
        </row>
        <row r="487">
          <cell r="A487" t="str">
            <v>TORTA DE CARNE DE RES</v>
          </cell>
        </row>
        <row r="488">
          <cell r="A488" t="str">
            <v>TORTA DE CARNE DE RES PRECOCIDA</v>
          </cell>
        </row>
        <row r="489">
          <cell r="A489" t="str">
            <v>TORTA DE SABOR A COCO</v>
          </cell>
        </row>
        <row r="490">
          <cell r="A490" t="str">
            <v>TORTA DE VAINILLA CON CHIPS DE CHOCOLATE</v>
          </cell>
        </row>
        <row r="491">
          <cell r="A491" t="str">
            <v>TORTA DE VAINILLA CUBIERTA CON CHOCOLATE</v>
          </cell>
        </row>
        <row r="492">
          <cell r="A492" t="str">
            <v xml:space="preserve">TORTA DE VAINILLA VETEADA  CON CHOCOLATE </v>
          </cell>
        </row>
        <row r="493">
          <cell r="A493" t="str">
            <v>TORTA HORNEADA DE BANANO</v>
          </cell>
        </row>
        <row r="494">
          <cell r="A494" t="str">
            <v>TORTA VETEADA DE CHOCOLATE</v>
          </cell>
        </row>
        <row r="495">
          <cell r="A495" t="str">
            <v>TORTAS DE ATÚN</v>
          </cell>
        </row>
        <row r="496">
          <cell r="A496" t="str">
            <v>TORTICAS DE PAPA</v>
          </cell>
        </row>
        <row r="497">
          <cell r="A497" t="str">
            <v>TORTICAS DE PAPA CON QUESO</v>
          </cell>
        </row>
        <row r="498">
          <cell r="A498" t="str">
            <v>UVAS</v>
          </cell>
        </row>
        <row r="499">
          <cell r="A499" t="str">
            <v>VINAGRE DE FRUTAS</v>
          </cell>
        </row>
        <row r="500">
          <cell r="A500" t="str">
            <v>WAFFLE</v>
          </cell>
        </row>
        <row r="501">
          <cell r="A501" t="str">
            <v xml:space="preserve">WAFFLE CALIENTE CON MARGARINA </v>
          </cell>
        </row>
        <row r="502">
          <cell r="A502" t="str">
            <v xml:space="preserve">YOGURT </v>
          </cell>
        </row>
        <row r="503">
          <cell r="A503" t="str">
            <v>YOGURT   NATURAL</v>
          </cell>
        </row>
        <row r="504">
          <cell r="A504" t="str">
            <v>YOGURT   SABOR A FRESA, CON PROBIÓTICOS Y PREBIÓTICOS</v>
          </cell>
        </row>
        <row r="505">
          <cell r="A505" t="str">
            <v>YOGURT  DE FRESA, CON PROBIÓTICOS Y PREBIÓTICOS</v>
          </cell>
        </row>
        <row r="506">
          <cell r="A506" t="str">
            <v>YOGURT  DE FRUTOS ROJOS, CON PROBIÓTICOS Y PREBIÓTICOS</v>
          </cell>
        </row>
        <row r="507">
          <cell r="A507" t="str">
            <v>YOGURT  DE GUANÁBANA, CON PROBIÓTICOS Y PREBIÓTICOS</v>
          </cell>
        </row>
        <row r="508">
          <cell r="A508" t="str">
            <v>YOGURT  DE MELOCOTÓN, CON PROBIÓTICOS Y PREBIÓTICOS</v>
          </cell>
        </row>
        <row r="509">
          <cell r="A509" t="str">
            <v>YOGURT  DE MORA, CON PROBIÓTICOS Y PREBIÓTICOS</v>
          </cell>
        </row>
        <row r="510">
          <cell r="A510" t="str">
            <v>YOGURT  NATURAL, CON PROBIÓTICOS Y PREBIÓTICOS</v>
          </cell>
        </row>
        <row r="511">
          <cell r="A511" t="str">
            <v>YOGURT CON PROBIOTICOS Y PREBIOTICOS NATURAL O SABORIZADO UND X 200</v>
          </cell>
        </row>
        <row r="512">
          <cell r="A512" t="str">
            <v xml:space="preserve">YOGURT CON PROBIOTICOS Y PREBIOTICOS NATURAL O SABORIZADO UND X 200 </v>
          </cell>
        </row>
        <row r="513">
          <cell r="A513" t="str">
            <v>YOGURT GRIEGO</v>
          </cell>
        </row>
        <row r="514">
          <cell r="A514" t="str">
            <v>YOGURT GRIEGO O TIPO GRIEGO CON  PROBIÓTICOS Y PREBIÓTICOS GRUPO # 2</v>
          </cell>
        </row>
        <row r="515">
          <cell r="A515" t="str">
            <v>YOGURT GRIEGO O TIPO GRIEGO CON PROBIÓTICOS Y PREBIÓTICOS GRUPO # 1</v>
          </cell>
        </row>
        <row r="516">
          <cell r="A516" t="str">
            <v>YOGURT GRIEGO O TIPO GRIEGO SABORIZADO</v>
          </cell>
        </row>
        <row r="517">
          <cell r="A517" t="str">
            <v>YOGURT GRIEGO O TIPO GRIEGO YOGURT CON PROBIOTICOS Y PREBIOTICOS SABORIZADO UND X 100</v>
          </cell>
        </row>
        <row r="518">
          <cell r="A518" t="str">
            <v xml:space="preserve">YOGURT GRIEGO O TIPO GRIEGO YOGURT CON PROBIOTICOS Y PREBIOTICOS SABORIZADO UND X 100 </v>
          </cell>
        </row>
        <row r="519">
          <cell r="A519" t="str">
            <v>YOGURT GRIEGO O TIPO GRIEGO, CON PROBIÓTICOS Y PREBIÓTICOS</v>
          </cell>
        </row>
        <row r="520">
          <cell r="A520" t="str">
            <v>YOGURT NATURAL</v>
          </cell>
        </row>
        <row r="521">
          <cell r="A521" t="str">
            <v>YOGURT NATURAL CON PROBIÓTICOS Y PREBIÓTICOS</v>
          </cell>
        </row>
        <row r="522">
          <cell r="A522" t="str">
            <v>YOGURT NATURAL Y SABORIZADO</v>
          </cell>
        </row>
        <row r="523">
          <cell r="A523" t="str">
            <v>YOGURT NATURAL, CON PROBIÓTICOS Y PREBIÓTICOS</v>
          </cell>
        </row>
        <row r="524">
          <cell r="A524" t="str">
            <v>YOGURT SABOR A GUANÁBANA, CON PROBIÓTICOS Y PREBIÓTICOS</v>
          </cell>
        </row>
        <row r="525">
          <cell r="A525" t="str">
            <v>ZANAHORIA</v>
          </cell>
        </row>
        <row r="526">
          <cell r="A526" t="str">
            <v>NA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09BE0F-2C9E-4420-ABCB-BA3EF293809E}" name="Tabla47" displayName="Tabla47" ref="A5:CF6" totalsRowShown="0" headerRowDxfId="226" dataDxfId="225" headerRowBorderDxfId="223" tableBorderDxfId="224" totalsRowBorderDxfId="222">
  <autoFilter ref="A5:CF6" xr:uid="{00000000-0009-0000-0100-000002000000}"/>
  <tableColumns count="84">
    <tableColumn id="2" xr3:uid="{D7C48EFF-AE8E-4AC1-ABD4-EF05E067A997}" name="Columna1" dataDxfId="194"/>
    <tableColumn id="3" xr3:uid="{A803C8F5-65FB-411C-8EAC-DAC265211D3A}" name="Columna2" dataDxfId="193"/>
    <tableColumn id="4" xr3:uid="{BBA8AB69-3A81-44D3-8168-E71F95292682}" name="Columna3" dataDxfId="192"/>
    <tableColumn id="5" xr3:uid="{0FC64EE9-88D2-402D-9327-01732BA0E12A}" name="Columna4" dataDxfId="191"/>
    <tableColumn id="158" xr3:uid="{A6D2DE90-44F4-4E0E-8FB8-870C77FA8E8F}" name="Columna5" dataDxfId="190">
      <calculatedColumnFormula>IFERROR(VLOOKUP(D6,Tabla1[],5,FALSE),"Dato")</calculatedColumnFormula>
    </tableColumn>
    <tableColumn id="10" xr3:uid="{BE9211AA-1396-408A-883B-4780FED4A48A}" name="Columna6" dataDxfId="189">
      <calculatedColumnFormula>IFERROR(VLOOKUP(D6,Tabla1[],6,FALSE),"Dato")</calculatedColumnFormula>
    </tableColumn>
    <tableColumn id="6" xr3:uid="{ABFA9BB0-EEF5-4EC3-9F9B-5338CE1C2A41}" name="Columna7" dataDxfId="175"/>
    <tableColumn id="7" xr3:uid="{DAD45F6A-52AB-46FC-B9C4-3849EFD1B46C}" name="Columna8" dataDxfId="188"/>
    <tableColumn id="8" xr3:uid="{9FD3E587-A268-4F9C-AE87-B476ECD65B19}" name="Columna9" dataDxfId="187"/>
    <tableColumn id="9" xr3:uid="{F193D8AC-16F2-4DA3-9073-1EDA32DA4090}" name="Columna10" dataDxfId="186"/>
    <tableColumn id="689" xr3:uid="{A0A2A698-41C4-4BB0-BE67-7402C8EB1132}" name="Columna11" dataDxfId="185"/>
    <tableColumn id="690" xr3:uid="{33BB9AAB-CF8A-4380-895D-87C9D284B708}" name="Columna12" dataDxfId="221"/>
    <tableColumn id="11" xr3:uid="{CCE8AEE5-E190-46C6-BAF2-3482D8C83F75}" name="Columna13" dataDxfId="220"/>
    <tableColumn id="12" xr3:uid="{E3977AD1-BEBA-49D1-9198-664C0A940476}" name="Columna14" dataDxfId="219"/>
    <tableColumn id="13" xr3:uid="{86D4FBC0-775A-4EEA-9592-DE2B4C4EE694}" name="Columna15" dataDxfId="218"/>
    <tableColumn id="14" xr3:uid="{A5C081F9-DBE7-44CA-A912-D77EB441021D}" name="Columna16" dataDxfId="217"/>
    <tableColumn id="15" xr3:uid="{75A4E3DC-54F1-4CC7-9B25-4AF253C2B971}" name="Columna17" dataDxfId="216"/>
    <tableColumn id="16" xr3:uid="{C7E694CB-EFB6-44CB-9171-FE1157687383}" name="Columna18" dataDxfId="176"/>
    <tableColumn id="17" xr3:uid="{90FF5801-B7B0-48DA-A1FE-75999EE22BA2}" name="Columna19" dataDxfId="215"/>
    <tableColumn id="716" xr3:uid="{BABE7669-9833-4B60-A2DA-20D3E4062F8E}" name="Columna20" dataDxfId="177"/>
    <tableColumn id="715" xr3:uid="{69A380D9-9409-4EBC-B9E2-AF9772B0FACF}" name="Columna21" dataDxfId="214"/>
    <tableColumn id="234" xr3:uid="{B4E4EC76-C4EE-4B62-A1E4-A74054223F9C}" name="Columna22" dataDxfId="178"/>
    <tableColumn id="238" xr3:uid="{26CD2D41-3DAE-4148-996B-3172FF559A3C}" name="Columna23" dataDxfId="213"/>
    <tableColumn id="233" xr3:uid="{BCEAF800-C826-4FD9-8D36-ED909AAD60AB}" name="Columna24" dataDxfId="212"/>
    <tableColumn id="224" xr3:uid="{8E0A5F7B-888A-4B33-99E0-E0E1B6FFBCC8}" name="Columna25" dataDxfId="211"/>
    <tableColumn id="691" xr3:uid="{58F04596-812A-4A29-BFB6-A9A56D3486E4}" name="Columna26" dataDxfId="210"/>
    <tableColumn id="239" xr3:uid="{F3C5046C-3A3D-4B6F-A8EF-DBF5E280FD88}" name="Columna27" dataDxfId="209"/>
    <tableColumn id="240" xr3:uid="{F74AAD5C-47B0-4BE8-BAC9-500420D611F9}" name="Columna28" dataDxfId="208"/>
    <tableColumn id="241" xr3:uid="{B320A8C8-9E61-4EF9-96EC-9C509A4270BC}" name="Columna29" dataDxfId="207"/>
    <tableColumn id="717" xr3:uid="{C9CC8BAF-B072-44AA-BC8B-842DF0C38420}" name="Columna30" dataDxfId="206"/>
    <tableColumn id="718" xr3:uid="{5FD45F94-BC9F-4A3E-885F-8BD467E449E1}" name="Columna31" dataDxfId="205"/>
    <tableColumn id="721" xr3:uid="{BA858217-D9F8-447F-AC62-880A11DC16A8}" name="Columna32" dataDxfId="204"/>
    <tableColumn id="243" xr3:uid="{EDCCB76E-795D-4C21-A685-AB1FA10E94AD}" name="Columna33" dataDxfId="203"/>
    <tableColumn id="244" xr3:uid="{15D6FF49-9685-4B52-9238-D11F21D515F8}" name="Columna34" dataDxfId="202"/>
    <tableColumn id="18" xr3:uid="{80D49C2A-D0AE-4A89-AFDE-9BA708ACD1C2}" name="Columna35" dataDxfId="184"/>
    <tableColumn id="252" xr3:uid="{C455993B-C197-47D3-B9CC-B90397400DC7}" name="Columna36" dataDxfId="183"/>
    <tableColumn id="692" xr3:uid="{D11E887E-C49C-43D1-825D-1799CB648847}" name="Columna37" dataDxfId="182"/>
    <tableColumn id="212" xr3:uid="{C12DCF7D-ED86-4AB1-B801-768C4B12E733}" name="Columna38" dataDxfId="181"/>
    <tableColumn id="19" xr3:uid="{42BB33C0-4B89-4C75-A5D3-DC94EDEC3E74}" name="Columna39" dataDxfId="201"/>
    <tableColumn id="27" xr3:uid="{82A07808-D30B-4DB0-A874-5FD56D35FFF4}" name="Columna40" dataDxfId="200"/>
    <tableColumn id="22" xr3:uid="{25ECFB49-15FB-46E3-A373-BD4CAA24E32F}" name="Columna41" dataDxfId="199"/>
    <tableColumn id="724" xr3:uid="{A840E713-FD88-4C21-8A5E-FC52D9FC214E}" name="Columna42" dataDxfId="180"/>
    <tableColumn id="723" xr3:uid="{F8E7ECB5-68FA-423C-9723-73B3300D26BA}" name="Columna43" dataDxfId="179"/>
    <tableColumn id="28" xr3:uid="{19C50B2E-63BE-491B-AA33-C441CC0E08BB}" name="Columna44" dataDxfId="198">
      <calculatedColumnFormula>COUNTIF(Tabla47[[#This Row],[Columna41]:[Columna43]],"&gt;=0")</calculatedColumnFormula>
    </tableColumn>
    <tableColumn id="29" xr3:uid="{096E3828-7547-4B3A-B94B-F33622ED4257}" name="Columna45" dataDxfId="197">
      <calculatedColumnFormula>SUM(Tabla47[[#This Row],[Columna41]:[Columna43]])</calculatedColumnFormula>
    </tableColumn>
    <tableColumn id="30" xr3:uid="{BE8EE0EA-AB70-4C7B-B911-986D71FDD5A8}" name="Columna46" dataDxfId="196" dataCellStyle="Porcentaje">
      <calculatedColumnFormula>IFERROR((AS6/AR6)*100,"NA")</calculatedColumnFormula>
    </tableColumn>
    <tableColumn id="31" xr3:uid="{17755983-95FE-4FA5-8DCF-E698F990770D}" name="Columna47" dataDxfId="195">
      <calculatedColumnFormula>IF(AT6&lt;&gt;"NA",IF(AT6&lt;60,"No Cumple",IF(AT6&lt;=94.99,"Cumple Parcialmente",IF(AT6&gt;=95,"Cumple",""))),CELL("contenido",AT6))</calculatedColumnFormula>
    </tableColumn>
    <tableColumn id="24" xr3:uid="{23724F99-AA33-4CB5-ABA2-0303A682A081}" name="Columna48" dataDxfId="167"/>
    <tableColumn id="25" xr3:uid="{DEA2F5B6-7A6D-4B4F-B255-E8A63C6B89A7}" name="Columna49" dataDxfId="170"/>
    <tableColumn id="26" xr3:uid="{7FEB3C38-7731-40F2-A6E9-E8B0BA915544}" name="Columna50" dataDxfId="169"/>
    <tableColumn id="32" xr3:uid="{2D905970-C72C-4814-8F11-21C25782D97C}" name="Columna51" dataDxfId="168"/>
    <tableColumn id="21" xr3:uid="{0C21CD8B-E2E2-4E21-8AD1-91BB86E602A0}" name="Columna52" dataDxfId="174">
      <calculatedColumnFormula>COUNTIF(Tabla47[[#This Row],[Columna48]:[Columna51]],"&gt;=0")</calculatedColumnFormula>
    </tableColumn>
    <tableColumn id="23" xr3:uid="{479A01B5-F3FC-458A-8019-454D938DFD69}" name="Columna53" dataDxfId="173">
      <calculatedColumnFormula>SUM(Tabla47[[#This Row],[Columna48]:[Columna51]])</calculatedColumnFormula>
    </tableColumn>
    <tableColumn id="20" xr3:uid="{166E86DD-4406-4500-B6A3-AE26D1378EE7}" name="Columna54" dataDxfId="172" dataCellStyle="Porcentaje">
      <calculatedColumnFormula>IFERROR((BA6/AZ6)*100,"NA")</calculatedColumnFormula>
    </tableColumn>
    <tableColumn id="1" xr3:uid="{635663B5-64AA-4862-A37C-8EC869626C90}" name="Columna55" dataDxfId="171">
      <calculatedColumnFormula>IF(BB6&lt;&gt;"NA",IF(BB6&lt;60,"No Cumple",IF(BB6&lt;=94.99,"Cumple Parcialmente",IF(BB6&gt;=95,"Cumple",""))),CELL("contenido",BB6))</calculatedColumnFormula>
    </tableColumn>
    <tableColumn id="33" xr3:uid="{D1FB2931-66AC-4FA7-9B48-7DA52D5C1C6C}" name="Columna56" dataDxfId="166"/>
    <tableColumn id="34" xr3:uid="{AF2D959E-4A23-4B7E-AC7B-ED629249592C}" name="Columna57" dataDxfId="165"/>
    <tableColumn id="35" xr3:uid="{C3E4AF38-17F3-4026-BFE3-37846CB3DEF0}" name="Columna58" dataDxfId="164"/>
    <tableColumn id="36" xr3:uid="{DC5ABFFD-EA1F-454B-9C61-0B9F9BE38412}" name="Columna59" dataDxfId="163"/>
    <tableColumn id="37" xr3:uid="{1D5DE172-BDBA-4BF3-BEE8-D6566068455F}" name="Columna60" dataDxfId="162">
      <calculatedColumnFormula>COUNTIF(BD6:BG6,"&gt;=0")</calculatedColumnFormula>
    </tableColumn>
    <tableColumn id="38" xr3:uid="{AF69CCCC-13AC-4980-B4AA-C15978450D9C}" name="Columna61" dataDxfId="161">
      <calculatedColumnFormula>SUM(BD6:BG6)</calculatedColumnFormula>
    </tableColumn>
    <tableColumn id="39" xr3:uid="{2BA50460-3ED2-4509-9FB5-D4FD081FF827}" name="Columna62" dataDxfId="160" dataCellStyle="Porcentaje">
      <calculatedColumnFormula>IFERROR((BI6/BH6)*100,"NA")</calculatedColumnFormula>
    </tableColumn>
    <tableColumn id="40" xr3:uid="{4AD3B339-0EAB-4F59-81B8-E6BB4009B8DF}" name="Columna63" dataDxfId="159">
      <calculatedColumnFormula>IF(BJ6&lt;&gt;"NA",IF(BJ6&lt;60,"No Cumple",IF(BJ6&lt;=94.99,"Cumple Parcialmente",IF(BJ6&gt;=95,"Cumple",""))),CELL("contenido",BJ6))</calculatedColumnFormula>
    </tableColumn>
    <tableColumn id="41" xr3:uid="{6E29366C-2620-4E0F-A770-0B717F08923A}" name="Columna64" dataDxfId="33"/>
    <tableColumn id="42" xr3:uid="{5272FD4C-B78E-4BC6-A690-9084F856A7C0}" name="Columna65" dataDxfId="32"/>
    <tableColumn id="43" xr3:uid="{6BC5DA6B-E511-4173-AD89-411FD34A47CC}" name="Columna66" dataDxfId="31"/>
    <tableColumn id="44" xr3:uid="{55E32331-4BA3-4FB5-B754-E3E6F836EA95}" name="Columna67" dataDxfId="30"/>
    <tableColumn id="45" xr3:uid="{55966305-DF35-497F-AC9D-B6EFF2D72206}" name="Columna68" dataDxfId="29"/>
    <tableColumn id="46" xr3:uid="{DD6C3B99-7BF6-4C76-8F31-F19DCEAD0279}" name="Columna69" dataDxfId="28"/>
    <tableColumn id="47" xr3:uid="{F22EFA31-8D59-4D37-906E-7707CE3F24D1}" name="Columna70" dataDxfId="27">
      <calculatedColumnFormula>COUNTIF(BL6:BQ6,"&gt;=0")</calculatedColumnFormula>
    </tableColumn>
    <tableColumn id="48" xr3:uid="{C01BE97E-0476-468B-B151-BEF2D769505F}" name="Columna71" dataDxfId="26">
      <calculatedColumnFormula>SUM(BL6:BQ6)</calculatedColumnFormula>
    </tableColumn>
    <tableColumn id="49" xr3:uid="{60FB52D1-0CAE-471E-8CF4-7894989EB288}" name="Columna72" dataDxfId="25" dataCellStyle="Porcentaje">
      <calculatedColumnFormula>IFERROR((BS6/BR6)*100,"NA")</calculatedColumnFormula>
    </tableColumn>
    <tableColumn id="50" xr3:uid="{5DB540F6-4353-4BB1-A40D-C714E89C67AD}" name="Columna73" dataDxfId="24">
      <calculatedColumnFormula>IF(BT6&lt;&gt;"NA",IF(BT6&lt;60,"No Cumple",IF(BT6&lt;=94.99,"Cumple Parcialmente",IF(BT6&gt;=95,"Cumple",""))),CELL("contenido",BT6))</calculatedColumnFormula>
    </tableColumn>
    <tableColumn id="51" xr3:uid="{C16A13FB-BF45-45D7-8CE9-8FDE98781E60}" name="Columna74" dataDxfId="12"/>
    <tableColumn id="52" xr3:uid="{8210EDF0-65AA-462E-8254-B3600556C095}" name="Columna75" dataDxfId="11">
      <calculatedColumnFormula>COUNTIF(BV6,"&gt;=0")</calculatedColumnFormula>
    </tableColumn>
    <tableColumn id="53" xr3:uid="{B3425EEA-E861-44D3-B525-1F37C7C7895C}" name="Columna76" dataDxfId="10">
      <calculatedColumnFormula>SUM(BV6)</calculatedColumnFormula>
    </tableColumn>
    <tableColumn id="54" xr3:uid="{53760BC5-E77A-465B-9496-17154272E027}" name="Columna77" dataDxfId="9" dataCellStyle="Porcentaje">
      <calculatedColumnFormula>IFERROR((BX6/BW6)*100,"NA")</calculatedColumnFormula>
    </tableColumn>
    <tableColumn id="55" xr3:uid="{C995955F-E2F8-4B93-AEF3-F10BA71A384F}" name="Columna78" dataDxfId="8">
      <calculatedColumnFormula>IF(BY6&lt;&gt;"NA",IF(BY6&lt;60,"No Cumple",IF(BY6&lt;=94.99,"Cumple Parcialmente",IF(BY6&gt;=95,"Cumple",""))),CELL("contenido",BY6))</calculatedColumnFormula>
    </tableColumn>
    <tableColumn id="56" xr3:uid="{02E40075-6625-4237-8208-53E7011B8ACC}" name="Columna79" dataDxfId="7">
      <calculatedColumnFormula>SUM(Tabla47[[#This Row],[Columna44]],Tabla47[[#This Row],[Columna52]],Tabla47[[#This Row],[Columna60]],Tabla47[[#This Row],[Columna70]],Tabla47[[#This Row],[Columna75]])</calculatedColumnFormula>
    </tableColumn>
    <tableColumn id="57" xr3:uid="{E405AF31-6707-465E-B475-554C1E66998E}" name="Columna80" dataDxfId="4">
      <calculatedColumnFormula>SUM(Tabla47[[#This Row],[Columna45]],Tabla47[[#This Row],[Columna53]],Tabla47[[#This Row],[Columna61]],Tabla47[[#This Row],[Columna71]],Tabla47[[#This Row],[Columna76]])</calculatedColumnFormula>
    </tableColumn>
    <tableColumn id="58" xr3:uid="{ED1CC788-208E-4994-AF4D-03B55E4525BB}" name="Columna81" dataDxfId="6" dataCellStyle="Porcentaje">
      <calculatedColumnFormula>IFERROR((CB6/CA6)*100,"NA")</calculatedColumnFormula>
    </tableColumn>
    <tableColumn id="59" xr3:uid="{66D787FB-E483-4374-AB5D-ED41E4C43E73}" name="Columna82" dataDxfId="5">
      <calculatedColumnFormula>IF(CC6&lt;&gt;"NA",IF(CC6&lt;60,"No Cumple",IF(CC6&lt;=94.99,"Cumple Parcialmente",IF(CC6&gt;=95,"Cumple",""))),CELL("contenido",CC6))</calculatedColumnFormula>
    </tableColumn>
    <tableColumn id="60" xr3:uid="{21AD4166-E77E-45DB-BF63-92010A863685}" name="Columna83" dataDxfId="1"/>
    <tableColumn id="61" xr3:uid="{84B4E538-00B6-450A-A9B4-8AE0CB634771}" name="Columna84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2:AI542" totalsRowShown="0" headerRowDxfId="274" headerRowBorderDxfId="273">
  <autoFilter ref="A2:AI542" xr:uid="{00000000-0009-0000-0100-000001000000}"/>
  <sortState xmlns:xlrd2="http://schemas.microsoft.com/office/spreadsheetml/2017/richdata2" ref="A3:AI523">
    <sortCondition ref="A3:A523"/>
  </sortState>
  <tableColumns count="35">
    <tableColumn id="1" xr3:uid="{00000000-0010-0000-0100-000001000000}" name="ID SEDE" dataDxfId="272" dataCellStyle="Normal 84"/>
    <tableColumn id="2" xr3:uid="{00000000-0010-0000-0100-000002000000}" name="CONTRATISTA" dataDxfId="271" dataCellStyle="Normal 84"/>
    <tableColumn id="3" xr3:uid="{00000000-0010-0000-0100-000003000000}" name="OPERADOR" dataDxfId="270" dataCellStyle="Normal 84"/>
    <tableColumn id="4" xr3:uid="{00000000-0010-0000-0100-000004000000}" name="MODALIDAD" dataDxfId="269" dataCellStyle="Normal 84"/>
    <tableColumn id="5" xr3:uid="{00000000-0010-0000-0100-000005000000}" name="No. LOTE " dataDxfId="268" dataCellStyle="Normal 84"/>
    <tableColumn id="6" xr3:uid="{00000000-0010-0000-0100-000006000000}" name="Zona " dataDxfId="267" dataCellStyle="Normal 84"/>
    <tableColumn id="7" xr3:uid="{00000000-0010-0000-0100-000007000000}" name="No. " dataDxfId="266" dataCellStyle="Normal 84"/>
    <tableColumn id="8" xr3:uid="{00000000-0010-0000-0100-000008000000}" name="COMEDOR ESCOLAR" dataDxfId="265" dataCellStyle="Normal 84"/>
    <tableColumn id="9" xr3:uid="{00000000-0010-0000-0100-000009000000}" name="NOMBRE SEDE" dataDxfId="264" dataCellStyle="Normal 84"/>
    <tableColumn id="10" xr3:uid="{00000000-0010-0000-0100-00000A000000}" name="CONSECUTIVO DANE" dataDxfId="263" dataCellStyle="Normal 84"/>
    <tableColumn id="11" xr3:uid="{00000000-0010-0000-0100-00000B000000}" name="TIPO DE EE" dataDxfId="262" dataCellStyle="Normal 84"/>
    <tableColumn id="12" xr3:uid="{00000000-0010-0000-0100-00000C000000}" name="J.UNICA" dataDxfId="261" dataCellStyle="Normal 84"/>
    <tableColumn id="13" xr3:uid="{00000000-0010-0000-0100-00000D000000}" name="COMUNA" dataDxfId="260" dataCellStyle="Normal 84"/>
    <tableColumn id="14" xr3:uid="{00000000-0010-0000-0100-00000E000000}" name="BARRIO" dataDxfId="259" dataCellStyle="Normal 84"/>
    <tableColumn id="15" xr3:uid="{00000000-0010-0000-0100-00000F000000}" name="DIRECCION" dataDxfId="258" dataCellStyle="Normal 84"/>
    <tableColumn id="16" xr3:uid="{00000000-0010-0000-0100-000010000000}" name="TELEFONO" dataDxfId="257" dataCellStyle="Normal 84"/>
    <tableColumn id="17" xr3:uid="{00000000-0010-0000-0100-000011000000}" name="RECTOR Y/O COORDINADOR  " dataDxfId="256" dataCellStyle="Normal 84"/>
    <tableColumn id="18" xr3:uid="{00000000-0010-0000-0100-000012000000}" name="DOCENTE ENCARGADO DEL R.E." dataDxfId="255" dataCellStyle="Normal 84"/>
    <tableColumn id="19" xr3:uid="{00000000-0010-0000-0100-000013000000}" name="CORREO ELECTRONICO" dataDxfId="254" dataCellStyle="Normal 84"/>
    <tableColumn id="20" xr3:uid="{00000000-0010-0000-0100-000014000000}" name="COMPLEMENTO ALIMENTARIO  AM/PM _x000a_0° a 3°" dataDxfId="253" dataCellStyle="Normal 84"/>
    <tableColumn id="21" xr3:uid="{00000000-0010-0000-0100-000015000000}" name="COMPLEMENTO ALIMENTARIO  AM/PM _x000a_4° a 8°" dataDxfId="252" dataCellStyle="Normal 84"/>
    <tableColumn id="22" xr3:uid="{00000000-0010-0000-0100-000016000000}" name="COMPLEMENTO ALIMENTARIO  AM/PM _x000a_9° a 11°" dataDxfId="251" dataCellStyle="Normal 84"/>
    <tableColumn id="23" xr3:uid="{00000000-0010-0000-0100-000017000000}" name="TIPO COMPLEMENTO" dataDxfId="250" dataCellStyle="Normal 84"/>
    <tableColumn id="24" xr3:uid="{00000000-0010-0000-0100-000018000000}" name="OPERADOR2" dataDxfId="249" dataCellStyle="Normal 84"/>
    <tableColumn id="25" xr3:uid="{00000000-0010-0000-0100-000019000000}" name="TOTAL CUPOS_x000a_" dataDxfId="248" dataCellStyle="Normal 84"/>
    <tableColumn id="26" xr3:uid="{00000000-0010-0000-0100-00001A000000}" name=" COMPLEMENTO VASO DE LECHE 0° a 3°" dataDxfId="247" dataCellStyle="Normal 84"/>
    <tableColumn id="27" xr3:uid="{00000000-0010-0000-0100-00001B000000}" name=" COMPLEMENTO VASO DE LECHE 4° a 8°" dataDxfId="246" dataCellStyle="Normal 84"/>
    <tableColumn id="28" xr3:uid="{00000000-0010-0000-0100-00001C000000}" name=" COMPLEMENTO VASO DE LECHE 9° a 11°" dataDxfId="245" dataCellStyle="Normal 84"/>
    <tableColumn id="29" xr3:uid="{00000000-0010-0000-0100-00001D000000}" name="TIPO COMPLEMENTO2" dataDxfId="244" dataCellStyle="Normal 84"/>
    <tableColumn id="30" xr3:uid="{00000000-0010-0000-0100-00001E000000}" name="OPERADOR3" dataDxfId="243" dataCellStyle="Normal 84"/>
    <tableColumn id="31" xr3:uid="{00000000-0010-0000-0100-00001F000000}" name="TOTAL CUPOS_x000a_4" dataDxfId="242" dataCellStyle="Normal 84"/>
    <tableColumn id="32" xr3:uid="{00000000-0010-0000-0100-000020000000}" name="TOTAL COBERTURA " dataDxfId="241" dataCellStyle="Normal 84"/>
    <tableColumn id="33" xr3:uid="{00000000-0010-0000-0100-000021000000}" name="IE CON RIT" dataDxfId="240" dataCellStyle="Normal 84"/>
    <tableColumn id="34" xr3:uid="{00000000-0010-0000-0100-000022000000}" name="OBSERVACIONES" dataDxfId="239" dataCellStyle="Normal 84"/>
    <tableColumn id="35" xr3:uid="{00000000-0010-0000-0100-000023000000}" name="No CONTRATO" dataDxfId="238" dataCellStyle="Normal 8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2" displayName="Tabla2" ref="A8:B13" totalsRowShown="0" headerRowDxfId="237" dataDxfId="236">
  <autoFilter ref="A8:B13" xr:uid="{00000000-0009-0000-0100-000003000000}"/>
  <tableColumns count="2">
    <tableColumn id="1" xr3:uid="{00000000-0010-0000-0200-000001000000}" name="VISITA" dataDxfId="235"/>
    <tableColumn id="2" xr3:uid="{00000000-0010-0000-0200-000002000000}" name="ACTA" dataDxfId="2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3" displayName="Tabla3" ref="A29:D94" totalsRowShown="0" headerRowDxfId="233" dataDxfId="232" tableBorderDxfId="231" headerRowCellStyle="Normal 17">
  <autoFilter ref="A29:D94" xr:uid="{00000000-0009-0000-0100-000005000000}"/>
  <tableColumns count="4">
    <tableColumn id="1" xr3:uid="{00000000-0010-0000-0300-000001000000}" name="PROFESIONAL" dataDxfId="230" dataCellStyle="Normal 2 10"/>
    <tableColumn id="2" xr3:uid="{00000000-0010-0000-0300-000002000000}" name="ROL" dataDxfId="229" dataCellStyle="Normal 2 10"/>
    <tableColumn id="3" xr3:uid="{00000000-0010-0000-0300-000003000000}" name="IDENTIFICACION" dataDxfId="228"/>
    <tableColumn id="4" xr3:uid="{00000000-0010-0000-0300-000004000000}" name="CONTACTO" dataDxfId="2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C1A07-A29A-4524-A7C6-7CFE47430D4B}">
  <sheetPr codeName="Hoja3"/>
  <dimension ref="A1:CF6"/>
  <sheetViews>
    <sheetView tabSelected="1" zoomScale="60" zoomScaleNormal="60" workbookViewId="0">
      <pane ySplit="5" topLeftCell="A6" activePane="bottomLeft" state="frozen"/>
      <selection pane="bottomLeft" activeCell="A4" sqref="A4"/>
    </sheetView>
  </sheetViews>
  <sheetFormatPr baseColWidth="10" defaultColWidth="11.44140625" defaultRowHeight="14.4"/>
  <cols>
    <col min="1" max="1" width="24.44140625" style="493" customWidth="1"/>
    <col min="2" max="2" width="12.6640625" style="3" customWidth="1"/>
    <col min="3" max="3" width="14" style="3" customWidth="1"/>
    <col min="4" max="4" width="20.6640625" style="9" customWidth="1"/>
    <col min="5" max="6" width="12.5546875" style="9" customWidth="1"/>
    <col min="7" max="7" width="54.6640625" style="3" customWidth="1"/>
    <col min="8" max="8" width="52" style="3" customWidth="1"/>
    <col min="9" max="9" width="24.33203125" style="494" customWidth="1"/>
    <col min="10" max="10" width="72.88671875" style="3" customWidth="1"/>
    <col min="11" max="11" width="40.109375" style="3" customWidth="1"/>
    <col min="12" max="12" width="22.5546875" style="3" customWidth="1"/>
    <col min="13" max="13" width="17" style="3" customWidth="1"/>
    <col min="14" max="14" width="14.88671875" style="3" customWidth="1"/>
    <col min="15" max="15" width="14.6640625" style="495" customWidth="1"/>
    <col min="16" max="16" width="16" style="495" customWidth="1"/>
    <col min="17" max="17" width="28" style="3" customWidth="1"/>
    <col min="18" max="18" width="18.109375" style="3" customWidth="1"/>
    <col min="19" max="21" width="22.88671875" style="3" customWidth="1"/>
    <col min="22" max="22" width="20.109375" style="3" customWidth="1"/>
    <col min="23" max="23" width="21.109375" style="3" customWidth="1"/>
    <col min="24" max="25" width="17.33203125" style="3" customWidth="1"/>
    <col min="26" max="26" width="27.44140625" style="3" customWidth="1"/>
    <col min="27" max="28" width="17.21875" style="3" customWidth="1"/>
    <col min="29" max="32" width="15.44140625" style="3" customWidth="1"/>
    <col min="33" max="34" width="14.109375" style="3" customWidth="1"/>
    <col min="35" max="35" width="56" style="3" customWidth="1"/>
    <col min="36" max="36" width="25.44140625" style="3" customWidth="1"/>
    <col min="37" max="37" width="23.5546875" style="3" customWidth="1"/>
    <col min="38" max="38" width="34.5546875" style="3" customWidth="1"/>
    <col min="39" max="39" width="51" style="3" customWidth="1"/>
    <col min="40" max="40" width="33.109375" style="3" customWidth="1"/>
    <col min="41" max="43" width="44.109375" style="9" customWidth="1"/>
    <col min="44" max="44" width="13.88671875" style="9" customWidth="1"/>
    <col min="45" max="45" width="13" style="9" customWidth="1"/>
    <col min="46" max="47" width="15.6640625" style="9" customWidth="1"/>
    <col min="48" max="51" width="44.109375" style="9" customWidth="1"/>
    <col min="52" max="52" width="13.88671875" style="9" customWidth="1"/>
    <col min="53" max="53" width="13" style="9" customWidth="1"/>
    <col min="54" max="55" width="15.6640625" style="9" customWidth="1"/>
    <col min="56" max="59" width="44.109375" style="9" customWidth="1"/>
    <col min="60" max="60" width="13.88671875" style="9" customWidth="1"/>
    <col min="61" max="61" width="13" style="9" customWidth="1"/>
    <col min="62" max="63" width="15.6640625" style="9" customWidth="1"/>
    <col min="64" max="69" width="44.109375" style="9" customWidth="1"/>
    <col min="70" max="70" width="13.88671875" style="9" customWidth="1"/>
    <col min="71" max="71" width="13" style="9" customWidth="1"/>
    <col min="72" max="73" width="15.6640625" style="9" customWidth="1"/>
    <col min="74" max="74" width="44.109375" style="9" customWidth="1"/>
    <col min="75" max="75" width="13.88671875" style="9" customWidth="1"/>
    <col min="76" max="76" width="13" style="9" customWidth="1"/>
    <col min="77" max="78" width="15.6640625" style="9" customWidth="1"/>
    <col min="79" max="82" width="15" style="3" customWidth="1"/>
    <col min="83" max="83" width="58.77734375" style="9" customWidth="1"/>
    <col min="84" max="84" width="66.33203125" style="9" customWidth="1"/>
    <col min="85" max="16384" width="11.44140625" style="3"/>
  </cols>
  <sheetData>
    <row r="1" spans="1:84" ht="54" customHeight="1">
      <c r="A1" s="481" t="s">
        <v>2862</v>
      </c>
      <c r="B1" s="467"/>
      <c r="C1" s="467"/>
      <c r="D1" s="467"/>
      <c r="E1" s="467"/>
      <c r="F1" s="467"/>
      <c r="G1" s="467"/>
      <c r="H1" s="467"/>
      <c r="I1" s="467"/>
      <c r="J1" s="473"/>
      <c r="K1" s="482" t="s">
        <v>2863</v>
      </c>
      <c r="L1" s="476"/>
      <c r="M1" s="476"/>
      <c r="N1" s="476"/>
      <c r="O1" s="476"/>
      <c r="P1" s="476"/>
      <c r="Q1" s="476"/>
      <c r="R1" s="476"/>
      <c r="S1" s="476"/>
      <c r="T1" s="476"/>
      <c r="U1" s="476"/>
      <c r="V1" s="476"/>
      <c r="W1" s="476"/>
      <c r="X1" s="476"/>
      <c r="Y1" s="476"/>
      <c r="Z1" s="476"/>
      <c r="AA1" s="476"/>
      <c r="AB1" s="476"/>
      <c r="AC1" s="476"/>
      <c r="AD1" s="476"/>
      <c r="AE1" s="476"/>
      <c r="AF1" s="476"/>
      <c r="AG1" s="476"/>
      <c r="AH1" s="476"/>
      <c r="AI1" s="476"/>
      <c r="AJ1" s="476"/>
      <c r="AK1" s="476"/>
      <c r="AL1" s="476"/>
      <c r="AM1" s="476"/>
      <c r="AN1" s="476"/>
      <c r="AO1" s="470"/>
      <c r="AP1" s="470"/>
      <c r="AQ1" s="470"/>
      <c r="AR1" s="470"/>
      <c r="AS1" s="470"/>
      <c r="AT1" s="470"/>
      <c r="AU1" s="470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  <c r="BY1" s="81"/>
      <c r="BZ1" s="81"/>
      <c r="CA1" s="543"/>
      <c r="CB1" s="543"/>
      <c r="CC1" s="543"/>
      <c r="CD1" s="543"/>
      <c r="CE1" s="81"/>
      <c r="CF1" s="81"/>
    </row>
    <row r="2" spans="1:84" ht="22.5" customHeight="1" thickBot="1">
      <c r="A2" s="468"/>
      <c r="B2" s="468"/>
      <c r="C2" s="468"/>
      <c r="D2" s="468"/>
      <c r="E2" s="468"/>
      <c r="F2" s="468"/>
      <c r="G2" s="468"/>
      <c r="H2" s="468"/>
      <c r="I2" s="468"/>
      <c r="J2" s="474"/>
      <c r="K2" s="483" t="s">
        <v>2864</v>
      </c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1"/>
      <c r="AP2" s="471"/>
      <c r="AQ2" s="471"/>
      <c r="AR2" s="471"/>
      <c r="AS2" s="471"/>
      <c r="AT2" s="471"/>
      <c r="AU2" s="471"/>
      <c r="AV2" s="464"/>
      <c r="AW2" s="464"/>
      <c r="AX2" s="464"/>
      <c r="AY2" s="464"/>
      <c r="AZ2" s="464"/>
      <c r="BA2" s="464"/>
      <c r="BB2" s="464"/>
      <c r="BC2" s="464"/>
      <c r="BD2" s="464"/>
      <c r="BE2" s="464"/>
      <c r="BF2" s="464"/>
      <c r="BG2" s="464"/>
      <c r="BH2" s="464"/>
      <c r="BI2" s="464"/>
      <c r="BJ2" s="464"/>
      <c r="BK2" s="464"/>
      <c r="BL2" s="464"/>
      <c r="BM2" s="464"/>
      <c r="BN2" s="464"/>
      <c r="BO2" s="464"/>
      <c r="BP2" s="464"/>
      <c r="BQ2" s="464"/>
      <c r="BR2" s="464"/>
      <c r="BS2" s="464"/>
      <c r="BT2" s="464"/>
      <c r="BU2" s="464"/>
      <c r="BV2" s="464"/>
      <c r="BW2" s="464"/>
      <c r="BX2" s="464"/>
      <c r="BY2" s="464"/>
      <c r="BZ2" s="464"/>
      <c r="CA2" s="469" t="s">
        <v>0</v>
      </c>
      <c r="CB2" s="469"/>
      <c r="CC2" s="469"/>
      <c r="CD2" s="469"/>
      <c r="CE2" s="81"/>
      <c r="CF2" s="81"/>
    </row>
    <row r="3" spans="1:84" ht="24" customHeight="1" thickBot="1">
      <c r="A3" s="465"/>
      <c r="B3" s="465"/>
      <c r="C3" s="465"/>
      <c r="D3" s="465"/>
      <c r="E3" s="465"/>
      <c r="F3" s="465"/>
      <c r="G3" s="465"/>
      <c r="H3" s="465"/>
      <c r="I3" s="466"/>
      <c r="J3" s="475"/>
      <c r="K3" s="478"/>
      <c r="L3" s="479"/>
      <c r="M3" s="479"/>
      <c r="N3" s="479"/>
      <c r="O3" s="479"/>
      <c r="P3" s="479"/>
      <c r="Q3" s="479"/>
      <c r="R3" s="479"/>
      <c r="S3" s="479"/>
      <c r="T3" s="479"/>
      <c r="U3" s="479"/>
      <c r="V3" s="479"/>
      <c r="W3" s="479"/>
      <c r="X3" s="479"/>
      <c r="Y3" s="479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4" t="s">
        <v>2955</v>
      </c>
      <c r="AP3" s="485"/>
      <c r="AQ3" s="485"/>
      <c r="AR3" s="485"/>
      <c r="AS3" s="485"/>
      <c r="AT3" s="485"/>
      <c r="AU3" s="486"/>
      <c r="AV3" s="487" t="s">
        <v>2961</v>
      </c>
      <c r="AW3" s="472"/>
      <c r="AX3" s="472"/>
      <c r="AY3" s="472"/>
      <c r="AZ3" s="472"/>
      <c r="BA3" s="472"/>
      <c r="BB3" s="472"/>
      <c r="BC3" s="488"/>
      <c r="BD3" s="534" t="s">
        <v>2966</v>
      </c>
      <c r="BE3" s="535"/>
      <c r="BF3" s="535"/>
      <c r="BG3" s="535"/>
      <c r="BH3" s="535"/>
      <c r="BI3" s="535"/>
      <c r="BJ3" s="535"/>
      <c r="BK3" s="536"/>
      <c r="BL3" s="534" t="s">
        <v>2971</v>
      </c>
      <c r="BM3" s="535"/>
      <c r="BN3" s="535"/>
      <c r="BO3" s="535"/>
      <c r="BP3" s="535"/>
      <c r="BQ3" s="535"/>
      <c r="BR3" s="535"/>
      <c r="BS3" s="535"/>
      <c r="BT3" s="535"/>
      <c r="BU3" s="536"/>
      <c r="BV3" s="541" t="s">
        <v>2978</v>
      </c>
      <c r="BW3" s="541"/>
      <c r="BX3" s="541"/>
      <c r="BY3" s="541"/>
      <c r="BZ3" s="541"/>
      <c r="CA3" s="469"/>
      <c r="CB3" s="469"/>
      <c r="CC3" s="469"/>
      <c r="CD3" s="469"/>
      <c r="CE3" s="544"/>
      <c r="CF3" s="544"/>
    </row>
    <row r="4" spans="1:84" ht="82.8" customHeight="1" thickBot="1">
      <c r="A4" s="489" t="s">
        <v>1</v>
      </c>
      <c r="B4" s="16" t="s">
        <v>2</v>
      </c>
      <c r="C4" s="16" t="s">
        <v>3</v>
      </c>
      <c r="D4" s="490" t="s">
        <v>2667</v>
      </c>
      <c r="E4" s="16" t="s">
        <v>2669</v>
      </c>
      <c r="F4" s="16" t="s">
        <v>2680</v>
      </c>
      <c r="G4" s="16" t="s">
        <v>129</v>
      </c>
      <c r="H4" s="16" t="s">
        <v>2668</v>
      </c>
      <c r="I4" s="26" t="s">
        <v>110</v>
      </c>
      <c r="J4" s="16" t="s">
        <v>109</v>
      </c>
      <c r="K4" s="16" t="s">
        <v>2670</v>
      </c>
      <c r="L4" s="16" t="s">
        <v>2676</v>
      </c>
      <c r="M4" s="16" t="s">
        <v>2865</v>
      </c>
      <c r="N4" s="16" t="s">
        <v>2866</v>
      </c>
      <c r="O4" s="17" t="s">
        <v>2867</v>
      </c>
      <c r="P4" s="17" t="s">
        <v>2868</v>
      </c>
      <c r="Q4" s="16" t="s">
        <v>111</v>
      </c>
      <c r="R4" s="16" t="s">
        <v>2869</v>
      </c>
      <c r="S4" s="16" t="s">
        <v>2870</v>
      </c>
      <c r="T4" s="16" t="s">
        <v>2871</v>
      </c>
      <c r="U4" s="16" t="s">
        <v>2872</v>
      </c>
      <c r="V4" s="16" t="s">
        <v>2873</v>
      </c>
      <c r="W4" s="16" t="s">
        <v>2874</v>
      </c>
      <c r="X4" s="16" t="s">
        <v>2875</v>
      </c>
      <c r="Y4" s="16" t="s">
        <v>2876</v>
      </c>
      <c r="Z4" s="16" t="s">
        <v>2877</v>
      </c>
      <c r="AA4" s="16" t="s">
        <v>2878</v>
      </c>
      <c r="AB4" s="16" t="s">
        <v>2879</v>
      </c>
      <c r="AC4" s="16" t="s">
        <v>2880</v>
      </c>
      <c r="AD4" s="16" t="s">
        <v>2881</v>
      </c>
      <c r="AE4" s="16" t="s">
        <v>2882</v>
      </c>
      <c r="AF4" s="16" t="s">
        <v>2883</v>
      </c>
      <c r="AG4" s="16" t="s">
        <v>13</v>
      </c>
      <c r="AH4" s="16" t="s">
        <v>11</v>
      </c>
      <c r="AI4" s="16" t="s">
        <v>4</v>
      </c>
      <c r="AJ4" s="16" t="s">
        <v>121</v>
      </c>
      <c r="AK4" s="490" t="s">
        <v>2709</v>
      </c>
      <c r="AL4" s="490" t="s">
        <v>118</v>
      </c>
      <c r="AM4" s="16" t="s">
        <v>6</v>
      </c>
      <c r="AN4" s="16" t="s">
        <v>123</v>
      </c>
      <c r="AO4" s="491" t="s">
        <v>2956</v>
      </c>
      <c r="AP4" s="491" t="s">
        <v>2957</v>
      </c>
      <c r="AQ4" s="491" t="s">
        <v>2958</v>
      </c>
      <c r="AR4" s="15" t="s">
        <v>2884</v>
      </c>
      <c r="AS4" s="15" t="s">
        <v>2885</v>
      </c>
      <c r="AT4" s="18" t="s">
        <v>2886</v>
      </c>
      <c r="AU4" s="15" t="s">
        <v>2887</v>
      </c>
      <c r="AV4" s="528" t="s">
        <v>2962</v>
      </c>
      <c r="AW4" s="528" t="s">
        <v>2963</v>
      </c>
      <c r="AX4" s="528" t="s">
        <v>2964</v>
      </c>
      <c r="AY4" s="528" t="s">
        <v>2965</v>
      </c>
      <c r="AZ4" s="15" t="s">
        <v>2888</v>
      </c>
      <c r="BA4" s="15" t="s">
        <v>2889</v>
      </c>
      <c r="BB4" s="18" t="s">
        <v>2890</v>
      </c>
      <c r="BC4" s="529" t="s">
        <v>2891</v>
      </c>
      <c r="BD4" s="532" t="s">
        <v>2967</v>
      </c>
      <c r="BE4" s="532" t="s">
        <v>2968</v>
      </c>
      <c r="BF4" s="532" t="s">
        <v>2969</v>
      </c>
      <c r="BG4" s="532" t="s">
        <v>2970</v>
      </c>
      <c r="BH4" s="15" t="s">
        <v>2892</v>
      </c>
      <c r="BI4" s="15" t="s">
        <v>2893</v>
      </c>
      <c r="BJ4" s="18" t="s">
        <v>2894</v>
      </c>
      <c r="BK4" s="529" t="s">
        <v>2895</v>
      </c>
      <c r="BL4" s="532" t="s">
        <v>2972</v>
      </c>
      <c r="BM4" s="532" t="s">
        <v>2973</v>
      </c>
      <c r="BN4" s="532" t="s">
        <v>2974</v>
      </c>
      <c r="BO4" s="532" t="s">
        <v>2975</v>
      </c>
      <c r="BP4" s="532" t="s">
        <v>2976</v>
      </c>
      <c r="BQ4" s="540" t="s">
        <v>2977</v>
      </c>
      <c r="BR4" s="15" t="s">
        <v>2896</v>
      </c>
      <c r="BS4" s="15" t="s">
        <v>2897</v>
      </c>
      <c r="BT4" s="18" t="s">
        <v>2898</v>
      </c>
      <c r="BU4" s="529" t="s">
        <v>2899</v>
      </c>
      <c r="BV4" s="532" t="s">
        <v>2979</v>
      </c>
      <c r="BW4" s="15" t="s">
        <v>2900</v>
      </c>
      <c r="BX4" s="15" t="s">
        <v>2901</v>
      </c>
      <c r="BY4" s="18" t="s">
        <v>2902</v>
      </c>
      <c r="BZ4" s="15" t="s">
        <v>2903</v>
      </c>
      <c r="CA4" s="10" t="s">
        <v>7</v>
      </c>
      <c r="CB4" s="10" t="s">
        <v>8</v>
      </c>
      <c r="CC4" s="10" t="s">
        <v>9</v>
      </c>
      <c r="CD4" s="11" t="s">
        <v>10</v>
      </c>
      <c r="CE4" s="4" t="s">
        <v>2714</v>
      </c>
      <c r="CF4" s="4" t="s">
        <v>2682</v>
      </c>
    </row>
    <row r="5" spans="1:84" s="41" customFormat="1" ht="28.5" customHeight="1">
      <c r="A5" s="12" t="s">
        <v>14</v>
      </c>
      <c r="B5" s="12" t="s">
        <v>15</v>
      </c>
      <c r="C5" s="12" t="s">
        <v>16</v>
      </c>
      <c r="D5" s="12" t="s">
        <v>17</v>
      </c>
      <c r="E5" s="12" t="s">
        <v>18</v>
      </c>
      <c r="F5" s="12" t="s">
        <v>19</v>
      </c>
      <c r="G5" s="12" t="s">
        <v>20</v>
      </c>
      <c r="H5" s="12" t="s">
        <v>21</v>
      </c>
      <c r="I5" s="12" t="s">
        <v>22</v>
      </c>
      <c r="J5" s="12" t="s">
        <v>23</v>
      </c>
      <c r="K5" s="12" t="s">
        <v>2681</v>
      </c>
      <c r="L5" s="12" t="s">
        <v>24</v>
      </c>
      <c r="M5" s="12" t="s">
        <v>25</v>
      </c>
      <c r="N5" s="12" t="s">
        <v>26</v>
      </c>
      <c r="O5" s="12" t="s">
        <v>27</v>
      </c>
      <c r="P5" s="12" t="s">
        <v>28</v>
      </c>
      <c r="Q5" s="12" t="s">
        <v>29</v>
      </c>
      <c r="R5" s="12" t="s">
        <v>30</v>
      </c>
      <c r="S5" s="12" t="s">
        <v>31</v>
      </c>
      <c r="T5" s="12" t="s">
        <v>32</v>
      </c>
      <c r="U5" s="12" t="s">
        <v>33</v>
      </c>
      <c r="V5" s="12" t="s">
        <v>34</v>
      </c>
      <c r="W5" s="12" t="s">
        <v>35</v>
      </c>
      <c r="X5" s="12" t="s">
        <v>36</v>
      </c>
      <c r="Y5" s="12" t="s">
        <v>37</v>
      </c>
      <c r="Z5" s="12" t="s">
        <v>38</v>
      </c>
      <c r="AA5" s="12" t="s">
        <v>39</v>
      </c>
      <c r="AB5" s="12" t="s">
        <v>40</v>
      </c>
      <c r="AC5" s="12" t="s">
        <v>41</v>
      </c>
      <c r="AD5" s="12" t="s">
        <v>42</v>
      </c>
      <c r="AE5" s="12" t="s">
        <v>43</v>
      </c>
      <c r="AF5" s="12" t="s">
        <v>44</v>
      </c>
      <c r="AG5" s="12" t="s">
        <v>45</v>
      </c>
      <c r="AH5" s="12" t="s">
        <v>46</v>
      </c>
      <c r="AI5" s="12" t="s">
        <v>47</v>
      </c>
      <c r="AJ5" s="12" t="s">
        <v>48</v>
      </c>
      <c r="AK5" s="12" t="s">
        <v>49</v>
      </c>
      <c r="AL5" s="12" t="s">
        <v>50</v>
      </c>
      <c r="AM5" s="12" t="s">
        <v>51</v>
      </c>
      <c r="AN5" s="12" t="s">
        <v>52</v>
      </c>
      <c r="AO5" s="12" t="s">
        <v>53</v>
      </c>
      <c r="AP5" s="12" t="s">
        <v>54</v>
      </c>
      <c r="AQ5" s="12" t="s">
        <v>55</v>
      </c>
      <c r="AR5" s="12" t="s">
        <v>56</v>
      </c>
      <c r="AS5" s="12" t="s">
        <v>57</v>
      </c>
      <c r="AT5" s="12" t="s">
        <v>58</v>
      </c>
      <c r="AU5" s="12" t="s">
        <v>59</v>
      </c>
      <c r="AV5" s="12" t="s">
        <v>60</v>
      </c>
      <c r="AW5" s="12" t="s">
        <v>61</v>
      </c>
      <c r="AX5" s="12" t="s">
        <v>62</v>
      </c>
      <c r="AY5" s="12" t="s">
        <v>63</v>
      </c>
      <c r="AZ5" s="12" t="s">
        <v>64</v>
      </c>
      <c r="BA5" s="12" t="s">
        <v>65</v>
      </c>
      <c r="BB5" s="12" t="s">
        <v>66</v>
      </c>
      <c r="BC5" s="530" t="s">
        <v>67</v>
      </c>
      <c r="BD5" s="12" t="s">
        <v>68</v>
      </c>
      <c r="BE5" s="12" t="s">
        <v>69</v>
      </c>
      <c r="BF5" s="12" t="s">
        <v>70</v>
      </c>
      <c r="BG5" s="12" t="s">
        <v>2683</v>
      </c>
      <c r="BH5" s="12" t="s">
        <v>71</v>
      </c>
      <c r="BI5" s="12" t="s">
        <v>2684</v>
      </c>
      <c r="BJ5" s="12" t="s">
        <v>72</v>
      </c>
      <c r="BK5" s="530" t="s">
        <v>73</v>
      </c>
      <c r="BL5" s="533" t="s">
        <v>74</v>
      </c>
      <c r="BM5" s="533" t="s">
        <v>75</v>
      </c>
      <c r="BN5" s="533" t="s">
        <v>76</v>
      </c>
      <c r="BO5" s="533" t="s">
        <v>77</v>
      </c>
      <c r="BP5" s="533" t="s">
        <v>78</v>
      </c>
      <c r="BQ5" s="533" t="s">
        <v>79</v>
      </c>
      <c r="BR5" s="533" t="s">
        <v>80</v>
      </c>
      <c r="BS5" s="533" t="s">
        <v>81</v>
      </c>
      <c r="BT5" s="533" t="s">
        <v>82</v>
      </c>
      <c r="BU5" s="542" t="s">
        <v>83</v>
      </c>
      <c r="BV5" s="533" t="s">
        <v>84</v>
      </c>
      <c r="BW5" s="533" t="s">
        <v>85</v>
      </c>
      <c r="BX5" s="533" t="s">
        <v>2844</v>
      </c>
      <c r="BY5" s="533" t="s">
        <v>2845</v>
      </c>
      <c r="BZ5" s="533" t="s">
        <v>2846</v>
      </c>
      <c r="CA5" s="533" t="s">
        <v>2847</v>
      </c>
      <c r="CB5" s="533" t="s">
        <v>2848</v>
      </c>
      <c r="CC5" s="533" t="s">
        <v>2849</v>
      </c>
      <c r="CD5" s="533" t="s">
        <v>2904</v>
      </c>
      <c r="CE5" s="12" t="s">
        <v>2905</v>
      </c>
      <c r="CF5" s="12" t="s">
        <v>2906</v>
      </c>
    </row>
    <row r="6" spans="1:84" s="492" customFormat="1" ht="50.1" customHeight="1">
      <c r="A6" s="42" t="s">
        <v>2954</v>
      </c>
      <c r="B6" s="43" t="s">
        <v>94</v>
      </c>
      <c r="C6" s="44">
        <v>43622</v>
      </c>
      <c r="D6" s="43">
        <v>2002</v>
      </c>
      <c r="E6" s="45">
        <f>IFERROR(VLOOKUP(D6,Tabla1[],5,FALSE),"Dato")</f>
        <v>2</v>
      </c>
      <c r="F6" s="45">
        <f>IFERROR(VLOOKUP(D6,Tabla1[],6,FALSE),"Dato")</f>
        <v>1</v>
      </c>
      <c r="G6" s="42" t="s">
        <v>1287</v>
      </c>
      <c r="H6" s="42" t="s">
        <v>1287</v>
      </c>
      <c r="I6" s="13">
        <v>10500102584404</v>
      </c>
      <c r="J6" s="42" t="s">
        <v>2701</v>
      </c>
      <c r="K6" s="46" t="s">
        <v>2959</v>
      </c>
      <c r="L6" s="43" t="s">
        <v>2708</v>
      </c>
      <c r="M6" s="13">
        <v>304</v>
      </c>
      <c r="N6" s="480">
        <v>411</v>
      </c>
      <c r="O6" s="47">
        <v>0.25</v>
      </c>
      <c r="P6" s="47">
        <v>0.25</v>
      </c>
      <c r="Q6" s="42" t="s">
        <v>116</v>
      </c>
      <c r="R6" s="43" t="s">
        <v>114</v>
      </c>
      <c r="S6" s="44">
        <v>44730</v>
      </c>
      <c r="T6" s="43" t="s">
        <v>114</v>
      </c>
      <c r="U6" s="44">
        <v>44730</v>
      </c>
      <c r="V6" s="43" t="s">
        <v>114</v>
      </c>
      <c r="W6" s="44">
        <v>44730</v>
      </c>
      <c r="X6" s="43" t="s">
        <v>114</v>
      </c>
      <c r="Y6" s="44">
        <v>44730</v>
      </c>
      <c r="Z6" s="42" t="s">
        <v>2960</v>
      </c>
      <c r="AA6" s="480">
        <v>217</v>
      </c>
      <c r="AB6" s="480">
        <v>154</v>
      </c>
      <c r="AC6" s="480">
        <v>40</v>
      </c>
      <c r="AD6" s="480">
        <v>100</v>
      </c>
      <c r="AE6" s="480">
        <v>200</v>
      </c>
      <c r="AF6" s="480">
        <v>23</v>
      </c>
      <c r="AG6" s="480">
        <v>2</v>
      </c>
      <c r="AH6" s="480">
        <v>7</v>
      </c>
      <c r="AI6" s="43" t="s">
        <v>2756</v>
      </c>
      <c r="AJ6" s="42">
        <v>71221958</v>
      </c>
      <c r="AK6" s="46">
        <v>3017055321</v>
      </c>
      <c r="AL6" s="42" t="s">
        <v>2757</v>
      </c>
      <c r="AM6" s="43" t="s">
        <v>2907</v>
      </c>
      <c r="AN6" s="43">
        <v>123456789</v>
      </c>
      <c r="AO6" s="43">
        <v>1</v>
      </c>
      <c r="AP6" s="43">
        <v>1</v>
      </c>
      <c r="AQ6" s="43">
        <v>1</v>
      </c>
      <c r="AR6" s="42">
        <f>COUNTIF(Tabla47[[#This Row],[Columna41]:[Columna43]],"&gt;=0")</f>
        <v>3</v>
      </c>
      <c r="AS6" s="42">
        <f>SUM(Tabla47[[#This Row],[Columna41]:[Columna43]])</f>
        <v>3</v>
      </c>
      <c r="AT6" s="14">
        <f t="shared" ref="AT6" si="0">IFERROR((AS6/AR6)*100,"NA")</f>
        <v>100</v>
      </c>
      <c r="AU6" s="48" t="str">
        <f t="shared" ref="AU6" ca="1" si="1">IF(AT6&lt;&gt;"NA",IF(AT6&lt;60,"No Cumple",IF(AT6&lt;=94.99,"Cumple Parcialmente",IF(AT6&gt;=95,"Cumple",""))),CELL("contenido",AT6))</f>
        <v>Cumple</v>
      </c>
      <c r="AV6" s="43">
        <v>1</v>
      </c>
      <c r="AW6" s="43">
        <v>1</v>
      </c>
      <c r="AX6" s="43">
        <v>1</v>
      </c>
      <c r="AY6" s="43">
        <v>1</v>
      </c>
      <c r="AZ6" s="42">
        <f>COUNTIF(Tabla47[[#This Row],[Columna48]:[Columna51]],"&gt;=0")</f>
        <v>4</v>
      </c>
      <c r="BA6" s="42">
        <f>SUM(Tabla47[[#This Row],[Columna48]:[Columna51]])</f>
        <v>4</v>
      </c>
      <c r="BB6" s="14">
        <f t="shared" ref="BB6" si="2">IFERROR((BA6/AZ6)*100,"NA")</f>
        <v>100</v>
      </c>
      <c r="BC6" s="531" t="str">
        <f t="shared" ref="BC6" ca="1" si="3">IF(BB6&lt;&gt;"NA",IF(BB6&lt;60,"No Cumple",IF(BB6&lt;=94.99,"Cumple Parcialmente",IF(BB6&gt;=95,"Cumple",""))),CELL("contenido",BB6))</f>
        <v>Cumple</v>
      </c>
      <c r="BD6" s="43">
        <v>1</v>
      </c>
      <c r="BE6" s="43">
        <v>1</v>
      </c>
      <c r="BF6" s="43">
        <v>1</v>
      </c>
      <c r="BG6" s="43">
        <v>1</v>
      </c>
      <c r="BH6" s="42">
        <f>COUNTIF(BD6:BG6,"&gt;=0")</f>
        <v>4</v>
      </c>
      <c r="BI6" s="42">
        <f>SUM(BD6:BG6)</f>
        <v>4</v>
      </c>
      <c r="BJ6" s="14">
        <f t="shared" ref="BJ6" si="4">IFERROR((BI6/BH6)*100,"NA")</f>
        <v>100</v>
      </c>
      <c r="BK6" s="531" t="str">
        <f t="shared" ref="BK6" ca="1" si="5">IF(BJ6&lt;&gt;"NA",IF(BJ6&lt;60,"No Cumple",IF(BJ6&lt;=94.99,"Cumple Parcialmente",IF(BJ6&gt;=95,"Cumple",""))),CELL("contenido",BJ6))</f>
        <v>Cumple</v>
      </c>
      <c r="BL6" s="43">
        <v>1</v>
      </c>
      <c r="BM6" s="43">
        <v>1</v>
      </c>
      <c r="BN6" s="43">
        <v>1</v>
      </c>
      <c r="BO6" s="43">
        <v>1</v>
      </c>
      <c r="BP6" s="43">
        <v>1</v>
      </c>
      <c r="BQ6" s="43">
        <v>1</v>
      </c>
      <c r="BR6" s="42">
        <f>COUNTIF(BL6:BQ6,"&gt;=0")</f>
        <v>6</v>
      </c>
      <c r="BS6" s="42">
        <f>SUM(BL6:BQ6)</f>
        <v>6</v>
      </c>
      <c r="BT6" s="14">
        <f t="shared" ref="BT6" si="6">IFERROR((BS6/BR6)*100,"NA")</f>
        <v>100</v>
      </c>
      <c r="BU6" s="531" t="str">
        <f t="shared" ref="BU6" ca="1" si="7">IF(BT6&lt;&gt;"NA",IF(BT6&lt;60,"No Cumple",IF(BT6&lt;=94.99,"Cumple Parcialmente",IF(BT6&gt;=95,"Cumple",""))),CELL("contenido",BT6))</f>
        <v>Cumple</v>
      </c>
      <c r="BV6" s="43">
        <v>1</v>
      </c>
      <c r="BW6" s="42">
        <f>COUNTIF(BV6,"&gt;=0")</f>
        <v>1</v>
      </c>
      <c r="BX6" s="42">
        <f>SUM(BV6)</f>
        <v>1</v>
      </c>
      <c r="BY6" s="14">
        <f t="shared" ref="BY6" si="8">IFERROR((BX6/BW6)*100,"NA")</f>
        <v>100</v>
      </c>
      <c r="BZ6" s="48" t="str">
        <f t="shared" ref="BZ6" ca="1" si="9">IF(BY6&lt;&gt;"NA",IF(BY6&lt;60,"No Cumple",IF(BY6&lt;=94.99,"Cumple Parcialmente",IF(BY6&gt;=95,"Cumple",""))),CELL("contenido",BY6))</f>
        <v>Cumple</v>
      </c>
      <c r="CA6" s="42">
        <f>SUM(Tabla47[[#This Row],[Columna44]],Tabla47[[#This Row],[Columna52]],Tabla47[[#This Row],[Columna60]],Tabla47[[#This Row],[Columna70]],Tabla47[[#This Row],[Columna75]])</f>
        <v>18</v>
      </c>
      <c r="CB6" s="42">
        <f>SUM(Tabla47[[#This Row],[Columna45]],Tabla47[[#This Row],[Columna53]],Tabla47[[#This Row],[Columna61]],Tabla47[[#This Row],[Columna71]],Tabla47[[#This Row],[Columna76]])</f>
        <v>18</v>
      </c>
      <c r="CC6" s="14">
        <f t="shared" ref="CC6" si="10">IFERROR((CB6/CA6)*100,"NA")</f>
        <v>100</v>
      </c>
      <c r="CD6" s="48" t="str">
        <f t="shared" ref="CD6" ca="1" si="11">IF(CC6&lt;&gt;"NA",IF(CC6&lt;60,"No Cumple",IF(CC6&lt;=94.99,"Cumple Parcialmente",IF(CC6&gt;=95,"Cumple",""))),CELL("contenido",CC6))</f>
        <v>Cumple</v>
      </c>
      <c r="CE6" s="539"/>
      <c r="CF6" s="539"/>
    </row>
  </sheetData>
  <sheetProtection autoFilter="0"/>
  <mergeCells count="12">
    <mergeCell ref="BV3:BZ3"/>
    <mergeCell ref="CA2:CD3"/>
    <mergeCell ref="AV3:BC3"/>
    <mergeCell ref="BD3:BK3"/>
    <mergeCell ref="BL3:BU3"/>
    <mergeCell ref="A3:I3"/>
    <mergeCell ref="AO3:AU3"/>
    <mergeCell ref="A1:I2"/>
    <mergeCell ref="J1:J3"/>
    <mergeCell ref="K1:AN1"/>
    <mergeCell ref="AO1:AU2"/>
    <mergeCell ref="K2:AN3"/>
  </mergeCells>
  <phoneticPr fontId="57" type="noConversion"/>
  <conditionalFormatting sqref="L6:P6 AM6:AU6 R6:AH6">
    <cfRule type="containsBlanks" dxfId="154" priority="162">
      <formula>LEN(TRIM(L6))=0</formula>
    </cfRule>
  </conditionalFormatting>
  <conditionalFormatting sqref="AT6">
    <cfRule type="iconSet" priority="166">
      <iconSet iconSet="3Arrows">
        <cfvo type="percent" val="0"/>
        <cfvo type="num" val="60"/>
        <cfvo type="num" val="95"/>
      </iconSet>
    </cfRule>
  </conditionalFormatting>
  <conditionalFormatting sqref="Q6">
    <cfRule type="containsBlanks" dxfId="51" priority="33">
      <formula>LEN(TRIM(Q6))=0</formula>
    </cfRule>
  </conditionalFormatting>
  <conditionalFormatting sqref="A6:K6">
    <cfRule type="containsBlanks" dxfId="50" priority="32">
      <formula>LEN(TRIM(A6))=0</formula>
    </cfRule>
  </conditionalFormatting>
  <conditionalFormatting sqref="AI6:AL6">
    <cfRule type="containsBlanks" dxfId="49" priority="31">
      <formula>LEN(TRIM(AI6))=0</formula>
    </cfRule>
  </conditionalFormatting>
  <conditionalFormatting sqref="AZ6:BC6">
    <cfRule type="containsBlanks" dxfId="48" priority="29">
      <formula>LEN(TRIM(AZ6))=0</formula>
    </cfRule>
  </conditionalFormatting>
  <conditionalFormatting sqref="BB6">
    <cfRule type="iconSet" priority="30">
      <iconSet iconSet="3Arrows">
        <cfvo type="percent" val="0"/>
        <cfvo type="num" val="60"/>
        <cfvo type="num" val="95"/>
      </iconSet>
    </cfRule>
  </conditionalFormatting>
  <conditionalFormatting sqref="AV6:AY6">
    <cfRule type="containsBlanks" dxfId="47" priority="28">
      <formula>LEN(TRIM(AV6))=0</formula>
    </cfRule>
  </conditionalFormatting>
  <conditionalFormatting sqref="BD6:BG6">
    <cfRule type="containsBlanks" dxfId="42" priority="21">
      <formula>LEN(TRIM(BD6))=0</formula>
    </cfRule>
  </conditionalFormatting>
  <conditionalFormatting sqref="BH6:BK6">
    <cfRule type="containsBlanks" dxfId="41" priority="19">
      <formula>LEN(TRIM(BH6))=0</formula>
    </cfRule>
  </conditionalFormatting>
  <conditionalFormatting sqref="BJ6">
    <cfRule type="iconSet" priority="20">
      <iconSet iconSet="3Arrows">
        <cfvo type="percent" val="0"/>
        <cfvo type="num" val="60"/>
        <cfvo type="num" val="95"/>
      </iconSet>
    </cfRule>
  </conditionalFormatting>
  <conditionalFormatting sqref="BR6:BU6">
    <cfRule type="containsBlanks" dxfId="40" priority="17">
      <formula>LEN(TRIM(BR6))=0</formula>
    </cfRule>
  </conditionalFormatting>
  <conditionalFormatting sqref="BT6">
    <cfRule type="iconSet" priority="18">
      <iconSet iconSet="3Arrows">
        <cfvo type="percent" val="0"/>
        <cfvo type="num" val="60"/>
        <cfvo type="num" val="95"/>
      </iconSet>
    </cfRule>
  </conditionalFormatting>
  <conditionalFormatting sqref="BL6:BQ6">
    <cfRule type="containsBlanks" dxfId="39" priority="16">
      <formula>LEN(TRIM(BL6))=0</formula>
    </cfRule>
  </conditionalFormatting>
  <conditionalFormatting sqref="BW6:BZ6">
    <cfRule type="containsBlanks" dxfId="23" priority="11">
      <formula>LEN(TRIM(BW6))=0</formula>
    </cfRule>
  </conditionalFormatting>
  <conditionalFormatting sqref="BY6">
    <cfRule type="iconSet" priority="12">
      <iconSet iconSet="3Arrows">
        <cfvo type="percent" val="0"/>
        <cfvo type="num" val="60"/>
        <cfvo type="num" val="95"/>
      </iconSet>
    </cfRule>
  </conditionalFormatting>
  <conditionalFormatting sqref="BV6">
    <cfRule type="containsBlanks" dxfId="22" priority="10">
      <formula>LEN(TRIM(BV6))=0</formula>
    </cfRule>
  </conditionalFormatting>
  <conditionalFormatting sqref="CA6:CD6">
    <cfRule type="containsBlanks" dxfId="13" priority="3">
      <formula>LEN(TRIM(CA6))=0</formula>
    </cfRule>
  </conditionalFormatting>
  <conditionalFormatting sqref="CC6">
    <cfRule type="iconSet" priority="4">
      <iconSet iconSet="3Arrows">
        <cfvo type="percent" val="0"/>
        <cfvo type="num" val="60"/>
        <cfvo type="num" val="95"/>
      </iconSet>
    </cfRule>
  </conditionalFormatting>
  <conditionalFormatting sqref="CE6">
    <cfRule type="containsBlanks" dxfId="3" priority="2">
      <formula>LEN(TRIM(CE6))=0</formula>
    </cfRule>
  </conditionalFormatting>
  <conditionalFormatting sqref="CF6">
    <cfRule type="containsBlanks" dxfId="2" priority="1">
      <formula>LEN(TRIM(CF6))=0</formula>
    </cfRule>
  </conditionalFormatting>
  <dataValidations count="3">
    <dataValidation type="date" allowBlank="1" showInputMessage="1" showErrorMessage="1" error="El formato de la fecha debe ser _x000a_DD/MM/AAAA" sqref="Y6 W6 U6 S6" xr:uid="{A5714856-004F-4C9A-8D9C-39925315BB1E}">
      <formula1>40179</formula1>
      <formula2>47848</formula2>
    </dataValidation>
    <dataValidation type="time" allowBlank="1" showInputMessage="1" showErrorMessage="1" error="El formato de la hora es MILITAR de 01:00 a 23:59" sqref="O6:P6" xr:uid="{C08DC5DB-505C-4B63-BAB4-2059F3A229E4}">
      <formula1>0.0416666666666667</formula1>
      <formula2>0.999988425925926</formula2>
    </dataValidation>
    <dataValidation type="date" allowBlank="1" showInputMessage="1" showErrorMessage="1" error="El formato de la fecha debe ser _x000a_DD/MM/AAAA" sqref="C6" xr:uid="{A1709E98-7EE7-405A-AFCB-21496A680D7C}">
      <formula1>43586</formula1>
      <formula2>43952</formula2>
    </dataValidation>
  </dataValidations>
  <pageMargins left="0.7" right="0.7" top="0.75" bottom="0.75" header="0.3" footer="0.3"/>
  <pageSetup orientation="portrait" horizontalDpi="4294967293" r:id="rId1"/>
  <ignoredErrors>
    <ignoredError sqref="BH6" unlockedFormula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70FF79A-7047-45D6-BD93-4DEC3982EF9A}">
          <x14:formula1>
            <xm:f>DATOS!$A$9:$A$13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CAC5A-9795-431C-8E9E-F81B9DDA042E}">
  <dimension ref="A1:H25"/>
  <sheetViews>
    <sheetView topLeftCell="A7" workbookViewId="0">
      <selection activeCell="B25" sqref="B25"/>
    </sheetView>
  </sheetViews>
  <sheetFormatPr baseColWidth="10" defaultRowHeight="14.4"/>
  <cols>
    <col min="2" max="2" width="98.6640625" style="520" customWidth="1"/>
    <col min="3" max="3" width="22.21875" customWidth="1"/>
  </cols>
  <sheetData>
    <row r="1" spans="1:8" ht="18" customHeight="1" thickBot="1">
      <c r="A1" s="506" t="s">
        <v>2908</v>
      </c>
      <c r="B1" s="508" t="s">
        <v>2909</v>
      </c>
      <c r="C1" s="509"/>
      <c r="D1" s="512" t="s">
        <v>2910</v>
      </c>
      <c r="E1" s="513"/>
      <c r="F1" s="513"/>
      <c r="G1" s="513"/>
      <c r="H1" s="514"/>
    </row>
    <row r="2" spans="1:8" ht="18" customHeight="1" thickBot="1">
      <c r="A2" s="507"/>
      <c r="B2" s="510"/>
      <c r="C2" s="511"/>
      <c r="D2" s="496" t="s">
        <v>2911</v>
      </c>
      <c r="E2" s="497" t="s">
        <v>2702</v>
      </c>
      <c r="F2" s="498" t="s">
        <v>2704</v>
      </c>
      <c r="G2" s="497" t="s">
        <v>2700</v>
      </c>
      <c r="H2" s="497" t="s">
        <v>2912</v>
      </c>
    </row>
    <row r="3" spans="1:8" ht="18" customHeight="1" thickBot="1">
      <c r="A3" s="521"/>
      <c r="B3" s="522"/>
      <c r="C3" s="523" t="s">
        <v>2913</v>
      </c>
      <c r="D3" s="524"/>
      <c r="E3" s="524"/>
      <c r="F3" s="524"/>
      <c r="G3" s="524"/>
      <c r="H3" s="525"/>
    </row>
    <row r="4" spans="1:8" ht="18" customHeight="1" thickBot="1">
      <c r="A4" s="499" t="s">
        <v>2914</v>
      </c>
      <c r="B4" s="517" t="s">
        <v>2915</v>
      </c>
      <c r="C4" s="518"/>
      <c r="D4" s="500"/>
      <c r="E4" s="501"/>
      <c r="F4" s="502"/>
      <c r="G4" s="502"/>
      <c r="H4" s="500"/>
    </row>
    <row r="5" spans="1:8" ht="18" customHeight="1" thickBot="1">
      <c r="A5" s="499" t="s">
        <v>2916</v>
      </c>
      <c r="B5" s="517" t="s">
        <v>2917</v>
      </c>
      <c r="C5" s="518"/>
      <c r="D5" s="500"/>
      <c r="E5" s="501"/>
      <c r="F5" s="502"/>
      <c r="G5" s="502"/>
      <c r="H5" s="500"/>
    </row>
    <row r="6" spans="1:8" ht="18" customHeight="1" thickBot="1">
      <c r="A6" s="503" t="s">
        <v>2918</v>
      </c>
      <c r="B6" s="517" t="s">
        <v>2919</v>
      </c>
      <c r="C6" s="518"/>
      <c r="D6" s="504"/>
      <c r="E6" s="501"/>
      <c r="F6" s="502"/>
      <c r="G6" s="502"/>
      <c r="H6" s="500"/>
    </row>
    <row r="7" spans="1:8" ht="18" customHeight="1" thickBot="1">
      <c r="A7" s="515"/>
      <c r="B7" s="516"/>
      <c r="C7" s="510" t="s">
        <v>2920</v>
      </c>
      <c r="D7" s="519"/>
      <c r="E7" s="519"/>
      <c r="F7" s="519"/>
      <c r="G7" s="519"/>
      <c r="H7" s="511"/>
    </row>
    <row r="8" spans="1:8" ht="18" customHeight="1" thickBot="1">
      <c r="A8" s="499" t="s">
        <v>2921</v>
      </c>
      <c r="B8" s="526" t="s">
        <v>2922</v>
      </c>
      <c r="C8" s="527"/>
      <c r="D8" s="500"/>
      <c r="E8" s="501"/>
      <c r="F8" s="502"/>
      <c r="G8" s="502"/>
      <c r="H8" s="500"/>
    </row>
    <row r="9" spans="1:8" ht="18" customHeight="1" thickBot="1">
      <c r="A9" s="499" t="s">
        <v>2923</v>
      </c>
      <c r="B9" s="526" t="s">
        <v>2924</v>
      </c>
      <c r="C9" s="527"/>
      <c r="D9" s="500"/>
      <c r="E9" s="501"/>
      <c r="F9" s="502"/>
      <c r="G9" s="502"/>
      <c r="H9" s="500"/>
    </row>
    <row r="10" spans="1:8" ht="18" customHeight="1" thickBot="1">
      <c r="A10" s="499" t="s">
        <v>2925</v>
      </c>
      <c r="B10" s="526" t="s">
        <v>2926</v>
      </c>
      <c r="C10" s="527"/>
      <c r="D10" s="500"/>
      <c r="E10" s="501"/>
      <c r="F10" s="502"/>
      <c r="G10" s="502"/>
      <c r="H10" s="500"/>
    </row>
    <row r="11" spans="1:8" ht="18" customHeight="1" thickBot="1">
      <c r="A11" s="499" t="s">
        <v>2927</v>
      </c>
      <c r="B11" s="526" t="s">
        <v>2928</v>
      </c>
      <c r="C11" s="527"/>
      <c r="D11" s="500"/>
      <c r="E11" s="501"/>
      <c r="F11" s="502"/>
      <c r="G11" s="502"/>
      <c r="H11" s="500"/>
    </row>
    <row r="12" spans="1:8" ht="18" customHeight="1" thickBot="1">
      <c r="A12" s="515"/>
      <c r="B12" s="516"/>
      <c r="C12" s="512" t="s">
        <v>2929</v>
      </c>
      <c r="D12" s="513"/>
      <c r="E12" s="513"/>
      <c r="F12" s="513"/>
      <c r="G12" s="513"/>
      <c r="H12" s="514"/>
    </row>
    <row r="13" spans="1:8" ht="18" customHeight="1" thickBot="1">
      <c r="A13" s="499" t="s">
        <v>2930</v>
      </c>
      <c r="B13" s="526" t="s">
        <v>2931</v>
      </c>
      <c r="C13" s="527"/>
      <c r="D13" s="500"/>
      <c r="E13" s="501"/>
      <c r="F13" s="502"/>
      <c r="G13" s="502"/>
      <c r="H13" s="500"/>
    </row>
    <row r="14" spans="1:8" ht="18" customHeight="1" thickBot="1">
      <c r="A14" s="499" t="s">
        <v>2932</v>
      </c>
      <c r="B14" s="526" t="s">
        <v>2933</v>
      </c>
      <c r="C14" s="527"/>
      <c r="D14" s="500"/>
      <c r="E14" s="501"/>
      <c r="F14" s="502"/>
      <c r="G14" s="502"/>
      <c r="H14" s="500"/>
    </row>
    <row r="15" spans="1:8" ht="18" customHeight="1" thickBot="1">
      <c r="A15" s="499" t="s">
        <v>2934</v>
      </c>
      <c r="B15" s="526" t="s">
        <v>2935</v>
      </c>
      <c r="C15" s="527"/>
      <c r="D15" s="500"/>
      <c r="E15" s="501"/>
      <c r="F15" s="502"/>
      <c r="G15" s="502"/>
      <c r="H15" s="500"/>
    </row>
    <row r="16" spans="1:8" ht="18" customHeight="1" thickBot="1">
      <c r="A16" s="499" t="s">
        <v>2936</v>
      </c>
      <c r="B16" s="526" t="s">
        <v>2937</v>
      </c>
      <c r="C16" s="527"/>
      <c r="D16" s="500"/>
      <c r="E16" s="501"/>
      <c r="F16" s="502"/>
      <c r="G16" s="502"/>
      <c r="H16" s="500"/>
    </row>
    <row r="17" spans="1:8" ht="18" customHeight="1" thickBot="1">
      <c r="A17" s="515"/>
      <c r="B17" s="516"/>
      <c r="C17" s="512" t="s">
        <v>2938</v>
      </c>
      <c r="D17" s="513"/>
      <c r="E17" s="513"/>
      <c r="F17" s="513"/>
      <c r="G17" s="513"/>
      <c r="H17" s="514"/>
    </row>
    <row r="18" spans="1:8" ht="18" customHeight="1" thickBot="1">
      <c r="A18" s="499" t="s">
        <v>2939</v>
      </c>
      <c r="B18" s="526" t="s">
        <v>2940</v>
      </c>
      <c r="C18" s="527"/>
      <c r="D18" s="500"/>
      <c r="E18" s="501"/>
      <c r="F18" s="502"/>
      <c r="G18" s="502"/>
      <c r="H18" s="500"/>
    </row>
    <row r="19" spans="1:8" ht="18" customHeight="1" thickBot="1">
      <c r="A19" s="499" t="s">
        <v>2941</v>
      </c>
      <c r="B19" s="526" t="s">
        <v>2942</v>
      </c>
      <c r="C19" s="527"/>
      <c r="D19" s="500"/>
      <c r="E19" s="501"/>
      <c r="F19" s="502"/>
      <c r="G19" s="502"/>
      <c r="H19" s="500"/>
    </row>
    <row r="20" spans="1:8" ht="18" customHeight="1" thickBot="1">
      <c r="A20" s="499" t="s">
        <v>2943</v>
      </c>
      <c r="B20" s="526" t="s">
        <v>2944</v>
      </c>
      <c r="C20" s="527"/>
      <c r="D20" s="500"/>
      <c r="E20" s="501"/>
      <c r="F20" s="502"/>
      <c r="G20" s="502"/>
      <c r="H20" s="500"/>
    </row>
    <row r="21" spans="1:8" ht="18" customHeight="1" thickBot="1">
      <c r="A21" s="499" t="s">
        <v>2945</v>
      </c>
      <c r="B21" s="526" t="s">
        <v>2946</v>
      </c>
      <c r="C21" s="527"/>
      <c r="D21" s="500"/>
      <c r="E21" s="501"/>
      <c r="F21" s="502"/>
      <c r="G21" s="502"/>
      <c r="H21" s="500"/>
    </row>
    <row r="22" spans="1:8" ht="18" customHeight="1" thickBot="1">
      <c r="A22" s="499" t="s">
        <v>2947</v>
      </c>
      <c r="B22" s="526" t="s">
        <v>2948</v>
      </c>
      <c r="C22" s="527"/>
      <c r="D22" s="500"/>
      <c r="E22" s="501"/>
      <c r="F22" s="502"/>
      <c r="G22" s="502"/>
      <c r="H22" s="500"/>
    </row>
    <row r="23" spans="1:8" ht="18" customHeight="1" thickBot="1">
      <c r="A23" s="499" t="s">
        <v>2949</v>
      </c>
      <c r="B23" s="537" t="s">
        <v>2950</v>
      </c>
      <c r="C23" s="538"/>
      <c r="D23" s="500"/>
      <c r="E23" s="501"/>
      <c r="F23" s="502"/>
      <c r="G23" s="502"/>
      <c r="H23" s="500"/>
    </row>
    <row r="24" spans="1:8" ht="18" customHeight="1" thickBot="1">
      <c r="A24" s="515"/>
      <c r="B24" s="516"/>
      <c r="C24" s="512" t="s">
        <v>2951</v>
      </c>
      <c r="D24" s="513"/>
      <c r="E24" s="513"/>
      <c r="F24" s="513"/>
      <c r="G24" s="513"/>
      <c r="H24" s="514"/>
    </row>
    <row r="25" spans="1:8" ht="18" customHeight="1" thickBot="1">
      <c r="A25" s="503" t="s">
        <v>2952</v>
      </c>
      <c r="B25" s="526" t="s">
        <v>2953</v>
      </c>
      <c r="C25" s="527"/>
      <c r="D25" s="505"/>
      <c r="E25" s="505"/>
      <c r="F25" s="505"/>
      <c r="G25" s="505"/>
      <c r="H25" s="505"/>
    </row>
  </sheetData>
  <mergeCells count="14">
    <mergeCell ref="A24:B24"/>
    <mergeCell ref="C24:H24"/>
    <mergeCell ref="A17:B17"/>
    <mergeCell ref="C17:H17"/>
    <mergeCell ref="A12:B12"/>
    <mergeCell ref="C12:H12"/>
    <mergeCell ref="B5:C5"/>
    <mergeCell ref="B6:C6"/>
    <mergeCell ref="A7:B7"/>
    <mergeCell ref="C7:H7"/>
    <mergeCell ref="A1:A2"/>
    <mergeCell ref="B1:C2"/>
    <mergeCell ref="D1:H1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I542"/>
  <sheetViews>
    <sheetView topLeftCell="A518" workbookViewId="0">
      <selection activeCell="A543" sqref="A543"/>
    </sheetView>
  </sheetViews>
  <sheetFormatPr baseColWidth="10" defaultColWidth="11.44140625" defaultRowHeight="14.4"/>
  <cols>
    <col min="1" max="1" width="12.109375" style="20" bestFit="1" customWidth="1"/>
    <col min="2" max="2" width="15.5546875" style="20" bestFit="1" customWidth="1"/>
    <col min="3" max="3" width="13.88671875" style="20" bestFit="1" customWidth="1"/>
    <col min="4" max="4" width="10.33203125" style="20" bestFit="1" customWidth="1"/>
    <col min="5" max="5" width="9.109375" style="20" bestFit="1" customWidth="1"/>
    <col min="6" max="6" width="8.44140625" style="2" customWidth="1"/>
    <col min="7" max="7" width="8" style="2" customWidth="1"/>
    <col min="8" max="8" width="20.6640625" style="24" customWidth="1"/>
    <col min="9" max="9" width="14.88671875" style="20" bestFit="1" customWidth="1"/>
    <col min="10" max="10" width="17.33203125" style="20" customWidth="1"/>
    <col min="11" max="11" width="10.109375" style="20" customWidth="1"/>
    <col min="12" max="13" width="7.6640625" style="2" bestFit="1" customWidth="1"/>
    <col min="14" max="14" width="23.109375" style="2" customWidth="1"/>
    <col min="15" max="15" width="22.33203125" style="2" customWidth="1"/>
    <col min="16" max="16" width="25.109375" style="2" customWidth="1"/>
    <col min="17" max="17" width="23.33203125" style="2" customWidth="1"/>
    <col min="18" max="18" width="14.44140625" style="20" customWidth="1"/>
    <col min="19" max="19" width="17.44140625" style="20" customWidth="1"/>
    <col min="20" max="22" width="14.5546875" style="20" bestFit="1" customWidth="1"/>
    <col min="23" max="23" width="15.6640625" style="20" bestFit="1" customWidth="1"/>
    <col min="24" max="24" width="39.6640625" style="20" bestFit="1" customWidth="1"/>
    <col min="25" max="25" width="15.44140625" style="20" bestFit="1" customWidth="1"/>
    <col min="26" max="26" width="23.6640625" style="20" customWidth="1"/>
    <col min="27" max="27" width="11.44140625" style="25"/>
    <col min="28" max="28" width="23.88671875" style="25" customWidth="1"/>
    <col min="29" max="34" width="11.44140625" style="20"/>
    <col min="35" max="35" width="16" style="51" customWidth="1"/>
    <col min="36" max="16384" width="11.44140625" style="20"/>
  </cols>
  <sheetData>
    <row r="1" spans="1:35" ht="15" thickBot="1">
      <c r="A1" s="22">
        <v>1</v>
      </c>
      <c r="B1" s="22">
        <v>2</v>
      </c>
      <c r="C1" s="22">
        <v>3</v>
      </c>
      <c r="D1" s="22">
        <v>4</v>
      </c>
      <c r="E1" s="22">
        <v>5</v>
      </c>
      <c r="F1" s="22">
        <v>6</v>
      </c>
      <c r="G1" s="22">
        <v>7</v>
      </c>
      <c r="H1" s="23">
        <v>8</v>
      </c>
      <c r="I1" s="22">
        <v>9</v>
      </c>
      <c r="J1" s="22">
        <v>10</v>
      </c>
      <c r="K1" s="22">
        <v>11</v>
      </c>
      <c r="L1" s="22">
        <v>12</v>
      </c>
      <c r="M1" s="22">
        <v>13</v>
      </c>
      <c r="N1" s="22">
        <v>14</v>
      </c>
      <c r="O1" s="22">
        <v>15</v>
      </c>
      <c r="P1" s="22">
        <v>16</v>
      </c>
      <c r="Q1" s="22">
        <v>17</v>
      </c>
      <c r="R1" s="22">
        <v>18</v>
      </c>
      <c r="S1" s="22">
        <v>19</v>
      </c>
      <c r="T1" s="22">
        <v>20</v>
      </c>
      <c r="U1" s="22">
        <v>21</v>
      </c>
      <c r="V1" s="22">
        <v>22</v>
      </c>
      <c r="W1" s="22">
        <v>23</v>
      </c>
      <c r="X1" s="22">
        <v>24</v>
      </c>
      <c r="Y1" s="22">
        <v>25</v>
      </c>
      <c r="Z1" s="22">
        <v>26</v>
      </c>
      <c r="AA1" s="22">
        <v>27</v>
      </c>
      <c r="AB1" s="22">
        <v>28</v>
      </c>
      <c r="AC1" s="22">
        <v>29</v>
      </c>
      <c r="AD1" s="22">
        <v>30</v>
      </c>
      <c r="AE1" s="22">
        <v>31</v>
      </c>
      <c r="AF1" s="22">
        <v>32</v>
      </c>
      <c r="AG1" s="22">
        <v>33</v>
      </c>
      <c r="AH1" s="22">
        <v>34</v>
      </c>
      <c r="AI1" s="49"/>
    </row>
    <row r="2" spans="1:35" s="34" customFormat="1" ht="66.599999999999994">
      <c r="A2" s="28" t="s">
        <v>124</v>
      </c>
      <c r="B2" s="28" t="s">
        <v>2670</v>
      </c>
      <c r="C2" s="29" t="s">
        <v>109</v>
      </c>
      <c r="D2" s="28" t="s">
        <v>93</v>
      </c>
      <c r="E2" s="28" t="s">
        <v>125</v>
      </c>
      <c r="F2" s="30" t="s">
        <v>126</v>
      </c>
      <c r="G2" s="30" t="s">
        <v>127</v>
      </c>
      <c r="H2" s="39" t="s">
        <v>128</v>
      </c>
      <c r="I2" s="39" t="s">
        <v>129</v>
      </c>
      <c r="J2" s="39" t="s">
        <v>110</v>
      </c>
      <c r="K2" s="40" t="s">
        <v>130</v>
      </c>
      <c r="L2" s="40" t="s">
        <v>131</v>
      </c>
      <c r="M2" s="40" t="s">
        <v>132</v>
      </c>
      <c r="N2" s="31" t="s">
        <v>133</v>
      </c>
      <c r="O2" s="31" t="s">
        <v>134</v>
      </c>
      <c r="P2" s="31" t="s">
        <v>135</v>
      </c>
      <c r="Q2" s="31" t="s">
        <v>136</v>
      </c>
      <c r="R2" s="31" t="s">
        <v>137</v>
      </c>
      <c r="S2" s="31" t="s">
        <v>138</v>
      </c>
      <c r="T2" s="32" t="s">
        <v>139</v>
      </c>
      <c r="U2" s="32" t="s">
        <v>140</v>
      </c>
      <c r="V2" s="32" t="s">
        <v>141</v>
      </c>
      <c r="W2" s="31" t="s">
        <v>2690</v>
      </c>
      <c r="X2" s="31" t="s">
        <v>2692</v>
      </c>
      <c r="Y2" s="33" t="s">
        <v>2691</v>
      </c>
      <c r="Z2" s="32" t="s">
        <v>142</v>
      </c>
      <c r="AA2" s="32" t="s">
        <v>143</v>
      </c>
      <c r="AB2" s="32" t="s">
        <v>144</v>
      </c>
      <c r="AC2" s="35" t="s">
        <v>2693</v>
      </c>
      <c r="AD2" s="35" t="s">
        <v>2694</v>
      </c>
      <c r="AE2" s="36" t="s">
        <v>2695</v>
      </c>
      <c r="AF2" s="35" t="s">
        <v>145</v>
      </c>
      <c r="AG2" s="35" t="s">
        <v>146</v>
      </c>
      <c r="AH2" s="36" t="s">
        <v>12</v>
      </c>
      <c r="AI2" s="50" t="s">
        <v>2715</v>
      </c>
    </row>
    <row r="3" spans="1:35" s="80" customFormat="1" ht="12" customHeight="1">
      <c r="A3" s="66">
        <v>1001</v>
      </c>
      <c r="B3" s="67" t="s">
        <v>2696</v>
      </c>
      <c r="C3" s="67" t="s">
        <v>2697</v>
      </c>
      <c r="D3" s="67" t="s">
        <v>2698</v>
      </c>
      <c r="E3" s="66">
        <v>1</v>
      </c>
      <c r="F3" s="68">
        <v>1</v>
      </c>
      <c r="G3" s="69">
        <v>1</v>
      </c>
      <c r="H3" s="37" t="s">
        <v>147</v>
      </c>
      <c r="I3" s="37" t="s">
        <v>147</v>
      </c>
      <c r="J3" s="70">
        <v>10500102667101</v>
      </c>
      <c r="K3" s="38" t="s">
        <v>148</v>
      </c>
      <c r="L3" s="38"/>
      <c r="M3" s="38">
        <v>1</v>
      </c>
      <c r="N3" s="37" t="s">
        <v>149</v>
      </c>
      <c r="O3" s="37" t="s">
        <v>150</v>
      </c>
      <c r="P3" s="71" t="s">
        <v>151</v>
      </c>
      <c r="Q3" s="37" t="s">
        <v>152</v>
      </c>
      <c r="R3" s="37" t="s">
        <v>153</v>
      </c>
      <c r="S3" s="72" t="s">
        <v>154</v>
      </c>
      <c r="T3" s="73">
        <v>214</v>
      </c>
      <c r="U3" s="74">
        <v>259</v>
      </c>
      <c r="V3" s="74">
        <v>77</v>
      </c>
      <c r="W3" s="75" t="s">
        <v>2698</v>
      </c>
      <c r="X3" s="75" t="s">
        <v>2697</v>
      </c>
      <c r="Y3" s="76">
        <v>550</v>
      </c>
      <c r="Z3" s="73">
        <v>0</v>
      </c>
      <c r="AA3" s="74">
        <v>0</v>
      </c>
      <c r="AB3" s="74">
        <v>0</v>
      </c>
      <c r="AC3" s="75"/>
      <c r="AD3" s="75"/>
      <c r="AE3" s="76">
        <v>0</v>
      </c>
      <c r="AF3" s="77">
        <v>550</v>
      </c>
      <c r="AG3" s="78"/>
      <c r="AH3" s="79"/>
    </row>
    <row r="4" spans="1:35" s="80" customFormat="1" ht="12" customHeight="1">
      <c r="A4" s="66">
        <v>1002</v>
      </c>
      <c r="B4" s="67" t="s">
        <v>2696</v>
      </c>
      <c r="C4" s="67" t="s">
        <v>2697</v>
      </c>
      <c r="D4" s="67" t="s">
        <v>2698</v>
      </c>
      <c r="E4" s="66">
        <v>1</v>
      </c>
      <c r="F4" s="83">
        <v>1</v>
      </c>
      <c r="G4" s="69">
        <v>2</v>
      </c>
      <c r="H4" s="84" t="s">
        <v>155</v>
      </c>
      <c r="I4" s="85" t="s">
        <v>155</v>
      </c>
      <c r="J4" s="86">
        <v>10500102584402</v>
      </c>
      <c r="K4" s="87" t="s">
        <v>148</v>
      </c>
      <c r="L4" s="88"/>
      <c r="M4" s="87">
        <v>1</v>
      </c>
      <c r="N4" s="85" t="s">
        <v>156</v>
      </c>
      <c r="O4" s="85" t="s">
        <v>157</v>
      </c>
      <c r="P4" s="89" t="s">
        <v>158</v>
      </c>
      <c r="Q4" s="85" t="s">
        <v>159</v>
      </c>
      <c r="R4" s="85" t="s">
        <v>160</v>
      </c>
      <c r="S4" s="90" t="s">
        <v>161</v>
      </c>
      <c r="T4" s="91">
        <v>300</v>
      </c>
      <c r="U4" s="92">
        <v>150</v>
      </c>
      <c r="V4" s="92">
        <v>0</v>
      </c>
      <c r="W4" s="75" t="s">
        <v>2698</v>
      </c>
      <c r="X4" s="75" t="s">
        <v>2697</v>
      </c>
      <c r="Y4" s="76">
        <v>450</v>
      </c>
      <c r="Z4" s="91">
        <v>0</v>
      </c>
      <c r="AA4" s="92">
        <v>0</v>
      </c>
      <c r="AB4" s="92">
        <v>0</v>
      </c>
      <c r="AC4" s="75"/>
      <c r="AD4" s="75"/>
      <c r="AE4" s="76">
        <v>0</v>
      </c>
      <c r="AF4" s="93">
        <v>450</v>
      </c>
      <c r="AG4" s="94"/>
      <c r="AH4" s="95" t="s">
        <v>162</v>
      </c>
    </row>
    <row r="5" spans="1:35" s="80" customFormat="1" ht="12" customHeight="1">
      <c r="A5" s="66">
        <v>1003</v>
      </c>
      <c r="B5" s="67" t="s">
        <v>2696</v>
      </c>
      <c r="C5" s="96" t="s">
        <v>2850</v>
      </c>
      <c r="D5" s="67" t="s">
        <v>2699</v>
      </c>
      <c r="E5" s="66">
        <v>1</v>
      </c>
      <c r="F5" s="68">
        <v>1</v>
      </c>
      <c r="G5" s="69">
        <v>3</v>
      </c>
      <c r="H5" s="37" t="s">
        <v>163</v>
      </c>
      <c r="I5" s="37" t="s">
        <v>163</v>
      </c>
      <c r="J5" s="70">
        <v>10500101258101</v>
      </c>
      <c r="K5" s="38" t="s">
        <v>148</v>
      </c>
      <c r="L5" s="38"/>
      <c r="M5" s="38">
        <v>1</v>
      </c>
      <c r="N5" s="37" t="s">
        <v>164</v>
      </c>
      <c r="O5" s="37" t="s">
        <v>165</v>
      </c>
      <c r="P5" s="71" t="s">
        <v>166</v>
      </c>
      <c r="Q5" s="37" t="s">
        <v>167</v>
      </c>
      <c r="R5" s="37" t="s">
        <v>168</v>
      </c>
      <c r="S5" s="97" t="s">
        <v>169</v>
      </c>
      <c r="T5" s="98">
        <v>265</v>
      </c>
      <c r="U5" s="99">
        <v>75</v>
      </c>
      <c r="V5" s="99">
        <v>110</v>
      </c>
      <c r="W5" s="75" t="s">
        <v>2698</v>
      </c>
      <c r="X5" s="75" t="s">
        <v>2697</v>
      </c>
      <c r="Y5" s="76">
        <v>450</v>
      </c>
      <c r="Z5" s="98">
        <v>100</v>
      </c>
      <c r="AA5" s="99">
        <v>300</v>
      </c>
      <c r="AB5" s="99">
        <v>0</v>
      </c>
      <c r="AC5" s="75" t="s">
        <v>2700</v>
      </c>
      <c r="AD5" s="75" t="s">
        <v>2674</v>
      </c>
      <c r="AE5" s="76">
        <v>400</v>
      </c>
      <c r="AF5" s="77">
        <v>850</v>
      </c>
      <c r="AG5" s="78"/>
      <c r="AH5" s="79"/>
    </row>
    <row r="6" spans="1:35" s="80" customFormat="1" ht="12" customHeight="1">
      <c r="A6" s="66">
        <v>1004</v>
      </c>
      <c r="B6" s="67" t="s">
        <v>2696</v>
      </c>
      <c r="C6" s="96" t="s">
        <v>2850</v>
      </c>
      <c r="D6" s="67" t="s">
        <v>2699</v>
      </c>
      <c r="E6" s="66">
        <v>1</v>
      </c>
      <c r="F6" s="68">
        <v>1</v>
      </c>
      <c r="G6" s="69">
        <v>4</v>
      </c>
      <c r="H6" s="37" t="s">
        <v>170</v>
      </c>
      <c r="I6" s="37" t="s">
        <v>170</v>
      </c>
      <c r="J6" s="70">
        <v>10500101270002</v>
      </c>
      <c r="K6" s="38" t="s">
        <v>148</v>
      </c>
      <c r="L6" s="38"/>
      <c r="M6" s="38">
        <v>1</v>
      </c>
      <c r="N6" s="37" t="s">
        <v>171</v>
      </c>
      <c r="O6" s="37" t="s">
        <v>172</v>
      </c>
      <c r="P6" s="71">
        <v>2363305</v>
      </c>
      <c r="Q6" s="37" t="s">
        <v>173</v>
      </c>
      <c r="R6" s="37" t="s">
        <v>174</v>
      </c>
      <c r="S6" s="72" t="s">
        <v>175</v>
      </c>
      <c r="T6" s="98">
        <v>126</v>
      </c>
      <c r="U6" s="99">
        <v>214</v>
      </c>
      <c r="V6" s="99">
        <v>0</v>
      </c>
      <c r="W6" s="75" t="s">
        <v>2698</v>
      </c>
      <c r="X6" s="75" t="s">
        <v>2697</v>
      </c>
      <c r="Y6" s="76">
        <v>340</v>
      </c>
      <c r="Z6" s="98">
        <v>148</v>
      </c>
      <c r="AA6" s="99">
        <v>252</v>
      </c>
      <c r="AB6" s="99">
        <v>0</v>
      </c>
      <c r="AC6" s="75" t="s">
        <v>2700</v>
      </c>
      <c r="AD6" s="75" t="s">
        <v>2674</v>
      </c>
      <c r="AE6" s="76">
        <v>400</v>
      </c>
      <c r="AF6" s="77">
        <v>740</v>
      </c>
      <c r="AG6" s="78"/>
      <c r="AH6" s="79"/>
    </row>
    <row r="7" spans="1:35" s="80" customFormat="1" ht="12" customHeight="1">
      <c r="A7" s="66">
        <v>1005</v>
      </c>
      <c r="B7" s="67" t="s">
        <v>2696</v>
      </c>
      <c r="C7" s="67" t="s">
        <v>2697</v>
      </c>
      <c r="D7" s="67" t="s">
        <v>2698</v>
      </c>
      <c r="E7" s="66">
        <v>1</v>
      </c>
      <c r="F7" s="68">
        <v>1</v>
      </c>
      <c r="G7" s="69">
        <v>5</v>
      </c>
      <c r="H7" s="37" t="s">
        <v>176</v>
      </c>
      <c r="I7" s="37" t="s">
        <v>176</v>
      </c>
      <c r="J7" s="70">
        <v>10500100182102</v>
      </c>
      <c r="K7" s="38" t="s">
        <v>148</v>
      </c>
      <c r="L7" s="38"/>
      <c r="M7" s="38">
        <v>1</v>
      </c>
      <c r="N7" s="37" t="s">
        <v>177</v>
      </c>
      <c r="O7" s="37" t="s">
        <v>178</v>
      </c>
      <c r="P7" s="71">
        <v>5284658</v>
      </c>
      <c r="Q7" s="37" t="s">
        <v>179</v>
      </c>
      <c r="R7" s="37" t="s">
        <v>180</v>
      </c>
      <c r="S7" s="72" t="s">
        <v>181</v>
      </c>
      <c r="T7" s="73">
        <v>324</v>
      </c>
      <c r="U7" s="74">
        <v>76</v>
      </c>
      <c r="V7" s="74">
        <v>0</v>
      </c>
      <c r="W7" s="75" t="s">
        <v>2698</v>
      </c>
      <c r="X7" s="75" t="s">
        <v>2697</v>
      </c>
      <c r="Y7" s="76">
        <v>400</v>
      </c>
      <c r="Z7" s="73">
        <v>0</v>
      </c>
      <c r="AA7" s="74">
        <v>0</v>
      </c>
      <c r="AB7" s="74">
        <v>0</v>
      </c>
      <c r="AC7" s="75"/>
      <c r="AD7" s="75"/>
      <c r="AE7" s="76">
        <v>0</v>
      </c>
      <c r="AF7" s="77">
        <v>400</v>
      </c>
      <c r="AG7" s="78"/>
      <c r="AH7" s="79"/>
    </row>
    <row r="8" spans="1:35" s="80" customFormat="1" ht="12" customHeight="1">
      <c r="A8" s="66">
        <v>1006</v>
      </c>
      <c r="B8" s="67" t="s">
        <v>2696</v>
      </c>
      <c r="C8" s="96" t="s">
        <v>2850</v>
      </c>
      <c r="D8" s="67" t="s">
        <v>2699</v>
      </c>
      <c r="E8" s="66">
        <v>1</v>
      </c>
      <c r="F8" s="68">
        <v>1</v>
      </c>
      <c r="G8" s="69">
        <v>6</v>
      </c>
      <c r="H8" s="37" t="s">
        <v>182</v>
      </c>
      <c r="I8" s="37" t="s">
        <v>182</v>
      </c>
      <c r="J8" s="70">
        <v>10500100182101</v>
      </c>
      <c r="K8" s="38" t="s">
        <v>148</v>
      </c>
      <c r="L8" s="38"/>
      <c r="M8" s="38">
        <v>1</v>
      </c>
      <c r="N8" s="37" t="s">
        <v>183</v>
      </c>
      <c r="O8" s="37" t="s">
        <v>184</v>
      </c>
      <c r="P8" s="71" t="s">
        <v>185</v>
      </c>
      <c r="Q8" s="37" t="s">
        <v>186</v>
      </c>
      <c r="R8" s="37" t="s">
        <v>187</v>
      </c>
      <c r="S8" s="72" t="s">
        <v>188</v>
      </c>
      <c r="T8" s="73">
        <v>0</v>
      </c>
      <c r="U8" s="74">
        <v>200</v>
      </c>
      <c r="V8" s="74">
        <v>100</v>
      </c>
      <c r="W8" s="75" t="s">
        <v>2698</v>
      </c>
      <c r="X8" s="75" t="s">
        <v>2697</v>
      </c>
      <c r="Y8" s="76">
        <v>300</v>
      </c>
      <c r="Z8" s="73">
        <v>58</v>
      </c>
      <c r="AA8" s="74">
        <v>342</v>
      </c>
      <c r="AB8" s="74">
        <v>100</v>
      </c>
      <c r="AC8" s="75" t="s">
        <v>2700</v>
      </c>
      <c r="AD8" s="75" t="s">
        <v>2674</v>
      </c>
      <c r="AE8" s="76">
        <v>500</v>
      </c>
      <c r="AF8" s="77">
        <v>800</v>
      </c>
      <c r="AG8" s="78"/>
      <c r="AH8" s="79"/>
    </row>
    <row r="9" spans="1:35" s="80" customFormat="1" ht="12" customHeight="1">
      <c r="A9" s="66">
        <v>1007</v>
      </c>
      <c r="B9" s="67" t="s">
        <v>2696</v>
      </c>
      <c r="C9" s="67" t="s">
        <v>2697</v>
      </c>
      <c r="D9" s="67" t="s">
        <v>2698</v>
      </c>
      <c r="E9" s="66">
        <v>1</v>
      </c>
      <c r="F9" s="68">
        <v>1</v>
      </c>
      <c r="G9" s="69">
        <v>7</v>
      </c>
      <c r="H9" s="37" t="s">
        <v>189</v>
      </c>
      <c r="I9" s="37" t="s">
        <v>189</v>
      </c>
      <c r="J9" s="70">
        <v>10500101216501</v>
      </c>
      <c r="K9" s="38" t="s">
        <v>148</v>
      </c>
      <c r="L9" s="38"/>
      <c r="M9" s="38">
        <v>1</v>
      </c>
      <c r="N9" s="37" t="s">
        <v>149</v>
      </c>
      <c r="O9" s="37" t="s">
        <v>190</v>
      </c>
      <c r="P9" s="71">
        <v>5211353</v>
      </c>
      <c r="Q9" s="37" t="s">
        <v>191</v>
      </c>
      <c r="R9" s="37" t="s">
        <v>192</v>
      </c>
      <c r="S9" s="72" t="s">
        <v>193</v>
      </c>
      <c r="T9" s="73">
        <v>0</v>
      </c>
      <c r="U9" s="74">
        <v>93</v>
      </c>
      <c r="V9" s="74">
        <v>87</v>
      </c>
      <c r="W9" s="75" t="s">
        <v>2698</v>
      </c>
      <c r="X9" s="75" t="s">
        <v>2697</v>
      </c>
      <c r="Y9" s="76">
        <v>180</v>
      </c>
      <c r="Z9" s="73">
        <v>0</v>
      </c>
      <c r="AA9" s="74">
        <v>0</v>
      </c>
      <c r="AB9" s="74">
        <v>0</v>
      </c>
      <c r="AC9" s="75"/>
      <c r="AD9" s="75"/>
      <c r="AE9" s="76">
        <v>0</v>
      </c>
      <c r="AF9" s="77">
        <v>180</v>
      </c>
      <c r="AG9" s="78"/>
      <c r="AH9" s="79"/>
    </row>
    <row r="10" spans="1:35" s="80" customFormat="1" ht="12" customHeight="1">
      <c r="A10" s="66">
        <v>1008</v>
      </c>
      <c r="B10" s="67" t="s">
        <v>2696</v>
      </c>
      <c r="C10" s="67" t="s">
        <v>2697</v>
      </c>
      <c r="D10" s="67" t="s">
        <v>2698</v>
      </c>
      <c r="E10" s="66">
        <v>1</v>
      </c>
      <c r="F10" s="68">
        <v>1</v>
      </c>
      <c r="G10" s="69">
        <v>8</v>
      </c>
      <c r="H10" s="37" t="s">
        <v>194</v>
      </c>
      <c r="I10" s="37" t="s">
        <v>194</v>
      </c>
      <c r="J10" s="70">
        <v>10500101216503</v>
      </c>
      <c r="K10" s="38" t="s">
        <v>148</v>
      </c>
      <c r="L10" s="38"/>
      <c r="M10" s="38">
        <v>1</v>
      </c>
      <c r="N10" s="37" t="s">
        <v>195</v>
      </c>
      <c r="O10" s="37" t="s">
        <v>196</v>
      </c>
      <c r="P10" s="71">
        <v>5211438</v>
      </c>
      <c r="Q10" s="37" t="s">
        <v>191</v>
      </c>
      <c r="R10" s="37" t="s">
        <v>197</v>
      </c>
      <c r="S10" s="72" t="s">
        <v>198</v>
      </c>
      <c r="T10" s="73">
        <v>139</v>
      </c>
      <c r="U10" s="74">
        <v>361</v>
      </c>
      <c r="V10" s="74">
        <v>50</v>
      </c>
      <c r="W10" s="75" t="s">
        <v>2698</v>
      </c>
      <c r="X10" s="75" t="s">
        <v>2697</v>
      </c>
      <c r="Y10" s="76">
        <v>550</v>
      </c>
      <c r="Z10" s="73">
        <v>0</v>
      </c>
      <c r="AA10" s="74">
        <v>0</v>
      </c>
      <c r="AB10" s="74">
        <v>0</v>
      </c>
      <c r="AC10" s="75"/>
      <c r="AD10" s="75"/>
      <c r="AE10" s="76">
        <v>0</v>
      </c>
      <c r="AF10" s="77">
        <v>550</v>
      </c>
      <c r="AG10" s="38" t="s">
        <v>199</v>
      </c>
      <c r="AH10" s="79"/>
    </row>
    <row r="11" spans="1:35" s="80" customFormat="1" ht="12" customHeight="1">
      <c r="A11" s="66">
        <v>1009</v>
      </c>
      <c r="B11" s="67" t="s">
        <v>2696</v>
      </c>
      <c r="C11" s="96" t="s">
        <v>2850</v>
      </c>
      <c r="D11" s="67" t="s">
        <v>2699</v>
      </c>
      <c r="E11" s="66">
        <v>1</v>
      </c>
      <c r="F11" s="68">
        <v>1</v>
      </c>
      <c r="G11" s="69">
        <v>9</v>
      </c>
      <c r="H11" s="37" t="s">
        <v>200</v>
      </c>
      <c r="I11" s="37" t="s">
        <v>200</v>
      </c>
      <c r="J11" s="70">
        <v>10500101169001</v>
      </c>
      <c r="K11" s="38" t="s">
        <v>148</v>
      </c>
      <c r="L11" s="38"/>
      <c r="M11" s="38">
        <v>1</v>
      </c>
      <c r="N11" s="37" t="s">
        <v>183</v>
      </c>
      <c r="O11" s="37" t="s">
        <v>201</v>
      </c>
      <c r="P11" s="71" t="s">
        <v>202</v>
      </c>
      <c r="Q11" s="37" t="s">
        <v>203</v>
      </c>
      <c r="R11" s="37" t="s">
        <v>204</v>
      </c>
      <c r="S11" s="72" t="s">
        <v>205</v>
      </c>
      <c r="T11" s="73">
        <v>0</v>
      </c>
      <c r="U11" s="74">
        <v>160</v>
      </c>
      <c r="V11" s="74">
        <v>110</v>
      </c>
      <c r="W11" s="75" t="s">
        <v>2698</v>
      </c>
      <c r="X11" s="75" t="s">
        <v>2697</v>
      </c>
      <c r="Y11" s="76">
        <v>270</v>
      </c>
      <c r="Z11" s="73">
        <v>0</v>
      </c>
      <c r="AA11" s="74">
        <v>173</v>
      </c>
      <c r="AB11" s="74">
        <v>77</v>
      </c>
      <c r="AC11" s="75" t="s">
        <v>2700</v>
      </c>
      <c r="AD11" s="75" t="s">
        <v>2674</v>
      </c>
      <c r="AE11" s="76">
        <v>250</v>
      </c>
      <c r="AF11" s="77">
        <v>520</v>
      </c>
      <c r="AG11" s="78"/>
      <c r="AH11" s="79"/>
    </row>
    <row r="12" spans="1:35" s="80" customFormat="1" ht="12" customHeight="1">
      <c r="A12" s="66">
        <v>1010</v>
      </c>
      <c r="B12" s="67" t="s">
        <v>2696</v>
      </c>
      <c r="C12" s="96" t="s">
        <v>2850</v>
      </c>
      <c r="D12" s="67" t="s">
        <v>2699</v>
      </c>
      <c r="E12" s="66">
        <v>1</v>
      </c>
      <c r="F12" s="83">
        <v>1</v>
      </c>
      <c r="G12" s="69">
        <v>10</v>
      </c>
      <c r="H12" s="85" t="s">
        <v>206</v>
      </c>
      <c r="I12" s="85" t="s">
        <v>207</v>
      </c>
      <c r="J12" s="86">
        <v>10500101509102</v>
      </c>
      <c r="K12" s="87" t="s">
        <v>148</v>
      </c>
      <c r="L12" s="95"/>
      <c r="M12" s="87">
        <v>1</v>
      </c>
      <c r="N12" s="85" t="s">
        <v>208</v>
      </c>
      <c r="O12" s="85" t="s">
        <v>209</v>
      </c>
      <c r="P12" s="89" t="s">
        <v>210</v>
      </c>
      <c r="Q12" s="85" t="s">
        <v>211</v>
      </c>
      <c r="R12" s="85" t="s">
        <v>212</v>
      </c>
      <c r="S12" s="90" t="s">
        <v>213</v>
      </c>
      <c r="T12" s="91">
        <v>190</v>
      </c>
      <c r="U12" s="92">
        <v>199</v>
      </c>
      <c r="V12" s="92">
        <v>0</v>
      </c>
      <c r="W12" s="75" t="s">
        <v>2698</v>
      </c>
      <c r="X12" s="75" t="s">
        <v>2697</v>
      </c>
      <c r="Y12" s="76">
        <v>389</v>
      </c>
      <c r="Z12" s="91">
        <v>80</v>
      </c>
      <c r="AA12" s="92">
        <v>0</v>
      </c>
      <c r="AB12" s="92">
        <v>0</v>
      </c>
      <c r="AC12" s="75" t="s">
        <v>2700</v>
      </c>
      <c r="AD12" s="75" t="s">
        <v>2674</v>
      </c>
      <c r="AE12" s="76">
        <v>80</v>
      </c>
      <c r="AF12" s="77">
        <v>469</v>
      </c>
      <c r="AG12" s="94"/>
      <c r="AH12" s="100" t="s">
        <v>214</v>
      </c>
    </row>
    <row r="13" spans="1:35" s="80" customFormat="1" ht="12" customHeight="1">
      <c r="A13" s="66">
        <v>1011</v>
      </c>
      <c r="B13" s="67" t="s">
        <v>2696</v>
      </c>
      <c r="C13" s="96" t="s">
        <v>2850</v>
      </c>
      <c r="D13" s="67" t="s">
        <v>2699</v>
      </c>
      <c r="E13" s="66">
        <v>1</v>
      </c>
      <c r="F13" s="83">
        <v>1</v>
      </c>
      <c r="G13" s="69">
        <v>11</v>
      </c>
      <c r="H13" s="85" t="s">
        <v>206</v>
      </c>
      <c r="I13" s="85" t="s">
        <v>206</v>
      </c>
      <c r="J13" s="86">
        <v>10500101509101</v>
      </c>
      <c r="K13" s="87" t="s">
        <v>148</v>
      </c>
      <c r="L13" s="95"/>
      <c r="M13" s="87">
        <v>1</v>
      </c>
      <c r="N13" s="85" t="s">
        <v>208</v>
      </c>
      <c r="O13" s="85" t="s">
        <v>209</v>
      </c>
      <c r="P13" s="89" t="s">
        <v>210</v>
      </c>
      <c r="Q13" s="85" t="s">
        <v>211</v>
      </c>
      <c r="R13" s="85" t="s">
        <v>212</v>
      </c>
      <c r="S13" s="90" t="s">
        <v>215</v>
      </c>
      <c r="T13" s="91">
        <v>50</v>
      </c>
      <c r="U13" s="92">
        <v>200</v>
      </c>
      <c r="V13" s="92">
        <v>70</v>
      </c>
      <c r="W13" s="75" t="s">
        <v>2698</v>
      </c>
      <c r="X13" s="75" t="s">
        <v>2697</v>
      </c>
      <c r="Y13" s="76">
        <v>320</v>
      </c>
      <c r="Z13" s="91">
        <v>0</v>
      </c>
      <c r="AA13" s="92">
        <v>0</v>
      </c>
      <c r="AB13" s="92">
        <v>120</v>
      </c>
      <c r="AC13" s="75" t="s">
        <v>2700</v>
      </c>
      <c r="AD13" s="75" t="s">
        <v>2674</v>
      </c>
      <c r="AE13" s="76">
        <v>120</v>
      </c>
      <c r="AF13" s="77">
        <v>440</v>
      </c>
      <c r="AG13" s="94"/>
      <c r="AH13" s="101"/>
    </row>
    <row r="14" spans="1:35" s="80" customFormat="1" ht="12" customHeight="1">
      <c r="A14" s="66">
        <v>1012</v>
      </c>
      <c r="B14" s="67" t="s">
        <v>2696</v>
      </c>
      <c r="C14" s="96" t="s">
        <v>2850</v>
      </c>
      <c r="D14" s="67" t="s">
        <v>2699</v>
      </c>
      <c r="E14" s="66">
        <v>1</v>
      </c>
      <c r="F14" s="68">
        <v>1</v>
      </c>
      <c r="G14" s="69">
        <v>12</v>
      </c>
      <c r="H14" s="37" t="s">
        <v>216</v>
      </c>
      <c r="I14" s="37" t="s">
        <v>216</v>
      </c>
      <c r="J14" s="70">
        <v>10500100180501</v>
      </c>
      <c r="K14" s="38" t="s">
        <v>148</v>
      </c>
      <c r="L14" s="38"/>
      <c r="M14" s="38">
        <v>1</v>
      </c>
      <c r="N14" s="37" t="s">
        <v>183</v>
      </c>
      <c r="O14" s="37" t="s">
        <v>217</v>
      </c>
      <c r="P14" s="71">
        <v>5286518</v>
      </c>
      <c r="Q14" s="37" t="s">
        <v>218</v>
      </c>
      <c r="R14" s="37" t="s">
        <v>219</v>
      </c>
      <c r="S14" s="72" t="s">
        <v>220</v>
      </c>
      <c r="T14" s="98">
        <v>60</v>
      </c>
      <c r="U14" s="99">
        <v>300</v>
      </c>
      <c r="V14" s="99">
        <v>80</v>
      </c>
      <c r="W14" s="75" t="s">
        <v>2698</v>
      </c>
      <c r="X14" s="75" t="s">
        <v>2697</v>
      </c>
      <c r="Y14" s="76">
        <v>440</v>
      </c>
      <c r="Z14" s="98">
        <v>380</v>
      </c>
      <c r="AA14" s="99">
        <v>90</v>
      </c>
      <c r="AB14" s="99">
        <v>0</v>
      </c>
      <c r="AC14" s="75" t="s">
        <v>2700</v>
      </c>
      <c r="AD14" s="75" t="s">
        <v>2674</v>
      </c>
      <c r="AE14" s="76">
        <v>470</v>
      </c>
      <c r="AF14" s="77">
        <v>910</v>
      </c>
      <c r="AG14" s="78"/>
      <c r="AH14" s="79"/>
    </row>
    <row r="15" spans="1:35" s="80" customFormat="1" ht="12" customHeight="1">
      <c r="A15" s="66">
        <v>1013</v>
      </c>
      <c r="B15" s="67" t="s">
        <v>2696</v>
      </c>
      <c r="C15" s="96" t="s">
        <v>2850</v>
      </c>
      <c r="D15" s="67" t="s">
        <v>2699</v>
      </c>
      <c r="E15" s="66">
        <v>1</v>
      </c>
      <c r="F15" s="68">
        <v>1</v>
      </c>
      <c r="G15" s="69">
        <v>13</v>
      </c>
      <c r="H15" s="37" t="s">
        <v>221</v>
      </c>
      <c r="I15" s="37" t="s">
        <v>221</v>
      </c>
      <c r="J15" s="70">
        <v>10500100180502</v>
      </c>
      <c r="K15" s="38" t="s">
        <v>148</v>
      </c>
      <c r="L15" s="38"/>
      <c r="M15" s="38">
        <v>1</v>
      </c>
      <c r="N15" s="37" t="s">
        <v>183</v>
      </c>
      <c r="O15" s="37" t="s">
        <v>222</v>
      </c>
      <c r="P15" s="71">
        <v>2369838</v>
      </c>
      <c r="Q15" s="37" t="s">
        <v>218</v>
      </c>
      <c r="R15" s="37" t="s">
        <v>223</v>
      </c>
      <c r="S15" s="72" t="s">
        <v>224</v>
      </c>
      <c r="T15" s="98">
        <v>50</v>
      </c>
      <c r="U15" s="99">
        <v>210</v>
      </c>
      <c r="V15" s="99">
        <v>155</v>
      </c>
      <c r="W15" s="75" t="s">
        <v>2698</v>
      </c>
      <c r="X15" s="75" t="s">
        <v>2697</v>
      </c>
      <c r="Y15" s="76">
        <v>415</v>
      </c>
      <c r="Z15" s="98">
        <v>165</v>
      </c>
      <c r="AA15" s="99">
        <v>175</v>
      </c>
      <c r="AB15" s="99">
        <v>0</v>
      </c>
      <c r="AC15" s="75" t="s">
        <v>2700</v>
      </c>
      <c r="AD15" s="75" t="s">
        <v>2674</v>
      </c>
      <c r="AE15" s="76">
        <v>340</v>
      </c>
      <c r="AF15" s="77">
        <v>755</v>
      </c>
      <c r="AG15" s="78"/>
      <c r="AH15" s="79"/>
    </row>
    <row r="16" spans="1:35" s="80" customFormat="1" ht="12" customHeight="1">
      <c r="A16" s="66">
        <v>1014</v>
      </c>
      <c r="B16" s="67" t="s">
        <v>2696</v>
      </c>
      <c r="C16" s="67" t="s">
        <v>2697</v>
      </c>
      <c r="D16" s="67" t="s">
        <v>2698</v>
      </c>
      <c r="E16" s="66">
        <v>1</v>
      </c>
      <c r="F16" s="68">
        <v>1</v>
      </c>
      <c r="G16" s="69">
        <v>14</v>
      </c>
      <c r="H16" s="37" t="s">
        <v>225</v>
      </c>
      <c r="I16" s="37" t="s">
        <v>225</v>
      </c>
      <c r="J16" s="70">
        <v>30500102009401</v>
      </c>
      <c r="K16" s="38" t="s">
        <v>226</v>
      </c>
      <c r="L16" s="38"/>
      <c r="M16" s="38">
        <v>1</v>
      </c>
      <c r="N16" s="37" t="s">
        <v>149</v>
      </c>
      <c r="O16" s="37" t="s">
        <v>227</v>
      </c>
      <c r="P16" s="71" t="s">
        <v>228</v>
      </c>
      <c r="Q16" s="37" t="s">
        <v>229</v>
      </c>
      <c r="R16" s="37" t="s">
        <v>230</v>
      </c>
      <c r="S16" s="72" t="s">
        <v>231</v>
      </c>
      <c r="T16" s="73">
        <v>68</v>
      </c>
      <c r="U16" s="74">
        <v>104</v>
      </c>
      <c r="V16" s="74">
        <v>83</v>
      </c>
      <c r="W16" s="75" t="s">
        <v>2698</v>
      </c>
      <c r="X16" s="75" t="s">
        <v>2697</v>
      </c>
      <c r="Y16" s="76">
        <v>255</v>
      </c>
      <c r="Z16" s="73">
        <v>0</v>
      </c>
      <c r="AA16" s="74">
        <v>0</v>
      </c>
      <c r="AB16" s="74">
        <v>0</v>
      </c>
      <c r="AC16" s="75"/>
      <c r="AD16" s="75"/>
      <c r="AE16" s="76">
        <v>0</v>
      </c>
      <c r="AF16" s="77">
        <v>255</v>
      </c>
      <c r="AG16" s="78"/>
      <c r="AH16" s="79"/>
    </row>
    <row r="17" spans="1:34" s="80" customFormat="1" ht="12" customHeight="1">
      <c r="A17" s="66">
        <v>1015</v>
      </c>
      <c r="B17" s="67" t="s">
        <v>2696</v>
      </c>
      <c r="C17" s="67" t="s">
        <v>2697</v>
      </c>
      <c r="D17" s="67" t="s">
        <v>2698</v>
      </c>
      <c r="E17" s="66">
        <v>1</v>
      </c>
      <c r="F17" s="83">
        <v>1</v>
      </c>
      <c r="G17" s="69">
        <v>15</v>
      </c>
      <c r="H17" s="85" t="s">
        <v>232</v>
      </c>
      <c r="I17" s="85" t="s">
        <v>232</v>
      </c>
      <c r="J17" s="86">
        <v>10500100671801</v>
      </c>
      <c r="K17" s="87" t="s">
        <v>148</v>
      </c>
      <c r="L17" s="87"/>
      <c r="M17" s="87">
        <v>2</v>
      </c>
      <c r="N17" s="85" t="s">
        <v>233</v>
      </c>
      <c r="O17" s="85" t="s">
        <v>234</v>
      </c>
      <c r="P17" s="89" t="s">
        <v>235</v>
      </c>
      <c r="Q17" s="85" t="s">
        <v>236</v>
      </c>
      <c r="R17" s="85" t="s">
        <v>237</v>
      </c>
      <c r="S17" s="90" t="s">
        <v>238</v>
      </c>
      <c r="T17" s="91">
        <v>0</v>
      </c>
      <c r="U17" s="92">
        <v>200</v>
      </c>
      <c r="V17" s="92">
        <v>200</v>
      </c>
      <c r="W17" s="75" t="s">
        <v>2698</v>
      </c>
      <c r="X17" s="75" t="s">
        <v>2697</v>
      </c>
      <c r="Y17" s="76">
        <v>400</v>
      </c>
      <c r="Z17" s="91">
        <v>0</v>
      </c>
      <c r="AA17" s="92">
        <v>0</v>
      </c>
      <c r="AB17" s="92">
        <v>0</v>
      </c>
      <c r="AC17" s="75"/>
      <c r="AD17" s="75"/>
      <c r="AE17" s="76">
        <v>0</v>
      </c>
      <c r="AF17" s="77">
        <v>400</v>
      </c>
      <c r="AG17" s="94"/>
      <c r="AH17" s="95" t="s">
        <v>239</v>
      </c>
    </row>
    <row r="18" spans="1:34" s="80" customFormat="1" ht="12" customHeight="1">
      <c r="A18" s="66">
        <v>1016</v>
      </c>
      <c r="B18" s="67" t="s">
        <v>2696</v>
      </c>
      <c r="C18" s="67" t="s">
        <v>2697</v>
      </c>
      <c r="D18" s="67" t="s">
        <v>2698</v>
      </c>
      <c r="E18" s="66">
        <v>1</v>
      </c>
      <c r="F18" s="102">
        <v>1</v>
      </c>
      <c r="G18" s="69">
        <v>16</v>
      </c>
      <c r="H18" s="85" t="s">
        <v>232</v>
      </c>
      <c r="I18" s="85" t="s">
        <v>240</v>
      </c>
      <c r="J18" s="86">
        <v>10500100671803</v>
      </c>
      <c r="K18" s="87" t="s">
        <v>148</v>
      </c>
      <c r="L18" s="95"/>
      <c r="M18" s="87">
        <v>2</v>
      </c>
      <c r="N18" s="85" t="s">
        <v>233</v>
      </c>
      <c r="O18" s="85" t="s">
        <v>234</v>
      </c>
      <c r="P18" s="89" t="s">
        <v>235</v>
      </c>
      <c r="Q18" s="85" t="s">
        <v>236</v>
      </c>
      <c r="R18" s="85" t="s">
        <v>237</v>
      </c>
      <c r="S18" s="90" t="s">
        <v>238</v>
      </c>
      <c r="T18" s="91">
        <v>200</v>
      </c>
      <c r="U18" s="92">
        <v>0</v>
      </c>
      <c r="V18" s="92">
        <v>0</v>
      </c>
      <c r="W18" s="75" t="s">
        <v>2698</v>
      </c>
      <c r="X18" s="75" t="s">
        <v>2697</v>
      </c>
      <c r="Y18" s="76">
        <v>200</v>
      </c>
      <c r="Z18" s="91">
        <v>0</v>
      </c>
      <c r="AA18" s="92">
        <v>0</v>
      </c>
      <c r="AB18" s="92">
        <v>0</v>
      </c>
      <c r="AC18" s="75"/>
      <c r="AD18" s="75"/>
      <c r="AE18" s="76">
        <v>0</v>
      </c>
      <c r="AF18" s="77">
        <v>200</v>
      </c>
      <c r="AG18" s="94"/>
      <c r="AH18" s="95" t="s">
        <v>239</v>
      </c>
    </row>
    <row r="19" spans="1:34" s="80" customFormat="1" ht="12" customHeight="1">
      <c r="A19" s="66">
        <v>1017</v>
      </c>
      <c r="B19" s="67" t="s">
        <v>2696</v>
      </c>
      <c r="C19" s="96" t="s">
        <v>2850</v>
      </c>
      <c r="D19" s="67" t="s">
        <v>2699</v>
      </c>
      <c r="E19" s="66">
        <v>1</v>
      </c>
      <c r="F19" s="68">
        <v>1</v>
      </c>
      <c r="G19" s="69">
        <v>17</v>
      </c>
      <c r="H19" s="37" t="s">
        <v>241</v>
      </c>
      <c r="I19" s="37" t="s">
        <v>241</v>
      </c>
      <c r="J19" s="70">
        <v>10500100671802</v>
      </c>
      <c r="K19" s="38" t="s">
        <v>148</v>
      </c>
      <c r="L19" s="38"/>
      <c r="M19" s="38">
        <v>2</v>
      </c>
      <c r="N19" s="37" t="s">
        <v>233</v>
      </c>
      <c r="O19" s="37" t="s">
        <v>242</v>
      </c>
      <c r="P19" s="71" t="s">
        <v>243</v>
      </c>
      <c r="Q19" s="79"/>
      <c r="R19" s="79"/>
      <c r="S19" s="103"/>
      <c r="T19" s="73">
        <v>235</v>
      </c>
      <c r="U19" s="74">
        <v>130</v>
      </c>
      <c r="V19" s="74">
        <v>0</v>
      </c>
      <c r="W19" s="75" t="s">
        <v>2698</v>
      </c>
      <c r="X19" s="75" t="s">
        <v>2697</v>
      </c>
      <c r="Y19" s="76">
        <v>365</v>
      </c>
      <c r="Z19" s="73">
        <v>130</v>
      </c>
      <c r="AA19" s="74">
        <v>35</v>
      </c>
      <c r="AB19" s="74">
        <v>0</v>
      </c>
      <c r="AC19" s="75" t="s">
        <v>2700</v>
      </c>
      <c r="AD19" s="75" t="s">
        <v>2674</v>
      </c>
      <c r="AE19" s="76">
        <v>165</v>
      </c>
      <c r="AF19" s="77">
        <v>530</v>
      </c>
      <c r="AG19" s="78"/>
      <c r="AH19" s="79"/>
    </row>
    <row r="20" spans="1:34" s="80" customFormat="1" ht="12" customHeight="1">
      <c r="A20" s="66">
        <v>1018</v>
      </c>
      <c r="B20" s="67" t="s">
        <v>2696</v>
      </c>
      <c r="C20" s="96" t="s">
        <v>2850</v>
      </c>
      <c r="D20" s="67" t="s">
        <v>2699</v>
      </c>
      <c r="E20" s="66">
        <v>1</v>
      </c>
      <c r="F20" s="68">
        <v>1</v>
      </c>
      <c r="G20" s="69">
        <v>18</v>
      </c>
      <c r="H20" s="37" t="s">
        <v>244</v>
      </c>
      <c r="I20" s="37" t="s">
        <v>244</v>
      </c>
      <c r="J20" s="70">
        <v>10500101945302</v>
      </c>
      <c r="K20" s="38" t="s">
        <v>148</v>
      </c>
      <c r="L20" s="38"/>
      <c r="M20" s="38">
        <v>2</v>
      </c>
      <c r="N20" s="37" t="s">
        <v>245</v>
      </c>
      <c r="O20" s="37" t="s">
        <v>246</v>
      </c>
      <c r="P20" s="71" t="s">
        <v>247</v>
      </c>
      <c r="Q20" s="37" t="s">
        <v>248</v>
      </c>
      <c r="R20" s="37" t="s">
        <v>249</v>
      </c>
      <c r="S20" s="72" t="s">
        <v>250</v>
      </c>
      <c r="T20" s="98">
        <v>379</v>
      </c>
      <c r="U20" s="99">
        <v>341</v>
      </c>
      <c r="V20" s="99">
        <v>0</v>
      </c>
      <c r="W20" s="75" t="s">
        <v>2698</v>
      </c>
      <c r="X20" s="75" t="s">
        <v>2697</v>
      </c>
      <c r="Y20" s="76">
        <v>720</v>
      </c>
      <c r="Z20" s="98">
        <v>393</v>
      </c>
      <c r="AA20" s="99">
        <v>487</v>
      </c>
      <c r="AB20" s="99">
        <v>0</v>
      </c>
      <c r="AC20" s="75" t="s">
        <v>2700</v>
      </c>
      <c r="AD20" s="75" t="s">
        <v>2674</v>
      </c>
      <c r="AE20" s="76">
        <v>880</v>
      </c>
      <c r="AF20" s="77">
        <v>1600</v>
      </c>
      <c r="AG20" s="104"/>
      <c r="AH20" s="79"/>
    </row>
    <row r="21" spans="1:34" s="80" customFormat="1" ht="12" customHeight="1">
      <c r="A21" s="66">
        <v>1019</v>
      </c>
      <c r="B21" s="67" t="s">
        <v>2696</v>
      </c>
      <c r="C21" s="96" t="s">
        <v>2850</v>
      </c>
      <c r="D21" s="67" t="s">
        <v>2699</v>
      </c>
      <c r="E21" s="66">
        <v>1</v>
      </c>
      <c r="F21" s="68">
        <v>1</v>
      </c>
      <c r="G21" s="69">
        <v>19</v>
      </c>
      <c r="H21" s="37" t="s">
        <v>251</v>
      </c>
      <c r="I21" s="37" t="s">
        <v>252</v>
      </c>
      <c r="J21" s="70">
        <v>10500101945304</v>
      </c>
      <c r="K21" s="38" t="s">
        <v>148</v>
      </c>
      <c r="L21" s="38"/>
      <c r="M21" s="38">
        <v>2</v>
      </c>
      <c r="N21" s="37" t="s">
        <v>253</v>
      </c>
      <c r="O21" s="37" t="s">
        <v>254</v>
      </c>
      <c r="P21" s="71" t="s">
        <v>255</v>
      </c>
      <c r="Q21" s="37" t="s">
        <v>248</v>
      </c>
      <c r="R21" s="37" t="s">
        <v>256</v>
      </c>
      <c r="S21" s="72" t="s">
        <v>257</v>
      </c>
      <c r="T21" s="98">
        <v>298</v>
      </c>
      <c r="U21" s="99">
        <v>102</v>
      </c>
      <c r="V21" s="99">
        <v>0</v>
      </c>
      <c r="W21" s="75" t="s">
        <v>2698</v>
      </c>
      <c r="X21" s="75" t="s">
        <v>2697</v>
      </c>
      <c r="Y21" s="76">
        <v>400</v>
      </c>
      <c r="Z21" s="98">
        <v>59</v>
      </c>
      <c r="AA21" s="99">
        <v>381</v>
      </c>
      <c r="AB21" s="99">
        <v>0</v>
      </c>
      <c r="AC21" s="75" t="s">
        <v>2700</v>
      </c>
      <c r="AD21" s="75" t="s">
        <v>2674</v>
      </c>
      <c r="AE21" s="76">
        <v>440</v>
      </c>
      <c r="AF21" s="77">
        <v>840</v>
      </c>
      <c r="AG21" s="78"/>
      <c r="AH21" s="79"/>
    </row>
    <row r="22" spans="1:34" s="80" customFormat="1" ht="12" customHeight="1">
      <c r="A22" s="66">
        <v>1020</v>
      </c>
      <c r="B22" s="67" t="s">
        <v>2696</v>
      </c>
      <c r="C22" s="96" t="s">
        <v>2850</v>
      </c>
      <c r="D22" s="67" t="s">
        <v>2699</v>
      </c>
      <c r="E22" s="66">
        <v>1</v>
      </c>
      <c r="F22" s="68">
        <v>1</v>
      </c>
      <c r="G22" s="69">
        <v>20</v>
      </c>
      <c r="H22" s="37" t="s">
        <v>258</v>
      </c>
      <c r="I22" s="37" t="s">
        <v>258</v>
      </c>
      <c r="J22" s="70">
        <v>10500100127901</v>
      </c>
      <c r="K22" s="38" t="s">
        <v>148</v>
      </c>
      <c r="L22" s="38"/>
      <c r="M22" s="38">
        <v>2</v>
      </c>
      <c r="N22" s="37" t="s">
        <v>259</v>
      </c>
      <c r="O22" s="37" t="s">
        <v>260</v>
      </c>
      <c r="P22" s="71" t="s">
        <v>261</v>
      </c>
      <c r="Q22" s="37" t="s">
        <v>262</v>
      </c>
      <c r="R22" s="37" t="s">
        <v>263</v>
      </c>
      <c r="S22" s="72" t="s">
        <v>264</v>
      </c>
      <c r="T22" s="98">
        <v>0</v>
      </c>
      <c r="U22" s="99">
        <v>190</v>
      </c>
      <c r="V22" s="99">
        <v>130</v>
      </c>
      <c r="W22" s="75" t="s">
        <v>2698</v>
      </c>
      <c r="X22" s="75" t="s">
        <v>2697</v>
      </c>
      <c r="Y22" s="76">
        <v>320</v>
      </c>
      <c r="Z22" s="98">
        <v>0</v>
      </c>
      <c r="AA22" s="99">
        <v>220</v>
      </c>
      <c r="AB22" s="99">
        <v>100</v>
      </c>
      <c r="AC22" s="75" t="s">
        <v>2700</v>
      </c>
      <c r="AD22" s="75" t="s">
        <v>2674</v>
      </c>
      <c r="AE22" s="76">
        <v>320</v>
      </c>
      <c r="AF22" s="77">
        <v>640</v>
      </c>
      <c r="AG22" s="78"/>
      <c r="AH22" s="79"/>
    </row>
    <row r="23" spans="1:34" s="80" customFormat="1" ht="12" customHeight="1">
      <c r="A23" s="66">
        <v>1021</v>
      </c>
      <c r="B23" s="67" t="s">
        <v>2696</v>
      </c>
      <c r="C23" s="96" t="s">
        <v>2850</v>
      </c>
      <c r="D23" s="67" t="s">
        <v>2699</v>
      </c>
      <c r="E23" s="66">
        <v>1</v>
      </c>
      <c r="F23" s="68">
        <v>1</v>
      </c>
      <c r="G23" s="69">
        <v>21</v>
      </c>
      <c r="H23" s="37" t="s">
        <v>265</v>
      </c>
      <c r="I23" s="37" t="s">
        <v>265</v>
      </c>
      <c r="J23" s="70">
        <v>10500100797801</v>
      </c>
      <c r="K23" s="38" t="s">
        <v>148</v>
      </c>
      <c r="L23" s="38"/>
      <c r="M23" s="38">
        <v>2</v>
      </c>
      <c r="N23" s="37" t="s">
        <v>266</v>
      </c>
      <c r="O23" s="37" t="s">
        <v>267</v>
      </c>
      <c r="P23" s="71" t="s">
        <v>268</v>
      </c>
      <c r="Q23" s="37" t="s">
        <v>269</v>
      </c>
      <c r="R23" s="37" t="s">
        <v>270</v>
      </c>
      <c r="S23" s="72" t="s">
        <v>271</v>
      </c>
      <c r="T23" s="73">
        <v>134</v>
      </c>
      <c r="U23" s="74">
        <v>269</v>
      </c>
      <c r="V23" s="74">
        <v>67</v>
      </c>
      <c r="W23" s="75" t="s">
        <v>2698</v>
      </c>
      <c r="X23" s="75" t="s">
        <v>2697</v>
      </c>
      <c r="Y23" s="76">
        <v>470</v>
      </c>
      <c r="Z23" s="73">
        <v>0</v>
      </c>
      <c r="AA23" s="74">
        <v>147</v>
      </c>
      <c r="AB23" s="74">
        <v>53</v>
      </c>
      <c r="AC23" s="75" t="s">
        <v>2700</v>
      </c>
      <c r="AD23" s="75" t="s">
        <v>2674</v>
      </c>
      <c r="AE23" s="76">
        <v>200</v>
      </c>
      <c r="AF23" s="77">
        <v>670</v>
      </c>
      <c r="AG23" s="78"/>
      <c r="AH23" s="79"/>
    </row>
    <row r="24" spans="1:34" s="80" customFormat="1" ht="12" customHeight="1">
      <c r="A24" s="66">
        <v>1022</v>
      </c>
      <c r="B24" s="67" t="s">
        <v>2696</v>
      </c>
      <c r="C24" s="67" t="s">
        <v>2697</v>
      </c>
      <c r="D24" s="67" t="s">
        <v>2698</v>
      </c>
      <c r="E24" s="66">
        <v>1</v>
      </c>
      <c r="F24" s="68">
        <v>1</v>
      </c>
      <c r="G24" s="69">
        <v>22</v>
      </c>
      <c r="H24" s="37" t="s">
        <v>272</v>
      </c>
      <c r="I24" s="37" t="s">
        <v>272</v>
      </c>
      <c r="J24" s="70">
        <v>10500100313102</v>
      </c>
      <c r="K24" s="38" t="s">
        <v>148</v>
      </c>
      <c r="L24" s="38"/>
      <c r="M24" s="38">
        <v>2</v>
      </c>
      <c r="N24" s="37" t="s">
        <v>259</v>
      </c>
      <c r="O24" s="37" t="s">
        <v>273</v>
      </c>
      <c r="P24" s="71">
        <v>5214683</v>
      </c>
      <c r="Q24" s="37" t="s">
        <v>274</v>
      </c>
      <c r="R24" s="37" t="s">
        <v>275</v>
      </c>
      <c r="S24" s="72" t="s">
        <v>276</v>
      </c>
      <c r="T24" s="98">
        <v>205</v>
      </c>
      <c r="U24" s="99">
        <v>125</v>
      </c>
      <c r="V24" s="99">
        <v>0</v>
      </c>
      <c r="W24" s="75" t="s">
        <v>2698</v>
      </c>
      <c r="X24" s="75" t="s">
        <v>2697</v>
      </c>
      <c r="Y24" s="76">
        <v>330</v>
      </c>
      <c r="Z24" s="73">
        <v>0</v>
      </c>
      <c r="AA24" s="74">
        <v>0</v>
      </c>
      <c r="AB24" s="74">
        <v>0</v>
      </c>
      <c r="AC24" s="75"/>
      <c r="AD24" s="75"/>
      <c r="AE24" s="76">
        <v>0</v>
      </c>
      <c r="AF24" s="77">
        <v>330</v>
      </c>
      <c r="AG24" s="104"/>
      <c r="AH24" s="79"/>
    </row>
    <row r="25" spans="1:34" s="80" customFormat="1" ht="12" customHeight="1">
      <c r="A25" s="66">
        <v>1023</v>
      </c>
      <c r="B25" s="67" t="s">
        <v>2696</v>
      </c>
      <c r="C25" s="67" t="s">
        <v>2697</v>
      </c>
      <c r="D25" s="67" t="s">
        <v>2698</v>
      </c>
      <c r="E25" s="66">
        <v>1</v>
      </c>
      <c r="F25" s="68">
        <v>1</v>
      </c>
      <c r="G25" s="69">
        <v>23</v>
      </c>
      <c r="H25" s="37" t="s">
        <v>277</v>
      </c>
      <c r="I25" s="37" t="s">
        <v>277</v>
      </c>
      <c r="J25" s="70">
        <v>10500100004301</v>
      </c>
      <c r="K25" s="38" t="s">
        <v>148</v>
      </c>
      <c r="L25" s="38"/>
      <c r="M25" s="38">
        <v>2</v>
      </c>
      <c r="N25" s="37" t="s">
        <v>278</v>
      </c>
      <c r="O25" s="37" t="s">
        <v>279</v>
      </c>
      <c r="P25" s="71">
        <v>5294058</v>
      </c>
      <c r="Q25" s="37" t="s">
        <v>280</v>
      </c>
      <c r="R25" s="37" t="s">
        <v>281</v>
      </c>
      <c r="S25" s="72" t="s">
        <v>282</v>
      </c>
      <c r="T25" s="73">
        <v>0</v>
      </c>
      <c r="U25" s="74">
        <v>227</v>
      </c>
      <c r="V25" s="74">
        <v>183</v>
      </c>
      <c r="W25" s="75" t="s">
        <v>2698</v>
      </c>
      <c r="X25" s="75" t="s">
        <v>2697</v>
      </c>
      <c r="Y25" s="76">
        <v>410</v>
      </c>
      <c r="Z25" s="73">
        <v>0</v>
      </c>
      <c r="AA25" s="74">
        <v>0</v>
      </c>
      <c r="AB25" s="74">
        <v>0</v>
      </c>
      <c r="AC25" s="75"/>
      <c r="AD25" s="75"/>
      <c r="AE25" s="76">
        <v>0</v>
      </c>
      <c r="AF25" s="77">
        <v>410</v>
      </c>
      <c r="AG25" s="104"/>
      <c r="AH25" s="79"/>
    </row>
    <row r="26" spans="1:34" s="80" customFormat="1" ht="12" customHeight="1">
      <c r="A26" s="66">
        <v>1024</v>
      </c>
      <c r="B26" s="67" t="s">
        <v>2696</v>
      </c>
      <c r="C26" s="67" t="s">
        <v>2697</v>
      </c>
      <c r="D26" s="67" t="s">
        <v>2698</v>
      </c>
      <c r="E26" s="66">
        <v>1</v>
      </c>
      <c r="F26" s="68">
        <v>1</v>
      </c>
      <c r="G26" s="69">
        <v>24</v>
      </c>
      <c r="H26" s="37" t="s">
        <v>283</v>
      </c>
      <c r="I26" s="37" t="s">
        <v>283</v>
      </c>
      <c r="J26" s="70">
        <v>10500102396502</v>
      </c>
      <c r="K26" s="38" t="s">
        <v>148</v>
      </c>
      <c r="L26" s="38"/>
      <c r="M26" s="38">
        <v>2</v>
      </c>
      <c r="N26" s="37" t="s">
        <v>284</v>
      </c>
      <c r="O26" s="37" t="s">
        <v>285</v>
      </c>
      <c r="P26" s="71">
        <v>2369693</v>
      </c>
      <c r="Q26" s="37" t="s">
        <v>286</v>
      </c>
      <c r="R26" s="37" t="s">
        <v>287</v>
      </c>
      <c r="S26" s="72" t="s">
        <v>288</v>
      </c>
      <c r="T26" s="73">
        <v>20</v>
      </c>
      <c r="U26" s="74">
        <v>140</v>
      </c>
      <c r="V26" s="74">
        <v>0</v>
      </c>
      <c r="W26" s="75" t="s">
        <v>2698</v>
      </c>
      <c r="X26" s="75" t="s">
        <v>2697</v>
      </c>
      <c r="Y26" s="76">
        <v>160</v>
      </c>
      <c r="Z26" s="73">
        <v>0</v>
      </c>
      <c r="AA26" s="74">
        <v>0</v>
      </c>
      <c r="AB26" s="74">
        <v>0</v>
      </c>
      <c r="AC26" s="75"/>
      <c r="AD26" s="75"/>
      <c r="AE26" s="76">
        <v>0</v>
      </c>
      <c r="AF26" s="77">
        <v>160</v>
      </c>
      <c r="AG26" s="78"/>
      <c r="AH26" s="79"/>
    </row>
    <row r="27" spans="1:34" s="80" customFormat="1" ht="12" customHeight="1">
      <c r="A27" s="66">
        <v>1025</v>
      </c>
      <c r="B27" s="67" t="s">
        <v>2696</v>
      </c>
      <c r="C27" s="67" t="s">
        <v>2697</v>
      </c>
      <c r="D27" s="67" t="s">
        <v>2698</v>
      </c>
      <c r="E27" s="66">
        <v>1</v>
      </c>
      <c r="F27" s="68">
        <v>1</v>
      </c>
      <c r="G27" s="69">
        <v>25</v>
      </c>
      <c r="H27" s="37" t="s">
        <v>289</v>
      </c>
      <c r="I27" s="37" t="s">
        <v>289</v>
      </c>
      <c r="J27" s="70">
        <v>10500100538001</v>
      </c>
      <c r="K27" s="38" t="s">
        <v>148</v>
      </c>
      <c r="L27" s="38"/>
      <c r="M27" s="38">
        <v>2</v>
      </c>
      <c r="N27" s="37" t="s">
        <v>290</v>
      </c>
      <c r="O27" s="37" t="s">
        <v>291</v>
      </c>
      <c r="P27" s="71">
        <v>2581854</v>
      </c>
      <c r="Q27" s="37" t="s">
        <v>292</v>
      </c>
      <c r="R27" s="37" t="s">
        <v>293</v>
      </c>
      <c r="S27" s="72" t="s">
        <v>294</v>
      </c>
      <c r="T27" s="98">
        <v>377</v>
      </c>
      <c r="U27" s="99">
        <v>124</v>
      </c>
      <c r="V27" s="99">
        <v>39</v>
      </c>
      <c r="W27" s="75" t="s">
        <v>2698</v>
      </c>
      <c r="X27" s="75" t="s">
        <v>2697</v>
      </c>
      <c r="Y27" s="76">
        <v>540</v>
      </c>
      <c r="Z27" s="73">
        <v>0</v>
      </c>
      <c r="AA27" s="74">
        <v>0</v>
      </c>
      <c r="AB27" s="74">
        <v>0</v>
      </c>
      <c r="AC27" s="75"/>
      <c r="AD27" s="75"/>
      <c r="AE27" s="76">
        <v>0</v>
      </c>
      <c r="AF27" s="77">
        <v>540</v>
      </c>
      <c r="AG27" s="78"/>
      <c r="AH27" s="79"/>
    </row>
    <row r="28" spans="1:34" s="80" customFormat="1" ht="12" customHeight="1">
      <c r="A28" s="66">
        <v>1026</v>
      </c>
      <c r="B28" s="67" t="s">
        <v>2696</v>
      </c>
      <c r="C28" s="67" t="s">
        <v>2697</v>
      </c>
      <c r="D28" s="67" t="s">
        <v>2698</v>
      </c>
      <c r="E28" s="66">
        <v>1</v>
      </c>
      <c r="F28" s="68">
        <v>1</v>
      </c>
      <c r="G28" s="69">
        <v>26</v>
      </c>
      <c r="H28" s="37" t="s">
        <v>295</v>
      </c>
      <c r="I28" s="37" t="s">
        <v>295</v>
      </c>
      <c r="J28" s="70">
        <v>10500100538002</v>
      </c>
      <c r="K28" s="38" t="s">
        <v>148</v>
      </c>
      <c r="L28" s="38"/>
      <c r="M28" s="38">
        <v>2</v>
      </c>
      <c r="N28" s="37" t="s">
        <v>284</v>
      </c>
      <c r="O28" s="37" t="s">
        <v>296</v>
      </c>
      <c r="P28" s="71">
        <v>5213916</v>
      </c>
      <c r="Q28" s="37" t="s">
        <v>297</v>
      </c>
      <c r="R28" s="37" t="s">
        <v>298</v>
      </c>
      <c r="S28" s="72" t="s">
        <v>299</v>
      </c>
      <c r="T28" s="98">
        <v>150</v>
      </c>
      <c r="U28" s="99">
        <v>100</v>
      </c>
      <c r="V28" s="99">
        <v>0</v>
      </c>
      <c r="W28" s="75" t="s">
        <v>2698</v>
      </c>
      <c r="X28" s="75" t="s">
        <v>2697</v>
      </c>
      <c r="Y28" s="76">
        <v>250</v>
      </c>
      <c r="Z28" s="73">
        <v>0</v>
      </c>
      <c r="AA28" s="74">
        <v>0</v>
      </c>
      <c r="AB28" s="74">
        <v>0</v>
      </c>
      <c r="AC28" s="75"/>
      <c r="AD28" s="75"/>
      <c r="AE28" s="76">
        <v>0</v>
      </c>
      <c r="AF28" s="77">
        <v>250</v>
      </c>
      <c r="AG28" s="78"/>
      <c r="AH28" s="79"/>
    </row>
    <row r="29" spans="1:34" s="80" customFormat="1" ht="12" customHeight="1">
      <c r="A29" s="66">
        <v>1027</v>
      </c>
      <c r="B29" s="67" t="s">
        <v>2696</v>
      </c>
      <c r="C29" s="67" t="s">
        <v>2697</v>
      </c>
      <c r="D29" s="67" t="s">
        <v>2698</v>
      </c>
      <c r="E29" s="66">
        <v>1</v>
      </c>
      <c r="F29" s="68">
        <v>1</v>
      </c>
      <c r="G29" s="69">
        <v>27</v>
      </c>
      <c r="H29" s="37" t="s">
        <v>300</v>
      </c>
      <c r="I29" s="37" t="s">
        <v>300</v>
      </c>
      <c r="J29" s="70">
        <v>10500102654902</v>
      </c>
      <c r="K29" s="38" t="s">
        <v>148</v>
      </c>
      <c r="L29" s="38"/>
      <c r="M29" s="38">
        <v>3</v>
      </c>
      <c r="N29" s="37" t="s">
        <v>301</v>
      </c>
      <c r="O29" s="37" t="s">
        <v>302</v>
      </c>
      <c r="P29" s="71">
        <v>5290858</v>
      </c>
      <c r="Q29" s="37" t="s">
        <v>303</v>
      </c>
      <c r="R29" s="37" t="s">
        <v>304</v>
      </c>
      <c r="S29" s="72" t="s">
        <v>305</v>
      </c>
      <c r="T29" s="98">
        <v>114</v>
      </c>
      <c r="U29" s="99">
        <v>61</v>
      </c>
      <c r="V29" s="99">
        <v>0</v>
      </c>
      <c r="W29" s="75" t="s">
        <v>2698</v>
      </c>
      <c r="X29" s="75" t="s">
        <v>2697</v>
      </c>
      <c r="Y29" s="76">
        <v>175</v>
      </c>
      <c r="Z29" s="73">
        <v>0</v>
      </c>
      <c r="AA29" s="74">
        <v>0</v>
      </c>
      <c r="AB29" s="74">
        <v>0</v>
      </c>
      <c r="AC29" s="75"/>
      <c r="AD29" s="75"/>
      <c r="AE29" s="76">
        <v>0</v>
      </c>
      <c r="AF29" s="77">
        <v>175</v>
      </c>
      <c r="AG29" s="78"/>
      <c r="AH29" s="79"/>
    </row>
    <row r="30" spans="1:34" s="80" customFormat="1" ht="12" customHeight="1">
      <c r="A30" s="66">
        <v>1028</v>
      </c>
      <c r="B30" s="67" t="s">
        <v>2696</v>
      </c>
      <c r="C30" s="67" t="s">
        <v>2697</v>
      </c>
      <c r="D30" s="67" t="s">
        <v>2698</v>
      </c>
      <c r="E30" s="66">
        <v>1</v>
      </c>
      <c r="F30" s="68">
        <v>1</v>
      </c>
      <c r="G30" s="69">
        <v>28</v>
      </c>
      <c r="H30" s="37" t="s">
        <v>306</v>
      </c>
      <c r="I30" s="37" t="s">
        <v>306</v>
      </c>
      <c r="J30" s="70">
        <v>10500100147301</v>
      </c>
      <c r="K30" s="38" t="s">
        <v>148</v>
      </c>
      <c r="L30" s="38"/>
      <c r="M30" s="38">
        <v>3</v>
      </c>
      <c r="N30" s="37" t="s">
        <v>307</v>
      </c>
      <c r="O30" s="37" t="s">
        <v>308</v>
      </c>
      <c r="P30" s="71" t="s">
        <v>309</v>
      </c>
      <c r="Q30" s="37" t="s">
        <v>310</v>
      </c>
      <c r="R30" s="37" t="s">
        <v>311</v>
      </c>
      <c r="S30" s="72" t="s">
        <v>312</v>
      </c>
      <c r="T30" s="73">
        <v>0</v>
      </c>
      <c r="U30" s="74">
        <v>220</v>
      </c>
      <c r="V30" s="74">
        <v>110</v>
      </c>
      <c r="W30" s="75" t="s">
        <v>2698</v>
      </c>
      <c r="X30" s="75" t="s">
        <v>2697</v>
      </c>
      <c r="Y30" s="76">
        <v>330</v>
      </c>
      <c r="Z30" s="73">
        <v>0</v>
      </c>
      <c r="AA30" s="74">
        <v>0</v>
      </c>
      <c r="AB30" s="74">
        <v>0</v>
      </c>
      <c r="AC30" s="75"/>
      <c r="AD30" s="75"/>
      <c r="AE30" s="76">
        <v>0</v>
      </c>
      <c r="AF30" s="77">
        <v>330</v>
      </c>
      <c r="AG30" s="78"/>
      <c r="AH30" s="79"/>
    </row>
    <row r="31" spans="1:34" s="80" customFormat="1" ht="12" customHeight="1">
      <c r="A31" s="66">
        <v>1029</v>
      </c>
      <c r="B31" s="67" t="s">
        <v>2696</v>
      </c>
      <c r="C31" s="96" t="s">
        <v>2850</v>
      </c>
      <c r="D31" s="67" t="s">
        <v>2699</v>
      </c>
      <c r="E31" s="66">
        <v>1</v>
      </c>
      <c r="F31" s="68">
        <v>1</v>
      </c>
      <c r="G31" s="69">
        <v>29</v>
      </c>
      <c r="H31" s="37" t="s">
        <v>313</v>
      </c>
      <c r="I31" s="37" t="s">
        <v>313</v>
      </c>
      <c r="J31" s="70">
        <v>10500100248803</v>
      </c>
      <c r="K31" s="38" t="s">
        <v>148</v>
      </c>
      <c r="L31" s="38"/>
      <c r="M31" s="38">
        <v>3</v>
      </c>
      <c r="N31" s="37" t="s">
        <v>314</v>
      </c>
      <c r="O31" s="37" t="s">
        <v>315</v>
      </c>
      <c r="P31" s="71">
        <v>2843485</v>
      </c>
      <c r="Q31" s="37" t="s">
        <v>316</v>
      </c>
      <c r="R31" s="37" t="s">
        <v>317</v>
      </c>
      <c r="S31" s="72" t="s">
        <v>318</v>
      </c>
      <c r="T31" s="105">
        <v>368</v>
      </c>
      <c r="U31" s="106">
        <v>232</v>
      </c>
      <c r="V31" s="107">
        <v>0</v>
      </c>
      <c r="W31" s="75" t="s">
        <v>2698</v>
      </c>
      <c r="X31" s="75" t="s">
        <v>2697</v>
      </c>
      <c r="Y31" s="76">
        <v>600</v>
      </c>
      <c r="Z31" s="73">
        <v>125</v>
      </c>
      <c r="AA31" s="74">
        <v>41</v>
      </c>
      <c r="AB31" s="74">
        <v>0</v>
      </c>
      <c r="AC31" s="75" t="s">
        <v>2700</v>
      </c>
      <c r="AD31" s="75" t="s">
        <v>2674</v>
      </c>
      <c r="AE31" s="76">
        <v>166</v>
      </c>
      <c r="AF31" s="77">
        <v>766</v>
      </c>
      <c r="AG31" s="104"/>
      <c r="AH31" s="79"/>
    </row>
    <row r="32" spans="1:34" s="80" customFormat="1" ht="12" customHeight="1">
      <c r="A32" s="66">
        <v>1030</v>
      </c>
      <c r="B32" s="67" t="s">
        <v>2696</v>
      </c>
      <c r="C32" s="96" t="s">
        <v>2850</v>
      </c>
      <c r="D32" s="67" t="s">
        <v>2699</v>
      </c>
      <c r="E32" s="66">
        <v>1</v>
      </c>
      <c r="F32" s="68">
        <v>1</v>
      </c>
      <c r="G32" s="69">
        <v>30</v>
      </c>
      <c r="H32" s="37" t="s">
        <v>319</v>
      </c>
      <c r="I32" s="37" t="s">
        <v>319</v>
      </c>
      <c r="J32" s="70">
        <v>10500100552501</v>
      </c>
      <c r="K32" s="38" t="s">
        <v>148</v>
      </c>
      <c r="L32" s="38"/>
      <c r="M32" s="38">
        <v>3</v>
      </c>
      <c r="N32" s="37" t="s">
        <v>314</v>
      </c>
      <c r="O32" s="37" t="s">
        <v>320</v>
      </c>
      <c r="P32" s="71" t="s">
        <v>321</v>
      </c>
      <c r="Q32" s="37" t="s">
        <v>322</v>
      </c>
      <c r="R32" s="37" t="s">
        <v>323</v>
      </c>
      <c r="S32" s="72" t="s">
        <v>324</v>
      </c>
      <c r="T32" s="73">
        <v>68</v>
      </c>
      <c r="U32" s="74">
        <v>170</v>
      </c>
      <c r="V32" s="74">
        <v>82</v>
      </c>
      <c r="W32" s="75" t="s">
        <v>2698</v>
      </c>
      <c r="X32" s="75" t="s">
        <v>2697</v>
      </c>
      <c r="Y32" s="76">
        <v>320</v>
      </c>
      <c r="Z32" s="73">
        <v>215</v>
      </c>
      <c r="AA32" s="74">
        <v>290</v>
      </c>
      <c r="AB32" s="74">
        <v>95</v>
      </c>
      <c r="AC32" s="75" t="s">
        <v>2700</v>
      </c>
      <c r="AD32" s="75" t="s">
        <v>2674</v>
      </c>
      <c r="AE32" s="76">
        <v>600</v>
      </c>
      <c r="AF32" s="77">
        <v>920</v>
      </c>
      <c r="AG32" s="78"/>
      <c r="AH32" s="79"/>
    </row>
    <row r="33" spans="1:34" s="80" customFormat="1" ht="12" customHeight="1">
      <c r="A33" s="66">
        <v>1031</v>
      </c>
      <c r="B33" s="67" t="s">
        <v>2696</v>
      </c>
      <c r="C33" s="96" t="s">
        <v>2850</v>
      </c>
      <c r="D33" s="67" t="s">
        <v>2699</v>
      </c>
      <c r="E33" s="66">
        <v>1</v>
      </c>
      <c r="F33" s="68">
        <v>1</v>
      </c>
      <c r="G33" s="69">
        <v>31</v>
      </c>
      <c r="H33" s="37" t="s">
        <v>325</v>
      </c>
      <c r="I33" s="37" t="s">
        <v>325</v>
      </c>
      <c r="J33" s="70">
        <v>10500100965201</v>
      </c>
      <c r="K33" s="38" t="s">
        <v>148</v>
      </c>
      <c r="L33" s="38"/>
      <c r="M33" s="38">
        <v>3</v>
      </c>
      <c r="N33" s="37" t="s">
        <v>326</v>
      </c>
      <c r="O33" s="37" t="s">
        <v>327</v>
      </c>
      <c r="P33" s="71" t="s">
        <v>328</v>
      </c>
      <c r="Q33" s="37" t="s">
        <v>329</v>
      </c>
      <c r="R33" s="37" t="s">
        <v>330</v>
      </c>
      <c r="S33" s="72" t="s">
        <v>331</v>
      </c>
      <c r="T33" s="73">
        <v>69</v>
      </c>
      <c r="U33" s="74">
        <v>167</v>
      </c>
      <c r="V33" s="74">
        <v>164</v>
      </c>
      <c r="W33" s="75" t="s">
        <v>2698</v>
      </c>
      <c r="X33" s="75" t="s">
        <v>2697</v>
      </c>
      <c r="Y33" s="76">
        <v>400</v>
      </c>
      <c r="Z33" s="73">
        <v>0</v>
      </c>
      <c r="AA33" s="74">
        <v>130</v>
      </c>
      <c r="AB33" s="74">
        <v>70</v>
      </c>
      <c r="AC33" s="75" t="s">
        <v>2700</v>
      </c>
      <c r="AD33" s="75" t="s">
        <v>2674</v>
      </c>
      <c r="AE33" s="76">
        <v>200</v>
      </c>
      <c r="AF33" s="77">
        <v>600</v>
      </c>
      <c r="AG33" s="78"/>
      <c r="AH33" s="79"/>
    </row>
    <row r="34" spans="1:34" s="80" customFormat="1" ht="12" customHeight="1">
      <c r="A34" s="66">
        <v>1032</v>
      </c>
      <c r="B34" s="67" t="s">
        <v>2696</v>
      </c>
      <c r="C34" s="96" t="s">
        <v>2850</v>
      </c>
      <c r="D34" s="67" t="s">
        <v>2699</v>
      </c>
      <c r="E34" s="66">
        <v>1</v>
      </c>
      <c r="F34" s="68">
        <v>1</v>
      </c>
      <c r="G34" s="69">
        <v>32</v>
      </c>
      <c r="H34" s="85" t="s">
        <v>332</v>
      </c>
      <c r="I34" s="85" t="s">
        <v>332</v>
      </c>
      <c r="J34" s="86">
        <v>10500101058801</v>
      </c>
      <c r="K34" s="87" t="s">
        <v>148</v>
      </c>
      <c r="L34" s="87"/>
      <c r="M34" s="87">
        <v>3</v>
      </c>
      <c r="N34" s="85" t="s">
        <v>333</v>
      </c>
      <c r="O34" s="85" t="s">
        <v>334</v>
      </c>
      <c r="P34" s="89">
        <v>2631727</v>
      </c>
      <c r="Q34" s="85" t="s">
        <v>335</v>
      </c>
      <c r="R34" s="85" t="s">
        <v>336</v>
      </c>
      <c r="S34" s="90" t="s">
        <v>337</v>
      </c>
      <c r="T34" s="91">
        <v>0</v>
      </c>
      <c r="U34" s="92">
        <v>200</v>
      </c>
      <c r="V34" s="92">
        <v>200</v>
      </c>
      <c r="W34" s="75" t="s">
        <v>2698</v>
      </c>
      <c r="X34" s="75" t="s">
        <v>2697</v>
      </c>
      <c r="Y34" s="76">
        <v>400</v>
      </c>
      <c r="Z34" s="91">
        <v>0</v>
      </c>
      <c r="AA34" s="92">
        <v>200</v>
      </c>
      <c r="AB34" s="92">
        <v>200</v>
      </c>
      <c r="AC34" s="75" t="s">
        <v>2700</v>
      </c>
      <c r="AD34" s="75" t="s">
        <v>2674</v>
      </c>
      <c r="AE34" s="76">
        <v>400</v>
      </c>
      <c r="AF34" s="77">
        <v>800</v>
      </c>
      <c r="AG34" s="94"/>
      <c r="AH34" s="100" t="s">
        <v>338</v>
      </c>
    </row>
    <row r="35" spans="1:34" s="80" customFormat="1" ht="12" customHeight="1">
      <c r="A35" s="66">
        <v>1033</v>
      </c>
      <c r="B35" s="67" t="s">
        <v>2696</v>
      </c>
      <c r="C35" s="96" t="s">
        <v>2850</v>
      </c>
      <c r="D35" s="67" t="s">
        <v>2699</v>
      </c>
      <c r="E35" s="66">
        <v>1</v>
      </c>
      <c r="F35" s="108">
        <v>1</v>
      </c>
      <c r="G35" s="69">
        <v>33</v>
      </c>
      <c r="H35" s="85" t="s">
        <v>332</v>
      </c>
      <c r="I35" s="85" t="s">
        <v>339</v>
      </c>
      <c r="J35" s="86">
        <v>10500101058802</v>
      </c>
      <c r="K35" s="87" t="s">
        <v>148</v>
      </c>
      <c r="L35" s="95"/>
      <c r="M35" s="87">
        <v>3</v>
      </c>
      <c r="N35" s="85" t="s">
        <v>333</v>
      </c>
      <c r="O35" s="85" t="s">
        <v>334</v>
      </c>
      <c r="P35" s="89">
        <v>2631727</v>
      </c>
      <c r="Q35" s="85" t="s">
        <v>335</v>
      </c>
      <c r="R35" s="85" t="s">
        <v>336</v>
      </c>
      <c r="S35" s="90" t="s">
        <v>337</v>
      </c>
      <c r="T35" s="91">
        <v>0</v>
      </c>
      <c r="U35" s="92">
        <v>200</v>
      </c>
      <c r="V35" s="92">
        <v>0</v>
      </c>
      <c r="W35" s="75" t="s">
        <v>2698</v>
      </c>
      <c r="X35" s="75" t="s">
        <v>2697</v>
      </c>
      <c r="Y35" s="76">
        <v>200</v>
      </c>
      <c r="Z35" s="91">
        <v>400</v>
      </c>
      <c r="AA35" s="92">
        <v>200</v>
      </c>
      <c r="AB35" s="92">
        <v>0</v>
      </c>
      <c r="AC35" s="75" t="s">
        <v>2700</v>
      </c>
      <c r="AD35" s="75" t="s">
        <v>2674</v>
      </c>
      <c r="AE35" s="76">
        <v>600</v>
      </c>
      <c r="AF35" s="77">
        <v>800</v>
      </c>
      <c r="AG35" s="94"/>
      <c r="AH35" s="101"/>
    </row>
    <row r="36" spans="1:34" s="80" customFormat="1" ht="12" customHeight="1">
      <c r="A36" s="66">
        <v>1034</v>
      </c>
      <c r="B36" s="67" t="s">
        <v>2696</v>
      </c>
      <c r="C36" s="67" t="s">
        <v>2697</v>
      </c>
      <c r="D36" s="67" t="s">
        <v>2698</v>
      </c>
      <c r="E36" s="66">
        <v>1</v>
      </c>
      <c r="F36" s="68">
        <v>1</v>
      </c>
      <c r="G36" s="69">
        <v>34</v>
      </c>
      <c r="H36" s="37" t="s">
        <v>340</v>
      </c>
      <c r="I36" s="37" t="s">
        <v>340</v>
      </c>
      <c r="J36" s="70">
        <v>10500100115501</v>
      </c>
      <c r="K36" s="38" t="s">
        <v>148</v>
      </c>
      <c r="L36" s="38"/>
      <c r="M36" s="38">
        <v>3</v>
      </c>
      <c r="N36" s="37" t="s">
        <v>341</v>
      </c>
      <c r="O36" s="37" t="s">
        <v>342</v>
      </c>
      <c r="P36" s="71" t="s">
        <v>343</v>
      </c>
      <c r="Q36" s="37" t="s">
        <v>344</v>
      </c>
      <c r="R36" s="37" t="s">
        <v>345</v>
      </c>
      <c r="S36" s="72" t="s">
        <v>346</v>
      </c>
      <c r="T36" s="73">
        <v>206</v>
      </c>
      <c r="U36" s="74">
        <v>311</v>
      </c>
      <c r="V36" s="74">
        <v>83</v>
      </c>
      <c r="W36" s="75" t="s">
        <v>2698</v>
      </c>
      <c r="X36" s="75" t="s">
        <v>2697</v>
      </c>
      <c r="Y36" s="76">
        <v>600</v>
      </c>
      <c r="Z36" s="73">
        <v>0</v>
      </c>
      <c r="AA36" s="74">
        <v>0</v>
      </c>
      <c r="AB36" s="74">
        <v>0</v>
      </c>
      <c r="AC36" s="75"/>
      <c r="AD36" s="75"/>
      <c r="AE36" s="76">
        <v>0</v>
      </c>
      <c r="AF36" s="77">
        <v>600</v>
      </c>
      <c r="AG36" s="78"/>
      <c r="AH36" s="79"/>
    </row>
    <row r="37" spans="1:34" s="80" customFormat="1" ht="12" customHeight="1">
      <c r="A37" s="66">
        <v>1035</v>
      </c>
      <c r="B37" s="67" t="s">
        <v>2696</v>
      </c>
      <c r="C37" s="96" t="s">
        <v>2850</v>
      </c>
      <c r="D37" s="67" t="s">
        <v>2699</v>
      </c>
      <c r="E37" s="66">
        <v>1</v>
      </c>
      <c r="F37" s="68">
        <v>1</v>
      </c>
      <c r="G37" s="69">
        <v>35</v>
      </c>
      <c r="H37" s="37" t="s">
        <v>347</v>
      </c>
      <c r="I37" s="37" t="s">
        <v>347</v>
      </c>
      <c r="J37" s="70">
        <v>10500100166001</v>
      </c>
      <c r="K37" s="38" t="s">
        <v>148</v>
      </c>
      <c r="L37" s="38"/>
      <c r="M37" s="38">
        <v>3</v>
      </c>
      <c r="N37" s="37" t="s">
        <v>341</v>
      </c>
      <c r="O37" s="37" t="s">
        <v>348</v>
      </c>
      <c r="P37" s="71">
        <v>2363000</v>
      </c>
      <c r="Q37" s="37" t="s">
        <v>349</v>
      </c>
      <c r="R37" s="37" t="s">
        <v>350</v>
      </c>
      <c r="S37" s="72" t="s">
        <v>351</v>
      </c>
      <c r="T37" s="98">
        <v>0</v>
      </c>
      <c r="U37" s="99">
        <v>140</v>
      </c>
      <c r="V37" s="99">
        <v>110</v>
      </c>
      <c r="W37" s="75" t="s">
        <v>2698</v>
      </c>
      <c r="X37" s="75" t="s">
        <v>2697</v>
      </c>
      <c r="Y37" s="76">
        <v>250</v>
      </c>
      <c r="Z37" s="98">
        <v>228</v>
      </c>
      <c r="AA37" s="99">
        <v>352</v>
      </c>
      <c r="AB37" s="99">
        <v>70</v>
      </c>
      <c r="AC37" s="75" t="s">
        <v>2700</v>
      </c>
      <c r="AD37" s="75" t="s">
        <v>2674</v>
      </c>
      <c r="AE37" s="76">
        <v>650</v>
      </c>
      <c r="AF37" s="77">
        <v>900</v>
      </c>
      <c r="AG37" s="78"/>
      <c r="AH37" s="79"/>
    </row>
    <row r="38" spans="1:34" s="80" customFormat="1" ht="12" customHeight="1">
      <c r="A38" s="66">
        <v>1036</v>
      </c>
      <c r="B38" s="67" t="s">
        <v>2696</v>
      </c>
      <c r="C38" s="67" t="s">
        <v>2697</v>
      </c>
      <c r="D38" s="67" t="s">
        <v>2698</v>
      </c>
      <c r="E38" s="66">
        <v>1</v>
      </c>
      <c r="F38" s="68">
        <v>1</v>
      </c>
      <c r="G38" s="69">
        <v>36</v>
      </c>
      <c r="H38" s="37" t="s">
        <v>352</v>
      </c>
      <c r="I38" s="37" t="s">
        <v>352</v>
      </c>
      <c r="J38" s="70">
        <v>10500100986501</v>
      </c>
      <c r="K38" s="38" t="s">
        <v>148</v>
      </c>
      <c r="L38" s="38"/>
      <c r="M38" s="38">
        <v>3</v>
      </c>
      <c r="N38" s="37" t="s">
        <v>353</v>
      </c>
      <c r="O38" s="37" t="s">
        <v>354</v>
      </c>
      <c r="P38" s="71"/>
      <c r="Q38" s="37" t="s">
        <v>355</v>
      </c>
      <c r="R38" s="37" t="s">
        <v>356</v>
      </c>
      <c r="S38" s="72" t="s">
        <v>357</v>
      </c>
      <c r="T38" s="73">
        <v>0</v>
      </c>
      <c r="U38" s="74">
        <v>228</v>
      </c>
      <c r="V38" s="74">
        <v>72</v>
      </c>
      <c r="W38" s="75" t="s">
        <v>2698</v>
      </c>
      <c r="X38" s="75" t="s">
        <v>2697</v>
      </c>
      <c r="Y38" s="76">
        <v>300</v>
      </c>
      <c r="Z38" s="73">
        <v>0</v>
      </c>
      <c r="AA38" s="74">
        <v>0</v>
      </c>
      <c r="AB38" s="74">
        <v>0</v>
      </c>
      <c r="AC38" s="75"/>
      <c r="AD38" s="75"/>
      <c r="AE38" s="76">
        <v>0</v>
      </c>
      <c r="AF38" s="77">
        <v>300</v>
      </c>
      <c r="AG38" s="78"/>
      <c r="AH38" s="79"/>
    </row>
    <row r="39" spans="1:34" s="80" customFormat="1" ht="12" customHeight="1">
      <c r="A39" s="66">
        <v>1037</v>
      </c>
      <c r="B39" s="67" t="s">
        <v>2696</v>
      </c>
      <c r="C39" s="96" t="s">
        <v>2850</v>
      </c>
      <c r="D39" s="67" t="s">
        <v>2699</v>
      </c>
      <c r="E39" s="66">
        <v>1</v>
      </c>
      <c r="F39" s="68">
        <v>1</v>
      </c>
      <c r="G39" s="69">
        <v>37</v>
      </c>
      <c r="H39" s="37" t="s">
        <v>358</v>
      </c>
      <c r="I39" s="37" t="s">
        <v>358</v>
      </c>
      <c r="J39" s="70">
        <v>10500102210101</v>
      </c>
      <c r="K39" s="38" t="s">
        <v>148</v>
      </c>
      <c r="L39" s="38"/>
      <c r="M39" s="38">
        <v>3</v>
      </c>
      <c r="N39" s="37" t="s">
        <v>326</v>
      </c>
      <c r="O39" s="37" t="s">
        <v>359</v>
      </c>
      <c r="P39" s="71">
        <v>5710070</v>
      </c>
      <c r="Q39" s="37" t="s">
        <v>360</v>
      </c>
      <c r="R39" s="37" t="s">
        <v>361</v>
      </c>
      <c r="S39" s="72" t="s">
        <v>362</v>
      </c>
      <c r="T39" s="73">
        <v>183</v>
      </c>
      <c r="U39" s="74">
        <v>119</v>
      </c>
      <c r="V39" s="74">
        <v>58</v>
      </c>
      <c r="W39" s="75" t="s">
        <v>2698</v>
      </c>
      <c r="X39" s="75" t="s">
        <v>2697</v>
      </c>
      <c r="Y39" s="76">
        <v>360</v>
      </c>
      <c r="Z39" s="73">
        <v>43</v>
      </c>
      <c r="AA39" s="74">
        <v>215</v>
      </c>
      <c r="AB39" s="74">
        <v>67</v>
      </c>
      <c r="AC39" s="75" t="s">
        <v>2700</v>
      </c>
      <c r="AD39" s="75" t="s">
        <v>2674</v>
      </c>
      <c r="AE39" s="76">
        <v>325</v>
      </c>
      <c r="AF39" s="77">
        <v>685</v>
      </c>
      <c r="AG39" s="78"/>
      <c r="AH39" s="79"/>
    </row>
    <row r="40" spans="1:34" s="80" customFormat="1" ht="12" customHeight="1">
      <c r="A40" s="66">
        <v>1038</v>
      </c>
      <c r="B40" s="67" t="s">
        <v>2696</v>
      </c>
      <c r="C40" s="96" t="s">
        <v>2850</v>
      </c>
      <c r="D40" s="67" t="s">
        <v>2699</v>
      </c>
      <c r="E40" s="66">
        <v>1</v>
      </c>
      <c r="F40" s="68">
        <v>1</v>
      </c>
      <c r="G40" s="69">
        <v>38</v>
      </c>
      <c r="H40" s="37" t="s">
        <v>363</v>
      </c>
      <c r="I40" s="37" t="s">
        <v>363</v>
      </c>
      <c r="J40" s="70">
        <v>10500100213501</v>
      </c>
      <c r="K40" s="38" t="s">
        <v>148</v>
      </c>
      <c r="L40" s="38"/>
      <c r="M40" s="38">
        <v>3</v>
      </c>
      <c r="N40" s="37" t="s">
        <v>364</v>
      </c>
      <c r="O40" s="37" t="s">
        <v>365</v>
      </c>
      <c r="P40" s="71">
        <v>2636985</v>
      </c>
      <c r="Q40" s="37" t="s">
        <v>303</v>
      </c>
      <c r="R40" s="37" t="s">
        <v>366</v>
      </c>
      <c r="S40" s="72" t="s">
        <v>367</v>
      </c>
      <c r="T40" s="98">
        <v>200</v>
      </c>
      <c r="U40" s="99">
        <v>200</v>
      </c>
      <c r="V40" s="99">
        <v>0</v>
      </c>
      <c r="W40" s="75" t="s">
        <v>2698</v>
      </c>
      <c r="X40" s="75" t="s">
        <v>2697</v>
      </c>
      <c r="Y40" s="76">
        <v>400</v>
      </c>
      <c r="Z40" s="98">
        <v>145</v>
      </c>
      <c r="AA40" s="99">
        <v>373</v>
      </c>
      <c r="AB40" s="99">
        <v>107</v>
      </c>
      <c r="AC40" s="75" t="s">
        <v>2700</v>
      </c>
      <c r="AD40" s="75" t="s">
        <v>2674</v>
      </c>
      <c r="AE40" s="76">
        <v>625</v>
      </c>
      <c r="AF40" s="77">
        <v>1025</v>
      </c>
      <c r="AG40" s="78"/>
      <c r="AH40" s="79"/>
    </row>
    <row r="41" spans="1:34" s="80" customFormat="1" ht="12" customHeight="1">
      <c r="A41" s="66">
        <v>1039</v>
      </c>
      <c r="B41" s="67" t="s">
        <v>2696</v>
      </c>
      <c r="C41" s="67" t="s">
        <v>2697</v>
      </c>
      <c r="D41" s="67" t="s">
        <v>2698</v>
      </c>
      <c r="E41" s="66">
        <v>1</v>
      </c>
      <c r="F41" s="68">
        <v>1</v>
      </c>
      <c r="G41" s="69">
        <v>39</v>
      </c>
      <c r="H41" s="37" t="s">
        <v>368</v>
      </c>
      <c r="I41" s="37" t="s">
        <v>368</v>
      </c>
      <c r="J41" s="70">
        <v>10500100213503</v>
      </c>
      <c r="K41" s="38" t="s">
        <v>148</v>
      </c>
      <c r="L41" s="38"/>
      <c r="M41" s="38">
        <v>3</v>
      </c>
      <c r="N41" s="37" t="s">
        <v>369</v>
      </c>
      <c r="O41" s="37" t="s">
        <v>370</v>
      </c>
      <c r="P41" s="71" t="s">
        <v>371</v>
      </c>
      <c r="Q41" s="37" t="s">
        <v>303</v>
      </c>
      <c r="R41" s="37" t="s">
        <v>372</v>
      </c>
      <c r="S41" s="72" t="s">
        <v>373</v>
      </c>
      <c r="T41" s="98">
        <v>290</v>
      </c>
      <c r="U41" s="99">
        <v>110</v>
      </c>
      <c r="V41" s="99">
        <v>0</v>
      </c>
      <c r="W41" s="75" t="s">
        <v>2698</v>
      </c>
      <c r="X41" s="75" t="s">
        <v>2697</v>
      </c>
      <c r="Y41" s="76">
        <v>400</v>
      </c>
      <c r="Z41" s="73">
        <v>0</v>
      </c>
      <c r="AA41" s="74">
        <v>0</v>
      </c>
      <c r="AB41" s="74">
        <v>0</v>
      </c>
      <c r="AC41" s="75"/>
      <c r="AD41" s="75"/>
      <c r="AE41" s="76">
        <v>0</v>
      </c>
      <c r="AF41" s="77">
        <v>400</v>
      </c>
      <c r="AG41" s="78"/>
      <c r="AH41" s="79"/>
    </row>
    <row r="42" spans="1:34" s="80" customFormat="1" ht="12" customHeight="1">
      <c r="A42" s="66">
        <v>1040</v>
      </c>
      <c r="B42" s="67" t="s">
        <v>2696</v>
      </c>
      <c r="C42" s="96" t="s">
        <v>2850</v>
      </c>
      <c r="D42" s="67" t="s">
        <v>2699</v>
      </c>
      <c r="E42" s="66">
        <v>1</v>
      </c>
      <c r="F42" s="68">
        <v>1</v>
      </c>
      <c r="G42" s="69">
        <v>40</v>
      </c>
      <c r="H42" s="37" t="s">
        <v>374</v>
      </c>
      <c r="I42" s="37" t="s">
        <v>374</v>
      </c>
      <c r="J42" s="70">
        <v>10500100087601</v>
      </c>
      <c r="K42" s="38" t="s">
        <v>148</v>
      </c>
      <c r="L42" s="38"/>
      <c r="M42" s="38">
        <v>4</v>
      </c>
      <c r="N42" s="37" t="s">
        <v>375</v>
      </c>
      <c r="O42" s="37" t="s">
        <v>376</v>
      </c>
      <c r="P42" s="71" t="s">
        <v>377</v>
      </c>
      <c r="Q42" s="37" t="s">
        <v>378</v>
      </c>
      <c r="R42" s="37" t="s">
        <v>379</v>
      </c>
      <c r="S42" s="72" t="s">
        <v>380</v>
      </c>
      <c r="T42" s="73">
        <v>220</v>
      </c>
      <c r="U42" s="74">
        <v>120</v>
      </c>
      <c r="V42" s="74">
        <v>60</v>
      </c>
      <c r="W42" s="75" t="s">
        <v>2698</v>
      </c>
      <c r="X42" s="75" t="s">
        <v>2697</v>
      </c>
      <c r="Y42" s="76">
        <v>400</v>
      </c>
      <c r="Z42" s="73">
        <v>20</v>
      </c>
      <c r="AA42" s="74">
        <v>249</v>
      </c>
      <c r="AB42" s="74">
        <v>91</v>
      </c>
      <c r="AC42" s="75" t="s">
        <v>2700</v>
      </c>
      <c r="AD42" s="75" t="s">
        <v>2674</v>
      </c>
      <c r="AE42" s="76">
        <v>360</v>
      </c>
      <c r="AF42" s="77">
        <v>760</v>
      </c>
      <c r="AG42" s="78"/>
      <c r="AH42" s="79"/>
    </row>
    <row r="43" spans="1:34" s="80" customFormat="1" ht="12" customHeight="1">
      <c r="A43" s="66">
        <v>1041</v>
      </c>
      <c r="B43" s="67" t="s">
        <v>2696</v>
      </c>
      <c r="C43" s="96" t="s">
        <v>2850</v>
      </c>
      <c r="D43" s="67" t="s">
        <v>2699</v>
      </c>
      <c r="E43" s="66">
        <v>1</v>
      </c>
      <c r="F43" s="68">
        <v>1</v>
      </c>
      <c r="G43" s="69">
        <v>41</v>
      </c>
      <c r="H43" s="37" t="s">
        <v>381</v>
      </c>
      <c r="I43" s="37" t="s">
        <v>381</v>
      </c>
      <c r="J43" s="70">
        <v>10500101906201</v>
      </c>
      <c r="K43" s="38" t="s">
        <v>148</v>
      </c>
      <c r="L43" s="38"/>
      <c r="M43" s="38">
        <v>4</v>
      </c>
      <c r="N43" s="37" t="s">
        <v>382</v>
      </c>
      <c r="O43" s="37" t="s">
        <v>383</v>
      </c>
      <c r="P43" s="71" t="s">
        <v>384</v>
      </c>
      <c r="Q43" s="37" t="s">
        <v>385</v>
      </c>
      <c r="R43" s="37" t="s">
        <v>386</v>
      </c>
      <c r="S43" s="72" t="s">
        <v>387</v>
      </c>
      <c r="T43" s="98">
        <v>0</v>
      </c>
      <c r="U43" s="99">
        <v>97</v>
      </c>
      <c r="V43" s="99">
        <v>73</v>
      </c>
      <c r="W43" s="75" t="s">
        <v>2698</v>
      </c>
      <c r="X43" s="75" t="s">
        <v>2697</v>
      </c>
      <c r="Y43" s="76">
        <v>170</v>
      </c>
      <c r="Z43" s="98">
        <v>0</v>
      </c>
      <c r="AA43" s="99">
        <v>81</v>
      </c>
      <c r="AB43" s="99">
        <v>54</v>
      </c>
      <c r="AC43" s="75" t="s">
        <v>2700</v>
      </c>
      <c r="AD43" s="75" t="s">
        <v>2674</v>
      </c>
      <c r="AE43" s="76">
        <v>135</v>
      </c>
      <c r="AF43" s="77">
        <v>305</v>
      </c>
      <c r="AG43" s="78"/>
      <c r="AH43" s="79"/>
    </row>
    <row r="44" spans="1:34" s="80" customFormat="1" ht="12" customHeight="1">
      <c r="A44" s="66">
        <v>1042</v>
      </c>
      <c r="B44" s="67" t="s">
        <v>2696</v>
      </c>
      <c r="C44" s="67" t="s">
        <v>2697</v>
      </c>
      <c r="D44" s="67" t="s">
        <v>2698</v>
      </c>
      <c r="E44" s="66">
        <v>1</v>
      </c>
      <c r="F44" s="68">
        <v>1</v>
      </c>
      <c r="G44" s="69">
        <v>42</v>
      </c>
      <c r="H44" s="37" t="s">
        <v>388</v>
      </c>
      <c r="I44" s="37" t="s">
        <v>388</v>
      </c>
      <c r="J44" s="70">
        <v>10500101906202</v>
      </c>
      <c r="K44" s="38" t="s">
        <v>148</v>
      </c>
      <c r="L44" s="38"/>
      <c r="M44" s="38">
        <v>4</v>
      </c>
      <c r="N44" s="37" t="s">
        <v>389</v>
      </c>
      <c r="O44" s="37" t="s">
        <v>390</v>
      </c>
      <c r="P44" s="71">
        <v>2334295</v>
      </c>
      <c r="Q44" s="37" t="s">
        <v>385</v>
      </c>
      <c r="R44" s="37" t="s">
        <v>391</v>
      </c>
      <c r="S44" s="72" t="s">
        <v>392</v>
      </c>
      <c r="T44" s="98">
        <v>133</v>
      </c>
      <c r="U44" s="99">
        <v>67</v>
      </c>
      <c r="V44" s="99">
        <v>0</v>
      </c>
      <c r="W44" s="75" t="s">
        <v>2698</v>
      </c>
      <c r="X44" s="75" t="s">
        <v>2697</v>
      </c>
      <c r="Y44" s="76">
        <v>200</v>
      </c>
      <c r="Z44" s="73">
        <v>0</v>
      </c>
      <c r="AA44" s="74">
        <v>0</v>
      </c>
      <c r="AB44" s="74">
        <v>0</v>
      </c>
      <c r="AC44" s="75"/>
      <c r="AD44" s="75"/>
      <c r="AE44" s="76">
        <v>0</v>
      </c>
      <c r="AF44" s="77">
        <v>200</v>
      </c>
      <c r="AG44" s="104"/>
      <c r="AH44" s="79"/>
    </row>
    <row r="45" spans="1:34" s="80" customFormat="1" ht="12" customHeight="1">
      <c r="A45" s="66">
        <v>1043</v>
      </c>
      <c r="B45" s="67" t="s">
        <v>2696</v>
      </c>
      <c r="C45" s="67" t="s">
        <v>2697</v>
      </c>
      <c r="D45" s="67" t="s">
        <v>2698</v>
      </c>
      <c r="E45" s="66">
        <v>1</v>
      </c>
      <c r="F45" s="68">
        <v>1</v>
      </c>
      <c r="G45" s="69">
        <v>43</v>
      </c>
      <c r="H45" s="37" t="s">
        <v>393</v>
      </c>
      <c r="I45" s="37" t="s">
        <v>393</v>
      </c>
      <c r="J45" s="70">
        <v>10500100529101</v>
      </c>
      <c r="K45" s="38" t="s">
        <v>148</v>
      </c>
      <c r="L45" s="38"/>
      <c r="M45" s="38">
        <v>4</v>
      </c>
      <c r="N45" s="37" t="s">
        <v>382</v>
      </c>
      <c r="O45" s="37" t="s">
        <v>394</v>
      </c>
      <c r="P45" s="71" t="s">
        <v>395</v>
      </c>
      <c r="Q45" s="37" t="s">
        <v>396</v>
      </c>
      <c r="R45" s="37" t="s">
        <v>397</v>
      </c>
      <c r="S45" s="72" t="s">
        <v>398</v>
      </c>
      <c r="T45" s="98">
        <v>86</v>
      </c>
      <c r="U45" s="99">
        <v>163</v>
      </c>
      <c r="V45" s="99">
        <v>71</v>
      </c>
      <c r="W45" s="75" t="s">
        <v>2698</v>
      </c>
      <c r="X45" s="75" t="s">
        <v>2697</v>
      </c>
      <c r="Y45" s="76">
        <v>320</v>
      </c>
      <c r="Z45" s="73">
        <v>0</v>
      </c>
      <c r="AA45" s="74">
        <v>0</v>
      </c>
      <c r="AB45" s="74">
        <v>0</v>
      </c>
      <c r="AC45" s="75"/>
      <c r="AD45" s="75"/>
      <c r="AE45" s="76">
        <v>0</v>
      </c>
      <c r="AF45" s="77">
        <v>320</v>
      </c>
      <c r="AG45" s="78"/>
      <c r="AH45" s="79"/>
    </row>
    <row r="46" spans="1:34" s="80" customFormat="1" ht="12" customHeight="1">
      <c r="A46" s="66">
        <v>1044</v>
      </c>
      <c r="B46" s="67" t="s">
        <v>2696</v>
      </c>
      <c r="C46" s="96" t="s">
        <v>2850</v>
      </c>
      <c r="D46" s="67" t="s">
        <v>2699</v>
      </c>
      <c r="E46" s="66">
        <v>1</v>
      </c>
      <c r="F46" s="68">
        <v>1</v>
      </c>
      <c r="G46" s="69">
        <v>44</v>
      </c>
      <c r="H46" s="37" t="s">
        <v>399</v>
      </c>
      <c r="I46" s="37" t="s">
        <v>399</v>
      </c>
      <c r="J46" s="70">
        <v>10500100587801</v>
      </c>
      <c r="K46" s="38" t="s">
        <v>148</v>
      </c>
      <c r="L46" s="38"/>
      <c r="M46" s="38">
        <v>4</v>
      </c>
      <c r="N46" s="37" t="s">
        <v>400</v>
      </c>
      <c r="O46" s="37" t="s">
        <v>401</v>
      </c>
      <c r="P46" s="71" t="s">
        <v>402</v>
      </c>
      <c r="Q46" s="37" t="s">
        <v>403</v>
      </c>
      <c r="R46" s="37" t="s">
        <v>404</v>
      </c>
      <c r="S46" s="72" t="s">
        <v>405</v>
      </c>
      <c r="T46" s="73">
        <v>0</v>
      </c>
      <c r="U46" s="74">
        <v>282</v>
      </c>
      <c r="V46" s="74">
        <v>78</v>
      </c>
      <c r="W46" s="75" t="s">
        <v>2698</v>
      </c>
      <c r="X46" s="75" t="s">
        <v>2697</v>
      </c>
      <c r="Y46" s="76">
        <v>360</v>
      </c>
      <c r="Z46" s="73">
        <v>0</v>
      </c>
      <c r="AA46" s="74">
        <v>350</v>
      </c>
      <c r="AB46" s="74">
        <v>100</v>
      </c>
      <c r="AC46" s="75" t="s">
        <v>2700</v>
      </c>
      <c r="AD46" s="75" t="s">
        <v>2674</v>
      </c>
      <c r="AE46" s="76">
        <v>450</v>
      </c>
      <c r="AF46" s="77">
        <v>810</v>
      </c>
      <c r="AG46" s="78"/>
      <c r="AH46" s="79"/>
    </row>
    <row r="47" spans="1:34" s="80" customFormat="1" ht="12" customHeight="1">
      <c r="A47" s="66">
        <v>1045</v>
      </c>
      <c r="B47" s="67" t="s">
        <v>2696</v>
      </c>
      <c r="C47" s="96" t="s">
        <v>2850</v>
      </c>
      <c r="D47" s="67" t="s">
        <v>2699</v>
      </c>
      <c r="E47" s="66">
        <v>1</v>
      </c>
      <c r="F47" s="68">
        <v>1</v>
      </c>
      <c r="G47" s="69">
        <v>45</v>
      </c>
      <c r="H47" s="37" t="s">
        <v>406</v>
      </c>
      <c r="I47" s="37" t="s">
        <v>406</v>
      </c>
      <c r="J47" s="70">
        <v>10500100587802</v>
      </c>
      <c r="K47" s="38" t="s">
        <v>148</v>
      </c>
      <c r="L47" s="38"/>
      <c r="M47" s="38">
        <v>4</v>
      </c>
      <c r="N47" s="37" t="s">
        <v>400</v>
      </c>
      <c r="O47" s="37" t="s">
        <v>407</v>
      </c>
      <c r="P47" s="71">
        <v>2333510</v>
      </c>
      <c r="Q47" s="37" t="s">
        <v>403</v>
      </c>
      <c r="R47" s="37" t="s">
        <v>408</v>
      </c>
      <c r="S47" s="72" t="s">
        <v>409</v>
      </c>
      <c r="T47" s="73">
        <v>225</v>
      </c>
      <c r="U47" s="74">
        <v>0</v>
      </c>
      <c r="V47" s="74">
        <v>0</v>
      </c>
      <c r="W47" s="75" t="s">
        <v>2698</v>
      </c>
      <c r="X47" s="75" t="s">
        <v>2697</v>
      </c>
      <c r="Y47" s="76">
        <v>225</v>
      </c>
      <c r="Z47" s="73">
        <v>340</v>
      </c>
      <c r="AA47" s="74">
        <v>0</v>
      </c>
      <c r="AB47" s="74">
        <v>0</v>
      </c>
      <c r="AC47" s="75" t="s">
        <v>2700</v>
      </c>
      <c r="AD47" s="75" t="s">
        <v>2674</v>
      </c>
      <c r="AE47" s="76">
        <v>340</v>
      </c>
      <c r="AF47" s="77">
        <v>565</v>
      </c>
      <c r="AG47" s="78"/>
      <c r="AH47" s="79"/>
    </row>
    <row r="48" spans="1:34" s="80" customFormat="1" ht="12" customHeight="1">
      <c r="A48" s="66">
        <v>1046</v>
      </c>
      <c r="B48" s="67" t="s">
        <v>2696</v>
      </c>
      <c r="C48" s="67" t="s">
        <v>2697</v>
      </c>
      <c r="D48" s="67" t="s">
        <v>2698</v>
      </c>
      <c r="E48" s="66">
        <v>1</v>
      </c>
      <c r="F48" s="68">
        <v>1</v>
      </c>
      <c r="G48" s="69">
        <v>46</v>
      </c>
      <c r="H48" s="37" t="s">
        <v>410</v>
      </c>
      <c r="I48" s="37" t="s">
        <v>410</v>
      </c>
      <c r="J48" s="70">
        <v>10500100210101</v>
      </c>
      <c r="K48" s="38" t="s">
        <v>148</v>
      </c>
      <c r="L48" s="38"/>
      <c r="M48" s="38">
        <v>4</v>
      </c>
      <c r="N48" s="37" t="s">
        <v>411</v>
      </c>
      <c r="O48" s="37" t="s">
        <v>412</v>
      </c>
      <c r="P48" s="71" t="s">
        <v>413</v>
      </c>
      <c r="Q48" s="37" t="s">
        <v>414</v>
      </c>
      <c r="R48" s="37" t="s">
        <v>415</v>
      </c>
      <c r="S48" s="72" t="s">
        <v>416</v>
      </c>
      <c r="T48" s="73">
        <v>100</v>
      </c>
      <c r="U48" s="74">
        <v>100</v>
      </c>
      <c r="V48" s="74">
        <v>100</v>
      </c>
      <c r="W48" s="75" t="s">
        <v>2698</v>
      </c>
      <c r="X48" s="75" t="s">
        <v>2697</v>
      </c>
      <c r="Y48" s="76">
        <v>300</v>
      </c>
      <c r="Z48" s="73">
        <v>0</v>
      </c>
      <c r="AA48" s="74">
        <v>0</v>
      </c>
      <c r="AB48" s="74">
        <v>0</v>
      </c>
      <c r="AC48" s="75"/>
      <c r="AD48" s="75"/>
      <c r="AE48" s="76">
        <v>0</v>
      </c>
      <c r="AF48" s="77">
        <v>300</v>
      </c>
      <c r="AG48" s="78"/>
      <c r="AH48" s="79"/>
    </row>
    <row r="49" spans="1:34" s="80" customFormat="1" ht="12" customHeight="1">
      <c r="A49" s="66">
        <v>1047</v>
      </c>
      <c r="B49" s="67" t="s">
        <v>2696</v>
      </c>
      <c r="C49" s="67" t="s">
        <v>2697</v>
      </c>
      <c r="D49" s="67" t="s">
        <v>2698</v>
      </c>
      <c r="E49" s="66">
        <v>1</v>
      </c>
      <c r="F49" s="68">
        <v>1</v>
      </c>
      <c r="G49" s="69">
        <v>47</v>
      </c>
      <c r="H49" s="37" t="s">
        <v>417</v>
      </c>
      <c r="I49" s="37" t="s">
        <v>417</v>
      </c>
      <c r="J49" s="70">
        <v>10500100014101</v>
      </c>
      <c r="K49" s="38" t="s">
        <v>148</v>
      </c>
      <c r="L49" s="38"/>
      <c r="M49" s="38">
        <v>4</v>
      </c>
      <c r="N49" s="37" t="s">
        <v>382</v>
      </c>
      <c r="O49" s="37" t="s">
        <v>418</v>
      </c>
      <c r="P49" s="71">
        <v>2338044</v>
      </c>
      <c r="Q49" s="37" t="s">
        <v>419</v>
      </c>
      <c r="R49" s="37" t="s">
        <v>420</v>
      </c>
      <c r="S49" s="72" t="s">
        <v>421</v>
      </c>
      <c r="T49" s="98">
        <v>60</v>
      </c>
      <c r="U49" s="99">
        <v>81</v>
      </c>
      <c r="V49" s="99">
        <v>59</v>
      </c>
      <c r="W49" s="75" t="s">
        <v>2698</v>
      </c>
      <c r="X49" s="75" t="s">
        <v>2697</v>
      </c>
      <c r="Y49" s="76">
        <v>200</v>
      </c>
      <c r="Z49" s="73">
        <v>0</v>
      </c>
      <c r="AA49" s="74">
        <v>0</v>
      </c>
      <c r="AB49" s="74">
        <v>0</v>
      </c>
      <c r="AC49" s="75"/>
      <c r="AD49" s="75"/>
      <c r="AE49" s="76">
        <v>0</v>
      </c>
      <c r="AF49" s="77">
        <v>200</v>
      </c>
      <c r="AG49" s="104"/>
      <c r="AH49" s="79"/>
    </row>
    <row r="50" spans="1:34" s="80" customFormat="1" ht="12" customHeight="1">
      <c r="A50" s="66">
        <v>1048</v>
      </c>
      <c r="B50" s="67" t="s">
        <v>2696</v>
      </c>
      <c r="C50" s="96" t="s">
        <v>2850</v>
      </c>
      <c r="D50" s="67" t="s">
        <v>2699</v>
      </c>
      <c r="E50" s="66">
        <v>1</v>
      </c>
      <c r="F50" s="68">
        <v>1</v>
      </c>
      <c r="G50" s="69">
        <v>48</v>
      </c>
      <c r="H50" s="37" t="s">
        <v>422</v>
      </c>
      <c r="I50" s="37" t="s">
        <v>422</v>
      </c>
      <c r="J50" s="70">
        <v>10500101787601</v>
      </c>
      <c r="K50" s="38" t="s">
        <v>148</v>
      </c>
      <c r="L50" s="38"/>
      <c r="M50" s="38">
        <v>4</v>
      </c>
      <c r="N50" s="37" t="s">
        <v>423</v>
      </c>
      <c r="O50" s="37" t="s">
        <v>424</v>
      </c>
      <c r="P50" s="71" t="s">
        <v>425</v>
      </c>
      <c r="Q50" s="37" t="s">
        <v>426</v>
      </c>
      <c r="R50" s="37" t="s">
        <v>427</v>
      </c>
      <c r="S50" s="72" t="s">
        <v>428</v>
      </c>
      <c r="T50" s="98">
        <v>90</v>
      </c>
      <c r="U50" s="99">
        <v>280</v>
      </c>
      <c r="V50" s="99">
        <v>130</v>
      </c>
      <c r="W50" s="75" t="s">
        <v>2698</v>
      </c>
      <c r="X50" s="75" t="s">
        <v>2697</v>
      </c>
      <c r="Y50" s="76">
        <v>500</v>
      </c>
      <c r="Z50" s="98">
        <v>49</v>
      </c>
      <c r="AA50" s="99">
        <v>121</v>
      </c>
      <c r="AB50" s="99">
        <v>80</v>
      </c>
      <c r="AC50" s="75" t="s">
        <v>2700</v>
      </c>
      <c r="AD50" s="75" t="s">
        <v>2674</v>
      </c>
      <c r="AE50" s="76">
        <v>250</v>
      </c>
      <c r="AF50" s="77">
        <v>750</v>
      </c>
      <c r="AG50" s="78"/>
      <c r="AH50" s="79"/>
    </row>
    <row r="51" spans="1:34" s="80" customFormat="1" ht="12" customHeight="1">
      <c r="A51" s="66">
        <v>1049</v>
      </c>
      <c r="B51" s="67" t="s">
        <v>2696</v>
      </c>
      <c r="C51" s="67" t="s">
        <v>2697</v>
      </c>
      <c r="D51" s="67" t="s">
        <v>2698</v>
      </c>
      <c r="E51" s="66">
        <v>1</v>
      </c>
      <c r="F51" s="68">
        <v>1</v>
      </c>
      <c r="G51" s="69">
        <v>49</v>
      </c>
      <c r="H51" s="37" t="s">
        <v>429</v>
      </c>
      <c r="I51" s="37" t="s">
        <v>429</v>
      </c>
      <c r="J51" s="70">
        <v>10500100098105</v>
      </c>
      <c r="K51" s="38" t="s">
        <v>148</v>
      </c>
      <c r="L51" s="38"/>
      <c r="M51" s="38">
        <v>4</v>
      </c>
      <c r="N51" s="37" t="s">
        <v>430</v>
      </c>
      <c r="O51" s="37" t="s">
        <v>431</v>
      </c>
      <c r="P51" s="71">
        <v>3668358</v>
      </c>
      <c r="Q51" s="37" t="s">
        <v>432</v>
      </c>
      <c r="R51" s="37" t="s">
        <v>433</v>
      </c>
      <c r="S51" s="72" t="s">
        <v>434</v>
      </c>
      <c r="T51" s="98">
        <v>100</v>
      </c>
      <c r="U51" s="99">
        <v>100</v>
      </c>
      <c r="V51" s="99">
        <v>0</v>
      </c>
      <c r="W51" s="75" t="s">
        <v>2698</v>
      </c>
      <c r="X51" s="75" t="s">
        <v>2697</v>
      </c>
      <c r="Y51" s="76">
        <v>200</v>
      </c>
      <c r="Z51" s="73">
        <v>0</v>
      </c>
      <c r="AA51" s="74">
        <v>0</v>
      </c>
      <c r="AB51" s="74">
        <v>0</v>
      </c>
      <c r="AC51" s="75"/>
      <c r="AD51" s="75"/>
      <c r="AE51" s="76">
        <v>0</v>
      </c>
      <c r="AF51" s="77">
        <v>200</v>
      </c>
      <c r="AG51" s="78"/>
      <c r="AH51" s="79"/>
    </row>
    <row r="52" spans="1:34" s="80" customFormat="1" ht="12" customHeight="1">
      <c r="A52" s="66">
        <v>1050</v>
      </c>
      <c r="B52" s="67" t="s">
        <v>2696</v>
      </c>
      <c r="C52" s="67" t="s">
        <v>2697</v>
      </c>
      <c r="D52" s="67" t="s">
        <v>2698</v>
      </c>
      <c r="E52" s="66">
        <v>1</v>
      </c>
      <c r="F52" s="68">
        <v>1</v>
      </c>
      <c r="G52" s="69">
        <v>50</v>
      </c>
      <c r="H52" s="37" t="s">
        <v>435</v>
      </c>
      <c r="I52" s="37" t="s">
        <v>435</v>
      </c>
      <c r="J52" s="70">
        <v>10500100098103</v>
      </c>
      <c r="K52" s="38" t="s">
        <v>148</v>
      </c>
      <c r="L52" s="38"/>
      <c r="M52" s="38">
        <v>4</v>
      </c>
      <c r="N52" s="37" t="s">
        <v>436</v>
      </c>
      <c r="O52" s="37" t="s">
        <v>437</v>
      </c>
      <c r="P52" s="71">
        <v>2367667</v>
      </c>
      <c r="Q52" s="37" t="s">
        <v>432</v>
      </c>
      <c r="R52" s="37" t="s">
        <v>438</v>
      </c>
      <c r="S52" s="72" t="s">
        <v>439</v>
      </c>
      <c r="T52" s="98">
        <v>122</v>
      </c>
      <c r="U52" s="99">
        <v>63</v>
      </c>
      <c r="V52" s="99">
        <v>0</v>
      </c>
      <c r="W52" s="75" t="s">
        <v>2698</v>
      </c>
      <c r="X52" s="75" t="s">
        <v>2697</v>
      </c>
      <c r="Y52" s="76">
        <v>185</v>
      </c>
      <c r="Z52" s="73">
        <v>0</v>
      </c>
      <c r="AA52" s="74">
        <v>0</v>
      </c>
      <c r="AB52" s="74">
        <v>0</v>
      </c>
      <c r="AC52" s="75"/>
      <c r="AD52" s="75"/>
      <c r="AE52" s="76">
        <v>0</v>
      </c>
      <c r="AF52" s="77">
        <v>185</v>
      </c>
      <c r="AG52" s="78"/>
      <c r="AH52" s="79"/>
    </row>
    <row r="53" spans="1:34" s="80" customFormat="1" ht="12" customHeight="1">
      <c r="A53" s="66">
        <v>1051</v>
      </c>
      <c r="B53" s="67" t="s">
        <v>2696</v>
      </c>
      <c r="C53" s="96" t="s">
        <v>2850</v>
      </c>
      <c r="D53" s="67" t="s">
        <v>2699</v>
      </c>
      <c r="E53" s="66">
        <v>1</v>
      </c>
      <c r="F53" s="68">
        <v>1</v>
      </c>
      <c r="G53" s="69">
        <v>51</v>
      </c>
      <c r="H53" s="37" t="s">
        <v>440</v>
      </c>
      <c r="I53" s="37" t="s">
        <v>440</v>
      </c>
      <c r="J53" s="70">
        <v>10500100020501</v>
      </c>
      <c r="K53" s="38" t="s">
        <v>148</v>
      </c>
      <c r="L53" s="38"/>
      <c r="M53" s="38">
        <v>4</v>
      </c>
      <c r="N53" s="37" t="s">
        <v>423</v>
      </c>
      <c r="O53" s="37" t="s">
        <v>441</v>
      </c>
      <c r="P53" s="71">
        <v>2630607</v>
      </c>
      <c r="Q53" s="37" t="s">
        <v>442</v>
      </c>
      <c r="R53" s="37" t="s">
        <v>443</v>
      </c>
      <c r="S53" s="72" t="s">
        <v>444</v>
      </c>
      <c r="T53" s="98">
        <v>90</v>
      </c>
      <c r="U53" s="99">
        <v>225</v>
      </c>
      <c r="V53" s="99">
        <v>85</v>
      </c>
      <c r="W53" s="75" t="s">
        <v>2698</v>
      </c>
      <c r="X53" s="75" t="s">
        <v>2697</v>
      </c>
      <c r="Y53" s="76">
        <v>400</v>
      </c>
      <c r="Z53" s="98">
        <v>179</v>
      </c>
      <c r="AA53" s="99">
        <v>118</v>
      </c>
      <c r="AB53" s="99">
        <v>63</v>
      </c>
      <c r="AC53" s="75" t="s">
        <v>2700</v>
      </c>
      <c r="AD53" s="75" t="s">
        <v>2674</v>
      </c>
      <c r="AE53" s="76">
        <v>360</v>
      </c>
      <c r="AF53" s="77">
        <v>760</v>
      </c>
      <c r="AG53" s="78"/>
      <c r="AH53" s="79"/>
    </row>
    <row r="54" spans="1:34" s="80" customFormat="1" ht="12" customHeight="1">
      <c r="A54" s="66">
        <v>1052</v>
      </c>
      <c r="B54" s="67" t="s">
        <v>2696</v>
      </c>
      <c r="C54" s="96" t="s">
        <v>2850</v>
      </c>
      <c r="D54" s="67" t="s">
        <v>2699</v>
      </c>
      <c r="E54" s="66">
        <v>1</v>
      </c>
      <c r="F54" s="68">
        <v>1</v>
      </c>
      <c r="G54" s="69">
        <v>52</v>
      </c>
      <c r="H54" s="37" t="s">
        <v>445</v>
      </c>
      <c r="I54" s="37" t="s">
        <v>445</v>
      </c>
      <c r="J54" s="70">
        <v>10500100329802</v>
      </c>
      <c r="K54" s="38" t="s">
        <v>148</v>
      </c>
      <c r="L54" s="38"/>
      <c r="M54" s="38">
        <v>4</v>
      </c>
      <c r="N54" s="37" t="s">
        <v>446</v>
      </c>
      <c r="O54" s="37" t="s">
        <v>447</v>
      </c>
      <c r="P54" s="71">
        <v>2360023</v>
      </c>
      <c r="Q54" s="37" t="s">
        <v>448</v>
      </c>
      <c r="R54" s="37" t="s">
        <v>449</v>
      </c>
      <c r="S54" s="72" t="s">
        <v>450</v>
      </c>
      <c r="T54" s="98">
        <v>104</v>
      </c>
      <c r="U54" s="99">
        <v>106</v>
      </c>
      <c r="V54" s="99">
        <v>0</v>
      </c>
      <c r="W54" s="75" t="s">
        <v>2698</v>
      </c>
      <c r="X54" s="75" t="s">
        <v>2697</v>
      </c>
      <c r="Y54" s="76">
        <v>210</v>
      </c>
      <c r="Z54" s="98">
        <v>81</v>
      </c>
      <c r="AA54" s="99">
        <v>44</v>
      </c>
      <c r="AB54" s="99">
        <v>0</v>
      </c>
      <c r="AC54" s="75" t="s">
        <v>2700</v>
      </c>
      <c r="AD54" s="75" t="s">
        <v>2674</v>
      </c>
      <c r="AE54" s="76">
        <v>125</v>
      </c>
      <c r="AF54" s="77">
        <v>335</v>
      </c>
      <c r="AG54" s="78"/>
      <c r="AH54" s="79"/>
    </row>
    <row r="55" spans="1:34" s="80" customFormat="1" ht="12" customHeight="1">
      <c r="A55" s="66">
        <v>1053</v>
      </c>
      <c r="B55" s="67" t="s">
        <v>2696</v>
      </c>
      <c r="C55" s="96" t="s">
        <v>2850</v>
      </c>
      <c r="D55" s="67" t="s">
        <v>2699</v>
      </c>
      <c r="E55" s="66">
        <v>1</v>
      </c>
      <c r="F55" s="68">
        <v>1</v>
      </c>
      <c r="G55" s="69">
        <v>53</v>
      </c>
      <c r="H55" s="37" t="s">
        <v>451</v>
      </c>
      <c r="I55" s="37" t="s">
        <v>451</v>
      </c>
      <c r="J55" s="70">
        <v>10500100329803</v>
      </c>
      <c r="K55" s="38" t="s">
        <v>148</v>
      </c>
      <c r="L55" s="38"/>
      <c r="M55" s="38">
        <v>4</v>
      </c>
      <c r="N55" s="37" t="s">
        <v>436</v>
      </c>
      <c r="O55" s="37" t="s">
        <v>452</v>
      </c>
      <c r="P55" s="71">
        <v>2365847</v>
      </c>
      <c r="Q55" s="37" t="s">
        <v>448</v>
      </c>
      <c r="R55" s="37" t="s">
        <v>449</v>
      </c>
      <c r="S55" s="72" t="s">
        <v>453</v>
      </c>
      <c r="T55" s="98">
        <v>115</v>
      </c>
      <c r="U55" s="99">
        <v>115</v>
      </c>
      <c r="V55" s="99">
        <v>0</v>
      </c>
      <c r="W55" s="75" t="s">
        <v>2698</v>
      </c>
      <c r="X55" s="75" t="s">
        <v>2697</v>
      </c>
      <c r="Y55" s="76">
        <v>230</v>
      </c>
      <c r="Z55" s="98">
        <v>54</v>
      </c>
      <c r="AA55" s="99">
        <v>66</v>
      </c>
      <c r="AB55" s="99">
        <v>0</v>
      </c>
      <c r="AC55" s="75" t="s">
        <v>2700</v>
      </c>
      <c r="AD55" s="75" t="s">
        <v>2674</v>
      </c>
      <c r="AE55" s="76">
        <v>120</v>
      </c>
      <c r="AF55" s="77">
        <v>350</v>
      </c>
      <c r="AG55" s="78"/>
      <c r="AH55" s="79"/>
    </row>
    <row r="56" spans="1:34" s="80" customFormat="1" ht="12" customHeight="1">
      <c r="A56" s="66">
        <v>1054</v>
      </c>
      <c r="B56" s="67" t="s">
        <v>2696</v>
      </c>
      <c r="C56" s="96" t="s">
        <v>2850</v>
      </c>
      <c r="D56" s="67" t="s">
        <v>2699</v>
      </c>
      <c r="E56" s="66">
        <v>1</v>
      </c>
      <c r="F56" s="68">
        <v>1</v>
      </c>
      <c r="G56" s="69">
        <v>54</v>
      </c>
      <c r="H56" s="37" t="s">
        <v>454</v>
      </c>
      <c r="I56" s="37" t="s">
        <v>454</v>
      </c>
      <c r="J56" s="70">
        <v>10500100533901</v>
      </c>
      <c r="K56" s="38" t="s">
        <v>148</v>
      </c>
      <c r="L56" s="38"/>
      <c r="M56" s="38">
        <v>4</v>
      </c>
      <c r="N56" s="37" t="s">
        <v>423</v>
      </c>
      <c r="O56" s="37" t="s">
        <v>455</v>
      </c>
      <c r="P56" s="71" t="s">
        <v>456</v>
      </c>
      <c r="Q56" s="37" t="s">
        <v>457</v>
      </c>
      <c r="R56" s="37" t="s">
        <v>458</v>
      </c>
      <c r="S56" s="72" t="s">
        <v>459</v>
      </c>
      <c r="T56" s="98">
        <v>0</v>
      </c>
      <c r="U56" s="99">
        <v>160</v>
      </c>
      <c r="V56" s="99">
        <v>120</v>
      </c>
      <c r="W56" s="75" t="s">
        <v>2698</v>
      </c>
      <c r="X56" s="75" t="s">
        <v>2697</v>
      </c>
      <c r="Y56" s="109">
        <v>280</v>
      </c>
      <c r="Z56" s="98">
        <v>0</v>
      </c>
      <c r="AA56" s="99">
        <v>209</v>
      </c>
      <c r="AB56" s="99">
        <v>191</v>
      </c>
      <c r="AC56" s="75" t="s">
        <v>2700</v>
      </c>
      <c r="AD56" s="75" t="s">
        <v>2674</v>
      </c>
      <c r="AE56" s="109">
        <v>400</v>
      </c>
      <c r="AF56" s="77">
        <v>680</v>
      </c>
      <c r="AG56" s="78"/>
      <c r="AH56" s="79"/>
    </row>
    <row r="57" spans="1:34" s="80" customFormat="1" ht="12" customHeight="1">
      <c r="A57" s="66">
        <v>1055</v>
      </c>
      <c r="B57" s="67" t="s">
        <v>2696</v>
      </c>
      <c r="C57" s="96" t="s">
        <v>2850</v>
      </c>
      <c r="D57" s="67" t="s">
        <v>2699</v>
      </c>
      <c r="E57" s="66">
        <v>1</v>
      </c>
      <c r="F57" s="68">
        <v>1</v>
      </c>
      <c r="G57" s="69">
        <v>55</v>
      </c>
      <c r="H57" s="37" t="s">
        <v>460</v>
      </c>
      <c r="I57" s="37" t="s">
        <v>460</v>
      </c>
      <c r="J57" s="70">
        <v>10500100203801</v>
      </c>
      <c r="K57" s="38" t="s">
        <v>148</v>
      </c>
      <c r="L57" s="38"/>
      <c r="M57" s="38">
        <v>4</v>
      </c>
      <c r="N57" s="37" t="s">
        <v>436</v>
      </c>
      <c r="O57" s="37" t="s">
        <v>461</v>
      </c>
      <c r="P57" s="71" t="s">
        <v>462</v>
      </c>
      <c r="Q57" s="37" t="s">
        <v>463</v>
      </c>
      <c r="R57" s="37" t="s">
        <v>464</v>
      </c>
      <c r="S57" s="72" t="s">
        <v>465</v>
      </c>
      <c r="T57" s="98">
        <v>164</v>
      </c>
      <c r="U57" s="99">
        <v>165</v>
      </c>
      <c r="V57" s="99">
        <v>71</v>
      </c>
      <c r="W57" s="75" t="s">
        <v>2698</v>
      </c>
      <c r="X57" s="75" t="s">
        <v>2697</v>
      </c>
      <c r="Y57" s="109">
        <v>400</v>
      </c>
      <c r="Z57" s="98">
        <v>193</v>
      </c>
      <c r="AA57" s="99">
        <v>279</v>
      </c>
      <c r="AB57" s="99">
        <v>88</v>
      </c>
      <c r="AC57" s="75" t="s">
        <v>2700</v>
      </c>
      <c r="AD57" s="75" t="s">
        <v>2674</v>
      </c>
      <c r="AE57" s="109">
        <v>560</v>
      </c>
      <c r="AF57" s="77">
        <v>960</v>
      </c>
      <c r="AG57" s="78"/>
      <c r="AH57" s="79"/>
    </row>
    <row r="58" spans="1:34" s="80" customFormat="1" ht="12" customHeight="1">
      <c r="A58" s="66">
        <v>1056</v>
      </c>
      <c r="B58" s="67" t="s">
        <v>2696</v>
      </c>
      <c r="C58" s="96" t="s">
        <v>2850</v>
      </c>
      <c r="D58" s="67" t="s">
        <v>2699</v>
      </c>
      <c r="E58" s="66">
        <v>1</v>
      </c>
      <c r="F58" s="110">
        <v>2</v>
      </c>
      <c r="G58" s="69">
        <v>56</v>
      </c>
      <c r="H58" s="111" t="s">
        <v>466</v>
      </c>
      <c r="I58" s="112" t="s">
        <v>466</v>
      </c>
      <c r="J58" s="113">
        <v>10500100093101</v>
      </c>
      <c r="K58" s="114" t="s">
        <v>148</v>
      </c>
      <c r="L58" s="114"/>
      <c r="M58" s="114">
        <v>5</v>
      </c>
      <c r="N58" s="115" t="s">
        <v>467</v>
      </c>
      <c r="O58" s="111" t="s">
        <v>468</v>
      </c>
      <c r="P58" s="115" t="s">
        <v>469</v>
      </c>
      <c r="Q58" s="111" t="s">
        <v>470</v>
      </c>
      <c r="R58" s="111" t="s">
        <v>471</v>
      </c>
      <c r="S58" s="116" t="s">
        <v>472</v>
      </c>
      <c r="T58" s="98">
        <v>0</v>
      </c>
      <c r="U58" s="99">
        <v>150</v>
      </c>
      <c r="V58" s="99">
        <v>50</v>
      </c>
      <c r="W58" s="75" t="s">
        <v>2698</v>
      </c>
      <c r="X58" s="75" t="s">
        <v>2697</v>
      </c>
      <c r="Y58" s="109">
        <v>200</v>
      </c>
      <c r="Z58" s="98">
        <v>0</v>
      </c>
      <c r="AA58" s="99">
        <v>405</v>
      </c>
      <c r="AB58" s="99">
        <v>245</v>
      </c>
      <c r="AC58" s="75" t="s">
        <v>2700</v>
      </c>
      <c r="AD58" s="75" t="s">
        <v>2674</v>
      </c>
      <c r="AE58" s="109">
        <v>650</v>
      </c>
      <c r="AF58" s="117">
        <v>850</v>
      </c>
      <c r="AG58" s="118"/>
      <c r="AH58" s="119"/>
    </row>
    <row r="59" spans="1:34" s="80" customFormat="1" ht="12" customHeight="1">
      <c r="A59" s="66">
        <v>1057</v>
      </c>
      <c r="B59" s="67" t="s">
        <v>2696</v>
      </c>
      <c r="C59" s="96" t="s">
        <v>2850</v>
      </c>
      <c r="D59" s="67" t="s">
        <v>2699</v>
      </c>
      <c r="E59" s="66">
        <v>1</v>
      </c>
      <c r="F59" s="110">
        <v>2</v>
      </c>
      <c r="G59" s="69">
        <v>57</v>
      </c>
      <c r="H59" s="111" t="s">
        <v>473</v>
      </c>
      <c r="I59" s="112" t="s">
        <v>473</v>
      </c>
      <c r="J59" s="113">
        <v>10500100093102</v>
      </c>
      <c r="K59" s="114" t="s">
        <v>148</v>
      </c>
      <c r="L59" s="114"/>
      <c r="M59" s="114">
        <v>5</v>
      </c>
      <c r="N59" s="115" t="s">
        <v>474</v>
      </c>
      <c r="O59" s="111" t="s">
        <v>475</v>
      </c>
      <c r="P59" s="115" t="s">
        <v>476</v>
      </c>
      <c r="Q59" s="111" t="s">
        <v>470</v>
      </c>
      <c r="R59" s="111" t="s">
        <v>477</v>
      </c>
      <c r="S59" s="116" t="s">
        <v>478</v>
      </c>
      <c r="T59" s="98">
        <v>120</v>
      </c>
      <c r="U59" s="99">
        <v>60</v>
      </c>
      <c r="V59" s="99">
        <v>0</v>
      </c>
      <c r="W59" s="75" t="s">
        <v>2698</v>
      </c>
      <c r="X59" s="75" t="s">
        <v>2697</v>
      </c>
      <c r="Y59" s="109">
        <v>180</v>
      </c>
      <c r="Z59" s="98">
        <v>360</v>
      </c>
      <c r="AA59" s="99">
        <v>240</v>
      </c>
      <c r="AB59" s="99">
        <v>0</v>
      </c>
      <c r="AC59" s="75" t="s">
        <v>2700</v>
      </c>
      <c r="AD59" s="75" t="s">
        <v>2674</v>
      </c>
      <c r="AE59" s="109">
        <v>600</v>
      </c>
      <c r="AF59" s="117">
        <v>780</v>
      </c>
      <c r="AG59" s="118"/>
      <c r="AH59" s="119"/>
    </row>
    <row r="60" spans="1:34" s="80" customFormat="1" ht="12" customHeight="1">
      <c r="A60" s="66">
        <v>1058</v>
      </c>
      <c r="B60" s="67" t="s">
        <v>2696</v>
      </c>
      <c r="C60" s="67" t="s">
        <v>2697</v>
      </c>
      <c r="D60" s="67" t="s">
        <v>2698</v>
      </c>
      <c r="E60" s="66">
        <v>1</v>
      </c>
      <c r="F60" s="120">
        <v>2</v>
      </c>
      <c r="G60" s="69">
        <v>58</v>
      </c>
      <c r="H60" s="121" t="s">
        <v>479</v>
      </c>
      <c r="I60" s="122" t="s">
        <v>479</v>
      </c>
      <c r="J60" s="123">
        <v>10500101979801</v>
      </c>
      <c r="K60" s="124" t="s">
        <v>148</v>
      </c>
      <c r="L60" s="124"/>
      <c r="M60" s="124">
        <v>5</v>
      </c>
      <c r="N60" s="125" t="s">
        <v>480</v>
      </c>
      <c r="O60" s="121" t="s">
        <v>481</v>
      </c>
      <c r="P60" s="125" t="s">
        <v>482</v>
      </c>
      <c r="Q60" s="121" t="s">
        <v>483</v>
      </c>
      <c r="R60" s="121" t="s">
        <v>484</v>
      </c>
      <c r="S60" s="126" t="s">
        <v>485</v>
      </c>
      <c r="T60" s="127">
        <v>0</v>
      </c>
      <c r="U60" s="128">
        <v>150</v>
      </c>
      <c r="V60" s="128">
        <v>0</v>
      </c>
      <c r="W60" s="75" t="s">
        <v>2698</v>
      </c>
      <c r="X60" s="75" t="s">
        <v>2697</v>
      </c>
      <c r="Y60" s="109">
        <v>150</v>
      </c>
      <c r="Z60" s="127">
        <v>0</v>
      </c>
      <c r="AA60" s="128">
        <v>0</v>
      </c>
      <c r="AB60" s="128">
        <v>0</v>
      </c>
      <c r="AC60" s="75"/>
      <c r="AD60" s="75"/>
      <c r="AE60" s="109">
        <v>0</v>
      </c>
      <c r="AF60" s="117">
        <v>150</v>
      </c>
      <c r="AG60" s="129"/>
      <c r="AH60" s="119"/>
    </row>
    <row r="61" spans="1:34" s="80" customFormat="1" ht="12" customHeight="1">
      <c r="A61" s="66">
        <v>1059</v>
      </c>
      <c r="B61" s="67" t="s">
        <v>2696</v>
      </c>
      <c r="C61" s="67" t="s">
        <v>2697</v>
      </c>
      <c r="D61" s="67" t="s">
        <v>2698</v>
      </c>
      <c r="E61" s="66">
        <v>1</v>
      </c>
      <c r="F61" s="110">
        <v>2</v>
      </c>
      <c r="G61" s="69">
        <v>59</v>
      </c>
      <c r="H61" s="111" t="s">
        <v>486</v>
      </c>
      <c r="I61" s="112" t="s">
        <v>486</v>
      </c>
      <c r="J61" s="113">
        <v>10500101979802</v>
      </c>
      <c r="K61" s="114" t="s">
        <v>148</v>
      </c>
      <c r="L61" s="114"/>
      <c r="M61" s="114">
        <v>5</v>
      </c>
      <c r="N61" s="115" t="s">
        <v>480</v>
      </c>
      <c r="O61" s="111" t="s">
        <v>487</v>
      </c>
      <c r="P61" s="115" t="s">
        <v>488</v>
      </c>
      <c r="Q61" s="111" t="s">
        <v>483</v>
      </c>
      <c r="R61" s="111" t="s">
        <v>489</v>
      </c>
      <c r="S61" s="116" t="s">
        <v>485</v>
      </c>
      <c r="T61" s="98">
        <v>174</v>
      </c>
      <c r="U61" s="99">
        <v>126</v>
      </c>
      <c r="V61" s="99">
        <v>0</v>
      </c>
      <c r="W61" s="75" t="s">
        <v>2698</v>
      </c>
      <c r="X61" s="75" t="s">
        <v>2697</v>
      </c>
      <c r="Y61" s="109">
        <v>300</v>
      </c>
      <c r="Z61" s="98">
        <v>0</v>
      </c>
      <c r="AA61" s="99">
        <v>0</v>
      </c>
      <c r="AB61" s="99">
        <v>0</v>
      </c>
      <c r="AC61" s="75"/>
      <c r="AD61" s="75"/>
      <c r="AE61" s="109">
        <v>0</v>
      </c>
      <c r="AF61" s="117">
        <v>300</v>
      </c>
      <c r="AG61" s="118"/>
      <c r="AH61" s="119"/>
    </row>
    <row r="62" spans="1:34" s="80" customFormat="1" ht="12" customHeight="1">
      <c r="A62" s="66">
        <v>1060</v>
      </c>
      <c r="B62" s="67" t="s">
        <v>2696</v>
      </c>
      <c r="C62" s="67" t="s">
        <v>2697</v>
      </c>
      <c r="D62" s="67" t="s">
        <v>2698</v>
      </c>
      <c r="E62" s="66">
        <v>1</v>
      </c>
      <c r="F62" s="110">
        <v>2</v>
      </c>
      <c r="G62" s="69">
        <v>60</v>
      </c>
      <c r="H62" s="111" t="s">
        <v>490</v>
      </c>
      <c r="I62" s="112" t="s">
        <v>490</v>
      </c>
      <c r="J62" s="113">
        <v>10500100606802</v>
      </c>
      <c r="K62" s="114" t="s">
        <v>148</v>
      </c>
      <c r="L62" s="114"/>
      <c r="M62" s="114">
        <v>5</v>
      </c>
      <c r="N62" s="115" t="s">
        <v>491</v>
      </c>
      <c r="O62" s="111" t="s">
        <v>492</v>
      </c>
      <c r="P62" s="115" t="s">
        <v>493</v>
      </c>
      <c r="Q62" s="111" t="s">
        <v>494</v>
      </c>
      <c r="R62" s="111" t="s">
        <v>495</v>
      </c>
      <c r="S62" s="116" t="s">
        <v>496</v>
      </c>
      <c r="T62" s="130">
        <v>21</v>
      </c>
      <c r="U62" s="131">
        <v>88</v>
      </c>
      <c r="V62" s="131">
        <v>63</v>
      </c>
      <c r="W62" s="75" t="s">
        <v>2698</v>
      </c>
      <c r="X62" s="75" t="s">
        <v>2697</v>
      </c>
      <c r="Y62" s="109">
        <v>172</v>
      </c>
      <c r="Z62" s="130">
        <v>0</v>
      </c>
      <c r="AA62" s="131">
        <v>0</v>
      </c>
      <c r="AB62" s="99">
        <v>0</v>
      </c>
      <c r="AC62" s="75"/>
      <c r="AD62" s="75"/>
      <c r="AE62" s="109">
        <v>0</v>
      </c>
      <c r="AF62" s="117">
        <v>172</v>
      </c>
      <c r="AG62" s="118"/>
      <c r="AH62" s="119"/>
    </row>
    <row r="63" spans="1:34" s="80" customFormat="1" ht="12" customHeight="1">
      <c r="A63" s="66">
        <v>1061</v>
      </c>
      <c r="B63" s="67" t="s">
        <v>2696</v>
      </c>
      <c r="C63" s="67" t="s">
        <v>2697</v>
      </c>
      <c r="D63" s="67" t="s">
        <v>2698</v>
      </c>
      <c r="E63" s="66">
        <v>1</v>
      </c>
      <c r="F63" s="110">
        <v>2</v>
      </c>
      <c r="G63" s="69">
        <v>61</v>
      </c>
      <c r="H63" s="111" t="s">
        <v>497</v>
      </c>
      <c r="I63" s="112" t="s">
        <v>497</v>
      </c>
      <c r="J63" s="113">
        <v>10500101307201</v>
      </c>
      <c r="K63" s="114" t="s">
        <v>148</v>
      </c>
      <c r="L63" s="114"/>
      <c r="M63" s="114">
        <v>5</v>
      </c>
      <c r="N63" s="115" t="s">
        <v>467</v>
      </c>
      <c r="O63" s="111" t="s">
        <v>498</v>
      </c>
      <c r="P63" s="115" t="s">
        <v>499</v>
      </c>
      <c r="Q63" s="111" t="s">
        <v>500</v>
      </c>
      <c r="R63" s="111" t="s">
        <v>501</v>
      </c>
      <c r="S63" s="116" t="s">
        <v>502</v>
      </c>
      <c r="T63" s="130">
        <v>0</v>
      </c>
      <c r="U63" s="131">
        <v>140</v>
      </c>
      <c r="V63" s="131">
        <v>60</v>
      </c>
      <c r="W63" s="75" t="s">
        <v>2698</v>
      </c>
      <c r="X63" s="75" t="s">
        <v>2697</v>
      </c>
      <c r="Y63" s="109">
        <v>200</v>
      </c>
      <c r="Z63" s="130">
        <v>0</v>
      </c>
      <c r="AA63" s="131">
        <v>0</v>
      </c>
      <c r="AB63" s="99">
        <v>0</v>
      </c>
      <c r="AC63" s="75"/>
      <c r="AD63" s="75"/>
      <c r="AE63" s="109">
        <v>0</v>
      </c>
      <c r="AF63" s="117">
        <v>200</v>
      </c>
      <c r="AG63" s="118"/>
      <c r="AH63" s="119"/>
    </row>
    <row r="64" spans="1:34" s="80" customFormat="1" ht="12" customHeight="1">
      <c r="A64" s="66">
        <v>1062</v>
      </c>
      <c r="B64" s="67" t="s">
        <v>2696</v>
      </c>
      <c r="C64" s="96" t="s">
        <v>2850</v>
      </c>
      <c r="D64" s="67" t="s">
        <v>2699</v>
      </c>
      <c r="E64" s="66">
        <v>1</v>
      </c>
      <c r="F64" s="110">
        <v>2</v>
      </c>
      <c r="G64" s="69">
        <v>62</v>
      </c>
      <c r="H64" s="111" t="s">
        <v>503</v>
      </c>
      <c r="I64" s="112" t="s">
        <v>503</v>
      </c>
      <c r="J64" s="113">
        <v>10500101307202</v>
      </c>
      <c r="K64" s="114" t="s">
        <v>148</v>
      </c>
      <c r="L64" s="114"/>
      <c r="M64" s="114">
        <v>5</v>
      </c>
      <c r="N64" s="115" t="s">
        <v>467</v>
      </c>
      <c r="O64" s="111" t="s">
        <v>504</v>
      </c>
      <c r="P64" s="115">
        <v>2730379</v>
      </c>
      <c r="Q64" s="111" t="s">
        <v>505</v>
      </c>
      <c r="R64" s="111" t="s">
        <v>506</v>
      </c>
      <c r="S64" s="116" t="s">
        <v>507</v>
      </c>
      <c r="T64" s="130">
        <v>260</v>
      </c>
      <c r="U64" s="131">
        <v>30</v>
      </c>
      <c r="V64" s="131">
        <v>0</v>
      </c>
      <c r="W64" s="75" t="s">
        <v>2698</v>
      </c>
      <c r="X64" s="75" t="s">
        <v>2697</v>
      </c>
      <c r="Y64" s="109">
        <v>290</v>
      </c>
      <c r="Z64" s="130">
        <v>84</v>
      </c>
      <c r="AA64" s="131">
        <v>166</v>
      </c>
      <c r="AB64" s="99">
        <v>0</v>
      </c>
      <c r="AC64" s="75" t="s">
        <v>2700</v>
      </c>
      <c r="AD64" s="75" t="s">
        <v>2674</v>
      </c>
      <c r="AE64" s="109">
        <v>250</v>
      </c>
      <c r="AF64" s="117">
        <v>540</v>
      </c>
      <c r="AG64" s="118"/>
      <c r="AH64" s="119"/>
    </row>
    <row r="65" spans="1:34" s="80" customFormat="1" ht="12" customHeight="1">
      <c r="A65" s="66">
        <v>1063</v>
      </c>
      <c r="B65" s="67" t="s">
        <v>2696</v>
      </c>
      <c r="C65" s="96" t="s">
        <v>2850</v>
      </c>
      <c r="D65" s="67" t="s">
        <v>2699</v>
      </c>
      <c r="E65" s="66">
        <v>1</v>
      </c>
      <c r="F65" s="110">
        <v>2</v>
      </c>
      <c r="G65" s="69">
        <v>63</v>
      </c>
      <c r="H65" s="111" t="s">
        <v>508</v>
      </c>
      <c r="I65" s="112" t="s">
        <v>508</v>
      </c>
      <c r="J65" s="113">
        <v>10500102578002</v>
      </c>
      <c r="K65" s="114" t="s">
        <v>148</v>
      </c>
      <c r="L65" s="114"/>
      <c r="M65" s="114">
        <v>5</v>
      </c>
      <c r="N65" s="115" t="s">
        <v>509</v>
      </c>
      <c r="O65" s="111" t="s">
        <v>510</v>
      </c>
      <c r="P65" s="115">
        <v>2730920</v>
      </c>
      <c r="Q65" s="111" t="s">
        <v>511</v>
      </c>
      <c r="R65" s="111" t="s">
        <v>512</v>
      </c>
      <c r="S65" s="116" t="s">
        <v>513</v>
      </c>
      <c r="T65" s="98">
        <v>90</v>
      </c>
      <c r="U65" s="99">
        <v>140</v>
      </c>
      <c r="V65" s="99">
        <v>0</v>
      </c>
      <c r="W65" s="75" t="s">
        <v>2698</v>
      </c>
      <c r="X65" s="75" t="s">
        <v>2697</v>
      </c>
      <c r="Y65" s="109">
        <v>230</v>
      </c>
      <c r="Z65" s="98">
        <v>80</v>
      </c>
      <c r="AA65" s="99">
        <v>110</v>
      </c>
      <c r="AB65" s="99">
        <v>0</v>
      </c>
      <c r="AC65" s="75" t="s">
        <v>2700</v>
      </c>
      <c r="AD65" s="75" t="s">
        <v>2674</v>
      </c>
      <c r="AE65" s="109">
        <v>190</v>
      </c>
      <c r="AF65" s="117">
        <v>420</v>
      </c>
      <c r="AG65" s="118"/>
      <c r="AH65" s="119"/>
    </row>
    <row r="66" spans="1:34" s="80" customFormat="1" ht="12" customHeight="1">
      <c r="A66" s="66">
        <v>1064</v>
      </c>
      <c r="B66" s="67" t="s">
        <v>2696</v>
      </c>
      <c r="C66" s="96" t="s">
        <v>2850</v>
      </c>
      <c r="D66" s="67" t="s">
        <v>2699</v>
      </c>
      <c r="E66" s="66">
        <v>1</v>
      </c>
      <c r="F66" s="110">
        <v>2</v>
      </c>
      <c r="G66" s="69">
        <v>64</v>
      </c>
      <c r="H66" s="111" t="s">
        <v>514</v>
      </c>
      <c r="I66" s="112" t="s">
        <v>514</v>
      </c>
      <c r="J66" s="113">
        <v>10500101642001</v>
      </c>
      <c r="K66" s="114" t="s">
        <v>148</v>
      </c>
      <c r="L66" s="114"/>
      <c r="M66" s="114">
        <v>5</v>
      </c>
      <c r="N66" s="115" t="s">
        <v>515</v>
      </c>
      <c r="O66" s="111" t="s">
        <v>516</v>
      </c>
      <c r="P66" s="115" t="s">
        <v>517</v>
      </c>
      <c r="Q66" s="111" t="s">
        <v>518</v>
      </c>
      <c r="R66" s="111" t="s">
        <v>519</v>
      </c>
      <c r="S66" s="116" t="s">
        <v>520</v>
      </c>
      <c r="T66" s="98">
        <v>0</v>
      </c>
      <c r="U66" s="99">
        <v>75</v>
      </c>
      <c r="V66" s="99">
        <v>75</v>
      </c>
      <c r="W66" s="75" t="s">
        <v>2698</v>
      </c>
      <c r="X66" s="75" t="s">
        <v>2697</v>
      </c>
      <c r="Y66" s="109">
        <v>150</v>
      </c>
      <c r="Z66" s="98">
        <v>0</v>
      </c>
      <c r="AA66" s="99">
        <v>183</v>
      </c>
      <c r="AB66" s="99">
        <v>111</v>
      </c>
      <c r="AC66" s="75" t="s">
        <v>2700</v>
      </c>
      <c r="AD66" s="75" t="s">
        <v>2674</v>
      </c>
      <c r="AE66" s="109">
        <v>294</v>
      </c>
      <c r="AF66" s="117">
        <v>444</v>
      </c>
      <c r="AG66" s="118"/>
      <c r="AH66" s="119"/>
    </row>
    <row r="67" spans="1:34" s="80" customFormat="1" ht="12" customHeight="1">
      <c r="A67" s="66">
        <v>1065</v>
      </c>
      <c r="B67" s="67" t="s">
        <v>2696</v>
      </c>
      <c r="C67" s="96" t="s">
        <v>2850</v>
      </c>
      <c r="D67" s="67" t="s">
        <v>2699</v>
      </c>
      <c r="E67" s="66">
        <v>1</v>
      </c>
      <c r="F67" s="110">
        <v>2</v>
      </c>
      <c r="G67" s="69">
        <v>65</v>
      </c>
      <c r="H67" s="111" t="s">
        <v>521</v>
      </c>
      <c r="I67" s="112" t="s">
        <v>521</v>
      </c>
      <c r="J67" s="113">
        <v>10500101642002</v>
      </c>
      <c r="K67" s="114" t="s">
        <v>148</v>
      </c>
      <c r="L67" s="114"/>
      <c r="M67" s="114">
        <v>5</v>
      </c>
      <c r="N67" s="115" t="s">
        <v>515</v>
      </c>
      <c r="O67" s="111" t="s">
        <v>522</v>
      </c>
      <c r="P67" s="115">
        <v>2671734</v>
      </c>
      <c r="Q67" s="111" t="s">
        <v>523</v>
      </c>
      <c r="R67" s="111" t="s">
        <v>524</v>
      </c>
      <c r="S67" s="116" t="s">
        <v>525</v>
      </c>
      <c r="T67" s="98">
        <v>155</v>
      </c>
      <c r="U67" s="99">
        <v>75</v>
      </c>
      <c r="V67" s="99">
        <v>0</v>
      </c>
      <c r="W67" s="75" t="s">
        <v>2698</v>
      </c>
      <c r="X67" s="75" t="s">
        <v>2697</v>
      </c>
      <c r="Y67" s="109">
        <v>230</v>
      </c>
      <c r="Z67" s="98">
        <v>90</v>
      </c>
      <c r="AA67" s="99">
        <v>50</v>
      </c>
      <c r="AB67" s="99">
        <v>0</v>
      </c>
      <c r="AC67" s="75" t="s">
        <v>2700</v>
      </c>
      <c r="AD67" s="75" t="s">
        <v>2674</v>
      </c>
      <c r="AE67" s="109">
        <v>140</v>
      </c>
      <c r="AF67" s="117">
        <v>370</v>
      </c>
      <c r="AG67" s="132"/>
      <c r="AH67" s="119"/>
    </row>
    <row r="68" spans="1:34" s="80" customFormat="1" ht="12" customHeight="1">
      <c r="A68" s="66">
        <v>1066</v>
      </c>
      <c r="B68" s="67" t="s">
        <v>2696</v>
      </c>
      <c r="C68" s="96" t="s">
        <v>2850</v>
      </c>
      <c r="D68" s="67" t="s">
        <v>2699</v>
      </c>
      <c r="E68" s="66">
        <v>1</v>
      </c>
      <c r="F68" s="110">
        <v>2</v>
      </c>
      <c r="G68" s="69">
        <v>66</v>
      </c>
      <c r="H68" s="111" t="s">
        <v>526</v>
      </c>
      <c r="I68" s="112" t="s">
        <v>526</v>
      </c>
      <c r="J68" s="113">
        <v>10500100606801</v>
      </c>
      <c r="K68" s="114" t="s">
        <v>148</v>
      </c>
      <c r="L68" s="114"/>
      <c r="M68" s="114">
        <v>5</v>
      </c>
      <c r="N68" s="115" t="s">
        <v>527</v>
      </c>
      <c r="O68" s="111" t="s">
        <v>528</v>
      </c>
      <c r="P68" s="115">
        <v>2573923</v>
      </c>
      <c r="Q68" s="111" t="s">
        <v>529</v>
      </c>
      <c r="R68" s="111" t="s">
        <v>530</v>
      </c>
      <c r="S68" s="116" t="s">
        <v>531</v>
      </c>
      <c r="T68" s="98">
        <v>140</v>
      </c>
      <c r="U68" s="99">
        <v>180</v>
      </c>
      <c r="V68" s="99">
        <v>80</v>
      </c>
      <c r="W68" s="75" t="s">
        <v>2698</v>
      </c>
      <c r="X68" s="75" t="s">
        <v>2697</v>
      </c>
      <c r="Y68" s="109">
        <v>400</v>
      </c>
      <c r="Z68" s="98">
        <v>280</v>
      </c>
      <c r="AA68" s="99">
        <v>280</v>
      </c>
      <c r="AB68" s="99">
        <v>140</v>
      </c>
      <c r="AC68" s="75" t="s">
        <v>2700</v>
      </c>
      <c r="AD68" s="75" t="s">
        <v>2674</v>
      </c>
      <c r="AE68" s="109">
        <v>700</v>
      </c>
      <c r="AF68" s="117">
        <v>1100</v>
      </c>
      <c r="AG68" s="118"/>
      <c r="AH68" s="119"/>
    </row>
    <row r="69" spans="1:34" s="80" customFormat="1" ht="12" customHeight="1">
      <c r="A69" s="66">
        <v>1067</v>
      </c>
      <c r="B69" s="67" t="s">
        <v>2696</v>
      </c>
      <c r="C69" s="96" t="s">
        <v>2850</v>
      </c>
      <c r="D69" s="67" t="s">
        <v>2699</v>
      </c>
      <c r="E69" s="66">
        <v>1</v>
      </c>
      <c r="F69" s="110">
        <v>2</v>
      </c>
      <c r="G69" s="69">
        <v>67</v>
      </c>
      <c r="H69" s="111" t="s">
        <v>532</v>
      </c>
      <c r="I69" s="112" t="s">
        <v>532</v>
      </c>
      <c r="J69" s="113">
        <v>10500100648301</v>
      </c>
      <c r="K69" s="114" t="s">
        <v>148</v>
      </c>
      <c r="L69" s="114"/>
      <c r="M69" s="114">
        <v>5</v>
      </c>
      <c r="N69" s="115" t="s">
        <v>533</v>
      </c>
      <c r="O69" s="111" t="s">
        <v>534</v>
      </c>
      <c r="P69" s="115">
        <v>2677445</v>
      </c>
      <c r="Q69" s="111" t="s">
        <v>535</v>
      </c>
      <c r="R69" s="111" t="s">
        <v>536</v>
      </c>
      <c r="S69" s="116" t="s">
        <v>537</v>
      </c>
      <c r="T69" s="130">
        <v>110</v>
      </c>
      <c r="U69" s="131">
        <v>70</v>
      </c>
      <c r="V69" s="131">
        <v>20</v>
      </c>
      <c r="W69" s="75" t="s">
        <v>2698</v>
      </c>
      <c r="X69" s="75" t="s">
        <v>2697</v>
      </c>
      <c r="Y69" s="109">
        <v>200</v>
      </c>
      <c r="Z69" s="130">
        <v>0</v>
      </c>
      <c r="AA69" s="131">
        <v>100</v>
      </c>
      <c r="AB69" s="131">
        <v>50</v>
      </c>
      <c r="AC69" s="75" t="s">
        <v>2700</v>
      </c>
      <c r="AD69" s="75" t="s">
        <v>2674</v>
      </c>
      <c r="AE69" s="109">
        <v>150</v>
      </c>
      <c r="AF69" s="117">
        <v>350</v>
      </c>
      <c r="AG69" s="118"/>
      <c r="AH69" s="119"/>
    </row>
    <row r="70" spans="1:34" s="80" customFormat="1" ht="12" customHeight="1">
      <c r="A70" s="66">
        <v>1068</v>
      </c>
      <c r="B70" s="67" t="s">
        <v>2696</v>
      </c>
      <c r="C70" s="67" t="s">
        <v>2697</v>
      </c>
      <c r="D70" s="67" t="s">
        <v>2698</v>
      </c>
      <c r="E70" s="66">
        <v>1</v>
      </c>
      <c r="F70" s="120">
        <v>2</v>
      </c>
      <c r="G70" s="69">
        <v>68</v>
      </c>
      <c r="H70" s="133" t="s">
        <v>538</v>
      </c>
      <c r="I70" s="122" t="s">
        <v>539</v>
      </c>
      <c r="J70" s="123">
        <v>30500101568601</v>
      </c>
      <c r="K70" s="124" t="s">
        <v>148</v>
      </c>
      <c r="L70" s="134"/>
      <c r="M70" s="124">
        <v>5</v>
      </c>
      <c r="N70" s="125" t="s">
        <v>533</v>
      </c>
      <c r="O70" s="121" t="s">
        <v>540</v>
      </c>
      <c r="P70" s="125">
        <v>4719328</v>
      </c>
      <c r="Q70" s="121" t="s">
        <v>541</v>
      </c>
      <c r="R70" s="121" t="s">
        <v>542</v>
      </c>
      <c r="S70" s="126" t="s">
        <v>543</v>
      </c>
      <c r="T70" s="127">
        <v>180</v>
      </c>
      <c r="U70" s="128">
        <v>20</v>
      </c>
      <c r="V70" s="128">
        <v>0</v>
      </c>
      <c r="W70" s="75" t="s">
        <v>2698</v>
      </c>
      <c r="X70" s="75" t="s">
        <v>2697</v>
      </c>
      <c r="Y70" s="109">
        <v>200</v>
      </c>
      <c r="Z70" s="127">
        <v>0</v>
      </c>
      <c r="AA70" s="128">
        <v>0</v>
      </c>
      <c r="AB70" s="128">
        <v>0</v>
      </c>
      <c r="AC70" s="75"/>
      <c r="AD70" s="75"/>
      <c r="AE70" s="109">
        <v>0</v>
      </c>
      <c r="AF70" s="135">
        <v>200</v>
      </c>
      <c r="AG70" s="129"/>
      <c r="AH70" s="119"/>
    </row>
    <row r="71" spans="1:34" s="80" customFormat="1" ht="12" customHeight="1">
      <c r="A71" s="66">
        <v>1069</v>
      </c>
      <c r="B71" s="67" t="s">
        <v>2696</v>
      </c>
      <c r="C71" s="67" t="s">
        <v>2697</v>
      </c>
      <c r="D71" s="67" t="s">
        <v>2698</v>
      </c>
      <c r="E71" s="66">
        <v>1</v>
      </c>
      <c r="F71" s="120">
        <v>2</v>
      </c>
      <c r="G71" s="69">
        <v>69</v>
      </c>
      <c r="H71" s="133" t="s">
        <v>538</v>
      </c>
      <c r="I71" s="122" t="s">
        <v>538</v>
      </c>
      <c r="J71" s="123">
        <v>30500101568603</v>
      </c>
      <c r="K71" s="124" t="s">
        <v>148</v>
      </c>
      <c r="L71" s="134"/>
      <c r="M71" s="124">
        <v>5</v>
      </c>
      <c r="N71" s="125" t="s">
        <v>533</v>
      </c>
      <c r="O71" s="121" t="s">
        <v>544</v>
      </c>
      <c r="P71" s="125" t="s">
        <v>545</v>
      </c>
      <c r="Q71" s="121" t="s">
        <v>546</v>
      </c>
      <c r="R71" s="121" t="s">
        <v>547</v>
      </c>
      <c r="S71" s="126"/>
      <c r="T71" s="127">
        <v>0</v>
      </c>
      <c r="U71" s="128">
        <v>140</v>
      </c>
      <c r="V71" s="128">
        <v>40</v>
      </c>
      <c r="W71" s="75" t="s">
        <v>2698</v>
      </c>
      <c r="X71" s="75" t="s">
        <v>2697</v>
      </c>
      <c r="Y71" s="109">
        <v>180</v>
      </c>
      <c r="Z71" s="127">
        <v>0</v>
      </c>
      <c r="AA71" s="128">
        <v>0</v>
      </c>
      <c r="AB71" s="128">
        <v>0</v>
      </c>
      <c r="AC71" s="75"/>
      <c r="AD71" s="75"/>
      <c r="AE71" s="109">
        <v>0</v>
      </c>
      <c r="AF71" s="135">
        <v>180</v>
      </c>
      <c r="AG71" s="129"/>
      <c r="AH71" s="119"/>
    </row>
    <row r="72" spans="1:34" s="80" customFormat="1" ht="12" customHeight="1">
      <c r="A72" s="66">
        <v>1070</v>
      </c>
      <c r="B72" s="67" t="s">
        <v>2696</v>
      </c>
      <c r="C72" s="67" t="s">
        <v>2697</v>
      </c>
      <c r="D72" s="67" t="s">
        <v>2698</v>
      </c>
      <c r="E72" s="66">
        <v>1</v>
      </c>
      <c r="F72" s="120">
        <v>2</v>
      </c>
      <c r="G72" s="69">
        <v>70</v>
      </c>
      <c r="H72" s="133" t="s">
        <v>538</v>
      </c>
      <c r="I72" s="122" t="s">
        <v>548</v>
      </c>
      <c r="J72" s="123">
        <v>30500101568602</v>
      </c>
      <c r="K72" s="124" t="s">
        <v>148</v>
      </c>
      <c r="L72" s="134"/>
      <c r="M72" s="124">
        <v>5</v>
      </c>
      <c r="N72" s="125" t="s">
        <v>533</v>
      </c>
      <c r="O72" s="121" t="s">
        <v>544</v>
      </c>
      <c r="P72" s="125" t="s">
        <v>545</v>
      </c>
      <c r="Q72" s="121" t="s">
        <v>546</v>
      </c>
      <c r="R72" s="121" t="s">
        <v>547</v>
      </c>
      <c r="S72" s="126" t="s">
        <v>549</v>
      </c>
      <c r="T72" s="127">
        <v>0</v>
      </c>
      <c r="U72" s="128">
        <v>120</v>
      </c>
      <c r="V72" s="128">
        <v>20</v>
      </c>
      <c r="W72" s="75" t="s">
        <v>2698</v>
      </c>
      <c r="X72" s="75" t="s">
        <v>2697</v>
      </c>
      <c r="Y72" s="109">
        <v>140</v>
      </c>
      <c r="Z72" s="127">
        <v>0</v>
      </c>
      <c r="AA72" s="128">
        <v>0</v>
      </c>
      <c r="AB72" s="128">
        <v>0</v>
      </c>
      <c r="AC72" s="75"/>
      <c r="AD72" s="75"/>
      <c r="AE72" s="109">
        <v>0</v>
      </c>
      <c r="AF72" s="135">
        <v>140</v>
      </c>
      <c r="AG72" s="129"/>
      <c r="AH72" s="119"/>
    </row>
    <row r="73" spans="1:34" s="80" customFormat="1" ht="12" customHeight="1">
      <c r="A73" s="66">
        <v>1071</v>
      </c>
      <c r="B73" s="67" t="s">
        <v>2696</v>
      </c>
      <c r="C73" s="96" t="s">
        <v>2850</v>
      </c>
      <c r="D73" s="67" t="s">
        <v>2699</v>
      </c>
      <c r="E73" s="66">
        <v>1</v>
      </c>
      <c r="F73" s="110">
        <v>2</v>
      </c>
      <c r="G73" s="69">
        <v>71</v>
      </c>
      <c r="H73" s="111" t="s">
        <v>550</v>
      </c>
      <c r="I73" s="112" t="s">
        <v>550</v>
      </c>
      <c r="J73" s="113">
        <v>10500101796502</v>
      </c>
      <c r="K73" s="114" t="s">
        <v>148</v>
      </c>
      <c r="L73" s="114"/>
      <c r="M73" s="114">
        <v>5</v>
      </c>
      <c r="N73" s="115" t="s">
        <v>533</v>
      </c>
      <c r="O73" s="111" t="s">
        <v>551</v>
      </c>
      <c r="P73" s="115">
        <v>2371508</v>
      </c>
      <c r="Q73" s="111" t="s">
        <v>552</v>
      </c>
      <c r="R73" s="111" t="s">
        <v>553</v>
      </c>
      <c r="S73" s="116" t="s">
        <v>554</v>
      </c>
      <c r="T73" s="98">
        <v>130</v>
      </c>
      <c r="U73" s="99">
        <v>90</v>
      </c>
      <c r="V73" s="99">
        <v>0</v>
      </c>
      <c r="W73" s="75" t="s">
        <v>2698</v>
      </c>
      <c r="X73" s="75" t="s">
        <v>2697</v>
      </c>
      <c r="Y73" s="109">
        <v>220</v>
      </c>
      <c r="Z73" s="98">
        <v>157</v>
      </c>
      <c r="AA73" s="99">
        <v>103</v>
      </c>
      <c r="AB73" s="99">
        <v>0</v>
      </c>
      <c r="AC73" s="75" t="s">
        <v>2700</v>
      </c>
      <c r="AD73" s="75" t="s">
        <v>2674</v>
      </c>
      <c r="AE73" s="109">
        <v>260</v>
      </c>
      <c r="AF73" s="117">
        <v>480</v>
      </c>
      <c r="AG73" s="118"/>
      <c r="AH73" s="119"/>
    </row>
    <row r="74" spans="1:34" s="80" customFormat="1" ht="12" customHeight="1">
      <c r="A74" s="66">
        <v>1072</v>
      </c>
      <c r="B74" s="67" t="s">
        <v>2696</v>
      </c>
      <c r="C74" s="96" t="s">
        <v>2850</v>
      </c>
      <c r="D74" s="67" t="s">
        <v>2699</v>
      </c>
      <c r="E74" s="66">
        <v>1</v>
      </c>
      <c r="F74" s="110">
        <v>2</v>
      </c>
      <c r="G74" s="69">
        <v>72</v>
      </c>
      <c r="H74" s="111" t="s">
        <v>555</v>
      </c>
      <c r="I74" s="112" t="s">
        <v>555</v>
      </c>
      <c r="J74" s="113">
        <v>10500100609201</v>
      </c>
      <c r="K74" s="114" t="s">
        <v>148</v>
      </c>
      <c r="L74" s="114"/>
      <c r="M74" s="114">
        <v>5</v>
      </c>
      <c r="N74" s="115" t="s">
        <v>556</v>
      </c>
      <c r="O74" s="111" t="s">
        <v>557</v>
      </c>
      <c r="P74" s="115" t="s">
        <v>558</v>
      </c>
      <c r="Q74" s="111" t="s">
        <v>559</v>
      </c>
      <c r="R74" s="111" t="s">
        <v>560</v>
      </c>
      <c r="S74" s="116" t="s">
        <v>561</v>
      </c>
      <c r="T74" s="98">
        <v>90</v>
      </c>
      <c r="U74" s="99">
        <v>100</v>
      </c>
      <c r="V74" s="99">
        <v>120</v>
      </c>
      <c r="W74" s="75" t="s">
        <v>2698</v>
      </c>
      <c r="X74" s="75" t="s">
        <v>2697</v>
      </c>
      <c r="Y74" s="109">
        <v>310</v>
      </c>
      <c r="Z74" s="98">
        <v>200</v>
      </c>
      <c r="AA74" s="99">
        <v>294</v>
      </c>
      <c r="AB74" s="99">
        <v>116</v>
      </c>
      <c r="AC74" s="75" t="s">
        <v>2700</v>
      </c>
      <c r="AD74" s="75" t="s">
        <v>2674</v>
      </c>
      <c r="AE74" s="109">
        <v>610</v>
      </c>
      <c r="AF74" s="117">
        <v>920</v>
      </c>
      <c r="AG74" s="118"/>
      <c r="AH74" s="119"/>
    </row>
    <row r="75" spans="1:34" s="80" customFormat="1" ht="12" customHeight="1">
      <c r="A75" s="66">
        <v>1073</v>
      </c>
      <c r="B75" s="67" t="s">
        <v>2696</v>
      </c>
      <c r="C75" s="96" t="s">
        <v>2850</v>
      </c>
      <c r="D75" s="67" t="s">
        <v>2699</v>
      </c>
      <c r="E75" s="66">
        <v>1</v>
      </c>
      <c r="F75" s="110">
        <v>2</v>
      </c>
      <c r="G75" s="69">
        <v>73</v>
      </c>
      <c r="H75" s="111" t="s">
        <v>562</v>
      </c>
      <c r="I75" s="112" t="s">
        <v>562</v>
      </c>
      <c r="J75" s="113">
        <v>10500102163605</v>
      </c>
      <c r="K75" s="114" t="s">
        <v>148</v>
      </c>
      <c r="L75" s="114"/>
      <c r="M75" s="114">
        <v>6</v>
      </c>
      <c r="N75" s="115" t="s">
        <v>563</v>
      </c>
      <c r="O75" s="111" t="s">
        <v>564</v>
      </c>
      <c r="P75" s="115" t="s">
        <v>565</v>
      </c>
      <c r="Q75" s="111" t="s">
        <v>566</v>
      </c>
      <c r="R75" s="111" t="s">
        <v>567</v>
      </c>
      <c r="S75" s="116" t="s">
        <v>568</v>
      </c>
      <c r="T75" s="98">
        <v>180</v>
      </c>
      <c r="U75" s="99">
        <v>120</v>
      </c>
      <c r="V75" s="99">
        <v>0</v>
      </c>
      <c r="W75" s="75" t="s">
        <v>2698</v>
      </c>
      <c r="X75" s="75" t="s">
        <v>2697</v>
      </c>
      <c r="Y75" s="109">
        <v>300</v>
      </c>
      <c r="Z75" s="98">
        <v>142</v>
      </c>
      <c r="AA75" s="99">
        <v>58</v>
      </c>
      <c r="AB75" s="99">
        <v>0</v>
      </c>
      <c r="AC75" s="75" t="s">
        <v>2700</v>
      </c>
      <c r="AD75" s="75" t="s">
        <v>2674</v>
      </c>
      <c r="AE75" s="109">
        <v>200</v>
      </c>
      <c r="AF75" s="117">
        <v>500</v>
      </c>
      <c r="AG75" s="136" t="s">
        <v>199</v>
      </c>
      <c r="AH75" s="119"/>
    </row>
    <row r="76" spans="1:34" s="80" customFormat="1" ht="12" customHeight="1">
      <c r="A76" s="66">
        <v>1074</v>
      </c>
      <c r="B76" s="67" t="s">
        <v>2696</v>
      </c>
      <c r="C76" s="96" t="s">
        <v>2850</v>
      </c>
      <c r="D76" s="67" t="s">
        <v>2699</v>
      </c>
      <c r="E76" s="66">
        <v>1</v>
      </c>
      <c r="F76" s="110">
        <v>2</v>
      </c>
      <c r="G76" s="69">
        <v>74</v>
      </c>
      <c r="H76" s="111" t="s">
        <v>569</v>
      </c>
      <c r="I76" s="112" t="s">
        <v>569</v>
      </c>
      <c r="J76" s="113">
        <v>10500102163604</v>
      </c>
      <c r="K76" s="114" t="s">
        <v>148</v>
      </c>
      <c r="L76" s="114"/>
      <c r="M76" s="114">
        <v>6</v>
      </c>
      <c r="N76" s="115" t="s">
        <v>570</v>
      </c>
      <c r="O76" s="111" t="s">
        <v>571</v>
      </c>
      <c r="P76" s="115">
        <v>4715003</v>
      </c>
      <c r="Q76" s="111" t="s">
        <v>572</v>
      </c>
      <c r="R76" s="111" t="s">
        <v>573</v>
      </c>
      <c r="S76" s="116" t="s">
        <v>574</v>
      </c>
      <c r="T76" s="98">
        <v>227</v>
      </c>
      <c r="U76" s="99">
        <v>30</v>
      </c>
      <c r="V76" s="99">
        <v>0</v>
      </c>
      <c r="W76" s="75" t="s">
        <v>2698</v>
      </c>
      <c r="X76" s="75" t="s">
        <v>2697</v>
      </c>
      <c r="Y76" s="109">
        <v>257</v>
      </c>
      <c r="Z76" s="98">
        <v>0</v>
      </c>
      <c r="AA76" s="99">
        <v>104</v>
      </c>
      <c r="AB76" s="99">
        <v>0</v>
      </c>
      <c r="AC76" s="75" t="s">
        <v>2700</v>
      </c>
      <c r="AD76" s="75" t="s">
        <v>2674</v>
      </c>
      <c r="AE76" s="109">
        <v>104</v>
      </c>
      <c r="AF76" s="117">
        <v>361</v>
      </c>
      <c r="AG76" s="118"/>
      <c r="AH76" s="119"/>
    </row>
    <row r="77" spans="1:34" s="80" customFormat="1" ht="12" customHeight="1">
      <c r="A77" s="66">
        <v>1075</v>
      </c>
      <c r="B77" s="67" t="s">
        <v>2696</v>
      </c>
      <c r="C77" s="96" t="s">
        <v>2850</v>
      </c>
      <c r="D77" s="67" t="s">
        <v>2699</v>
      </c>
      <c r="E77" s="66">
        <v>1</v>
      </c>
      <c r="F77" s="110">
        <v>2</v>
      </c>
      <c r="G77" s="69">
        <v>75</v>
      </c>
      <c r="H77" s="111" t="s">
        <v>575</v>
      </c>
      <c r="I77" s="112" t="s">
        <v>575</v>
      </c>
      <c r="J77" s="113">
        <v>10500102163602</v>
      </c>
      <c r="K77" s="114" t="s">
        <v>148</v>
      </c>
      <c r="L77" s="114"/>
      <c r="M77" s="114">
        <v>6</v>
      </c>
      <c r="N77" s="115" t="s">
        <v>563</v>
      </c>
      <c r="O77" s="111" t="s">
        <v>576</v>
      </c>
      <c r="P77" s="115" t="s">
        <v>577</v>
      </c>
      <c r="Q77" s="111" t="s">
        <v>578</v>
      </c>
      <c r="R77" s="111" t="s">
        <v>579</v>
      </c>
      <c r="S77" s="116" t="s">
        <v>574</v>
      </c>
      <c r="T77" s="98">
        <v>190</v>
      </c>
      <c r="U77" s="99">
        <v>80</v>
      </c>
      <c r="V77" s="99">
        <v>0</v>
      </c>
      <c r="W77" s="75" t="s">
        <v>2698</v>
      </c>
      <c r="X77" s="75" t="s">
        <v>2697</v>
      </c>
      <c r="Y77" s="109">
        <v>270</v>
      </c>
      <c r="Z77" s="98">
        <v>0</v>
      </c>
      <c r="AA77" s="99">
        <v>51</v>
      </c>
      <c r="AB77" s="99">
        <v>0</v>
      </c>
      <c r="AC77" s="75" t="s">
        <v>2700</v>
      </c>
      <c r="AD77" s="75" t="s">
        <v>2674</v>
      </c>
      <c r="AE77" s="109">
        <v>51</v>
      </c>
      <c r="AF77" s="117">
        <v>321</v>
      </c>
      <c r="AG77" s="136" t="s">
        <v>199</v>
      </c>
      <c r="AH77" s="119"/>
    </row>
    <row r="78" spans="1:34" s="80" customFormat="1" ht="12" customHeight="1">
      <c r="A78" s="66">
        <v>1076</v>
      </c>
      <c r="B78" s="67" t="s">
        <v>2696</v>
      </c>
      <c r="C78" s="96" t="s">
        <v>2850</v>
      </c>
      <c r="D78" s="67" t="s">
        <v>2699</v>
      </c>
      <c r="E78" s="66">
        <v>1</v>
      </c>
      <c r="F78" s="110">
        <v>2</v>
      </c>
      <c r="G78" s="69">
        <v>76</v>
      </c>
      <c r="H78" s="111" t="s">
        <v>580</v>
      </c>
      <c r="I78" s="112" t="s">
        <v>580</v>
      </c>
      <c r="J78" s="113">
        <v>10500102163603</v>
      </c>
      <c r="K78" s="114" t="s">
        <v>148</v>
      </c>
      <c r="L78" s="114"/>
      <c r="M78" s="114">
        <v>6</v>
      </c>
      <c r="N78" s="115" t="s">
        <v>563</v>
      </c>
      <c r="O78" s="111" t="s">
        <v>581</v>
      </c>
      <c r="P78" s="115">
        <v>2573224</v>
      </c>
      <c r="Q78" s="111" t="s">
        <v>572</v>
      </c>
      <c r="R78" s="111" t="s">
        <v>582</v>
      </c>
      <c r="S78" s="116" t="s">
        <v>583</v>
      </c>
      <c r="T78" s="98">
        <v>150</v>
      </c>
      <c r="U78" s="99">
        <v>0</v>
      </c>
      <c r="V78" s="99">
        <v>0</v>
      </c>
      <c r="W78" s="75" t="s">
        <v>2698</v>
      </c>
      <c r="X78" s="75" t="s">
        <v>2697</v>
      </c>
      <c r="Y78" s="109">
        <v>150</v>
      </c>
      <c r="Z78" s="98">
        <v>75</v>
      </c>
      <c r="AA78" s="99">
        <v>85</v>
      </c>
      <c r="AB78" s="99">
        <v>0</v>
      </c>
      <c r="AC78" s="75" t="s">
        <v>2700</v>
      </c>
      <c r="AD78" s="75" t="s">
        <v>2674</v>
      </c>
      <c r="AE78" s="109">
        <v>160</v>
      </c>
      <c r="AF78" s="117">
        <v>310</v>
      </c>
      <c r="AG78" s="118"/>
      <c r="AH78" s="119"/>
    </row>
    <row r="79" spans="1:34" s="80" customFormat="1" ht="12" customHeight="1">
      <c r="A79" s="66">
        <v>1077</v>
      </c>
      <c r="B79" s="67" t="s">
        <v>2696</v>
      </c>
      <c r="C79" s="96" t="s">
        <v>2850</v>
      </c>
      <c r="D79" s="67" t="s">
        <v>2699</v>
      </c>
      <c r="E79" s="66">
        <v>1</v>
      </c>
      <c r="F79" s="110">
        <v>2</v>
      </c>
      <c r="G79" s="69">
        <v>77</v>
      </c>
      <c r="H79" s="111" t="s">
        <v>584</v>
      </c>
      <c r="I79" s="112" t="s">
        <v>584</v>
      </c>
      <c r="J79" s="113">
        <v>10500100079501</v>
      </c>
      <c r="K79" s="114" t="s">
        <v>148</v>
      </c>
      <c r="L79" s="114"/>
      <c r="M79" s="114">
        <v>6</v>
      </c>
      <c r="N79" s="115" t="s">
        <v>533</v>
      </c>
      <c r="O79" s="111" t="s">
        <v>585</v>
      </c>
      <c r="P79" s="115" t="s">
        <v>586</v>
      </c>
      <c r="Q79" s="111" t="s">
        <v>587</v>
      </c>
      <c r="R79" s="111" t="s">
        <v>588</v>
      </c>
      <c r="S79" s="116" t="s">
        <v>589</v>
      </c>
      <c r="T79" s="98">
        <v>160</v>
      </c>
      <c r="U79" s="99">
        <v>150</v>
      </c>
      <c r="V79" s="99">
        <v>50</v>
      </c>
      <c r="W79" s="75" t="s">
        <v>2698</v>
      </c>
      <c r="X79" s="75" t="s">
        <v>2697</v>
      </c>
      <c r="Y79" s="109">
        <v>360</v>
      </c>
      <c r="Z79" s="98">
        <v>26</v>
      </c>
      <c r="AA79" s="99">
        <v>219</v>
      </c>
      <c r="AB79" s="99">
        <v>95</v>
      </c>
      <c r="AC79" s="75" t="s">
        <v>2700</v>
      </c>
      <c r="AD79" s="75" t="s">
        <v>2674</v>
      </c>
      <c r="AE79" s="109">
        <v>340</v>
      </c>
      <c r="AF79" s="117">
        <v>700</v>
      </c>
      <c r="AG79" s="118"/>
      <c r="AH79" s="119"/>
    </row>
    <row r="80" spans="1:34" s="80" customFormat="1" ht="12" customHeight="1">
      <c r="A80" s="66">
        <v>1078</v>
      </c>
      <c r="B80" s="67" t="s">
        <v>2696</v>
      </c>
      <c r="C80" s="96" t="s">
        <v>2850</v>
      </c>
      <c r="D80" s="67" t="s">
        <v>2699</v>
      </c>
      <c r="E80" s="66">
        <v>1</v>
      </c>
      <c r="F80" s="110">
        <v>2</v>
      </c>
      <c r="G80" s="69">
        <v>78</v>
      </c>
      <c r="H80" s="111" t="s">
        <v>590</v>
      </c>
      <c r="I80" s="112" t="s">
        <v>590</v>
      </c>
      <c r="J80" s="113">
        <v>10500101011101</v>
      </c>
      <c r="K80" s="114" t="s">
        <v>148</v>
      </c>
      <c r="L80" s="114"/>
      <c r="M80" s="114">
        <v>6</v>
      </c>
      <c r="N80" s="115" t="s">
        <v>591</v>
      </c>
      <c r="O80" s="111" t="s">
        <v>592</v>
      </c>
      <c r="P80" s="115" t="s">
        <v>593</v>
      </c>
      <c r="Q80" s="111" t="s">
        <v>594</v>
      </c>
      <c r="R80" s="111" t="s">
        <v>595</v>
      </c>
      <c r="S80" s="116" t="s">
        <v>596</v>
      </c>
      <c r="T80" s="98">
        <v>0</v>
      </c>
      <c r="U80" s="99">
        <v>120</v>
      </c>
      <c r="V80" s="99">
        <v>100</v>
      </c>
      <c r="W80" s="75" t="s">
        <v>2698</v>
      </c>
      <c r="X80" s="75" t="s">
        <v>2697</v>
      </c>
      <c r="Y80" s="109">
        <v>220</v>
      </c>
      <c r="Z80" s="98">
        <v>0</v>
      </c>
      <c r="AA80" s="99">
        <v>130</v>
      </c>
      <c r="AB80" s="99">
        <v>120</v>
      </c>
      <c r="AC80" s="75" t="s">
        <v>2700</v>
      </c>
      <c r="AD80" s="75" t="s">
        <v>2674</v>
      </c>
      <c r="AE80" s="109">
        <v>250</v>
      </c>
      <c r="AF80" s="117">
        <v>470</v>
      </c>
      <c r="AG80" s="118"/>
      <c r="AH80" s="119"/>
    </row>
    <row r="81" spans="1:34" s="80" customFormat="1" ht="12" customHeight="1">
      <c r="A81" s="66">
        <v>1079</v>
      </c>
      <c r="B81" s="67" t="s">
        <v>2696</v>
      </c>
      <c r="C81" s="96" t="s">
        <v>2850</v>
      </c>
      <c r="D81" s="67" t="s">
        <v>2699</v>
      </c>
      <c r="E81" s="66">
        <v>1</v>
      </c>
      <c r="F81" s="110">
        <v>2</v>
      </c>
      <c r="G81" s="69">
        <v>79</v>
      </c>
      <c r="H81" s="111" t="s">
        <v>597</v>
      </c>
      <c r="I81" s="112" t="s">
        <v>597</v>
      </c>
      <c r="J81" s="113">
        <v>10500101011102</v>
      </c>
      <c r="K81" s="114" t="s">
        <v>148</v>
      </c>
      <c r="L81" s="114"/>
      <c r="M81" s="114">
        <v>6</v>
      </c>
      <c r="N81" s="115" t="s">
        <v>591</v>
      </c>
      <c r="O81" s="111" t="s">
        <v>598</v>
      </c>
      <c r="P81" s="115">
        <v>4761516</v>
      </c>
      <c r="Q81" s="111" t="s">
        <v>594</v>
      </c>
      <c r="R81" s="111" t="s">
        <v>599</v>
      </c>
      <c r="S81" s="116" t="s">
        <v>600</v>
      </c>
      <c r="T81" s="98">
        <v>180</v>
      </c>
      <c r="U81" s="99">
        <v>70</v>
      </c>
      <c r="V81" s="99">
        <v>0</v>
      </c>
      <c r="W81" s="75" t="s">
        <v>2698</v>
      </c>
      <c r="X81" s="75" t="s">
        <v>2697</v>
      </c>
      <c r="Y81" s="109">
        <v>250</v>
      </c>
      <c r="Z81" s="98">
        <v>81</v>
      </c>
      <c r="AA81" s="99">
        <v>79</v>
      </c>
      <c r="AB81" s="99">
        <v>0</v>
      </c>
      <c r="AC81" s="75" t="s">
        <v>2700</v>
      </c>
      <c r="AD81" s="75" t="s">
        <v>2674</v>
      </c>
      <c r="AE81" s="109">
        <v>160</v>
      </c>
      <c r="AF81" s="117">
        <v>410</v>
      </c>
      <c r="AG81" s="118"/>
      <c r="AH81" s="119"/>
    </row>
    <row r="82" spans="1:34" s="80" customFormat="1" ht="12" customHeight="1">
      <c r="A82" s="66">
        <v>1080</v>
      </c>
      <c r="B82" s="67" t="s">
        <v>2696</v>
      </c>
      <c r="C82" s="96" t="s">
        <v>2850</v>
      </c>
      <c r="D82" s="67" t="s">
        <v>2699</v>
      </c>
      <c r="E82" s="66">
        <v>1</v>
      </c>
      <c r="F82" s="110">
        <v>2</v>
      </c>
      <c r="G82" s="69">
        <v>80</v>
      </c>
      <c r="H82" s="111" t="s">
        <v>601</v>
      </c>
      <c r="I82" s="112" t="s">
        <v>601</v>
      </c>
      <c r="J82" s="113">
        <v>10500101919401</v>
      </c>
      <c r="K82" s="114" t="s">
        <v>148</v>
      </c>
      <c r="L82" s="114"/>
      <c r="M82" s="114">
        <v>6</v>
      </c>
      <c r="N82" s="115" t="s">
        <v>591</v>
      </c>
      <c r="O82" s="111" t="s">
        <v>602</v>
      </c>
      <c r="P82" s="115" t="s">
        <v>603</v>
      </c>
      <c r="Q82" s="111" t="s">
        <v>604</v>
      </c>
      <c r="R82" s="111" t="s">
        <v>605</v>
      </c>
      <c r="S82" s="116" t="s">
        <v>606</v>
      </c>
      <c r="T82" s="98">
        <v>0</v>
      </c>
      <c r="U82" s="99">
        <v>110</v>
      </c>
      <c r="V82" s="99">
        <v>90</v>
      </c>
      <c r="W82" s="75" t="s">
        <v>2698</v>
      </c>
      <c r="X82" s="75" t="s">
        <v>2697</v>
      </c>
      <c r="Y82" s="109">
        <v>200</v>
      </c>
      <c r="Z82" s="98">
        <v>0</v>
      </c>
      <c r="AA82" s="99">
        <v>228</v>
      </c>
      <c r="AB82" s="99">
        <v>122</v>
      </c>
      <c r="AC82" s="75" t="s">
        <v>2700</v>
      </c>
      <c r="AD82" s="75" t="s">
        <v>2674</v>
      </c>
      <c r="AE82" s="109">
        <v>350</v>
      </c>
      <c r="AF82" s="117">
        <v>550</v>
      </c>
      <c r="AG82" s="118"/>
      <c r="AH82" s="119"/>
    </row>
    <row r="83" spans="1:34" s="80" customFormat="1" ht="12" customHeight="1">
      <c r="A83" s="66">
        <v>1081</v>
      </c>
      <c r="B83" s="67" t="s">
        <v>2696</v>
      </c>
      <c r="C83" s="96" t="s">
        <v>2850</v>
      </c>
      <c r="D83" s="67" t="s">
        <v>2699</v>
      </c>
      <c r="E83" s="66">
        <v>1</v>
      </c>
      <c r="F83" s="110">
        <v>2</v>
      </c>
      <c r="G83" s="69">
        <v>81</v>
      </c>
      <c r="H83" s="111" t="s">
        <v>607</v>
      </c>
      <c r="I83" s="112" t="s">
        <v>607</v>
      </c>
      <c r="J83" s="113">
        <v>10500101919402</v>
      </c>
      <c r="K83" s="114" t="s">
        <v>148</v>
      </c>
      <c r="L83" s="114"/>
      <c r="M83" s="114">
        <v>6</v>
      </c>
      <c r="N83" s="115" t="s">
        <v>591</v>
      </c>
      <c r="O83" s="111" t="s">
        <v>608</v>
      </c>
      <c r="P83" s="115" t="s">
        <v>609</v>
      </c>
      <c r="Q83" s="111" t="s">
        <v>604</v>
      </c>
      <c r="R83" s="111" t="s">
        <v>610</v>
      </c>
      <c r="S83" s="116" t="s">
        <v>611</v>
      </c>
      <c r="T83" s="98">
        <v>260</v>
      </c>
      <c r="U83" s="99">
        <v>130</v>
      </c>
      <c r="V83" s="99">
        <v>0</v>
      </c>
      <c r="W83" s="75" t="s">
        <v>2698</v>
      </c>
      <c r="X83" s="75" t="s">
        <v>2697</v>
      </c>
      <c r="Y83" s="109">
        <v>390</v>
      </c>
      <c r="Z83" s="98">
        <v>100</v>
      </c>
      <c r="AA83" s="99">
        <v>90</v>
      </c>
      <c r="AB83" s="99">
        <v>0</v>
      </c>
      <c r="AC83" s="75" t="s">
        <v>2700</v>
      </c>
      <c r="AD83" s="75" t="s">
        <v>2674</v>
      </c>
      <c r="AE83" s="109">
        <v>190</v>
      </c>
      <c r="AF83" s="117">
        <v>580</v>
      </c>
      <c r="AG83" s="118"/>
      <c r="AH83" s="119"/>
    </row>
    <row r="84" spans="1:34" s="80" customFormat="1" ht="12" customHeight="1">
      <c r="A84" s="66">
        <v>1082</v>
      </c>
      <c r="B84" s="67" t="s">
        <v>2696</v>
      </c>
      <c r="C84" s="96" t="s">
        <v>2850</v>
      </c>
      <c r="D84" s="67" t="s">
        <v>2699</v>
      </c>
      <c r="E84" s="66">
        <v>1</v>
      </c>
      <c r="F84" s="110">
        <v>2</v>
      </c>
      <c r="G84" s="69">
        <v>82</v>
      </c>
      <c r="H84" s="111" t="s">
        <v>612</v>
      </c>
      <c r="I84" s="112" t="s">
        <v>612</v>
      </c>
      <c r="J84" s="113">
        <v>10500100788901</v>
      </c>
      <c r="K84" s="114" t="s">
        <v>148</v>
      </c>
      <c r="L84" s="114"/>
      <c r="M84" s="114">
        <v>6</v>
      </c>
      <c r="N84" s="115" t="s">
        <v>613</v>
      </c>
      <c r="O84" s="111" t="s">
        <v>614</v>
      </c>
      <c r="P84" s="115">
        <v>2673506</v>
      </c>
      <c r="Q84" s="111" t="s">
        <v>615</v>
      </c>
      <c r="R84" s="111" t="s">
        <v>616</v>
      </c>
      <c r="S84" s="116" t="s">
        <v>617</v>
      </c>
      <c r="T84" s="98">
        <v>120</v>
      </c>
      <c r="U84" s="99">
        <v>110</v>
      </c>
      <c r="V84" s="99">
        <v>120</v>
      </c>
      <c r="W84" s="75" t="s">
        <v>2698</v>
      </c>
      <c r="X84" s="75" t="s">
        <v>2697</v>
      </c>
      <c r="Y84" s="109">
        <v>350</v>
      </c>
      <c r="Z84" s="98">
        <v>130</v>
      </c>
      <c r="AA84" s="99">
        <v>100</v>
      </c>
      <c r="AB84" s="99">
        <v>30</v>
      </c>
      <c r="AC84" s="75" t="s">
        <v>2700</v>
      </c>
      <c r="AD84" s="75" t="s">
        <v>2674</v>
      </c>
      <c r="AE84" s="109">
        <v>260</v>
      </c>
      <c r="AF84" s="117">
        <v>610</v>
      </c>
      <c r="AG84" s="118" t="s">
        <v>199</v>
      </c>
      <c r="AH84" s="119"/>
    </row>
    <row r="85" spans="1:34" s="80" customFormat="1" ht="12" customHeight="1">
      <c r="A85" s="66">
        <v>1083</v>
      </c>
      <c r="B85" s="67" t="s">
        <v>2696</v>
      </c>
      <c r="C85" s="96" t="s">
        <v>2850</v>
      </c>
      <c r="D85" s="67" t="s">
        <v>2699</v>
      </c>
      <c r="E85" s="66">
        <v>1</v>
      </c>
      <c r="F85" s="110">
        <v>2</v>
      </c>
      <c r="G85" s="69">
        <v>83</v>
      </c>
      <c r="H85" s="111" t="s">
        <v>618</v>
      </c>
      <c r="I85" s="112" t="s">
        <v>618</v>
      </c>
      <c r="J85" s="113">
        <v>30500101654201</v>
      </c>
      <c r="K85" s="114" t="s">
        <v>148</v>
      </c>
      <c r="L85" s="114"/>
      <c r="M85" s="114">
        <v>6</v>
      </c>
      <c r="N85" s="115" t="s">
        <v>619</v>
      </c>
      <c r="O85" s="111" t="s">
        <v>620</v>
      </c>
      <c r="P85" s="115" t="s">
        <v>621</v>
      </c>
      <c r="Q85" s="111" t="s">
        <v>622</v>
      </c>
      <c r="R85" s="111" t="s">
        <v>623</v>
      </c>
      <c r="S85" s="116" t="s">
        <v>624</v>
      </c>
      <c r="T85" s="98">
        <v>99</v>
      </c>
      <c r="U85" s="99">
        <v>364</v>
      </c>
      <c r="V85" s="99">
        <v>112</v>
      </c>
      <c r="W85" s="75" t="s">
        <v>2698</v>
      </c>
      <c r="X85" s="75" t="s">
        <v>2697</v>
      </c>
      <c r="Y85" s="109">
        <v>575</v>
      </c>
      <c r="Z85" s="98">
        <v>111</v>
      </c>
      <c r="AA85" s="99">
        <v>82</v>
      </c>
      <c r="AB85" s="99">
        <v>67</v>
      </c>
      <c r="AC85" s="75" t="s">
        <v>2700</v>
      </c>
      <c r="AD85" s="75" t="s">
        <v>2674</v>
      </c>
      <c r="AE85" s="109">
        <v>260</v>
      </c>
      <c r="AF85" s="117">
        <v>835</v>
      </c>
      <c r="AG85" s="118"/>
      <c r="AH85" s="119"/>
    </row>
    <row r="86" spans="1:34" s="80" customFormat="1" ht="12" customHeight="1">
      <c r="A86" s="66">
        <v>1084</v>
      </c>
      <c r="B86" s="67" t="s">
        <v>2696</v>
      </c>
      <c r="C86" s="67" t="s">
        <v>2697</v>
      </c>
      <c r="D86" s="67" t="s">
        <v>2698</v>
      </c>
      <c r="E86" s="66">
        <v>1</v>
      </c>
      <c r="F86" s="110">
        <v>2</v>
      </c>
      <c r="G86" s="69">
        <v>84</v>
      </c>
      <c r="H86" s="111" t="s">
        <v>625</v>
      </c>
      <c r="I86" s="112" t="s">
        <v>625</v>
      </c>
      <c r="J86" s="113">
        <v>30500101654202</v>
      </c>
      <c r="K86" s="114" t="s">
        <v>148</v>
      </c>
      <c r="L86" s="114"/>
      <c r="M86" s="114">
        <v>6</v>
      </c>
      <c r="N86" s="115" t="s">
        <v>619</v>
      </c>
      <c r="O86" s="111" t="s">
        <v>626</v>
      </c>
      <c r="P86" s="115">
        <v>4776954</v>
      </c>
      <c r="Q86" s="111" t="s">
        <v>627</v>
      </c>
      <c r="R86" s="111" t="s">
        <v>628</v>
      </c>
      <c r="S86" s="116" t="s">
        <v>629</v>
      </c>
      <c r="T86" s="98">
        <v>132</v>
      </c>
      <c r="U86" s="99">
        <v>78</v>
      </c>
      <c r="V86" s="99">
        <v>0</v>
      </c>
      <c r="W86" s="75" t="s">
        <v>2698</v>
      </c>
      <c r="X86" s="75" t="s">
        <v>2697</v>
      </c>
      <c r="Y86" s="109">
        <v>210</v>
      </c>
      <c r="Z86" s="98">
        <v>0</v>
      </c>
      <c r="AA86" s="99">
        <v>0</v>
      </c>
      <c r="AB86" s="99">
        <v>0</v>
      </c>
      <c r="AC86" s="75"/>
      <c r="AD86" s="75"/>
      <c r="AE86" s="109">
        <v>0</v>
      </c>
      <c r="AF86" s="117">
        <v>210</v>
      </c>
      <c r="AG86" s="118"/>
      <c r="AH86" s="119"/>
    </row>
    <row r="87" spans="1:34" s="80" customFormat="1" ht="12" customHeight="1">
      <c r="A87" s="66">
        <v>1085</v>
      </c>
      <c r="B87" s="67" t="s">
        <v>2696</v>
      </c>
      <c r="C87" s="96" t="s">
        <v>2838</v>
      </c>
      <c r="D87" s="67" t="s">
        <v>2699</v>
      </c>
      <c r="E87" s="66">
        <v>1</v>
      </c>
      <c r="F87" s="110">
        <v>2</v>
      </c>
      <c r="G87" s="69">
        <v>85</v>
      </c>
      <c r="H87" s="111" t="s">
        <v>630</v>
      </c>
      <c r="I87" s="112" t="s">
        <v>630</v>
      </c>
      <c r="J87" s="113">
        <v>10500101209201</v>
      </c>
      <c r="K87" s="114" t="s">
        <v>148</v>
      </c>
      <c r="L87" s="114"/>
      <c r="M87" s="114">
        <v>6</v>
      </c>
      <c r="N87" s="115" t="s">
        <v>613</v>
      </c>
      <c r="O87" s="111" t="s">
        <v>631</v>
      </c>
      <c r="P87" s="115" t="s">
        <v>632</v>
      </c>
      <c r="Q87" s="111" t="s">
        <v>633</v>
      </c>
      <c r="R87" s="111" t="s">
        <v>634</v>
      </c>
      <c r="S87" s="116" t="s">
        <v>635</v>
      </c>
      <c r="T87" s="130">
        <v>80</v>
      </c>
      <c r="U87" s="131">
        <v>180</v>
      </c>
      <c r="V87" s="131">
        <v>120</v>
      </c>
      <c r="W87" s="75" t="s">
        <v>2698</v>
      </c>
      <c r="X87" s="75" t="s">
        <v>2674</v>
      </c>
      <c r="Y87" s="109">
        <v>380</v>
      </c>
      <c r="Z87" s="98">
        <v>113</v>
      </c>
      <c r="AA87" s="99">
        <v>267</v>
      </c>
      <c r="AB87" s="99">
        <v>160</v>
      </c>
      <c r="AC87" s="75" t="s">
        <v>2700</v>
      </c>
      <c r="AD87" s="75" t="s">
        <v>2674</v>
      </c>
      <c r="AE87" s="109">
        <v>540</v>
      </c>
      <c r="AF87" s="117">
        <v>920</v>
      </c>
      <c r="AG87" s="118"/>
      <c r="AH87" s="119"/>
    </row>
    <row r="88" spans="1:34" s="80" customFormat="1" ht="12" customHeight="1">
      <c r="A88" s="66">
        <v>1086</v>
      </c>
      <c r="B88" s="67" t="s">
        <v>2696</v>
      </c>
      <c r="C88" s="96" t="s">
        <v>2850</v>
      </c>
      <c r="D88" s="67" t="s">
        <v>2699</v>
      </c>
      <c r="E88" s="66">
        <v>1</v>
      </c>
      <c r="F88" s="110">
        <v>2</v>
      </c>
      <c r="G88" s="69">
        <v>86</v>
      </c>
      <c r="H88" s="111" t="s">
        <v>636</v>
      </c>
      <c r="I88" s="112" t="s">
        <v>636</v>
      </c>
      <c r="J88" s="113">
        <v>10500102636101</v>
      </c>
      <c r="K88" s="114" t="s">
        <v>148</v>
      </c>
      <c r="L88" s="114"/>
      <c r="M88" s="114">
        <v>6</v>
      </c>
      <c r="N88" s="115" t="s">
        <v>570</v>
      </c>
      <c r="O88" s="111" t="s">
        <v>637</v>
      </c>
      <c r="P88" s="115">
        <v>4771397</v>
      </c>
      <c r="Q88" s="111" t="s">
        <v>638</v>
      </c>
      <c r="R88" s="111" t="s">
        <v>639</v>
      </c>
      <c r="S88" s="116" t="s">
        <v>640</v>
      </c>
      <c r="T88" s="130">
        <v>220</v>
      </c>
      <c r="U88" s="131">
        <v>150</v>
      </c>
      <c r="V88" s="131">
        <v>80</v>
      </c>
      <c r="W88" s="75" t="s">
        <v>2698</v>
      </c>
      <c r="X88" s="75" t="s">
        <v>2697</v>
      </c>
      <c r="Y88" s="109">
        <v>450</v>
      </c>
      <c r="Z88" s="98">
        <v>60</v>
      </c>
      <c r="AA88" s="99">
        <v>200</v>
      </c>
      <c r="AB88" s="99">
        <v>180</v>
      </c>
      <c r="AC88" s="75" t="s">
        <v>2700</v>
      </c>
      <c r="AD88" s="75" t="s">
        <v>2674</v>
      </c>
      <c r="AE88" s="109">
        <v>440</v>
      </c>
      <c r="AF88" s="117">
        <v>890</v>
      </c>
      <c r="AG88" s="118"/>
      <c r="AH88" s="119"/>
    </row>
    <row r="89" spans="1:34" s="80" customFormat="1" ht="12" customHeight="1">
      <c r="A89" s="66">
        <v>1087</v>
      </c>
      <c r="B89" s="67" t="s">
        <v>2696</v>
      </c>
      <c r="C89" s="96" t="s">
        <v>2838</v>
      </c>
      <c r="D89" s="67" t="s">
        <v>2699</v>
      </c>
      <c r="E89" s="66">
        <v>1</v>
      </c>
      <c r="F89" s="110">
        <v>2</v>
      </c>
      <c r="G89" s="69">
        <v>87</v>
      </c>
      <c r="H89" s="111" t="s">
        <v>641</v>
      </c>
      <c r="I89" s="112" t="s">
        <v>641</v>
      </c>
      <c r="J89" s="113">
        <v>30500100759401</v>
      </c>
      <c r="K89" s="114" t="s">
        <v>148</v>
      </c>
      <c r="L89" s="114"/>
      <c r="M89" s="114">
        <v>6</v>
      </c>
      <c r="N89" s="115" t="s">
        <v>591</v>
      </c>
      <c r="O89" s="111" t="s">
        <v>642</v>
      </c>
      <c r="P89" s="115" t="s">
        <v>643</v>
      </c>
      <c r="Q89" s="111" t="s">
        <v>644</v>
      </c>
      <c r="R89" s="111" t="s">
        <v>645</v>
      </c>
      <c r="S89" s="116" t="s">
        <v>646</v>
      </c>
      <c r="T89" s="130">
        <v>70</v>
      </c>
      <c r="U89" s="131">
        <v>80</v>
      </c>
      <c r="V89" s="131">
        <v>50</v>
      </c>
      <c r="W89" s="75" t="s">
        <v>2698</v>
      </c>
      <c r="X89" s="75" t="s">
        <v>2674</v>
      </c>
      <c r="Y89" s="109">
        <v>200</v>
      </c>
      <c r="Z89" s="98">
        <v>166</v>
      </c>
      <c r="AA89" s="99">
        <v>258</v>
      </c>
      <c r="AB89" s="99">
        <v>136</v>
      </c>
      <c r="AC89" s="75" t="s">
        <v>2700</v>
      </c>
      <c r="AD89" s="75" t="s">
        <v>2674</v>
      </c>
      <c r="AE89" s="109">
        <v>560</v>
      </c>
      <c r="AF89" s="117">
        <v>760</v>
      </c>
      <c r="AG89" s="118"/>
      <c r="AH89" s="119"/>
    </row>
    <row r="90" spans="1:34" s="80" customFormat="1" ht="12" customHeight="1">
      <c r="A90" s="66">
        <v>1088</v>
      </c>
      <c r="B90" s="67" t="s">
        <v>2696</v>
      </c>
      <c r="C90" s="96" t="s">
        <v>2850</v>
      </c>
      <c r="D90" s="67" t="s">
        <v>2699</v>
      </c>
      <c r="E90" s="66">
        <v>1</v>
      </c>
      <c r="F90" s="110">
        <v>2</v>
      </c>
      <c r="G90" s="69">
        <v>88</v>
      </c>
      <c r="H90" s="111" t="s">
        <v>647</v>
      </c>
      <c r="I90" s="112" t="s">
        <v>647</v>
      </c>
      <c r="J90" s="113">
        <v>10500102670101</v>
      </c>
      <c r="K90" s="114" t="s">
        <v>148</v>
      </c>
      <c r="L90" s="114"/>
      <c r="M90" s="114">
        <v>6</v>
      </c>
      <c r="N90" s="115" t="s">
        <v>648</v>
      </c>
      <c r="O90" s="111" t="s">
        <v>649</v>
      </c>
      <c r="P90" s="115" t="s">
        <v>650</v>
      </c>
      <c r="Q90" s="111" t="s">
        <v>651</v>
      </c>
      <c r="R90" s="111" t="s">
        <v>652</v>
      </c>
      <c r="S90" s="116" t="s">
        <v>653</v>
      </c>
      <c r="T90" s="98">
        <v>160</v>
      </c>
      <c r="U90" s="99">
        <v>120</v>
      </c>
      <c r="V90" s="99">
        <v>40</v>
      </c>
      <c r="W90" s="75" t="s">
        <v>2698</v>
      </c>
      <c r="X90" s="75" t="s">
        <v>2697</v>
      </c>
      <c r="Y90" s="109">
        <v>320</v>
      </c>
      <c r="Z90" s="98">
        <v>0</v>
      </c>
      <c r="AA90" s="99">
        <v>219</v>
      </c>
      <c r="AB90" s="99">
        <v>96</v>
      </c>
      <c r="AC90" s="75" t="s">
        <v>2700</v>
      </c>
      <c r="AD90" s="75" t="s">
        <v>2674</v>
      </c>
      <c r="AE90" s="109">
        <v>315</v>
      </c>
      <c r="AF90" s="117">
        <v>635</v>
      </c>
      <c r="AG90" s="118"/>
      <c r="AH90" s="119"/>
    </row>
    <row r="91" spans="1:34" s="80" customFormat="1" ht="12" customHeight="1">
      <c r="A91" s="66">
        <v>1089</v>
      </c>
      <c r="B91" s="67" t="s">
        <v>2696</v>
      </c>
      <c r="C91" s="96" t="s">
        <v>2838</v>
      </c>
      <c r="D91" s="67" t="s">
        <v>2699</v>
      </c>
      <c r="E91" s="66">
        <v>1</v>
      </c>
      <c r="F91" s="110">
        <v>2</v>
      </c>
      <c r="G91" s="69">
        <v>89</v>
      </c>
      <c r="H91" s="111" t="s">
        <v>654</v>
      </c>
      <c r="I91" s="112" t="s">
        <v>654</v>
      </c>
      <c r="J91" s="113">
        <v>10500101108801</v>
      </c>
      <c r="K91" s="114" t="s">
        <v>148</v>
      </c>
      <c r="L91" s="114"/>
      <c r="M91" s="114">
        <v>6</v>
      </c>
      <c r="N91" s="115" t="s">
        <v>613</v>
      </c>
      <c r="O91" s="111" t="s">
        <v>655</v>
      </c>
      <c r="P91" s="115" t="s">
        <v>656</v>
      </c>
      <c r="Q91" s="111" t="s">
        <v>657</v>
      </c>
      <c r="R91" s="111" t="s">
        <v>658</v>
      </c>
      <c r="S91" s="116" t="s">
        <v>659</v>
      </c>
      <c r="T91" s="98">
        <v>235</v>
      </c>
      <c r="U91" s="99">
        <v>219</v>
      </c>
      <c r="V91" s="99">
        <v>46</v>
      </c>
      <c r="W91" s="75" t="s">
        <v>2698</v>
      </c>
      <c r="X91" s="75" t="s">
        <v>2674</v>
      </c>
      <c r="Y91" s="109">
        <v>500</v>
      </c>
      <c r="Z91" s="98">
        <v>0</v>
      </c>
      <c r="AA91" s="99">
        <v>215</v>
      </c>
      <c r="AB91" s="99">
        <v>135</v>
      </c>
      <c r="AC91" s="75" t="s">
        <v>2700</v>
      </c>
      <c r="AD91" s="75" t="s">
        <v>2674</v>
      </c>
      <c r="AE91" s="109">
        <v>350</v>
      </c>
      <c r="AF91" s="117">
        <v>850</v>
      </c>
      <c r="AG91" s="118"/>
      <c r="AH91" s="119"/>
    </row>
    <row r="92" spans="1:34" s="80" customFormat="1" ht="12" customHeight="1">
      <c r="A92" s="66">
        <v>1090</v>
      </c>
      <c r="B92" s="67" t="s">
        <v>2696</v>
      </c>
      <c r="C92" s="96" t="s">
        <v>2850</v>
      </c>
      <c r="D92" s="67" t="s">
        <v>2699</v>
      </c>
      <c r="E92" s="66">
        <v>1</v>
      </c>
      <c r="F92" s="110">
        <v>2</v>
      </c>
      <c r="G92" s="69">
        <v>90</v>
      </c>
      <c r="H92" s="111" t="s">
        <v>660</v>
      </c>
      <c r="I92" s="112" t="s">
        <v>660</v>
      </c>
      <c r="J92" s="113">
        <v>10500101136301</v>
      </c>
      <c r="K92" s="114" t="s">
        <v>148</v>
      </c>
      <c r="L92" s="114"/>
      <c r="M92" s="114">
        <v>6</v>
      </c>
      <c r="N92" s="115" t="s">
        <v>661</v>
      </c>
      <c r="O92" s="111" t="s">
        <v>662</v>
      </c>
      <c r="P92" s="115" t="s">
        <v>663</v>
      </c>
      <c r="Q92" s="111" t="s">
        <v>664</v>
      </c>
      <c r="R92" s="111" t="s">
        <v>665</v>
      </c>
      <c r="S92" s="116" t="s">
        <v>666</v>
      </c>
      <c r="T92" s="98">
        <v>0</v>
      </c>
      <c r="U92" s="99">
        <v>142</v>
      </c>
      <c r="V92" s="99">
        <v>128</v>
      </c>
      <c r="W92" s="75" t="s">
        <v>2698</v>
      </c>
      <c r="X92" s="75" t="s">
        <v>2697</v>
      </c>
      <c r="Y92" s="109">
        <v>270</v>
      </c>
      <c r="Z92" s="98">
        <v>0</v>
      </c>
      <c r="AA92" s="99">
        <v>145</v>
      </c>
      <c r="AB92" s="99">
        <v>125</v>
      </c>
      <c r="AC92" s="75" t="s">
        <v>2700</v>
      </c>
      <c r="AD92" s="75" t="s">
        <v>2674</v>
      </c>
      <c r="AE92" s="109">
        <v>270</v>
      </c>
      <c r="AF92" s="117">
        <v>540</v>
      </c>
      <c r="AG92" s="118"/>
      <c r="AH92" s="119"/>
    </row>
    <row r="93" spans="1:34" s="80" customFormat="1" ht="12" customHeight="1">
      <c r="A93" s="66">
        <v>1091</v>
      </c>
      <c r="B93" s="67" t="s">
        <v>2696</v>
      </c>
      <c r="C93" s="96" t="s">
        <v>2850</v>
      </c>
      <c r="D93" s="67" t="s">
        <v>2699</v>
      </c>
      <c r="E93" s="66">
        <v>1</v>
      </c>
      <c r="F93" s="110">
        <v>2</v>
      </c>
      <c r="G93" s="69">
        <v>91</v>
      </c>
      <c r="H93" s="111" t="s">
        <v>667</v>
      </c>
      <c r="I93" s="112" t="s">
        <v>667</v>
      </c>
      <c r="J93" s="113">
        <v>10500101136302</v>
      </c>
      <c r="K93" s="114" t="s">
        <v>148</v>
      </c>
      <c r="L93" s="114"/>
      <c r="M93" s="114">
        <v>6</v>
      </c>
      <c r="N93" s="115" t="s">
        <v>661</v>
      </c>
      <c r="O93" s="111" t="s">
        <v>668</v>
      </c>
      <c r="P93" s="115" t="s">
        <v>669</v>
      </c>
      <c r="Q93" s="111" t="s">
        <v>670</v>
      </c>
      <c r="R93" s="111" t="s">
        <v>671</v>
      </c>
      <c r="S93" s="116" t="s">
        <v>672</v>
      </c>
      <c r="T93" s="98">
        <v>137</v>
      </c>
      <c r="U93" s="99">
        <v>83</v>
      </c>
      <c r="V93" s="99">
        <v>0</v>
      </c>
      <c r="W93" s="75" t="s">
        <v>2698</v>
      </c>
      <c r="X93" s="75" t="s">
        <v>2697</v>
      </c>
      <c r="Y93" s="109">
        <v>220</v>
      </c>
      <c r="Z93" s="98">
        <v>195</v>
      </c>
      <c r="AA93" s="99">
        <v>75</v>
      </c>
      <c r="AB93" s="99">
        <v>0</v>
      </c>
      <c r="AC93" s="75" t="s">
        <v>2700</v>
      </c>
      <c r="AD93" s="75" t="s">
        <v>2674</v>
      </c>
      <c r="AE93" s="109">
        <v>270</v>
      </c>
      <c r="AF93" s="117">
        <v>490</v>
      </c>
      <c r="AG93" s="118"/>
      <c r="AH93" s="119"/>
    </row>
    <row r="94" spans="1:34" s="80" customFormat="1" ht="12" customHeight="1">
      <c r="A94" s="66">
        <v>1092</v>
      </c>
      <c r="B94" s="67" t="s">
        <v>2696</v>
      </c>
      <c r="C94" s="96" t="s">
        <v>2850</v>
      </c>
      <c r="D94" s="67" t="s">
        <v>2699</v>
      </c>
      <c r="E94" s="66">
        <v>1</v>
      </c>
      <c r="F94" s="110">
        <v>2</v>
      </c>
      <c r="G94" s="69">
        <v>92</v>
      </c>
      <c r="H94" s="111" t="s">
        <v>673</v>
      </c>
      <c r="I94" s="112" t="s">
        <v>673</v>
      </c>
      <c r="J94" s="113">
        <v>10500100119801</v>
      </c>
      <c r="K94" s="114" t="s">
        <v>148</v>
      </c>
      <c r="L94" s="114"/>
      <c r="M94" s="114">
        <v>7</v>
      </c>
      <c r="N94" s="115" t="s">
        <v>674</v>
      </c>
      <c r="O94" s="111" t="s">
        <v>675</v>
      </c>
      <c r="P94" s="115">
        <v>2640826</v>
      </c>
      <c r="Q94" s="111" t="s">
        <v>676</v>
      </c>
      <c r="R94" s="111" t="s">
        <v>677</v>
      </c>
      <c r="S94" s="116" t="s">
        <v>678</v>
      </c>
      <c r="T94" s="98">
        <v>120</v>
      </c>
      <c r="U94" s="99">
        <v>170</v>
      </c>
      <c r="V94" s="99">
        <v>90</v>
      </c>
      <c r="W94" s="75" t="s">
        <v>2698</v>
      </c>
      <c r="X94" s="75" t="s">
        <v>2697</v>
      </c>
      <c r="Y94" s="109">
        <v>380</v>
      </c>
      <c r="Z94" s="98">
        <v>260</v>
      </c>
      <c r="AA94" s="99">
        <v>270</v>
      </c>
      <c r="AB94" s="99">
        <v>120</v>
      </c>
      <c r="AC94" s="75" t="s">
        <v>2700</v>
      </c>
      <c r="AD94" s="75" t="s">
        <v>2674</v>
      </c>
      <c r="AE94" s="109">
        <v>650</v>
      </c>
      <c r="AF94" s="117">
        <v>1030</v>
      </c>
      <c r="AG94" s="118"/>
      <c r="AH94" s="119"/>
    </row>
    <row r="95" spans="1:34" s="80" customFormat="1" ht="12" customHeight="1">
      <c r="A95" s="66">
        <v>1093</v>
      </c>
      <c r="B95" s="67" t="s">
        <v>2696</v>
      </c>
      <c r="C95" s="67" t="s">
        <v>2697</v>
      </c>
      <c r="D95" s="67" t="s">
        <v>2698</v>
      </c>
      <c r="E95" s="66">
        <v>1</v>
      </c>
      <c r="F95" s="110">
        <v>2</v>
      </c>
      <c r="G95" s="69">
        <v>93</v>
      </c>
      <c r="H95" s="111" t="s">
        <v>679</v>
      </c>
      <c r="I95" s="112" t="s">
        <v>679</v>
      </c>
      <c r="J95" s="113">
        <v>10500100119802</v>
      </c>
      <c r="K95" s="114" t="s">
        <v>148</v>
      </c>
      <c r="L95" s="114"/>
      <c r="M95" s="114">
        <v>7</v>
      </c>
      <c r="N95" s="115" t="s">
        <v>674</v>
      </c>
      <c r="O95" s="111" t="s">
        <v>680</v>
      </c>
      <c r="P95" s="115">
        <v>4226723</v>
      </c>
      <c r="Q95" s="111" t="s">
        <v>676</v>
      </c>
      <c r="R95" s="111" t="s">
        <v>681</v>
      </c>
      <c r="S95" s="116" t="s">
        <v>682</v>
      </c>
      <c r="T95" s="98">
        <v>110</v>
      </c>
      <c r="U95" s="99">
        <v>150</v>
      </c>
      <c r="V95" s="99">
        <v>40</v>
      </c>
      <c r="W95" s="75" t="s">
        <v>2698</v>
      </c>
      <c r="X95" s="75" t="s">
        <v>2697</v>
      </c>
      <c r="Y95" s="109">
        <v>300</v>
      </c>
      <c r="Z95" s="98">
        <v>0</v>
      </c>
      <c r="AA95" s="99">
        <v>0</v>
      </c>
      <c r="AB95" s="99">
        <v>0</v>
      </c>
      <c r="AC95" s="75"/>
      <c r="AD95" s="75"/>
      <c r="AE95" s="109">
        <v>0</v>
      </c>
      <c r="AF95" s="117">
        <v>300</v>
      </c>
      <c r="AG95" s="118"/>
      <c r="AH95" s="119"/>
    </row>
    <row r="96" spans="1:34" s="80" customFormat="1" ht="12" customHeight="1">
      <c r="A96" s="66">
        <v>1094</v>
      </c>
      <c r="B96" s="67" t="s">
        <v>2696</v>
      </c>
      <c r="C96" s="96" t="s">
        <v>2850</v>
      </c>
      <c r="D96" s="67" t="s">
        <v>2699</v>
      </c>
      <c r="E96" s="66">
        <v>1</v>
      </c>
      <c r="F96" s="110">
        <v>2</v>
      </c>
      <c r="G96" s="69">
        <v>94</v>
      </c>
      <c r="H96" s="111" t="s">
        <v>683</v>
      </c>
      <c r="I96" s="112" t="s">
        <v>683</v>
      </c>
      <c r="J96" s="113">
        <v>20500101028101</v>
      </c>
      <c r="K96" s="114" t="s">
        <v>148</v>
      </c>
      <c r="L96" s="114"/>
      <c r="M96" s="114">
        <v>7</v>
      </c>
      <c r="N96" s="115" t="s">
        <v>684</v>
      </c>
      <c r="O96" s="111" t="s">
        <v>685</v>
      </c>
      <c r="P96" s="115" t="s">
        <v>686</v>
      </c>
      <c r="Q96" s="111" t="s">
        <v>687</v>
      </c>
      <c r="R96" s="111" t="s">
        <v>688</v>
      </c>
      <c r="S96" s="116" t="s">
        <v>689</v>
      </c>
      <c r="T96" s="98">
        <v>95</v>
      </c>
      <c r="U96" s="99">
        <v>125</v>
      </c>
      <c r="V96" s="99">
        <v>50</v>
      </c>
      <c r="W96" s="75" t="s">
        <v>2698</v>
      </c>
      <c r="X96" s="75" t="s">
        <v>2697</v>
      </c>
      <c r="Y96" s="109">
        <v>270</v>
      </c>
      <c r="Z96" s="98">
        <v>210</v>
      </c>
      <c r="AA96" s="99">
        <v>305</v>
      </c>
      <c r="AB96" s="99">
        <v>115</v>
      </c>
      <c r="AC96" s="75" t="s">
        <v>2700</v>
      </c>
      <c r="AD96" s="75" t="s">
        <v>2674</v>
      </c>
      <c r="AE96" s="109">
        <v>630</v>
      </c>
      <c r="AF96" s="117">
        <v>900</v>
      </c>
      <c r="AG96" s="118"/>
      <c r="AH96" s="119"/>
    </row>
    <row r="97" spans="1:34" s="80" customFormat="1" ht="12" customHeight="1">
      <c r="A97" s="66">
        <v>1095</v>
      </c>
      <c r="B97" s="67" t="s">
        <v>2696</v>
      </c>
      <c r="C97" s="96" t="s">
        <v>2850</v>
      </c>
      <c r="D97" s="67" t="s">
        <v>2699</v>
      </c>
      <c r="E97" s="66">
        <v>1</v>
      </c>
      <c r="F97" s="110">
        <v>2</v>
      </c>
      <c r="G97" s="69">
        <v>95</v>
      </c>
      <c r="H97" s="111" t="s">
        <v>690</v>
      </c>
      <c r="I97" s="112" t="s">
        <v>691</v>
      </c>
      <c r="J97" s="113">
        <v>10500102599201</v>
      </c>
      <c r="K97" s="114" t="s">
        <v>148</v>
      </c>
      <c r="L97" s="114"/>
      <c r="M97" s="114">
        <v>7</v>
      </c>
      <c r="N97" s="115" t="s">
        <v>684</v>
      </c>
      <c r="O97" s="111" t="s">
        <v>692</v>
      </c>
      <c r="P97" s="115">
        <v>4379554</v>
      </c>
      <c r="Q97" s="111" t="s">
        <v>693</v>
      </c>
      <c r="R97" s="111" t="s">
        <v>694</v>
      </c>
      <c r="S97" s="116" t="s">
        <v>695</v>
      </c>
      <c r="T97" s="98">
        <v>200</v>
      </c>
      <c r="U97" s="99">
        <v>300</v>
      </c>
      <c r="V97" s="99">
        <v>160</v>
      </c>
      <c r="W97" s="75" t="s">
        <v>2698</v>
      </c>
      <c r="X97" s="75" t="s">
        <v>2697</v>
      </c>
      <c r="Y97" s="109">
        <v>660</v>
      </c>
      <c r="Z97" s="98">
        <v>35</v>
      </c>
      <c r="AA97" s="99">
        <v>285</v>
      </c>
      <c r="AB97" s="99">
        <v>80</v>
      </c>
      <c r="AC97" s="75" t="s">
        <v>2700</v>
      </c>
      <c r="AD97" s="75" t="s">
        <v>2674</v>
      </c>
      <c r="AE97" s="109">
        <v>400</v>
      </c>
      <c r="AF97" s="117">
        <v>1060</v>
      </c>
      <c r="AG97" s="118"/>
      <c r="AH97" s="119"/>
    </row>
    <row r="98" spans="1:34" s="80" customFormat="1" ht="12" customHeight="1">
      <c r="A98" s="66">
        <v>1096</v>
      </c>
      <c r="B98" s="67" t="s">
        <v>2696</v>
      </c>
      <c r="C98" s="96" t="s">
        <v>2850</v>
      </c>
      <c r="D98" s="67" t="s">
        <v>2699</v>
      </c>
      <c r="E98" s="66">
        <v>1</v>
      </c>
      <c r="F98" s="110">
        <v>2</v>
      </c>
      <c r="G98" s="69">
        <v>96</v>
      </c>
      <c r="H98" s="111" t="s">
        <v>696</v>
      </c>
      <c r="I98" s="112" t="s">
        <v>696</v>
      </c>
      <c r="J98" s="113">
        <v>10500102005201</v>
      </c>
      <c r="K98" s="114" t="s">
        <v>148</v>
      </c>
      <c r="L98" s="114"/>
      <c r="M98" s="114">
        <v>7</v>
      </c>
      <c r="N98" s="115" t="s">
        <v>697</v>
      </c>
      <c r="O98" s="111" t="s">
        <v>698</v>
      </c>
      <c r="P98" s="115">
        <v>4263216</v>
      </c>
      <c r="Q98" s="111" t="s">
        <v>699</v>
      </c>
      <c r="R98" s="111" t="s">
        <v>700</v>
      </c>
      <c r="S98" s="116" t="s">
        <v>701</v>
      </c>
      <c r="T98" s="98">
        <v>60</v>
      </c>
      <c r="U98" s="99">
        <v>110</v>
      </c>
      <c r="V98" s="99">
        <v>60</v>
      </c>
      <c r="W98" s="75" t="s">
        <v>2698</v>
      </c>
      <c r="X98" s="75" t="s">
        <v>2697</v>
      </c>
      <c r="Y98" s="109">
        <v>230</v>
      </c>
      <c r="Z98" s="98">
        <v>80</v>
      </c>
      <c r="AA98" s="99">
        <v>90</v>
      </c>
      <c r="AB98" s="99">
        <v>40</v>
      </c>
      <c r="AC98" s="75" t="s">
        <v>2700</v>
      </c>
      <c r="AD98" s="75" t="s">
        <v>2674</v>
      </c>
      <c r="AE98" s="109">
        <v>210</v>
      </c>
      <c r="AF98" s="117">
        <v>440</v>
      </c>
      <c r="AG98" s="118"/>
      <c r="AH98" s="119"/>
    </row>
    <row r="99" spans="1:34" s="80" customFormat="1" ht="12" customHeight="1">
      <c r="A99" s="66">
        <v>1097</v>
      </c>
      <c r="B99" s="67" t="s">
        <v>2696</v>
      </c>
      <c r="C99" s="96" t="s">
        <v>2850</v>
      </c>
      <c r="D99" s="67" t="s">
        <v>2699</v>
      </c>
      <c r="E99" s="66">
        <v>1</v>
      </c>
      <c r="F99" s="110">
        <v>2</v>
      </c>
      <c r="G99" s="69">
        <v>97</v>
      </c>
      <c r="H99" s="111" t="s">
        <v>702</v>
      </c>
      <c r="I99" s="112" t="s">
        <v>702</v>
      </c>
      <c r="J99" s="113">
        <v>10500101933001</v>
      </c>
      <c r="K99" s="114" t="s">
        <v>148</v>
      </c>
      <c r="L99" s="114"/>
      <c r="M99" s="114">
        <v>7</v>
      </c>
      <c r="N99" s="115" t="s">
        <v>703</v>
      </c>
      <c r="O99" s="111" t="s">
        <v>704</v>
      </c>
      <c r="P99" s="115" t="s">
        <v>705</v>
      </c>
      <c r="Q99" s="111" t="s">
        <v>706</v>
      </c>
      <c r="R99" s="111" t="s">
        <v>707</v>
      </c>
      <c r="S99" s="116" t="s">
        <v>708</v>
      </c>
      <c r="T99" s="98">
        <v>0</v>
      </c>
      <c r="U99" s="99">
        <v>310</v>
      </c>
      <c r="V99" s="99">
        <v>140</v>
      </c>
      <c r="W99" s="75" t="s">
        <v>2698</v>
      </c>
      <c r="X99" s="75" t="s">
        <v>2697</v>
      </c>
      <c r="Y99" s="109">
        <v>450</v>
      </c>
      <c r="Z99" s="98">
        <v>0</v>
      </c>
      <c r="AA99" s="99">
        <v>150</v>
      </c>
      <c r="AB99" s="99">
        <v>50</v>
      </c>
      <c r="AC99" s="75" t="s">
        <v>2700</v>
      </c>
      <c r="AD99" s="75" t="s">
        <v>2674</v>
      </c>
      <c r="AE99" s="109">
        <v>200</v>
      </c>
      <c r="AF99" s="117">
        <v>650</v>
      </c>
      <c r="AG99" s="118"/>
      <c r="AH99" s="119"/>
    </row>
    <row r="100" spans="1:34" s="80" customFormat="1" ht="12" customHeight="1">
      <c r="A100" s="66">
        <v>1098</v>
      </c>
      <c r="B100" s="67" t="s">
        <v>2696</v>
      </c>
      <c r="C100" s="96" t="s">
        <v>2850</v>
      </c>
      <c r="D100" s="67" t="s">
        <v>2699</v>
      </c>
      <c r="E100" s="66">
        <v>1</v>
      </c>
      <c r="F100" s="110">
        <v>2</v>
      </c>
      <c r="G100" s="69">
        <v>98</v>
      </c>
      <c r="H100" s="111" t="s">
        <v>709</v>
      </c>
      <c r="I100" s="112" t="s">
        <v>709</v>
      </c>
      <c r="J100" s="113">
        <v>10500101933003</v>
      </c>
      <c r="K100" s="114" t="s">
        <v>148</v>
      </c>
      <c r="L100" s="114"/>
      <c r="M100" s="114">
        <v>7</v>
      </c>
      <c r="N100" s="115" t="s">
        <v>703</v>
      </c>
      <c r="O100" s="111" t="s">
        <v>710</v>
      </c>
      <c r="P100" s="115">
        <v>4270846</v>
      </c>
      <c r="Q100" s="111" t="s">
        <v>706</v>
      </c>
      <c r="R100" s="111" t="s">
        <v>711</v>
      </c>
      <c r="S100" s="116" t="s">
        <v>712</v>
      </c>
      <c r="T100" s="98">
        <v>110</v>
      </c>
      <c r="U100" s="99">
        <v>80</v>
      </c>
      <c r="V100" s="99">
        <v>0</v>
      </c>
      <c r="W100" s="75" t="s">
        <v>2698</v>
      </c>
      <c r="X100" s="75" t="s">
        <v>2697</v>
      </c>
      <c r="Y100" s="109">
        <v>190</v>
      </c>
      <c r="Z100" s="98">
        <v>130</v>
      </c>
      <c r="AA100" s="99">
        <v>70</v>
      </c>
      <c r="AB100" s="99">
        <v>0</v>
      </c>
      <c r="AC100" s="75" t="s">
        <v>2700</v>
      </c>
      <c r="AD100" s="75" t="s">
        <v>2674</v>
      </c>
      <c r="AE100" s="109">
        <v>200</v>
      </c>
      <c r="AF100" s="117">
        <v>390</v>
      </c>
      <c r="AG100" s="118"/>
      <c r="AH100" s="119"/>
    </row>
    <row r="101" spans="1:34" s="80" customFormat="1" ht="12" customHeight="1">
      <c r="A101" s="66">
        <v>1099</v>
      </c>
      <c r="B101" s="67" t="s">
        <v>2696</v>
      </c>
      <c r="C101" s="96" t="s">
        <v>2850</v>
      </c>
      <c r="D101" s="67" t="s">
        <v>2699</v>
      </c>
      <c r="E101" s="66">
        <v>1</v>
      </c>
      <c r="F101" s="110">
        <v>2</v>
      </c>
      <c r="G101" s="69">
        <v>99</v>
      </c>
      <c r="H101" s="111" t="s">
        <v>713</v>
      </c>
      <c r="I101" s="112" t="s">
        <v>713</v>
      </c>
      <c r="J101" s="113">
        <v>10500101933002</v>
      </c>
      <c r="K101" s="114" t="s">
        <v>148</v>
      </c>
      <c r="L101" s="114"/>
      <c r="M101" s="114">
        <v>7</v>
      </c>
      <c r="N101" s="115" t="s">
        <v>703</v>
      </c>
      <c r="O101" s="111" t="s">
        <v>714</v>
      </c>
      <c r="P101" s="115">
        <v>4271134</v>
      </c>
      <c r="Q101" s="111" t="s">
        <v>706</v>
      </c>
      <c r="R101" s="111" t="s">
        <v>715</v>
      </c>
      <c r="S101" s="116" t="s">
        <v>716</v>
      </c>
      <c r="T101" s="98">
        <v>140</v>
      </c>
      <c r="U101" s="99">
        <v>140</v>
      </c>
      <c r="V101" s="99">
        <v>0</v>
      </c>
      <c r="W101" s="75" t="s">
        <v>2698</v>
      </c>
      <c r="X101" s="75" t="s">
        <v>2697</v>
      </c>
      <c r="Y101" s="109">
        <v>280</v>
      </c>
      <c r="Z101" s="98">
        <v>110</v>
      </c>
      <c r="AA101" s="99">
        <v>20</v>
      </c>
      <c r="AB101" s="99">
        <v>0</v>
      </c>
      <c r="AC101" s="75" t="s">
        <v>2700</v>
      </c>
      <c r="AD101" s="75" t="s">
        <v>2674</v>
      </c>
      <c r="AE101" s="109">
        <v>130</v>
      </c>
      <c r="AF101" s="117">
        <v>410</v>
      </c>
      <c r="AG101" s="118"/>
      <c r="AH101" s="119"/>
    </row>
    <row r="102" spans="1:34" s="80" customFormat="1" ht="12" customHeight="1">
      <c r="A102" s="66">
        <v>1100</v>
      </c>
      <c r="B102" s="67" t="s">
        <v>2696</v>
      </c>
      <c r="C102" s="96" t="s">
        <v>2850</v>
      </c>
      <c r="D102" s="67" t="s">
        <v>2699</v>
      </c>
      <c r="E102" s="66">
        <v>1</v>
      </c>
      <c r="F102" s="110">
        <v>2</v>
      </c>
      <c r="G102" s="69">
        <v>100</v>
      </c>
      <c r="H102" s="111" t="s">
        <v>717</v>
      </c>
      <c r="I102" s="112" t="s">
        <v>717</v>
      </c>
      <c r="J102" s="113">
        <v>10500102600001</v>
      </c>
      <c r="K102" s="114" t="s">
        <v>148</v>
      </c>
      <c r="L102" s="114"/>
      <c r="M102" s="114">
        <v>7</v>
      </c>
      <c r="N102" s="115" t="s">
        <v>684</v>
      </c>
      <c r="O102" s="111" t="s">
        <v>718</v>
      </c>
      <c r="P102" s="115" t="s">
        <v>719</v>
      </c>
      <c r="Q102" s="111" t="s">
        <v>720</v>
      </c>
      <c r="R102" s="111" t="s">
        <v>721</v>
      </c>
      <c r="S102" s="116" t="s">
        <v>722</v>
      </c>
      <c r="T102" s="98">
        <v>430</v>
      </c>
      <c r="U102" s="99">
        <v>160</v>
      </c>
      <c r="V102" s="99">
        <v>130</v>
      </c>
      <c r="W102" s="75" t="s">
        <v>2698</v>
      </c>
      <c r="X102" s="75" t="s">
        <v>2697</v>
      </c>
      <c r="Y102" s="109">
        <v>720</v>
      </c>
      <c r="Z102" s="98">
        <v>150</v>
      </c>
      <c r="AA102" s="99">
        <v>700</v>
      </c>
      <c r="AB102" s="99">
        <v>350</v>
      </c>
      <c r="AC102" s="75" t="s">
        <v>2700</v>
      </c>
      <c r="AD102" s="75" t="s">
        <v>2674</v>
      </c>
      <c r="AE102" s="109">
        <v>1200</v>
      </c>
      <c r="AF102" s="117">
        <v>1920</v>
      </c>
      <c r="AG102" s="118"/>
      <c r="AH102" s="119"/>
    </row>
    <row r="103" spans="1:34" s="80" customFormat="1" ht="12" customHeight="1">
      <c r="A103" s="66">
        <v>1101</v>
      </c>
      <c r="B103" s="67" t="s">
        <v>2696</v>
      </c>
      <c r="C103" s="96" t="s">
        <v>2850</v>
      </c>
      <c r="D103" s="67" t="s">
        <v>2699</v>
      </c>
      <c r="E103" s="66">
        <v>1</v>
      </c>
      <c r="F103" s="110">
        <v>2</v>
      </c>
      <c r="G103" s="69">
        <v>101</v>
      </c>
      <c r="H103" s="111" t="s">
        <v>723</v>
      </c>
      <c r="I103" s="112" t="s">
        <v>723</v>
      </c>
      <c r="J103" s="113">
        <v>10500100624601</v>
      </c>
      <c r="K103" s="114" t="s">
        <v>148</v>
      </c>
      <c r="L103" s="114"/>
      <c r="M103" s="114">
        <v>7</v>
      </c>
      <c r="N103" s="115" t="s">
        <v>724</v>
      </c>
      <c r="O103" s="111" t="s">
        <v>725</v>
      </c>
      <c r="P103" s="115" t="s">
        <v>726</v>
      </c>
      <c r="Q103" s="111" t="s">
        <v>727</v>
      </c>
      <c r="R103" s="111" t="s">
        <v>728</v>
      </c>
      <c r="S103" s="116" t="s">
        <v>729</v>
      </c>
      <c r="T103" s="98">
        <v>140</v>
      </c>
      <c r="U103" s="99">
        <v>170</v>
      </c>
      <c r="V103" s="99">
        <v>90</v>
      </c>
      <c r="W103" s="75" t="s">
        <v>2698</v>
      </c>
      <c r="X103" s="75" t="s">
        <v>2697</v>
      </c>
      <c r="Y103" s="109">
        <v>400</v>
      </c>
      <c r="Z103" s="98">
        <v>115</v>
      </c>
      <c r="AA103" s="99">
        <v>295</v>
      </c>
      <c r="AB103" s="99">
        <v>160</v>
      </c>
      <c r="AC103" s="75" t="s">
        <v>2700</v>
      </c>
      <c r="AD103" s="75" t="s">
        <v>2674</v>
      </c>
      <c r="AE103" s="109">
        <v>570</v>
      </c>
      <c r="AF103" s="117">
        <v>970</v>
      </c>
      <c r="AG103" s="118"/>
      <c r="AH103" s="119"/>
    </row>
    <row r="104" spans="1:34" s="80" customFormat="1" ht="12" customHeight="1">
      <c r="A104" s="66">
        <v>1102</v>
      </c>
      <c r="B104" s="67" t="s">
        <v>2696</v>
      </c>
      <c r="C104" s="96" t="s">
        <v>2850</v>
      </c>
      <c r="D104" s="67" t="s">
        <v>2699</v>
      </c>
      <c r="E104" s="66">
        <v>1</v>
      </c>
      <c r="F104" s="110">
        <v>2</v>
      </c>
      <c r="G104" s="69">
        <v>102</v>
      </c>
      <c r="H104" s="111" t="s">
        <v>730</v>
      </c>
      <c r="I104" s="112" t="s">
        <v>730</v>
      </c>
      <c r="J104" s="113">
        <v>10500102154701</v>
      </c>
      <c r="K104" s="114" t="s">
        <v>148</v>
      </c>
      <c r="L104" s="114"/>
      <c r="M104" s="114">
        <v>7</v>
      </c>
      <c r="N104" s="115" t="s">
        <v>731</v>
      </c>
      <c r="O104" s="111" t="s">
        <v>732</v>
      </c>
      <c r="P104" s="115" t="s">
        <v>733</v>
      </c>
      <c r="Q104" s="111" t="s">
        <v>734</v>
      </c>
      <c r="R104" s="111" t="s">
        <v>735</v>
      </c>
      <c r="S104" s="116" t="s">
        <v>736</v>
      </c>
      <c r="T104" s="98">
        <v>80</v>
      </c>
      <c r="U104" s="99">
        <v>90</v>
      </c>
      <c r="V104" s="99">
        <v>100</v>
      </c>
      <c r="W104" s="75" t="s">
        <v>2698</v>
      </c>
      <c r="X104" s="75" t="s">
        <v>2697</v>
      </c>
      <c r="Y104" s="109">
        <v>270</v>
      </c>
      <c r="Z104" s="98">
        <v>110</v>
      </c>
      <c r="AA104" s="99">
        <v>110</v>
      </c>
      <c r="AB104" s="99">
        <v>50</v>
      </c>
      <c r="AC104" s="75" t="s">
        <v>2700</v>
      </c>
      <c r="AD104" s="75" t="s">
        <v>2674</v>
      </c>
      <c r="AE104" s="109">
        <v>270</v>
      </c>
      <c r="AF104" s="117">
        <v>540</v>
      </c>
      <c r="AG104" s="118"/>
      <c r="AH104" s="119"/>
    </row>
    <row r="105" spans="1:34" s="80" customFormat="1" ht="12" customHeight="1">
      <c r="A105" s="66">
        <v>1103</v>
      </c>
      <c r="B105" s="67" t="s">
        <v>2696</v>
      </c>
      <c r="C105" s="96" t="s">
        <v>2850</v>
      </c>
      <c r="D105" s="67" t="s">
        <v>2699</v>
      </c>
      <c r="E105" s="66">
        <v>1</v>
      </c>
      <c r="F105" s="110">
        <v>2</v>
      </c>
      <c r="G105" s="69">
        <v>103</v>
      </c>
      <c r="H105" s="111" t="s">
        <v>737</v>
      </c>
      <c r="I105" s="112" t="s">
        <v>737</v>
      </c>
      <c r="J105" s="113">
        <v>10500100230501</v>
      </c>
      <c r="K105" s="114" t="s">
        <v>148</v>
      </c>
      <c r="L105" s="114"/>
      <c r="M105" s="114">
        <v>7</v>
      </c>
      <c r="N105" s="115" t="s">
        <v>724</v>
      </c>
      <c r="O105" s="111" t="s">
        <v>738</v>
      </c>
      <c r="P105" s="115" t="s">
        <v>739</v>
      </c>
      <c r="Q105" s="111" t="s">
        <v>740</v>
      </c>
      <c r="R105" s="111" t="s">
        <v>741</v>
      </c>
      <c r="S105" s="116" t="s">
        <v>742</v>
      </c>
      <c r="T105" s="98">
        <v>50</v>
      </c>
      <c r="U105" s="99">
        <v>150</v>
      </c>
      <c r="V105" s="99">
        <v>130</v>
      </c>
      <c r="W105" s="75" t="s">
        <v>2698</v>
      </c>
      <c r="X105" s="75" t="s">
        <v>2697</v>
      </c>
      <c r="Y105" s="109">
        <v>330</v>
      </c>
      <c r="Z105" s="98">
        <v>0</v>
      </c>
      <c r="AA105" s="99">
        <v>100</v>
      </c>
      <c r="AB105" s="99">
        <v>60</v>
      </c>
      <c r="AC105" s="75" t="s">
        <v>2700</v>
      </c>
      <c r="AD105" s="75" t="s">
        <v>2674</v>
      </c>
      <c r="AE105" s="109">
        <v>160</v>
      </c>
      <c r="AF105" s="117">
        <v>490</v>
      </c>
      <c r="AG105" s="118"/>
      <c r="AH105" s="119"/>
    </row>
    <row r="106" spans="1:34" s="80" customFormat="1" ht="12" customHeight="1">
      <c r="A106" s="66">
        <v>1104</v>
      </c>
      <c r="B106" s="67" t="s">
        <v>2696</v>
      </c>
      <c r="C106" s="96" t="s">
        <v>2850</v>
      </c>
      <c r="D106" s="67" t="s">
        <v>2699</v>
      </c>
      <c r="E106" s="66">
        <v>1</v>
      </c>
      <c r="F106" s="110">
        <v>2</v>
      </c>
      <c r="G106" s="69">
        <v>104</v>
      </c>
      <c r="H106" s="111" t="s">
        <v>743</v>
      </c>
      <c r="I106" s="112" t="s">
        <v>743</v>
      </c>
      <c r="J106" s="113">
        <v>10500101514801</v>
      </c>
      <c r="K106" s="114" t="s">
        <v>148</v>
      </c>
      <c r="L106" s="114"/>
      <c r="M106" s="114">
        <v>7</v>
      </c>
      <c r="N106" s="115" t="s">
        <v>744</v>
      </c>
      <c r="O106" s="111" t="s">
        <v>745</v>
      </c>
      <c r="P106" s="115" t="s">
        <v>746</v>
      </c>
      <c r="Q106" s="111" t="s">
        <v>747</v>
      </c>
      <c r="R106" s="111" t="s">
        <v>748</v>
      </c>
      <c r="S106" s="116" t="s">
        <v>749</v>
      </c>
      <c r="T106" s="98">
        <v>100</v>
      </c>
      <c r="U106" s="99">
        <v>150</v>
      </c>
      <c r="V106" s="99">
        <v>90</v>
      </c>
      <c r="W106" s="75" t="s">
        <v>2698</v>
      </c>
      <c r="X106" s="75" t="s">
        <v>2697</v>
      </c>
      <c r="Y106" s="109">
        <v>340</v>
      </c>
      <c r="Z106" s="98">
        <v>0</v>
      </c>
      <c r="AA106" s="99">
        <v>150</v>
      </c>
      <c r="AB106" s="99">
        <v>100</v>
      </c>
      <c r="AC106" s="75" t="s">
        <v>2700</v>
      </c>
      <c r="AD106" s="75" t="s">
        <v>2674</v>
      </c>
      <c r="AE106" s="109">
        <v>250</v>
      </c>
      <c r="AF106" s="117">
        <v>590</v>
      </c>
      <c r="AG106" s="118" t="s">
        <v>199</v>
      </c>
      <c r="AH106" s="119"/>
    </row>
    <row r="107" spans="1:34" s="80" customFormat="1" ht="12" customHeight="1">
      <c r="A107" s="66">
        <v>1105</v>
      </c>
      <c r="B107" s="67" t="s">
        <v>2696</v>
      </c>
      <c r="C107" s="96" t="s">
        <v>2850</v>
      </c>
      <c r="D107" s="67" t="s">
        <v>2699</v>
      </c>
      <c r="E107" s="66">
        <v>1</v>
      </c>
      <c r="F107" s="110">
        <v>2</v>
      </c>
      <c r="G107" s="69">
        <v>105</v>
      </c>
      <c r="H107" s="111" t="s">
        <v>750</v>
      </c>
      <c r="I107" s="112" t="s">
        <v>750</v>
      </c>
      <c r="J107" s="113">
        <v>10500101583101</v>
      </c>
      <c r="K107" s="114" t="s">
        <v>148</v>
      </c>
      <c r="L107" s="114"/>
      <c r="M107" s="114">
        <v>7</v>
      </c>
      <c r="N107" s="115" t="s">
        <v>751</v>
      </c>
      <c r="O107" s="111" t="s">
        <v>752</v>
      </c>
      <c r="P107" s="115" t="s">
        <v>753</v>
      </c>
      <c r="Q107" s="111" t="s">
        <v>754</v>
      </c>
      <c r="R107" s="111" t="s">
        <v>755</v>
      </c>
      <c r="S107" s="116" t="s">
        <v>756</v>
      </c>
      <c r="T107" s="98">
        <v>190</v>
      </c>
      <c r="U107" s="99">
        <v>140</v>
      </c>
      <c r="V107" s="99">
        <v>120</v>
      </c>
      <c r="W107" s="75" t="s">
        <v>2698</v>
      </c>
      <c r="X107" s="75" t="s">
        <v>2697</v>
      </c>
      <c r="Y107" s="109">
        <v>450</v>
      </c>
      <c r="Z107" s="98">
        <v>0</v>
      </c>
      <c r="AA107" s="99">
        <v>210</v>
      </c>
      <c r="AB107" s="99">
        <v>50</v>
      </c>
      <c r="AC107" s="75" t="s">
        <v>2700</v>
      </c>
      <c r="AD107" s="75" t="s">
        <v>2674</v>
      </c>
      <c r="AE107" s="109">
        <v>260</v>
      </c>
      <c r="AF107" s="117">
        <v>710</v>
      </c>
      <c r="AG107" s="118"/>
      <c r="AH107" s="119"/>
    </row>
    <row r="108" spans="1:34" s="80" customFormat="1" ht="12" customHeight="1">
      <c r="A108" s="66">
        <v>1106</v>
      </c>
      <c r="B108" s="67" t="s">
        <v>2696</v>
      </c>
      <c r="C108" s="96" t="s">
        <v>2850</v>
      </c>
      <c r="D108" s="67" t="s">
        <v>2699</v>
      </c>
      <c r="E108" s="66">
        <v>1</v>
      </c>
      <c r="F108" s="110">
        <v>2</v>
      </c>
      <c r="G108" s="69">
        <v>106</v>
      </c>
      <c r="H108" s="111" t="s">
        <v>757</v>
      </c>
      <c r="I108" s="112" t="s">
        <v>757</v>
      </c>
      <c r="J108" s="113">
        <v>10500101171101</v>
      </c>
      <c r="K108" s="114" t="s">
        <v>148</v>
      </c>
      <c r="L108" s="114"/>
      <c r="M108" s="114">
        <v>7</v>
      </c>
      <c r="N108" s="115" t="s">
        <v>674</v>
      </c>
      <c r="O108" s="111" t="s">
        <v>758</v>
      </c>
      <c r="P108" s="115">
        <v>2642310</v>
      </c>
      <c r="Q108" s="111" t="s">
        <v>759</v>
      </c>
      <c r="R108" s="111" t="s">
        <v>760</v>
      </c>
      <c r="S108" s="116" t="s">
        <v>761</v>
      </c>
      <c r="T108" s="98">
        <v>260</v>
      </c>
      <c r="U108" s="99">
        <v>100</v>
      </c>
      <c r="V108" s="99">
        <v>70</v>
      </c>
      <c r="W108" s="75" t="s">
        <v>2698</v>
      </c>
      <c r="X108" s="75" t="s">
        <v>2697</v>
      </c>
      <c r="Y108" s="109">
        <v>430</v>
      </c>
      <c r="Z108" s="98">
        <v>30</v>
      </c>
      <c r="AA108" s="99">
        <v>220</v>
      </c>
      <c r="AB108" s="99">
        <v>70</v>
      </c>
      <c r="AC108" s="75" t="s">
        <v>2700</v>
      </c>
      <c r="AD108" s="75" t="s">
        <v>2674</v>
      </c>
      <c r="AE108" s="109">
        <v>320</v>
      </c>
      <c r="AF108" s="117">
        <v>750</v>
      </c>
      <c r="AG108" s="118"/>
      <c r="AH108" s="119"/>
    </row>
    <row r="109" spans="1:34" s="80" customFormat="1" ht="12" customHeight="1">
      <c r="A109" s="66">
        <v>1107</v>
      </c>
      <c r="B109" s="67" t="s">
        <v>2696</v>
      </c>
      <c r="C109" s="96" t="s">
        <v>2850</v>
      </c>
      <c r="D109" s="67" t="s">
        <v>2699</v>
      </c>
      <c r="E109" s="66">
        <v>1</v>
      </c>
      <c r="F109" s="110">
        <v>2</v>
      </c>
      <c r="G109" s="69">
        <v>107</v>
      </c>
      <c r="H109" s="111" t="s">
        <v>762</v>
      </c>
      <c r="I109" s="112" t="s">
        <v>762</v>
      </c>
      <c r="J109" s="113">
        <v>10500101146101</v>
      </c>
      <c r="K109" s="114" t="s">
        <v>148</v>
      </c>
      <c r="L109" s="114"/>
      <c r="M109" s="114">
        <v>7</v>
      </c>
      <c r="N109" s="115" t="s">
        <v>763</v>
      </c>
      <c r="O109" s="111" t="s">
        <v>764</v>
      </c>
      <c r="P109" s="115">
        <v>2575489</v>
      </c>
      <c r="Q109" s="111" t="s">
        <v>765</v>
      </c>
      <c r="R109" s="111" t="s">
        <v>766</v>
      </c>
      <c r="S109" s="116" t="s">
        <v>767</v>
      </c>
      <c r="T109" s="130">
        <v>200</v>
      </c>
      <c r="U109" s="131">
        <v>150</v>
      </c>
      <c r="V109" s="131">
        <v>70</v>
      </c>
      <c r="W109" s="75" t="s">
        <v>2698</v>
      </c>
      <c r="X109" s="75" t="s">
        <v>2697</v>
      </c>
      <c r="Y109" s="109">
        <v>420</v>
      </c>
      <c r="Z109" s="98">
        <v>38</v>
      </c>
      <c r="AA109" s="99">
        <v>202</v>
      </c>
      <c r="AB109" s="99">
        <v>100</v>
      </c>
      <c r="AC109" s="75" t="s">
        <v>2700</v>
      </c>
      <c r="AD109" s="75" t="s">
        <v>2674</v>
      </c>
      <c r="AE109" s="109">
        <v>340</v>
      </c>
      <c r="AF109" s="117">
        <v>760</v>
      </c>
      <c r="AG109" s="118"/>
      <c r="AH109" s="119"/>
    </row>
    <row r="110" spans="1:34" s="80" customFormat="1" ht="12" customHeight="1">
      <c r="A110" s="66">
        <v>1108</v>
      </c>
      <c r="B110" s="67" t="s">
        <v>2696</v>
      </c>
      <c r="C110" s="96" t="s">
        <v>2850</v>
      </c>
      <c r="D110" s="67" t="s">
        <v>2699</v>
      </c>
      <c r="E110" s="66">
        <v>1</v>
      </c>
      <c r="F110" s="110">
        <v>2</v>
      </c>
      <c r="G110" s="69">
        <v>108</v>
      </c>
      <c r="H110" s="111" t="s">
        <v>768</v>
      </c>
      <c r="I110" s="112" t="s">
        <v>768</v>
      </c>
      <c r="J110" s="113">
        <v>30500102217801</v>
      </c>
      <c r="K110" s="114" t="s">
        <v>226</v>
      </c>
      <c r="L110" s="114"/>
      <c r="M110" s="114">
        <v>7</v>
      </c>
      <c r="N110" s="115" t="s">
        <v>724</v>
      </c>
      <c r="O110" s="111" t="s">
        <v>769</v>
      </c>
      <c r="P110" s="115">
        <v>4221790</v>
      </c>
      <c r="Q110" s="111" t="s">
        <v>770</v>
      </c>
      <c r="R110" s="111" t="s">
        <v>771</v>
      </c>
      <c r="S110" s="116" t="s">
        <v>772</v>
      </c>
      <c r="T110" s="130">
        <v>90</v>
      </c>
      <c r="U110" s="131">
        <v>150</v>
      </c>
      <c r="V110" s="131">
        <v>60</v>
      </c>
      <c r="W110" s="75" t="s">
        <v>2698</v>
      </c>
      <c r="X110" s="75" t="s">
        <v>2697</v>
      </c>
      <c r="Y110" s="109">
        <v>300</v>
      </c>
      <c r="Z110" s="98">
        <v>0</v>
      </c>
      <c r="AA110" s="99">
        <v>100</v>
      </c>
      <c r="AB110" s="99">
        <v>50</v>
      </c>
      <c r="AC110" s="75" t="s">
        <v>2700</v>
      </c>
      <c r="AD110" s="75" t="s">
        <v>2674</v>
      </c>
      <c r="AE110" s="109">
        <v>150</v>
      </c>
      <c r="AF110" s="117">
        <v>450</v>
      </c>
      <c r="AG110" s="118"/>
      <c r="AH110" s="119"/>
    </row>
    <row r="111" spans="1:34" s="80" customFormat="1" ht="12" customHeight="1">
      <c r="A111" s="66">
        <v>1109</v>
      </c>
      <c r="B111" s="67" t="s">
        <v>2696</v>
      </c>
      <c r="C111" s="96" t="s">
        <v>2850</v>
      </c>
      <c r="D111" s="67" t="s">
        <v>2699</v>
      </c>
      <c r="E111" s="66">
        <v>1</v>
      </c>
      <c r="F111" s="110">
        <v>2</v>
      </c>
      <c r="G111" s="69">
        <v>109</v>
      </c>
      <c r="H111" s="111" t="s">
        <v>773</v>
      </c>
      <c r="I111" s="112" t="s">
        <v>773</v>
      </c>
      <c r="J111" s="113">
        <v>10500101713201</v>
      </c>
      <c r="K111" s="114" t="s">
        <v>148</v>
      </c>
      <c r="L111" s="114"/>
      <c r="M111" s="114">
        <v>7</v>
      </c>
      <c r="N111" s="115" t="s">
        <v>774</v>
      </c>
      <c r="O111" s="111" t="s">
        <v>775</v>
      </c>
      <c r="P111" s="115">
        <v>4414908</v>
      </c>
      <c r="Q111" s="111" t="s">
        <v>776</v>
      </c>
      <c r="R111" s="111" t="s">
        <v>777</v>
      </c>
      <c r="S111" s="116" t="s">
        <v>778</v>
      </c>
      <c r="T111" s="137">
        <v>135</v>
      </c>
      <c r="U111" s="138">
        <v>175</v>
      </c>
      <c r="V111" s="138">
        <v>140</v>
      </c>
      <c r="W111" s="75" t="s">
        <v>2698</v>
      </c>
      <c r="X111" s="75" t="s">
        <v>2697</v>
      </c>
      <c r="Y111" s="109">
        <v>450</v>
      </c>
      <c r="Z111" s="130">
        <v>130</v>
      </c>
      <c r="AA111" s="131">
        <v>180</v>
      </c>
      <c r="AB111" s="131">
        <v>60</v>
      </c>
      <c r="AC111" s="75" t="s">
        <v>2700</v>
      </c>
      <c r="AD111" s="75" t="s">
        <v>2674</v>
      </c>
      <c r="AE111" s="109">
        <v>370</v>
      </c>
      <c r="AF111" s="117">
        <v>820</v>
      </c>
      <c r="AG111" s="118"/>
      <c r="AH111" s="119"/>
    </row>
    <row r="112" spans="1:34" s="80" customFormat="1" ht="12" customHeight="1">
      <c r="A112" s="66">
        <v>1110</v>
      </c>
      <c r="B112" s="67" t="s">
        <v>2696</v>
      </c>
      <c r="C112" s="96" t="s">
        <v>2850</v>
      </c>
      <c r="D112" s="67" t="s">
        <v>2699</v>
      </c>
      <c r="E112" s="66">
        <v>1</v>
      </c>
      <c r="F112" s="110">
        <v>2</v>
      </c>
      <c r="G112" s="69">
        <v>110</v>
      </c>
      <c r="H112" s="111" t="s">
        <v>779</v>
      </c>
      <c r="I112" s="112" t="s">
        <v>779</v>
      </c>
      <c r="J112" s="113">
        <v>30500102223201</v>
      </c>
      <c r="K112" s="114" t="s">
        <v>148</v>
      </c>
      <c r="L112" s="114"/>
      <c r="M112" s="114">
        <v>7</v>
      </c>
      <c r="N112" s="115" t="s">
        <v>780</v>
      </c>
      <c r="O112" s="111" t="s">
        <v>781</v>
      </c>
      <c r="P112" s="115" t="s">
        <v>782</v>
      </c>
      <c r="Q112" s="111" t="s">
        <v>783</v>
      </c>
      <c r="R112" s="111" t="s">
        <v>784</v>
      </c>
      <c r="S112" s="116" t="s">
        <v>785</v>
      </c>
      <c r="T112" s="98">
        <v>314</v>
      </c>
      <c r="U112" s="99">
        <v>183</v>
      </c>
      <c r="V112" s="99">
        <v>73</v>
      </c>
      <c r="W112" s="75" t="s">
        <v>2698</v>
      </c>
      <c r="X112" s="75" t="s">
        <v>2697</v>
      </c>
      <c r="Y112" s="109">
        <v>570</v>
      </c>
      <c r="Z112" s="98">
        <v>145</v>
      </c>
      <c r="AA112" s="99">
        <v>415</v>
      </c>
      <c r="AB112" s="99">
        <v>40</v>
      </c>
      <c r="AC112" s="75" t="s">
        <v>2700</v>
      </c>
      <c r="AD112" s="75" t="s">
        <v>2674</v>
      </c>
      <c r="AE112" s="109">
        <v>600</v>
      </c>
      <c r="AF112" s="117">
        <v>1170</v>
      </c>
      <c r="AG112" s="118"/>
      <c r="AH112" s="119"/>
    </row>
    <row r="113" spans="1:34" s="80" customFormat="1" ht="12" customHeight="1">
      <c r="A113" s="66">
        <v>1111</v>
      </c>
      <c r="B113" s="67" t="s">
        <v>2696</v>
      </c>
      <c r="C113" s="96" t="s">
        <v>2850</v>
      </c>
      <c r="D113" s="67" t="s">
        <v>2699</v>
      </c>
      <c r="E113" s="66">
        <v>1</v>
      </c>
      <c r="F113" s="110">
        <v>2</v>
      </c>
      <c r="G113" s="69">
        <v>111</v>
      </c>
      <c r="H113" s="111" t="s">
        <v>786</v>
      </c>
      <c r="I113" s="112" t="s">
        <v>786</v>
      </c>
      <c r="J113" s="113">
        <v>10500101914301</v>
      </c>
      <c r="K113" s="114" t="s">
        <v>148</v>
      </c>
      <c r="L113" s="114"/>
      <c r="M113" s="114">
        <v>7</v>
      </c>
      <c r="N113" s="115" t="s">
        <v>661</v>
      </c>
      <c r="O113" s="111" t="s">
        <v>787</v>
      </c>
      <c r="P113" s="115">
        <v>2578292</v>
      </c>
      <c r="Q113" s="111" t="s">
        <v>788</v>
      </c>
      <c r="R113" s="111" t="s">
        <v>789</v>
      </c>
      <c r="S113" s="116" t="s">
        <v>790</v>
      </c>
      <c r="T113" s="98">
        <v>100</v>
      </c>
      <c r="U113" s="99">
        <v>150</v>
      </c>
      <c r="V113" s="99">
        <v>100</v>
      </c>
      <c r="W113" s="75" t="s">
        <v>2698</v>
      </c>
      <c r="X113" s="75" t="s">
        <v>2697</v>
      </c>
      <c r="Y113" s="109">
        <v>350</v>
      </c>
      <c r="Z113" s="98">
        <v>180</v>
      </c>
      <c r="AA113" s="99">
        <v>240</v>
      </c>
      <c r="AB113" s="99">
        <v>60</v>
      </c>
      <c r="AC113" s="75" t="s">
        <v>2700</v>
      </c>
      <c r="AD113" s="75" t="s">
        <v>2674</v>
      </c>
      <c r="AE113" s="109">
        <v>480</v>
      </c>
      <c r="AF113" s="117">
        <v>830</v>
      </c>
      <c r="AG113" s="118"/>
      <c r="AH113" s="119"/>
    </row>
    <row r="114" spans="1:34" s="80" customFormat="1" ht="12" customHeight="1">
      <c r="A114" s="66">
        <v>1112</v>
      </c>
      <c r="B114" s="67" t="s">
        <v>2696</v>
      </c>
      <c r="C114" s="96" t="s">
        <v>2850</v>
      </c>
      <c r="D114" s="67" t="s">
        <v>2699</v>
      </c>
      <c r="E114" s="66">
        <v>1</v>
      </c>
      <c r="F114" s="110">
        <v>2</v>
      </c>
      <c r="G114" s="69">
        <v>112</v>
      </c>
      <c r="H114" s="111" t="s">
        <v>791</v>
      </c>
      <c r="I114" s="112" t="s">
        <v>791</v>
      </c>
      <c r="J114" s="113">
        <v>10500100247001</v>
      </c>
      <c r="K114" s="114" t="s">
        <v>148</v>
      </c>
      <c r="L114" s="114"/>
      <c r="M114" s="114">
        <v>7</v>
      </c>
      <c r="N114" s="115" t="s">
        <v>792</v>
      </c>
      <c r="O114" s="111" t="s">
        <v>793</v>
      </c>
      <c r="P114" s="115" t="s">
        <v>794</v>
      </c>
      <c r="Q114" s="111" t="s">
        <v>795</v>
      </c>
      <c r="R114" s="111" t="s">
        <v>796</v>
      </c>
      <c r="S114" s="116" t="s">
        <v>797</v>
      </c>
      <c r="T114" s="98">
        <v>54</v>
      </c>
      <c r="U114" s="99">
        <v>94</v>
      </c>
      <c r="V114" s="99">
        <v>142</v>
      </c>
      <c r="W114" s="75" t="s">
        <v>2698</v>
      </c>
      <c r="X114" s="75" t="s">
        <v>2697</v>
      </c>
      <c r="Y114" s="109">
        <v>290</v>
      </c>
      <c r="Z114" s="98">
        <v>0</v>
      </c>
      <c r="AA114" s="99">
        <v>191</v>
      </c>
      <c r="AB114" s="99">
        <v>99</v>
      </c>
      <c r="AC114" s="75" t="s">
        <v>2700</v>
      </c>
      <c r="AD114" s="75" t="s">
        <v>2674</v>
      </c>
      <c r="AE114" s="109">
        <v>290</v>
      </c>
      <c r="AF114" s="117">
        <v>580</v>
      </c>
      <c r="AG114" s="118"/>
      <c r="AH114" s="119"/>
    </row>
    <row r="115" spans="1:34" s="80" customFormat="1" ht="12" customHeight="1">
      <c r="A115" s="66">
        <v>1113</v>
      </c>
      <c r="B115" s="67" t="s">
        <v>2696</v>
      </c>
      <c r="C115" s="96" t="s">
        <v>2850</v>
      </c>
      <c r="D115" s="67" t="s">
        <v>2699</v>
      </c>
      <c r="E115" s="66">
        <v>1</v>
      </c>
      <c r="F115" s="110">
        <v>2</v>
      </c>
      <c r="G115" s="69">
        <v>113</v>
      </c>
      <c r="H115" s="111" t="s">
        <v>798</v>
      </c>
      <c r="I115" s="112" t="s">
        <v>798</v>
      </c>
      <c r="J115" s="113">
        <v>10500180011202</v>
      </c>
      <c r="K115" s="114" t="s">
        <v>148</v>
      </c>
      <c r="L115" s="114"/>
      <c r="M115" s="114">
        <v>7</v>
      </c>
      <c r="N115" s="115" t="s">
        <v>799</v>
      </c>
      <c r="O115" s="111" t="s">
        <v>800</v>
      </c>
      <c r="P115" s="115">
        <v>2570003</v>
      </c>
      <c r="Q115" s="111" t="s">
        <v>801</v>
      </c>
      <c r="R115" s="111" t="s">
        <v>802</v>
      </c>
      <c r="S115" s="116" t="s">
        <v>803</v>
      </c>
      <c r="T115" s="98">
        <v>280</v>
      </c>
      <c r="U115" s="99">
        <v>119</v>
      </c>
      <c r="V115" s="99">
        <v>0</v>
      </c>
      <c r="W115" s="75" t="s">
        <v>2698</v>
      </c>
      <c r="X115" s="75" t="s">
        <v>2697</v>
      </c>
      <c r="Y115" s="109">
        <v>399</v>
      </c>
      <c r="Z115" s="98">
        <v>131</v>
      </c>
      <c r="AA115" s="99">
        <v>69</v>
      </c>
      <c r="AB115" s="99">
        <v>0</v>
      </c>
      <c r="AC115" s="75" t="s">
        <v>2700</v>
      </c>
      <c r="AD115" s="75" t="s">
        <v>2674</v>
      </c>
      <c r="AE115" s="109">
        <v>200</v>
      </c>
      <c r="AF115" s="117">
        <v>599</v>
      </c>
      <c r="AG115" s="118"/>
      <c r="AH115" s="119"/>
    </row>
    <row r="116" spans="1:34" s="80" customFormat="1" ht="12" customHeight="1">
      <c r="A116" s="66">
        <v>1114</v>
      </c>
      <c r="B116" s="67" t="s">
        <v>2696</v>
      </c>
      <c r="C116" s="96" t="s">
        <v>2850</v>
      </c>
      <c r="D116" s="67" t="s">
        <v>2699</v>
      </c>
      <c r="E116" s="66">
        <v>1</v>
      </c>
      <c r="F116" s="110">
        <v>2</v>
      </c>
      <c r="G116" s="69">
        <v>114</v>
      </c>
      <c r="H116" s="111" t="s">
        <v>804</v>
      </c>
      <c r="I116" s="112" t="s">
        <v>804</v>
      </c>
      <c r="J116" s="113">
        <v>10500100179102</v>
      </c>
      <c r="K116" s="114" t="s">
        <v>148</v>
      </c>
      <c r="L116" s="114"/>
      <c r="M116" s="114">
        <v>7</v>
      </c>
      <c r="N116" s="115" t="s">
        <v>774</v>
      </c>
      <c r="O116" s="111" t="s">
        <v>805</v>
      </c>
      <c r="P116" s="115">
        <v>2570719</v>
      </c>
      <c r="Q116" s="111" t="s">
        <v>806</v>
      </c>
      <c r="R116" s="111" t="s">
        <v>807</v>
      </c>
      <c r="S116" s="116" t="s">
        <v>808</v>
      </c>
      <c r="T116" s="98">
        <v>150</v>
      </c>
      <c r="U116" s="99">
        <v>20</v>
      </c>
      <c r="V116" s="99">
        <v>0</v>
      </c>
      <c r="W116" s="75" t="s">
        <v>2698</v>
      </c>
      <c r="X116" s="75" t="s">
        <v>2697</v>
      </c>
      <c r="Y116" s="109">
        <v>170</v>
      </c>
      <c r="Z116" s="98">
        <v>40</v>
      </c>
      <c r="AA116" s="99">
        <v>100</v>
      </c>
      <c r="AB116" s="99">
        <v>0</v>
      </c>
      <c r="AC116" s="75" t="s">
        <v>2700</v>
      </c>
      <c r="AD116" s="75" t="s">
        <v>2674</v>
      </c>
      <c r="AE116" s="109">
        <v>140</v>
      </c>
      <c r="AF116" s="117">
        <v>310</v>
      </c>
      <c r="AG116" s="118"/>
      <c r="AH116" s="119"/>
    </row>
    <row r="117" spans="1:34" s="80" customFormat="1" ht="12" customHeight="1">
      <c r="A117" s="66">
        <v>1115</v>
      </c>
      <c r="B117" s="67" t="s">
        <v>2696</v>
      </c>
      <c r="C117" s="96" t="s">
        <v>2850</v>
      </c>
      <c r="D117" s="67" t="s">
        <v>2699</v>
      </c>
      <c r="E117" s="66">
        <v>1</v>
      </c>
      <c r="F117" s="110">
        <v>2</v>
      </c>
      <c r="G117" s="69">
        <v>115</v>
      </c>
      <c r="H117" s="111" t="s">
        <v>809</v>
      </c>
      <c r="I117" s="112" t="s">
        <v>809</v>
      </c>
      <c r="J117" s="113">
        <v>10500101101101</v>
      </c>
      <c r="K117" s="114" t="s">
        <v>148</v>
      </c>
      <c r="L117" s="114"/>
      <c r="M117" s="114">
        <v>7</v>
      </c>
      <c r="N117" s="115" t="s">
        <v>810</v>
      </c>
      <c r="O117" s="111" t="s">
        <v>811</v>
      </c>
      <c r="P117" s="115" t="s">
        <v>812</v>
      </c>
      <c r="Q117" s="111" t="s">
        <v>813</v>
      </c>
      <c r="R117" s="111" t="s">
        <v>814</v>
      </c>
      <c r="S117" s="116" t="s">
        <v>815</v>
      </c>
      <c r="T117" s="98">
        <v>130</v>
      </c>
      <c r="U117" s="99">
        <v>160</v>
      </c>
      <c r="V117" s="99">
        <v>70</v>
      </c>
      <c r="W117" s="75" t="s">
        <v>2698</v>
      </c>
      <c r="X117" s="75" t="s">
        <v>2697</v>
      </c>
      <c r="Y117" s="109">
        <v>360</v>
      </c>
      <c r="Z117" s="98">
        <v>80</v>
      </c>
      <c r="AA117" s="99">
        <v>91</v>
      </c>
      <c r="AB117" s="99">
        <v>59</v>
      </c>
      <c r="AC117" s="75" t="s">
        <v>2700</v>
      </c>
      <c r="AD117" s="75" t="s">
        <v>2674</v>
      </c>
      <c r="AE117" s="109">
        <v>230</v>
      </c>
      <c r="AF117" s="117">
        <v>590</v>
      </c>
      <c r="AG117" s="118"/>
      <c r="AH117" s="119"/>
    </row>
    <row r="118" spans="1:34" s="80" customFormat="1" ht="12" customHeight="1">
      <c r="A118" s="66">
        <v>1116</v>
      </c>
      <c r="B118" s="67" t="s">
        <v>2696</v>
      </c>
      <c r="C118" s="96" t="s">
        <v>2850</v>
      </c>
      <c r="D118" s="67" t="s">
        <v>2699</v>
      </c>
      <c r="E118" s="66">
        <v>1</v>
      </c>
      <c r="F118" s="110">
        <v>3</v>
      </c>
      <c r="G118" s="69">
        <v>116</v>
      </c>
      <c r="H118" s="111" t="s">
        <v>816</v>
      </c>
      <c r="I118" s="115" t="s">
        <v>816</v>
      </c>
      <c r="J118" s="113">
        <v>10500101942901</v>
      </c>
      <c r="K118" s="114" t="s">
        <v>148</v>
      </c>
      <c r="L118" s="114"/>
      <c r="M118" s="114">
        <v>8</v>
      </c>
      <c r="N118" s="115" t="s">
        <v>817</v>
      </c>
      <c r="O118" s="111" t="s">
        <v>818</v>
      </c>
      <c r="P118" s="115">
        <v>2848292</v>
      </c>
      <c r="Q118" s="111" t="s">
        <v>819</v>
      </c>
      <c r="R118" s="111" t="s">
        <v>820</v>
      </c>
      <c r="S118" s="116" t="s">
        <v>821</v>
      </c>
      <c r="T118" s="98">
        <v>0</v>
      </c>
      <c r="U118" s="99">
        <v>160</v>
      </c>
      <c r="V118" s="99">
        <v>160</v>
      </c>
      <c r="W118" s="75" t="s">
        <v>2698</v>
      </c>
      <c r="X118" s="75" t="s">
        <v>2697</v>
      </c>
      <c r="Y118" s="109">
        <v>320</v>
      </c>
      <c r="Z118" s="98">
        <v>0</v>
      </c>
      <c r="AA118" s="99">
        <v>350</v>
      </c>
      <c r="AB118" s="99">
        <v>190</v>
      </c>
      <c r="AC118" s="75" t="s">
        <v>2700</v>
      </c>
      <c r="AD118" s="75" t="s">
        <v>2674</v>
      </c>
      <c r="AE118" s="109">
        <v>540</v>
      </c>
      <c r="AF118" s="117">
        <v>860</v>
      </c>
      <c r="AG118" s="118" t="s">
        <v>199</v>
      </c>
      <c r="AH118" s="139"/>
    </row>
    <row r="119" spans="1:34" s="80" customFormat="1" ht="12" customHeight="1">
      <c r="A119" s="66">
        <v>1117</v>
      </c>
      <c r="B119" s="67" t="s">
        <v>2696</v>
      </c>
      <c r="C119" s="67" t="s">
        <v>2697</v>
      </c>
      <c r="D119" s="67" t="s">
        <v>2698</v>
      </c>
      <c r="E119" s="66">
        <v>1</v>
      </c>
      <c r="F119" s="110">
        <v>3</v>
      </c>
      <c r="G119" s="69">
        <v>117</v>
      </c>
      <c r="H119" s="111" t="s">
        <v>822</v>
      </c>
      <c r="I119" s="115" t="s">
        <v>822</v>
      </c>
      <c r="J119" s="113">
        <v>10500101942904</v>
      </c>
      <c r="K119" s="114" t="s">
        <v>148</v>
      </c>
      <c r="L119" s="114"/>
      <c r="M119" s="114">
        <v>8</v>
      </c>
      <c r="N119" s="115" t="s">
        <v>817</v>
      </c>
      <c r="O119" s="111" t="s">
        <v>823</v>
      </c>
      <c r="P119" s="115">
        <v>2847983</v>
      </c>
      <c r="Q119" s="111" t="s">
        <v>819</v>
      </c>
      <c r="R119" s="111" t="s">
        <v>824</v>
      </c>
      <c r="S119" s="116" t="s">
        <v>825</v>
      </c>
      <c r="T119" s="98">
        <v>259</v>
      </c>
      <c r="U119" s="99">
        <v>86</v>
      </c>
      <c r="V119" s="99">
        <v>0</v>
      </c>
      <c r="W119" s="75" t="s">
        <v>2698</v>
      </c>
      <c r="X119" s="75" t="s">
        <v>2697</v>
      </c>
      <c r="Y119" s="109">
        <v>345</v>
      </c>
      <c r="Z119" s="98">
        <v>0</v>
      </c>
      <c r="AA119" s="99">
        <v>0</v>
      </c>
      <c r="AB119" s="99">
        <v>0</v>
      </c>
      <c r="AC119" s="75"/>
      <c r="AD119" s="75"/>
      <c r="AE119" s="109">
        <v>0</v>
      </c>
      <c r="AF119" s="117">
        <v>345</v>
      </c>
      <c r="AG119" s="118" t="s">
        <v>199</v>
      </c>
      <c r="AH119" s="140"/>
    </row>
    <row r="120" spans="1:34" s="80" customFormat="1" ht="12" customHeight="1">
      <c r="A120" s="66">
        <v>1118</v>
      </c>
      <c r="B120" s="67" t="s">
        <v>2696</v>
      </c>
      <c r="C120" s="96" t="s">
        <v>2850</v>
      </c>
      <c r="D120" s="67" t="s">
        <v>2699</v>
      </c>
      <c r="E120" s="66">
        <v>1</v>
      </c>
      <c r="F120" s="110">
        <v>3</v>
      </c>
      <c r="G120" s="69">
        <v>118</v>
      </c>
      <c r="H120" s="111" t="s">
        <v>826</v>
      </c>
      <c r="I120" s="115" t="s">
        <v>826</v>
      </c>
      <c r="J120" s="113">
        <v>10500102613101</v>
      </c>
      <c r="K120" s="114" t="s">
        <v>148</v>
      </c>
      <c r="L120" s="114"/>
      <c r="M120" s="114">
        <v>8</v>
      </c>
      <c r="N120" s="115" t="s">
        <v>827</v>
      </c>
      <c r="O120" s="111" t="s">
        <v>828</v>
      </c>
      <c r="P120" s="115">
        <v>2223647</v>
      </c>
      <c r="Q120" s="111" t="s">
        <v>829</v>
      </c>
      <c r="R120" s="111" t="s">
        <v>830</v>
      </c>
      <c r="S120" s="116" t="s">
        <v>831</v>
      </c>
      <c r="T120" s="98">
        <v>125</v>
      </c>
      <c r="U120" s="99">
        <v>190</v>
      </c>
      <c r="V120" s="99">
        <v>95</v>
      </c>
      <c r="W120" s="75" t="s">
        <v>2698</v>
      </c>
      <c r="X120" s="75" t="s">
        <v>2697</v>
      </c>
      <c r="Y120" s="109">
        <v>410</v>
      </c>
      <c r="Z120" s="98">
        <v>44</v>
      </c>
      <c r="AA120" s="99">
        <v>168</v>
      </c>
      <c r="AB120" s="99">
        <v>73</v>
      </c>
      <c r="AC120" s="75" t="s">
        <v>2700</v>
      </c>
      <c r="AD120" s="75" t="s">
        <v>2674</v>
      </c>
      <c r="AE120" s="109">
        <v>285</v>
      </c>
      <c r="AF120" s="117">
        <v>695</v>
      </c>
      <c r="AG120" s="118"/>
      <c r="AH120" s="140"/>
    </row>
    <row r="121" spans="1:34" s="80" customFormat="1" ht="12" customHeight="1">
      <c r="A121" s="66">
        <v>1119</v>
      </c>
      <c r="B121" s="67" t="s">
        <v>2696</v>
      </c>
      <c r="C121" s="67" t="s">
        <v>2697</v>
      </c>
      <c r="D121" s="67" t="s">
        <v>2698</v>
      </c>
      <c r="E121" s="66">
        <v>1</v>
      </c>
      <c r="F121" s="110">
        <v>3</v>
      </c>
      <c r="G121" s="69">
        <v>119</v>
      </c>
      <c r="H121" s="111" t="s">
        <v>832</v>
      </c>
      <c r="I121" s="115" t="s">
        <v>832</v>
      </c>
      <c r="J121" s="113">
        <v>10500101269602</v>
      </c>
      <c r="K121" s="114" t="s">
        <v>148</v>
      </c>
      <c r="L121" s="114"/>
      <c r="M121" s="114">
        <v>8</v>
      </c>
      <c r="N121" s="115" t="s">
        <v>833</v>
      </c>
      <c r="O121" s="111" t="s">
        <v>834</v>
      </c>
      <c r="P121" s="115">
        <v>2841315</v>
      </c>
      <c r="Q121" s="111" t="s">
        <v>835</v>
      </c>
      <c r="R121" s="111" t="s">
        <v>836</v>
      </c>
      <c r="S121" s="116" t="s">
        <v>837</v>
      </c>
      <c r="T121" s="98">
        <v>320</v>
      </c>
      <c r="U121" s="99">
        <v>0</v>
      </c>
      <c r="V121" s="99">
        <v>0</v>
      </c>
      <c r="W121" s="75" t="s">
        <v>2698</v>
      </c>
      <c r="X121" s="75" t="s">
        <v>2697</v>
      </c>
      <c r="Y121" s="109">
        <v>320</v>
      </c>
      <c r="Z121" s="98">
        <v>0</v>
      </c>
      <c r="AA121" s="99">
        <v>0</v>
      </c>
      <c r="AB121" s="99">
        <v>0</v>
      </c>
      <c r="AC121" s="75"/>
      <c r="AD121" s="75"/>
      <c r="AE121" s="109">
        <v>0</v>
      </c>
      <c r="AF121" s="117">
        <v>320</v>
      </c>
      <c r="AG121" s="132"/>
      <c r="AH121" s="141"/>
    </row>
    <row r="122" spans="1:34" s="80" customFormat="1" ht="12" customHeight="1">
      <c r="A122" s="66">
        <v>1120</v>
      </c>
      <c r="B122" s="67" t="s">
        <v>2696</v>
      </c>
      <c r="C122" s="67" t="s">
        <v>2697</v>
      </c>
      <c r="D122" s="67" t="s">
        <v>2698</v>
      </c>
      <c r="E122" s="66">
        <v>1</v>
      </c>
      <c r="F122" s="110">
        <v>3</v>
      </c>
      <c r="G122" s="69">
        <v>120</v>
      </c>
      <c r="H122" s="111" t="s">
        <v>838</v>
      </c>
      <c r="I122" s="115" t="s">
        <v>838</v>
      </c>
      <c r="J122" s="113">
        <v>10500101269603</v>
      </c>
      <c r="K122" s="114" t="s">
        <v>148</v>
      </c>
      <c r="L122" s="114"/>
      <c r="M122" s="114">
        <v>8</v>
      </c>
      <c r="N122" s="115" t="s">
        <v>833</v>
      </c>
      <c r="O122" s="111" t="s">
        <v>839</v>
      </c>
      <c r="P122" s="115">
        <v>2841231</v>
      </c>
      <c r="Q122" s="111" t="s">
        <v>835</v>
      </c>
      <c r="R122" s="111" t="s">
        <v>840</v>
      </c>
      <c r="S122" s="116" t="s">
        <v>841</v>
      </c>
      <c r="T122" s="98">
        <v>0</v>
      </c>
      <c r="U122" s="99">
        <v>250</v>
      </c>
      <c r="V122" s="99">
        <v>0</v>
      </c>
      <c r="W122" s="75" t="s">
        <v>2698</v>
      </c>
      <c r="X122" s="75" t="s">
        <v>2697</v>
      </c>
      <c r="Y122" s="109">
        <v>250</v>
      </c>
      <c r="Z122" s="98">
        <v>0</v>
      </c>
      <c r="AA122" s="99">
        <v>0</v>
      </c>
      <c r="AB122" s="99">
        <v>0</v>
      </c>
      <c r="AC122" s="75"/>
      <c r="AD122" s="75"/>
      <c r="AE122" s="109">
        <v>0</v>
      </c>
      <c r="AF122" s="117">
        <v>250</v>
      </c>
      <c r="AG122" s="113" t="s">
        <v>199</v>
      </c>
      <c r="AH122" s="142"/>
    </row>
    <row r="123" spans="1:34" s="80" customFormat="1" ht="12" customHeight="1">
      <c r="A123" s="66">
        <v>1121</v>
      </c>
      <c r="B123" s="67" t="s">
        <v>2696</v>
      </c>
      <c r="C123" s="67" t="s">
        <v>2697</v>
      </c>
      <c r="D123" s="67" t="s">
        <v>2698</v>
      </c>
      <c r="E123" s="66">
        <v>1</v>
      </c>
      <c r="F123" s="110">
        <v>3</v>
      </c>
      <c r="G123" s="69">
        <v>121</v>
      </c>
      <c r="H123" s="111" t="s">
        <v>842</v>
      </c>
      <c r="I123" s="115" t="s">
        <v>842</v>
      </c>
      <c r="J123" s="113">
        <v>10500102658102</v>
      </c>
      <c r="K123" s="114" t="s">
        <v>148</v>
      </c>
      <c r="L123" s="114"/>
      <c r="M123" s="114">
        <v>8</v>
      </c>
      <c r="N123" s="115" t="s">
        <v>843</v>
      </c>
      <c r="O123" s="111" t="s">
        <v>844</v>
      </c>
      <c r="P123" s="115" t="s">
        <v>845</v>
      </c>
      <c r="Q123" s="111" t="s">
        <v>846</v>
      </c>
      <c r="R123" s="111" t="s">
        <v>847</v>
      </c>
      <c r="S123" s="116" t="s">
        <v>848</v>
      </c>
      <c r="T123" s="98">
        <v>310</v>
      </c>
      <c r="U123" s="99">
        <v>238</v>
      </c>
      <c r="V123" s="99">
        <v>0</v>
      </c>
      <c r="W123" s="75" t="s">
        <v>2698</v>
      </c>
      <c r="X123" s="75" t="s">
        <v>2697</v>
      </c>
      <c r="Y123" s="109">
        <v>548</v>
      </c>
      <c r="Z123" s="98">
        <v>0</v>
      </c>
      <c r="AA123" s="99">
        <v>0</v>
      </c>
      <c r="AB123" s="99">
        <v>0</v>
      </c>
      <c r="AC123" s="75"/>
      <c r="AD123" s="75"/>
      <c r="AE123" s="109">
        <v>0</v>
      </c>
      <c r="AF123" s="117">
        <v>548</v>
      </c>
      <c r="AG123" s="113" t="s">
        <v>199</v>
      </c>
      <c r="AH123" s="139"/>
    </row>
    <row r="124" spans="1:34" s="80" customFormat="1" ht="12" customHeight="1" thickBot="1">
      <c r="A124" s="66">
        <v>1122</v>
      </c>
      <c r="B124" s="67" t="s">
        <v>2696</v>
      </c>
      <c r="C124" s="67" t="s">
        <v>2697</v>
      </c>
      <c r="D124" s="67" t="s">
        <v>2698</v>
      </c>
      <c r="E124" s="66">
        <v>1</v>
      </c>
      <c r="F124" s="110">
        <v>3</v>
      </c>
      <c r="G124" s="69">
        <v>122</v>
      </c>
      <c r="H124" s="143" t="s">
        <v>849</v>
      </c>
      <c r="I124" s="115" t="s">
        <v>849</v>
      </c>
      <c r="J124" s="113">
        <v>10500100056602</v>
      </c>
      <c r="K124" s="114" t="s">
        <v>148</v>
      </c>
      <c r="L124" s="144"/>
      <c r="M124" s="114">
        <v>8</v>
      </c>
      <c r="N124" s="115" t="s">
        <v>850</v>
      </c>
      <c r="O124" s="111" t="s">
        <v>851</v>
      </c>
      <c r="P124" s="115">
        <v>2695371</v>
      </c>
      <c r="Q124" s="111" t="s">
        <v>852</v>
      </c>
      <c r="R124" s="111" t="s">
        <v>853</v>
      </c>
      <c r="S124" s="116" t="s">
        <v>854</v>
      </c>
      <c r="T124" s="98">
        <v>230</v>
      </c>
      <c r="U124" s="99">
        <v>90</v>
      </c>
      <c r="V124" s="99">
        <v>0</v>
      </c>
      <c r="W124" s="75" t="s">
        <v>2698</v>
      </c>
      <c r="X124" s="75" t="s">
        <v>2697</v>
      </c>
      <c r="Y124" s="109">
        <v>320</v>
      </c>
      <c r="Z124" s="98">
        <v>0</v>
      </c>
      <c r="AA124" s="99">
        <v>0</v>
      </c>
      <c r="AB124" s="99">
        <v>0</v>
      </c>
      <c r="AC124" s="75"/>
      <c r="AD124" s="75"/>
      <c r="AE124" s="109">
        <v>0</v>
      </c>
      <c r="AF124" s="117">
        <v>320</v>
      </c>
      <c r="AG124" s="113" t="s">
        <v>199</v>
      </c>
      <c r="AH124" s="140"/>
    </row>
    <row r="125" spans="1:34" s="80" customFormat="1" ht="12" customHeight="1">
      <c r="A125" s="66">
        <v>1123</v>
      </c>
      <c r="B125" s="67" t="s">
        <v>2696</v>
      </c>
      <c r="C125" s="96" t="s">
        <v>2850</v>
      </c>
      <c r="D125" s="67" t="s">
        <v>2699</v>
      </c>
      <c r="E125" s="66">
        <v>1</v>
      </c>
      <c r="F125" s="110">
        <v>3</v>
      </c>
      <c r="G125" s="69">
        <v>123</v>
      </c>
      <c r="H125" s="111" t="s">
        <v>855</v>
      </c>
      <c r="I125" s="115" t="s">
        <v>855</v>
      </c>
      <c r="J125" s="113">
        <v>10500100235601</v>
      </c>
      <c r="K125" s="114" t="s">
        <v>148</v>
      </c>
      <c r="L125" s="114"/>
      <c r="M125" s="114">
        <v>8</v>
      </c>
      <c r="N125" s="115" t="s">
        <v>856</v>
      </c>
      <c r="O125" s="111" t="s">
        <v>857</v>
      </c>
      <c r="P125" s="115">
        <v>2260583</v>
      </c>
      <c r="Q125" s="111" t="s">
        <v>858</v>
      </c>
      <c r="R125" s="111" t="s">
        <v>858</v>
      </c>
      <c r="S125" s="116" t="s">
        <v>859</v>
      </c>
      <c r="T125" s="98">
        <v>266</v>
      </c>
      <c r="U125" s="99">
        <v>129</v>
      </c>
      <c r="V125" s="99">
        <v>0</v>
      </c>
      <c r="W125" s="75" t="s">
        <v>2698</v>
      </c>
      <c r="X125" s="75" t="s">
        <v>2697</v>
      </c>
      <c r="Y125" s="109">
        <v>395</v>
      </c>
      <c r="Z125" s="98">
        <v>85</v>
      </c>
      <c r="AA125" s="99">
        <v>0</v>
      </c>
      <c r="AB125" s="99">
        <v>0</v>
      </c>
      <c r="AC125" s="75" t="s">
        <v>2700</v>
      </c>
      <c r="AD125" s="75" t="s">
        <v>2674</v>
      </c>
      <c r="AE125" s="109">
        <v>85</v>
      </c>
      <c r="AF125" s="117">
        <v>480</v>
      </c>
      <c r="AG125" s="113" t="s">
        <v>199</v>
      </c>
      <c r="AH125" s="140"/>
    </row>
    <row r="126" spans="1:34" s="80" customFormat="1" ht="12" customHeight="1">
      <c r="A126" s="66">
        <v>1124</v>
      </c>
      <c r="B126" s="67" t="s">
        <v>2696</v>
      </c>
      <c r="C126" s="96" t="s">
        <v>2850</v>
      </c>
      <c r="D126" s="67" t="s">
        <v>2699</v>
      </c>
      <c r="E126" s="66">
        <v>1</v>
      </c>
      <c r="F126" s="110">
        <v>3</v>
      </c>
      <c r="G126" s="69">
        <v>124</v>
      </c>
      <c r="H126" s="111" t="s">
        <v>860</v>
      </c>
      <c r="I126" s="115" t="s">
        <v>860</v>
      </c>
      <c r="J126" s="113">
        <v>10500100970901</v>
      </c>
      <c r="K126" s="114" t="s">
        <v>148</v>
      </c>
      <c r="L126" s="114"/>
      <c r="M126" s="114">
        <v>8</v>
      </c>
      <c r="N126" s="115" t="s">
        <v>827</v>
      </c>
      <c r="O126" s="111" t="s">
        <v>861</v>
      </c>
      <c r="P126" s="115" t="s">
        <v>862</v>
      </c>
      <c r="Q126" s="111" t="s">
        <v>863</v>
      </c>
      <c r="R126" s="111" t="s">
        <v>864</v>
      </c>
      <c r="S126" s="116" t="s">
        <v>865</v>
      </c>
      <c r="T126" s="98">
        <v>0</v>
      </c>
      <c r="U126" s="99">
        <v>234</v>
      </c>
      <c r="V126" s="99">
        <v>58</v>
      </c>
      <c r="W126" s="75" t="s">
        <v>2698</v>
      </c>
      <c r="X126" s="75" t="s">
        <v>2697</v>
      </c>
      <c r="Y126" s="109">
        <v>292</v>
      </c>
      <c r="Z126" s="98">
        <v>0</v>
      </c>
      <c r="AA126" s="99">
        <v>202</v>
      </c>
      <c r="AB126" s="99">
        <v>187</v>
      </c>
      <c r="AC126" s="75" t="s">
        <v>2700</v>
      </c>
      <c r="AD126" s="75" t="s">
        <v>2674</v>
      </c>
      <c r="AE126" s="109">
        <v>389</v>
      </c>
      <c r="AF126" s="117">
        <v>681</v>
      </c>
      <c r="AG126" s="113"/>
      <c r="AH126" s="140"/>
    </row>
    <row r="127" spans="1:34" s="80" customFormat="1" ht="12" customHeight="1">
      <c r="A127" s="66">
        <v>1125</v>
      </c>
      <c r="B127" s="67" t="s">
        <v>2696</v>
      </c>
      <c r="C127" s="67" t="s">
        <v>2697</v>
      </c>
      <c r="D127" s="67" t="s">
        <v>2698</v>
      </c>
      <c r="E127" s="66">
        <v>1</v>
      </c>
      <c r="F127" s="110">
        <v>3</v>
      </c>
      <c r="G127" s="69">
        <v>125</v>
      </c>
      <c r="H127" s="111" t="s">
        <v>866</v>
      </c>
      <c r="I127" s="115" t="s">
        <v>866</v>
      </c>
      <c r="J127" s="113">
        <v>10500100970904</v>
      </c>
      <c r="K127" s="114" t="s">
        <v>148</v>
      </c>
      <c r="L127" s="114"/>
      <c r="M127" s="114">
        <v>8</v>
      </c>
      <c r="N127" s="115" t="s">
        <v>867</v>
      </c>
      <c r="O127" s="111" t="s">
        <v>868</v>
      </c>
      <c r="P127" s="115">
        <v>2691841</v>
      </c>
      <c r="Q127" s="111" t="s">
        <v>863</v>
      </c>
      <c r="R127" s="111" t="s">
        <v>869</v>
      </c>
      <c r="S127" s="116" t="s">
        <v>870</v>
      </c>
      <c r="T127" s="98">
        <v>67</v>
      </c>
      <c r="U127" s="99">
        <v>97</v>
      </c>
      <c r="V127" s="99">
        <v>0</v>
      </c>
      <c r="W127" s="75" t="s">
        <v>2698</v>
      </c>
      <c r="X127" s="75" t="s">
        <v>2697</v>
      </c>
      <c r="Y127" s="109">
        <v>164</v>
      </c>
      <c r="Z127" s="98">
        <v>0</v>
      </c>
      <c r="AA127" s="99">
        <v>0</v>
      </c>
      <c r="AB127" s="99">
        <v>0</v>
      </c>
      <c r="AC127" s="75"/>
      <c r="AD127" s="75"/>
      <c r="AE127" s="109">
        <v>0</v>
      </c>
      <c r="AF127" s="117">
        <v>164</v>
      </c>
      <c r="AG127" s="113" t="s">
        <v>199</v>
      </c>
      <c r="AH127" s="79"/>
    </row>
    <row r="128" spans="1:34" s="80" customFormat="1" ht="12" customHeight="1">
      <c r="A128" s="66">
        <v>1126</v>
      </c>
      <c r="B128" s="67" t="s">
        <v>2696</v>
      </c>
      <c r="C128" s="96" t="s">
        <v>2850</v>
      </c>
      <c r="D128" s="67" t="s">
        <v>2699</v>
      </c>
      <c r="E128" s="66">
        <v>1</v>
      </c>
      <c r="F128" s="110">
        <v>3</v>
      </c>
      <c r="G128" s="69">
        <v>126</v>
      </c>
      <c r="H128" s="111" t="s">
        <v>871</v>
      </c>
      <c r="I128" s="115" t="s">
        <v>871</v>
      </c>
      <c r="J128" s="113">
        <v>10500102577101</v>
      </c>
      <c r="K128" s="114" t="s">
        <v>148</v>
      </c>
      <c r="L128" s="114"/>
      <c r="M128" s="114">
        <v>8</v>
      </c>
      <c r="N128" s="115" t="s">
        <v>817</v>
      </c>
      <c r="O128" s="111" t="s">
        <v>872</v>
      </c>
      <c r="P128" s="115" t="s">
        <v>873</v>
      </c>
      <c r="Q128" s="111" t="s">
        <v>874</v>
      </c>
      <c r="R128" s="111" t="s">
        <v>875</v>
      </c>
      <c r="S128" s="116" t="s">
        <v>876</v>
      </c>
      <c r="T128" s="98">
        <v>56</v>
      </c>
      <c r="U128" s="99">
        <v>495</v>
      </c>
      <c r="V128" s="99">
        <v>69</v>
      </c>
      <c r="W128" s="75" t="s">
        <v>2698</v>
      </c>
      <c r="X128" s="75" t="s">
        <v>2697</v>
      </c>
      <c r="Y128" s="109">
        <v>620</v>
      </c>
      <c r="Z128" s="98">
        <v>0</v>
      </c>
      <c r="AA128" s="99">
        <v>160</v>
      </c>
      <c r="AB128" s="99">
        <v>0</v>
      </c>
      <c r="AC128" s="75" t="s">
        <v>2700</v>
      </c>
      <c r="AD128" s="75" t="s">
        <v>2674</v>
      </c>
      <c r="AE128" s="109">
        <v>160</v>
      </c>
      <c r="AF128" s="117">
        <v>780</v>
      </c>
      <c r="AG128" s="113"/>
      <c r="AH128" s="140"/>
    </row>
    <row r="129" spans="1:34" s="80" customFormat="1" ht="12" customHeight="1">
      <c r="A129" s="66">
        <v>1127</v>
      </c>
      <c r="B129" s="67" t="s">
        <v>2696</v>
      </c>
      <c r="C129" s="67" t="s">
        <v>2697</v>
      </c>
      <c r="D129" s="67" t="s">
        <v>2698</v>
      </c>
      <c r="E129" s="66">
        <v>1</v>
      </c>
      <c r="F129" s="110">
        <v>3</v>
      </c>
      <c r="G129" s="69">
        <v>127</v>
      </c>
      <c r="H129" s="111" t="s">
        <v>877</v>
      </c>
      <c r="I129" s="115" t="s">
        <v>877</v>
      </c>
      <c r="J129" s="113">
        <v>10500102577102</v>
      </c>
      <c r="K129" s="114" t="s">
        <v>148</v>
      </c>
      <c r="L129" s="114"/>
      <c r="M129" s="114">
        <v>8</v>
      </c>
      <c r="N129" s="115" t="s">
        <v>878</v>
      </c>
      <c r="O129" s="111" t="s">
        <v>879</v>
      </c>
      <c r="P129" s="115">
        <v>2845326</v>
      </c>
      <c r="Q129" s="111" t="s">
        <v>880</v>
      </c>
      <c r="R129" s="111" t="s">
        <v>881</v>
      </c>
      <c r="S129" s="116" t="s">
        <v>882</v>
      </c>
      <c r="T129" s="98">
        <v>296</v>
      </c>
      <c r="U129" s="99">
        <v>64</v>
      </c>
      <c r="V129" s="99">
        <v>0</v>
      </c>
      <c r="W129" s="75" t="s">
        <v>2698</v>
      </c>
      <c r="X129" s="75" t="s">
        <v>2697</v>
      </c>
      <c r="Y129" s="109">
        <v>360</v>
      </c>
      <c r="Z129" s="98">
        <v>0</v>
      </c>
      <c r="AA129" s="99">
        <v>0</v>
      </c>
      <c r="AB129" s="99">
        <v>0</v>
      </c>
      <c r="AC129" s="75"/>
      <c r="AD129" s="75"/>
      <c r="AE129" s="109">
        <v>0</v>
      </c>
      <c r="AF129" s="117">
        <v>360</v>
      </c>
      <c r="AG129" s="139"/>
      <c r="AH129" s="139"/>
    </row>
    <row r="130" spans="1:34" s="80" customFormat="1" ht="12" customHeight="1">
      <c r="A130" s="66">
        <v>1128</v>
      </c>
      <c r="B130" s="67" t="s">
        <v>2696</v>
      </c>
      <c r="C130" s="67" t="s">
        <v>2697</v>
      </c>
      <c r="D130" s="67" t="s">
        <v>2698</v>
      </c>
      <c r="E130" s="66">
        <v>1</v>
      </c>
      <c r="F130" s="110">
        <v>3</v>
      </c>
      <c r="G130" s="69">
        <v>128</v>
      </c>
      <c r="H130" s="145" t="s">
        <v>883</v>
      </c>
      <c r="I130" s="146" t="s">
        <v>883</v>
      </c>
      <c r="J130" s="147">
        <v>10500101107002</v>
      </c>
      <c r="K130" s="148" t="s">
        <v>148</v>
      </c>
      <c r="L130" s="148"/>
      <c r="M130" s="148">
        <v>9</v>
      </c>
      <c r="N130" s="146" t="s">
        <v>884</v>
      </c>
      <c r="O130" s="145" t="s">
        <v>885</v>
      </c>
      <c r="P130" s="146">
        <v>2212665</v>
      </c>
      <c r="Q130" s="145" t="s">
        <v>886</v>
      </c>
      <c r="R130" s="145" t="s">
        <v>887</v>
      </c>
      <c r="S130" s="149" t="s">
        <v>888</v>
      </c>
      <c r="T130" s="130">
        <v>113</v>
      </c>
      <c r="U130" s="131">
        <v>87</v>
      </c>
      <c r="V130" s="131">
        <v>0</v>
      </c>
      <c r="W130" s="75" t="s">
        <v>2698</v>
      </c>
      <c r="X130" s="75" t="s">
        <v>2697</v>
      </c>
      <c r="Y130" s="109">
        <v>200</v>
      </c>
      <c r="Z130" s="130">
        <v>0</v>
      </c>
      <c r="AA130" s="131">
        <v>0</v>
      </c>
      <c r="AB130" s="131">
        <v>0</v>
      </c>
      <c r="AC130" s="75"/>
      <c r="AD130" s="75"/>
      <c r="AE130" s="109">
        <v>0</v>
      </c>
      <c r="AF130" s="117">
        <v>200</v>
      </c>
      <c r="AG130" s="147"/>
      <c r="AH130" s="150"/>
    </row>
    <row r="131" spans="1:34" s="80" customFormat="1" ht="12" customHeight="1">
      <c r="A131" s="66">
        <v>1129</v>
      </c>
      <c r="B131" s="67" t="s">
        <v>2696</v>
      </c>
      <c r="C131" s="67" t="s">
        <v>2697</v>
      </c>
      <c r="D131" s="67" t="s">
        <v>2698</v>
      </c>
      <c r="E131" s="66">
        <v>1</v>
      </c>
      <c r="F131" s="110">
        <v>3</v>
      </c>
      <c r="G131" s="69">
        <v>129</v>
      </c>
      <c r="H131" s="111" t="s">
        <v>889</v>
      </c>
      <c r="I131" s="115" t="s">
        <v>889</v>
      </c>
      <c r="J131" s="113">
        <v>10500100322101</v>
      </c>
      <c r="K131" s="114" t="s">
        <v>148</v>
      </c>
      <c r="L131" s="114"/>
      <c r="M131" s="114">
        <v>9</v>
      </c>
      <c r="N131" s="115" t="s">
        <v>890</v>
      </c>
      <c r="O131" s="111" t="s">
        <v>891</v>
      </c>
      <c r="P131" s="115">
        <v>2217929</v>
      </c>
      <c r="Q131" s="111" t="s">
        <v>892</v>
      </c>
      <c r="R131" s="111" t="s">
        <v>893</v>
      </c>
      <c r="S131" s="116" t="s">
        <v>894</v>
      </c>
      <c r="T131" s="98">
        <v>172</v>
      </c>
      <c r="U131" s="99">
        <v>178</v>
      </c>
      <c r="V131" s="99">
        <v>70</v>
      </c>
      <c r="W131" s="75" t="s">
        <v>2698</v>
      </c>
      <c r="X131" s="75" t="s">
        <v>2697</v>
      </c>
      <c r="Y131" s="109">
        <v>420</v>
      </c>
      <c r="Z131" s="98">
        <v>0</v>
      </c>
      <c r="AA131" s="99">
        <v>0</v>
      </c>
      <c r="AB131" s="99">
        <v>0</v>
      </c>
      <c r="AC131" s="75"/>
      <c r="AD131" s="75"/>
      <c r="AE131" s="109">
        <v>0</v>
      </c>
      <c r="AF131" s="117">
        <v>420</v>
      </c>
      <c r="AG131" s="139"/>
      <c r="AH131" s="139"/>
    </row>
    <row r="132" spans="1:34" s="80" customFormat="1" ht="12" customHeight="1">
      <c r="A132" s="66">
        <v>1130</v>
      </c>
      <c r="B132" s="67" t="s">
        <v>2696</v>
      </c>
      <c r="C132" s="96" t="s">
        <v>2850</v>
      </c>
      <c r="D132" s="67" t="s">
        <v>2699</v>
      </c>
      <c r="E132" s="66">
        <v>1</v>
      </c>
      <c r="F132" s="110">
        <v>3</v>
      </c>
      <c r="G132" s="69">
        <v>130</v>
      </c>
      <c r="H132" s="111" t="s">
        <v>895</v>
      </c>
      <c r="I132" s="115" t="s">
        <v>895</v>
      </c>
      <c r="J132" s="113">
        <v>10500101967401</v>
      </c>
      <c r="K132" s="114" t="s">
        <v>148</v>
      </c>
      <c r="L132" s="114"/>
      <c r="M132" s="114">
        <v>9</v>
      </c>
      <c r="N132" s="115" t="s">
        <v>896</v>
      </c>
      <c r="O132" s="111" t="s">
        <v>897</v>
      </c>
      <c r="P132" s="115" t="s">
        <v>898</v>
      </c>
      <c r="Q132" s="111" t="s">
        <v>899</v>
      </c>
      <c r="R132" s="111" t="s">
        <v>900</v>
      </c>
      <c r="S132" s="116" t="s">
        <v>901</v>
      </c>
      <c r="T132" s="98">
        <v>93</v>
      </c>
      <c r="U132" s="99">
        <v>180</v>
      </c>
      <c r="V132" s="99">
        <v>107</v>
      </c>
      <c r="W132" s="75" t="s">
        <v>2698</v>
      </c>
      <c r="X132" s="75" t="s">
        <v>2697</v>
      </c>
      <c r="Y132" s="109">
        <v>380</v>
      </c>
      <c r="Z132" s="98">
        <v>46</v>
      </c>
      <c r="AA132" s="99">
        <v>88</v>
      </c>
      <c r="AB132" s="99">
        <v>46</v>
      </c>
      <c r="AC132" s="75" t="s">
        <v>2700</v>
      </c>
      <c r="AD132" s="75" t="s">
        <v>2674</v>
      </c>
      <c r="AE132" s="109">
        <v>180</v>
      </c>
      <c r="AF132" s="117">
        <v>560</v>
      </c>
      <c r="AG132" s="113"/>
      <c r="AH132" s="140"/>
    </row>
    <row r="133" spans="1:34" s="80" customFormat="1" ht="12" customHeight="1">
      <c r="A133" s="66">
        <v>1131</v>
      </c>
      <c r="B133" s="67" t="s">
        <v>2696</v>
      </c>
      <c r="C133" s="96" t="s">
        <v>2850</v>
      </c>
      <c r="D133" s="67" t="s">
        <v>2699</v>
      </c>
      <c r="E133" s="66">
        <v>1</v>
      </c>
      <c r="F133" s="110">
        <v>3</v>
      </c>
      <c r="G133" s="69">
        <v>131</v>
      </c>
      <c r="H133" s="111" t="s">
        <v>902</v>
      </c>
      <c r="I133" s="115" t="s">
        <v>902</v>
      </c>
      <c r="J133" s="113">
        <v>10500100041801</v>
      </c>
      <c r="K133" s="114" t="s">
        <v>148</v>
      </c>
      <c r="L133" s="114"/>
      <c r="M133" s="114">
        <v>9</v>
      </c>
      <c r="N133" s="115" t="s">
        <v>903</v>
      </c>
      <c r="O133" s="111" t="s">
        <v>904</v>
      </c>
      <c r="P133" s="115" t="s">
        <v>905</v>
      </c>
      <c r="Q133" s="111" t="s">
        <v>906</v>
      </c>
      <c r="R133" s="111" t="s">
        <v>907</v>
      </c>
      <c r="S133" s="116" t="s">
        <v>908</v>
      </c>
      <c r="T133" s="98">
        <v>0</v>
      </c>
      <c r="U133" s="99">
        <v>170</v>
      </c>
      <c r="V133" s="99">
        <v>130</v>
      </c>
      <c r="W133" s="75" t="s">
        <v>2698</v>
      </c>
      <c r="X133" s="75" t="s">
        <v>2697</v>
      </c>
      <c r="Y133" s="109">
        <v>300</v>
      </c>
      <c r="Z133" s="98">
        <v>0</v>
      </c>
      <c r="AA133" s="99">
        <v>240</v>
      </c>
      <c r="AB133" s="99">
        <v>60</v>
      </c>
      <c r="AC133" s="75" t="s">
        <v>2700</v>
      </c>
      <c r="AD133" s="75" t="s">
        <v>2674</v>
      </c>
      <c r="AE133" s="109">
        <v>300</v>
      </c>
      <c r="AF133" s="117">
        <v>600</v>
      </c>
      <c r="AG133" s="113"/>
      <c r="AH133" s="140"/>
    </row>
    <row r="134" spans="1:34" s="80" customFormat="1" ht="12" customHeight="1" thickBot="1">
      <c r="A134" s="66">
        <v>1132</v>
      </c>
      <c r="B134" s="67" t="s">
        <v>2696</v>
      </c>
      <c r="C134" s="96" t="s">
        <v>2850</v>
      </c>
      <c r="D134" s="67" t="s">
        <v>2699</v>
      </c>
      <c r="E134" s="66">
        <v>1</v>
      </c>
      <c r="F134" s="151">
        <v>3</v>
      </c>
      <c r="G134" s="69">
        <v>132</v>
      </c>
      <c r="H134" s="111" t="s">
        <v>909</v>
      </c>
      <c r="I134" s="152" t="s">
        <v>909</v>
      </c>
      <c r="J134" s="153">
        <v>10500100041802</v>
      </c>
      <c r="K134" s="154" t="s">
        <v>148</v>
      </c>
      <c r="L134" s="114"/>
      <c r="M134" s="154">
        <v>9</v>
      </c>
      <c r="N134" s="152" t="s">
        <v>910</v>
      </c>
      <c r="O134" s="155" t="s">
        <v>911</v>
      </c>
      <c r="P134" s="152" t="s">
        <v>912</v>
      </c>
      <c r="Q134" s="155" t="s">
        <v>906</v>
      </c>
      <c r="R134" s="155" t="s">
        <v>913</v>
      </c>
      <c r="S134" s="156" t="s">
        <v>914</v>
      </c>
      <c r="T134" s="157">
        <v>220</v>
      </c>
      <c r="U134" s="158">
        <v>160</v>
      </c>
      <c r="V134" s="158">
        <v>0</v>
      </c>
      <c r="W134" s="75" t="s">
        <v>2698</v>
      </c>
      <c r="X134" s="75" t="s">
        <v>2697</v>
      </c>
      <c r="Y134" s="159">
        <v>380</v>
      </c>
      <c r="Z134" s="157">
        <v>155</v>
      </c>
      <c r="AA134" s="158">
        <v>115</v>
      </c>
      <c r="AB134" s="158">
        <v>0</v>
      </c>
      <c r="AC134" s="75" t="s">
        <v>2700</v>
      </c>
      <c r="AD134" s="75" t="s">
        <v>2674</v>
      </c>
      <c r="AE134" s="159">
        <v>270</v>
      </c>
      <c r="AF134" s="160">
        <v>650</v>
      </c>
      <c r="AG134" s="153" t="s">
        <v>199</v>
      </c>
      <c r="AH134" s="161"/>
    </row>
    <row r="135" spans="1:34" s="80" customFormat="1" ht="12" customHeight="1">
      <c r="A135" s="66">
        <v>1133</v>
      </c>
      <c r="B135" s="67" t="s">
        <v>2696</v>
      </c>
      <c r="C135" s="96" t="s">
        <v>2850</v>
      </c>
      <c r="D135" s="67" t="s">
        <v>2699</v>
      </c>
      <c r="E135" s="66">
        <v>1</v>
      </c>
      <c r="F135" s="162">
        <v>3</v>
      </c>
      <c r="G135" s="69">
        <v>133</v>
      </c>
      <c r="H135" s="133" t="s">
        <v>915</v>
      </c>
      <c r="I135" s="163" t="s">
        <v>915</v>
      </c>
      <c r="J135" s="164">
        <v>10500100099001</v>
      </c>
      <c r="K135" s="165" t="s">
        <v>148</v>
      </c>
      <c r="L135" s="134"/>
      <c r="M135" s="165">
        <v>9</v>
      </c>
      <c r="N135" s="163" t="s">
        <v>916</v>
      </c>
      <c r="O135" s="166" t="s">
        <v>917</v>
      </c>
      <c r="P135" s="163" t="s">
        <v>918</v>
      </c>
      <c r="Q135" s="166" t="s">
        <v>919</v>
      </c>
      <c r="R135" s="166" t="s">
        <v>920</v>
      </c>
      <c r="S135" s="167" t="s">
        <v>921</v>
      </c>
      <c r="T135" s="168">
        <v>0</v>
      </c>
      <c r="U135" s="169">
        <v>217</v>
      </c>
      <c r="V135" s="169">
        <v>103</v>
      </c>
      <c r="W135" s="75" t="s">
        <v>2698</v>
      </c>
      <c r="X135" s="75" t="s">
        <v>2697</v>
      </c>
      <c r="Y135" s="170">
        <v>320</v>
      </c>
      <c r="Z135" s="168">
        <v>0</v>
      </c>
      <c r="AA135" s="169">
        <v>74</v>
      </c>
      <c r="AB135" s="169">
        <v>186</v>
      </c>
      <c r="AC135" s="75" t="s">
        <v>2700</v>
      </c>
      <c r="AD135" s="75" t="s">
        <v>2674</v>
      </c>
      <c r="AE135" s="170">
        <v>260</v>
      </c>
      <c r="AF135" s="171">
        <v>580</v>
      </c>
      <c r="AG135" s="172"/>
      <c r="AH135" s="173" t="s">
        <v>922</v>
      </c>
    </row>
    <row r="136" spans="1:34" s="80" customFormat="1" ht="12" customHeight="1" thickBot="1">
      <c r="A136" s="66">
        <v>1134</v>
      </c>
      <c r="B136" s="67" t="s">
        <v>2696</v>
      </c>
      <c r="C136" s="96" t="s">
        <v>2850</v>
      </c>
      <c r="D136" s="67" t="s">
        <v>2699</v>
      </c>
      <c r="E136" s="66">
        <v>1</v>
      </c>
      <c r="F136" s="174">
        <v>3</v>
      </c>
      <c r="G136" s="69">
        <v>134</v>
      </c>
      <c r="H136" s="133" t="s">
        <v>915</v>
      </c>
      <c r="I136" s="175" t="s">
        <v>923</v>
      </c>
      <c r="J136" s="176">
        <v>10500100099003</v>
      </c>
      <c r="K136" s="177" t="s">
        <v>148</v>
      </c>
      <c r="L136" s="134"/>
      <c r="M136" s="177">
        <v>9</v>
      </c>
      <c r="N136" s="175" t="s">
        <v>884</v>
      </c>
      <c r="O136" s="178" t="s">
        <v>917</v>
      </c>
      <c r="P136" s="175">
        <v>2696380</v>
      </c>
      <c r="Q136" s="178" t="s">
        <v>919</v>
      </c>
      <c r="R136" s="178" t="s">
        <v>924</v>
      </c>
      <c r="S136" s="179" t="s">
        <v>921</v>
      </c>
      <c r="T136" s="180">
        <v>175</v>
      </c>
      <c r="U136" s="181">
        <v>70</v>
      </c>
      <c r="V136" s="181">
        <v>0</v>
      </c>
      <c r="W136" s="75" t="s">
        <v>2698</v>
      </c>
      <c r="X136" s="75" t="s">
        <v>2697</v>
      </c>
      <c r="Y136" s="182">
        <v>245</v>
      </c>
      <c r="Z136" s="180">
        <v>65</v>
      </c>
      <c r="AA136" s="181">
        <v>45</v>
      </c>
      <c r="AB136" s="181">
        <v>0</v>
      </c>
      <c r="AC136" s="75" t="s">
        <v>2700</v>
      </c>
      <c r="AD136" s="75" t="s">
        <v>2674</v>
      </c>
      <c r="AE136" s="182">
        <v>110</v>
      </c>
      <c r="AF136" s="183">
        <v>355</v>
      </c>
      <c r="AG136" s="176" t="s">
        <v>199</v>
      </c>
      <c r="AH136" s="184" t="s">
        <v>922</v>
      </c>
    </row>
    <row r="137" spans="1:34" s="80" customFormat="1" ht="12" customHeight="1">
      <c r="A137" s="66">
        <v>1135</v>
      </c>
      <c r="B137" s="67" t="s">
        <v>2696</v>
      </c>
      <c r="C137" s="96" t="s">
        <v>2850</v>
      </c>
      <c r="D137" s="67" t="s">
        <v>2699</v>
      </c>
      <c r="E137" s="66">
        <v>1</v>
      </c>
      <c r="F137" s="185">
        <v>3</v>
      </c>
      <c r="G137" s="69">
        <v>135</v>
      </c>
      <c r="H137" s="111" t="s">
        <v>925</v>
      </c>
      <c r="I137" s="186" t="s">
        <v>925</v>
      </c>
      <c r="J137" s="187">
        <v>10500100099002</v>
      </c>
      <c r="K137" s="188" t="s">
        <v>148</v>
      </c>
      <c r="L137" s="114"/>
      <c r="M137" s="188">
        <v>9</v>
      </c>
      <c r="N137" s="186" t="s">
        <v>903</v>
      </c>
      <c r="O137" s="189" t="s">
        <v>926</v>
      </c>
      <c r="P137" s="186" t="s">
        <v>927</v>
      </c>
      <c r="Q137" s="189" t="s">
        <v>919</v>
      </c>
      <c r="R137" s="189" t="s">
        <v>928</v>
      </c>
      <c r="S137" s="190" t="s">
        <v>929</v>
      </c>
      <c r="T137" s="191">
        <v>224</v>
      </c>
      <c r="U137" s="192">
        <v>77</v>
      </c>
      <c r="V137" s="192">
        <v>0</v>
      </c>
      <c r="W137" s="75" t="s">
        <v>2698</v>
      </c>
      <c r="X137" s="75" t="s">
        <v>2697</v>
      </c>
      <c r="Y137" s="193">
        <v>301</v>
      </c>
      <c r="Z137" s="191">
        <v>53</v>
      </c>
      <c r="AA137" s="192">
        <v>55</v>
      </c>
      <c r="AB137" s="192">
        <v>0</v>
      </c>
      <c r="AC137" s="75" t="s">
        <v>2700</v>
      </c>
      <c r="AD137" s="75" t="s">
        <v>2674</v>
      </c>
      <c r="AE137" s="193">
        <v>108</v>
      </c>
      <c r="AF137" s="194">
        <v>409</v>
      </c>
      <c r="AG137" s="187"/>
      <c r="AH137" s="195"/>
    </row>
    <row r="138" spans="1:34" s="80" customFormat="1" ht="12" customHeight="1">
      <c r="A138" s="66">
        <v>1136</v>
      </c>
      <c r="B138" s="67" t="s">
        <v>2696</v>
      </c>
      <c r="C138" s="67" t="s">
        <v>2697</v>
      </c>
      <c r="D138" s="67" t="s">
        <v>2698</v>
      </c>
      <c r="E138" s="66">
        <v>1</v>
      </c>
      <c r="F138" s="110">
        <v>3</v>
      </c>
      <c r="G138" s="69">
        <v>136</v>
      </c>
      <c r="H138" s="111" t="s">
        <v>930</v>
      </c>
      <c r="I138" s="115" t="s">
        <v>930</v>
      </c>
      <c r="J138" s="113">
        <v>10500102666201</v>
      </c>
      <c r="K138" s="114" t="s">
        <v>148</v>
      </c>
      <c r="L138" s="114"/>
      <c r="M138" s="114">
        <v>9</v>
      </c>
      <c r="N138" s="115" t="s">
        <v>931</v>
      </c>
      <c r="O138" s="111" t="s">
        <v>932</v>
      </c>
      <c r="P138" s="115" t="s">
        <v>933</v>
      </c>
      <c r="Q138" s="111" t="s">
        <v>934</v>
      </c>
      <c r="R138" s="111" t="s">
        <v>935</v>
      </c>
      <c r="S138" s="116" t="s">
        <v>936</v>
      </c>
      <c r="T138" s="98">
        <v>130</v>
      </c>
      <c r="U138" s="99">
        <v>50</v>
      </c>
      <c r="V138" s="99">
        <v>70</v>
      </c>
      <c r="W138" s="75" t="s">
        <v>2698</v>
      </c>
      <c r="X138" s="75" t="s">
        <v>2697</v>
      </c>
      <c r="Y138" s="109">
        <v>250</v>
      </c>
      <c r="Z138" s="98">
        <v>0</v>
      </c>
      <c r="AA138" s="99">
        <v>0</v>
      </c>
      <c r="AB138" s="99">
        <v>0</v>
      </c>
      <c r="AC138" s="75"/>
      <c r="AD138" s="75"/>
      <c r="AE138" s="109">
        <v>0</v>
      </c>
      <c r="AF138" s="117">
        <v>250</v>
      </c>
      <c r="AG138" s="113" t="s">
        <v>199</v>
      </c>
      <c r="AH138" s="140"/>
    </row>
    <row r="139" spans="1:34" s="80" customFormat="1" ht="12" customHeight="1">
      <c r="A139" s="66">
        <v>1137</v>
      </c>
      <c r="B139" s="67" t="s">
        <v>2696</v>
      </c>
      <c r="C139" s="96" t="s">
        <v>2850</v>
      </c>
      <c r="D139" s="67" t="s">
        <v>2699</v>
      </c>
      <c r="E139" s="66">
        <v>1</v>
      </c>
      <c r="F139" s="110">
        <v>3</v>
      </c>
      <c r="G139" s="69">
        <v>137</v>
      </c>
      <c r="H139" s="111" t="s">
        <v>937</v>
      </c>
      <c r="I139" s="115" t="s">
        <v>937</v>
      </c>
      <c r="J139" s="113">
        <v>30500101969001</v>
      </c>
      <c r="K139" s="114" t="s">
        <v>148</v>
      </c>
      <c r="L139" s="114"/>
      <c r="M139" s="114">
        <v>9</v>
      </c>
      <c r="N139" s="115" t="s">
        <v>938</v>
      </c>
      <c r="O139" s="111" t="s">
        <v>939</v>
      </c>
      <c r="P139" s="115" t="s">
        <v>940</v>
      </c>
      <c r="Q139" s="111" t="s">
        <v>941</v>
      </c>
      <c r="R139" s="111" t="s">
        <v>942</v>
      </c>
      <c r="S139" s="116" t="s">
        <v>943</v>
      </c>
      <c r="T139" s="98">
        <v>426</v>
      </c>
      <c r="U139" s="99">
        <v>164</v>
      </c>
      <c r="V139" s="99">
        <v>60</v>
      </c>
      <c r="W139" s="75" t="s">
        <v>2698</v>
      </c>
      <c r="X139" s="75" t="s">
        <v>2697</v>
      </c>
      <c r="Y139" s="109">
        <v>650</v>
      </c>
      <c r="Z139" s="98">
        <v>0</v>
      </c>
      <c r="AA139" s="99">
        <v>476</v>
      </c>
      <c r="AB139" s="99">
        <v>99</v>
      </c>
      <c r="AC139" s="75" t="s">
        <v>2700</v>
      </c>
      <c r="AD139" s="75" t="s">
        <v>2674</v>
      </c>
      <c r="AE139" s="109">
        <v>575</v>
      </c>
      <c r="AF139" s="117">
        <v>1225</v>
      </c>
      <c r="AG139" s="113"/>
      <c r="AH139" s="140"/>
    </row>
    <row r="140" spans="1:34" s="80" customFormat="1" ht="12" customHeight="1">
      <c r="A140" s="66">
        <v>1138</v>
      </c>
      <c r="B140" s="67" t="s">
        <v>2696</v>
      </c>
      <c r="C140" s="96" t="s">
        <v>2850</v>
      </c>
      <c r="D140" s="67" t="s">
        <v>2699</v>
      </c>
      <c r="E140" s="66">
        <v>1</v>
      </c>
      <c r="F140" s="110">
        <v>3</v>
      </c>
      <c r="G140" s="69">
        <v>138</v>
      </c>
      <c r="H140" s="111" t="s">
        <v>944</v>
      </c>
      <c r="I140" s="115" t="s">
        <v>944</v>
      </c>
      <c r="J140" s="113">
        <v>10500100201101</v>
      </c>
      <c r="K140" s="114" t="s">
        <v>148</v>
      </c>
      <c r="L140" s="114"/>
      <c r="M140" s="114">
        <v>9</v>
      </c>
      <c r="N140" s="115" t="s">
        <v>916</v>
      </c>
      <c r="O140" s="111" t="s">
        <v>945</v>
      </c>
      <c r="P140" s="115" t="s">
        <v>946</v>
      </c>
      <c r="Q140" s="111" t="s">
        <v>947</v>
      </c>
      <c r="R140" s="111" t="s">
        <v>948</v>
      </c>
      <c r="S140" s="116" t="s">
        <v>949</v>
      </c>
      <c r="T140" s="98">
        <v>30</v>
      </c>
      <c r="U140" s="99">
        <v>40</v>
      </c>
      <c r="V140" s="99">
        <v>50</v>
      </c>
      <c r="W140" s="75" t="s">
        <v>2698</v>
      </c>
      <c r="X140" s="75" t="s">
        <v>2697</v>
      </c>
      <c r="Y140" s="109">
        <v>120</v>
      </c>
      <c r="Z140" s="98">
        <v>200</v>
      </c>
      <c r="AA140" s="99">
        <v>200</v>
      </c>
      <c r="AB140" s="99">
        <v>140</v>
      </c>
      <c r="AC140" s="75" t="s">
        <v>2700</v>
      </c>
      <c r="AD140" s="75" t="s">
        <v>2674</v>
      </c>
      <c r="AE140" s="109">
        <v>540</v>
      </c>
      <c r="AF140" s="117">
        <v>660</v>
      </c>
      <c r="AG140" s="113"/>
      <c r="AH140" s="140"/>
    </row>
    <row r="141" spans="1:34" s="80" customFormat="1" ht="12" customHeight="1">
      <c r="A141" s="66">
        <v>1139</v>
      </c>
      <c r="B141" s="67" t="s">
        <v>2696</v>
      </c>
      <c r="C141" s="67" t="s">
        <v>2697</v>
      </c>
      <c r="D141" s="67" t="s">
        <v>2698</v>
      </c>
      <c r="E141" s="66">
        <v>1</v>
      </c>
      <c r="F141" s="110">
        <v>3</v>
      </c>
      <c r="G141" s="69">
        <v>139</v>
      </c>
      <c r="H141" s="111" t="s">
        <v>950</v>
      </c>
      <c r="I141" s="115" t="s">
        <v>950</v>
      </c>
      <c r="J141" s="113">
        <v>10500100156202</v>
      </c>
      <c r="K141" s="114" t="s">
        <v>148</v>
      </c>
      <c r="L141" s="114"/>
      <c r="M141" s="114">
        <v>10</v>
      </c>
      <c r="N141" s="115" t="s">
        <v>951</v>
      </c>
      <c r="O141" s="111" t="s">
        <v>952</v>
      </c>
      <c r="P141" s="115">
        <v>2390534</v>
      </c>
      <c r="Q141" s="111" t="s">
        <v>953</v>
      </c>
      <c r="R141" s="111" t="s">
        <v>954</v>
      </c>
      <c r="S141" s="116" t="s">
        <v>955</v>
      </c>
      <c r="T141" s="98">
        <v>45</v>
      </c>
      <c r="U141" s="99">
        <v>60</v>
      </c>
      <c r="V141" s="99">
        <v>0</v>
      </c>
      <c r="W141" s="75" t="s">
        <v>2698</v>
      </c>
      <c r="X141" s="75" t="s">
        <v>2697</v>
      </c>
      <c r="Y141" s="109">
        <v>105</v>
      </c>
      <c r="Z141" s="98">
        <v>0</v>
      </c>
      <c r="AA141" s="99">
        <v>0</v>
      </c>
      <c r="AB141" s="99">
        <v>0</v>
      </c>
      <c r="AC141" s="75"/>
      <c r="AD141" s="75"/>
      <c r="AE141" s="109">
        <v>0</v>
      </c>
      <c r="AF141" s="117">
        <v>105</v>
      </c>
      <c r="AG141" s="113"/>
      <c r="AH141" s="140"/>
    </row>
    <row r="142" spans="1:34" s="80" customFormat="1" ht="12" customHeight="1">
      <c r="A142" s="66">
        <v>1140</v>
      </c>
      <c r="B142" s="67" t="s">
        <v>2696</v>
      </c>
      <c r="C142" s="67" t="s">
        <v>2697</v>
      </c>
      <c r="D142" s="67" t="s">
        <v>2698</v>
      </c>
      <c r="E142" s="66">
        <v>1</v>
      </c>
      <c r="F142" s="110">
        <v>3</v>
      </c>
      <c r="G142" s="69">
        <v>140</v>
      </c>
      <c r="H142" s="111" t="s">
        <v>956</v>
      </c>
      <c r="I142" s="115" t="s">
        <v>956</v>
      </c>
      <c r="J142" s="113">
        <v>10500100156203</v>
      </c>
      <c r="K142" s="114" t="s">
        <v>148</v>
      </c>
      <c r="L142" s="114"/>
      <c r="M142" s="114">
        <v>10</v>
      </c>
      <c r="N142" s="115" t="s">
        <v>957</v>
      </c>
      <c r="O142" s="111" t="s">
        <v>958</v>
      </c>
      <c r="P142" s="115" t="s">
        <v>959</v>
      </c>
      <c r="Q142" s="111" t="s">
        <v>953</v>
      </c>
      <c r="R142" s="111" t="s">
        <v>960</v>
      </c>
      <c r="S142" s="116" t="s">
        <v>961</v>
      </c>
      <c r="T142" s="98">
        <v>137</v>
      </c>
      <c r="U142" s="99">
        <v>49</v>
      </c>
      <c r="V142" s="99">
        <v>0</v>
      </c>
      <c r="W142" s="75" t="s">
        <v>2698</v>
      </c>
      <c r="X142" s="75" t="s">
        <v>2697</v>
      </c>
      <c r="Y142" s="109">
        <v>186</v>
      </c>
      <c r="Z142" s="98">
        <v>0</v>
      </c>
      <c r="AA142" s="99">
        <v>0</v>
      </c>
      <c r="AB142" s="99">
        <v>0</v>
      </c>
      <c r="AC142" s="75"/>
      <c r="AD142" s="75"/>
      <c r="AE142" s="109">
        <v>0</v>
      </c>
      <c r="AF142" s="117">
        <v>186</v>
      </c>
      <c r="AG142" s="113"/>
      <c r="AH142" s="140"/>
    </row>
    <row r="143" spans="1:34" s="80" customFormat="1" ht="12" customHeight="1">
      <c r="A143" s="66">
        <v>1141</v>
      </c>
      <c r="B143" s="67" t="s">
        <v>2696</v>
      </c>
      <c r="C143" s="67" t="s">
        <v>2697</v>
      </c>
      <c r="D143" s="67" t="s">
        <v>2698</v>
      </c>
      <c r="E143" s="66">
        <v>1</v>
      </c>
      <c r="F143" s="110">
        <v>3</v>
      </c>
      <c r="G143" s="69">
        <v>141</v>
      </c>
      <c r="H143" s="111" t="s">
        <v>962</v>
      </c>
      <c r="I143" s="115" t="s">
        <v>962</v>
      </c>
      <c r="J143" s="113">
        <v>10500100534701</v>
      </c>
      <c r="K143" s="114" t="s">
        <v>148</v>
      </c>
      <c r="L143" s="114"/>
      <c r="M143" s="114">
        <v>10</v>
      </c>
      <c r="N143" s="115" t="s">
        <v>963</v>
      </c>
      <c r="O143" s="111" t="s">
        <v>964</v>
      </c>
      <c r="P143" s="115" t="s">
        <v>965</v>
      </c>
      <c r="Q143" s="111" t="s">
        <v>966</v>
      </c>
      <c r="R143" s="111" t="s">
        <v>967</v>
      </c>
      <c r="S143" s="116" t="s">
        <v>968</v>
      </c>
      <c r="T143" s="98">
        <v>142</v>
      </c>
      <c r="U143" s="99">
        <v>139</v>
      </c>
      <c r="V143" s="99">
        <v>67</v>
      </c>
      <c r="W143" s="75" t="s">
        <v>2698</v>
      </c>
      <c r="X143" s="75" t="s">
        <v>2697</v>
      </c>
      <c r="Y143" s="109">
        <v>348</v>
      </c>
      <c r="Z143" s="98">
        <v>0</v>
      </c>
      <c r="AA143" s="99">
        <v>0</v>
      </c>
      <c r="AB143" s="99">
        <v>0</v>
      </c>
      <c r="AC143" s="75"/>
      <c r="AD143" s="75"/>
      <c r="AE143" s="109">
        <v>0</v>
      </c>
      <c r="AF143" s="117">
        <v>348</v>
      </c>
      <c r="AG143" s="113"/>
      <c r="AH143" s="140"/>
    </row>
    <row r="144" spans="1:34" s="80" customFormat="1" ht="12" customHeight="1">
      <c r="A144" s="66">
        <v>1142</v>
      </c>
      <c r="B144" s="67" t="s">
        <v>2696</v>
      </c>
      <c r="C144" s="96" t="s">
        <v>2850</v>
      </c>
      <c r="D144" s="67" t="s">
        <v>2699</v>
      </c>
      <c r="E144" s="66">
        <v>1</v>
      </c>
      <c r="F144" s="110">
        <v>3</v>
      </c>
      <c r="G144" s="69">
        <v>142</v>
      </c>
      <c r="H144" s="111" t="s">
        <v>969</v>
      </c>
      <c r="I144" s="115" t="s">
        <v>969</v>
      </c>
      <c r="J144" s="113">
        <v>10500100035304</v>
      </c>
      <c r="K144" s="114" t="s">
        <v>148</v>
      </c>
      <c r="L144" s="114"/>
      <c r="M144" s="114">
        <v>10</v>
      </c>
      <c r="N144" s="115" t="s">
        <v>970</v>
      </c>
      <c r="O144" s="111" t="s">
        <v>971</v>
      </c>
      <c r="P144" s="115" t="s">
        <v>972</v>
      </c>
      <c r="Q144" s="111" t="s">
        <v>973</v>
      </c>
      <c r="R144" s="111" t="s">
        <v>974</v>
      </c>
      <c r="S144" s="116" t="s">
        <v>975</v>
      </c>
      <c r="T144" s="98">
        <v>84</v>
      </c>
      <c r="U144" s="99">
        <v>104</v>
      </c>
      <c r="V144" s="99">
        <v>0</v>
      </c>
      <c r="W144" s="75" t="s">
        <v>2698</v>
      </c>
      <c r="X144" s="75" t="s">
        <v>2697</v>
      </c>
      <c r="Y144" s="109">
        <v>188</v>
      </c>
      <c r="Z144" s="98">
        <v>67</v>
      </c>
      <c r="AA144" s="99">
        <v>70</v>
      </c>
      <c r="AB144" s="99">
        <v>0</v>
      </c>
      <c r="AC144" s="75" t="s">
        <v>2700</v>
      </c>
      <c r="AD144" s="75" t="s">
        <v>2674</v>
      </c>
      <c r="AE144" s="109">
        <v>137</v>
      </c>
      <c r="AF144" s="117">
        <v>325</v>
      </c>
      <c r="AG144" s="113"/>
      <c r="AH144" s="140"/>
    </row>
    <row r="145" spans="1:34" s="80" customFormat="1" ht="12" customHeight="1">
      <c r="A145" s="66">
        <v>1143</v>
      </c>
      <c r="B145" s="67" t="s">
        <v>2696</v>
      </c>
      <c r="C145" s="96" t="s">
        <v>2838</v>
      </c>
      <c r="D145" s="67" t="s">
        <v>2698</v>
      </c>
      <c r="E145" s="66">
        <v>1</v>
      </c>
      <c r="F145" s="110">
        <v>4</v>
      </c>
      <c r="G145" s="69">
        <v>143</v>
      </c>
      <c r="H145" s="111" t="s">
        <v>976</v>
      </c>
      <c r="I145" s="112" t="s">
        <v>976</v>
      </c>
      <c r="J145" s="113">
        <v>10500100211904</v>
      </c>
      <c r="K145" s="114" t="s">
        <v>148</v>
      </c>
      <c r="L145" s="114"/>
      <c r="M145" s="114">
        <v>11</v>
      </c>
      <c r="N145" s="115" t="s">
        <v>977</v>
      </c>
      <c r="O145" s="111" t="s">
        <v>978</v>
      </c>
      <c r="P145" s="115">
        <v>2606802</v>
      </c>
      <c r="Q145" s="111" t="s">
        <v>979</v>
      </c>
      <c r="R145" s="111" t="s">
        <v>980</v>
      </c>
      <c r="S145" s="116" t="s">
        <v>981</v>
      </c>
      <c r="T145" s="98">
        <v>187</v>
      </c>
      <c r="U145" s="99">
        <v>113</v>
      </c>
      <c r="V145" s="99">
        <v>0</v>
      </c>
      <c r="W145" s="75" t="s">
        <v>2698</v>
      </c>
      <c r="X145" s="75" t="s">
        <v>2674</v>
      </c>
      <c r="Y145" s="109">
        <v>300</v>
      </c>
      <c r="Z145" s="98">
        <v>0</v>
      </c>
      <c r="AA145" s="99">
        <v>0</v>
      </c>
      <c r="AB145" s="99">
        <v>0</v>
      </c>
      <c r="AC145" s="75"/>
      <c r="AD145" s="75"/>
      <c r="AE145" s="109">
        <v>0</v>
      </c>
      <c r="AF145" s="117">
        <v>300</v>
      </c>
      <c r="AG145" s="113"/>
      <c r="AH145" s="140"/>
    </row>
    <row r="146" spans="1:34" s="80" customFormat="1" ht="12" customHeight="1">
      <c r="A146" s="66">
        <v>1144</v>
      </c>
      <c r="B146" s="67" t="s">
        <v>2696</v>
      </c>
      <c r="C146" s="96" t="s">
        <v>2838</v>
      </c>
      <c r="D146" s="67" t="s">
        <v>2699</v>
      </c>
      <c r="E146" s="66">
        <v>1</v>
      </c>
      <c r="F146" s="110">
        <v>4</v>
      </c>
      <c r="G146" s="69">
        <v>144</v>
      </c>
      <c r="H146" s="111" t="s">
        <v>982</v>
      </c>
      <c r="I146" s="112" t="s">
        <v>982</v>
      </c>
      <c r="J146" s="113">
        <v>10500100211902</v>
      </c>
      <c r="K146" s="114" t="s">
        <v>148</v>
      </c>
      <c r="L146" s="114"/>
      <c r="M146" s="114">
        <v>11</v>
      </c>
      <c r="N146" s="115" t="s">
        <v>983</v>
      </c>
      <c r="O146" s="111" t="s">
        <v>984</v>
      </c>
      <c r="P146" s="115" t="s">
        <v>985</v>
      </c>
      <c r="Q146" s="111" t="s">
        <v>986</v>
      </c>
      <c r="R146" s="111" t="s">
        <v>987</v>
      </c>
      <c r="S146" s="116" t="s">
        <v>988</v>
      </c>
      <c r="T146" s="98">
        <v>163</v>
      </c>
      <c r="U146" s="99">
        <v>57</v>
      </c>
      <c r="V146" s="99">
        <v>0</v>
      </c>
      <c r="W146" s="75" t="s">
        <v>2698</v>
      </c>
      <c r="X146" s="75" t="s">
        <v>2674</v>
      </c>
      <c r="Y146" s="109">
        <v>220</v>
      </c>
      <c r="Z146" s="98">
        <v>106</v>
      </c>
      <c r="AA146" s="99">
        <v>74</v>
      </c>
      <c r="AB146" s="99">
        <v>0</v>
      </c>
      <c r="AC146" s="75" t="s">
        <v>2700</v>
      </c>
      <c r="AD146" s="75" t="s">
        <v>2674</v>
      </c>
      <c r="AE146" s="109">
        <v>180</v>
      </c>
      <c r="AF146" s="117">
        <v>400</v>
      </c>
      <c r="AG146" s="113"/>
      <c r="AH146" s="140"/>
    </row>
    <row r="147" spans="1:34" s="80" customFormat="1" ht="12" customHeight="1">
      <c r="A147" s="66">
        <v>1145</v>
      </c>
      <c r="B147" s="67" t="s">
        <v>2696</v>
      </c>
      <c r="C147" s="96" t="s">
        <v>2838</v>
      </c>
      <c r="D147" s="67" t="s">
        <v>2698</v>
      </c>
      <c r="E147" s="66">
        <v>1</v>
      </c>
      <c r="F147" s="110">
        <v>4</v>
      </c>
      <c r="G147" s="69">
        <v>145</v>
      </c>
      <c r="H147" s="111" t="s">
        <v>989</v>
      </c>
      <c r="I147" s="112" t="s">
        <v>989</v>
      </c>
      <c r="J147" s="113">
        <v>10500100211903</v>
      </c>
      <c r="K147" s="114" t="s">
        <v>148</v>
      </c>
      <c r="L147" s="114"/>
      <c r="M147" s="114">
        <v>11</v>
      </c>
      <c r="N147" s="115" t="s">
        <v>990</v>
      </c>
      <c r="O147" s="111" t="s">
        <v>991</v>
      </c>
      <c r="P147" s="115">
        <v>2304985</v>
      </c>
      <c r="Q147" s="111" t="s">
        <v>992</v>
      </c>
      <c r="R147" s="111" t="s">
        <v>993</v>
      </c>
      <c r="S147" s="116" t="s">
        <v>994</v>
      </c>
      <c r="T147" s="98">
        <v>100</v>
      </c>
      <c r="U147" s="99">
        <v>80</v>
      </c>
      <c r="V147" s="99">
        <v>0</v>
      </c>
      <c r="W147" s="75" t="s">
        <v>2698</v>
      </c>
      <c r="X147" s="75" t="s">
        <v>2674</v>
      </c>
      <c r="Y147" s="109">
        <v>180</v>
      </c>
      <c r="Z147" s="98">
        <v>0</v>
      </c>
      <c r="AA147" s="99">
        <v>0</v>
      </c>
      <c r="AB147" s="99">
        <v>0</v>
      </c>
      <c r="AC147" s="75"/>
      <c r="AD147" s="75"/>
      <c r="AE147" s="109">
        <v>0</v>
      </c>
      <c r="AF147" s="117">
        <v>180</v>
      </c>
      <c r="AG147" s="113"/>
      <c r="AH147" s="79"/>
    </row>
    <row r="148" spans="1:34" s="80" customFormat="1" ht="12" customHeight="1">
      <c r="A148" s="66">
        <v>1146</v>
      </c>
      <c r="B148" s="67" t="s">
        <v>2696</v>
      </c>
      <c r="C148" s="96" t="s">
        <v>2838</v>
      </c>
      <c r="D148" s="67" t="s">
        <v>2698</v>
      </c>
      <c r="E148" s="66">
        <v>1</v>
      </c>
      <c r="F148" s="110">
        <v>4</v>
      </c>
      <c r="G148" s="69">
        <v>146</v>
      </c>
      <c r="H148" s="111" t="s">
        <v>995</v>
      </c>
      <c r="I148" s="112" t="s">
        <v>995</v>
      </c>
      <c r="J148" s="113">
        <v>10500100246101</v>
      </c>
      <c r="K148" s="114" t="s">
        <v>148</v>
      </c>
      <c r="L148" s="114"/>
      <c r="M148" s="114">
        <v>11</v>
      </c>
      <c r="N148" s="115" t="s">
        <v>996</v>
      </c>
      <c r="O148" s="111" t="s">
        <v>997</v>
      </c>
      <c r="P148" s="115" t="s">
        <v>998</v>
      </c>
      <c r="Q148" s="111" t="s">
        <v>999</v>
      </c>
      <c r="R148" s="111" t="s">
        <v>1000</v>
      </c>
      <c r="S148" s="116" t="s">
        <v>1001</v>
      </c>
      <c r="T148" s="98">
        <v>0</v>
      </c>
      <c r="U148" s="99">
        <v>90</v>
      </c>
      <c r="V148" s="99">
        <v>90</v>
      </c>
      <c r="W148" s="75" t="s">
        <v>2698</v>
      </c>
      <c r="X148" s="75" t="s">
        <v>2674</v>
      </c>
      <c r="Y148" s="109">
        <v>180</v>
      </c>
      <c r="Z148" s="98">
        <v>0</v>
      </c>
      <c r="AA148" s="99">
        <v>0</v>
      </c>
      <c r="AB148" s="99">
        <v>0</v>
      </c>
      <c r="AC148" s="75"/>
      <c r="AD148" s="75"/>
      <c r="AE148" s="109">
        <v>0</v>
      </c>
      <c r="AF148" s="117">
        <v>180</v>
      </c>
      <c r="AG148" s="113" t="s">
        <v>199</v>
      </c>
      <c r="AH148" s="140"/>
    </row>
    <row r="149" spans="1:34" s="80" customFormat="1" ht="12" customHeight="1">
      <c r="A149" s="66">
        <v>1147</v>
      </c>
      <c r="B149" s="67" t="s">
        <v>2696</v>
      </c>
      <c r="C149" s="96" t="s">
        <v>2838</v>
      </c>
      <c r="D149" s="67" t="s">
        <v>2698</v>
      </c>
      <c r="E149" s="66">
        <v>1</v>
      </c>
      <c r="F149" s="110">
        <v>4</v>
      </c>
      <c r="G149" s="69">
        <v>147</v>
      </c>
      <c r="H149" s="111" t="s">
        <v>1002</v>
      </c>
      <c r="I149" s="112" t="s">
        <v>1002</v>
      </c>
      <c r="J149" s="113">
        <v>10500100202002</v>
      </c>
      <c r="K149" s="114" t="s">
        <v>148</v>
      </c>
      <c r="L149" s="114"/>
      <c r="M149" s="114">
        <v>12</v>
      </c>
      <c r="N149" s="115" t="s">
        <v>1003</v>
      </c>
      <c r="O149" s="111" t="s">
        <v>1004</v>
      </c>
      <c r="P149" s="115">
        <v>2508012</v>
      </c>
      <c r="Q149" s="111" t="s">
        <v>1005</v>
      </c>
      <c r="R149" s="111" t="s">
        <v>1006</v>
      </c>
      <c r="S149" s="116" t="s">
        <v>1007</v>
      </c>
      <c r="T149" s="98">
        <v>96</v>
      </c>
      <c r="U149" s="99">
        <v>54</v>
      </c>
      <c r="V149" s="99">
        <v>0</v>
      </c>
      <c r="W149" s="75" t="s">
        <v>2698</v>
      </c>
      <c r="X149" s="75" t="s">
        <v>2674</v>
      </c>
      <c r="Y149" s="109">
        <v>150</v>
      </c>
      <c r="Z149" s="98">
        <v>0</v>
      </c>
      <c r="AA149" s="99">
        <v>0</v>
      </c>
      <c r="AB149" s="99">
        <v>0</v>
      </c>
      <c r="AC149" s="75"/>
      <c r="AD149" s="75"/>
      <c r="AE149" s="109">
        <v>0</v>
      </c>
      <c r="AF149" s="117">
        <v>150</v>
      </c>
      <c r="AG149" s="113"/>
      <c r="AH149" s="140"/>
    </row>
    <row r="150" spans="1:34" s="80" customFormat="1" ht="12" customHeight="1">
      <c r="A150" s="66">
        <v>1148</v>
      </c>
      <c r="B150" s="67" t="s">
        <v>2696</v>
      </c>
      <c r="C150" s="96" t="s">
        <v>2838</v>
      </c>
      <c r="D150" s="67" t="s">
        <v>2698</v>
      </c>
      <c r="E150" s="66">
        <v>1</v>
      </c>
      <c r="F150" s="110">
        <v>4</v>
      </c>
      <c r="G150" s="69">
        <v>148</v>
      </c>
      <c r="H150" s="111" t="s">
        <v>1008</v>
      </c>
      <c r="I150" s="112" t="s">
        <v>1008</v>
      </c>
      <c r="J150" s="113">
        <v>10500100289501</v>
      </c>
      <c r="K150" s="114" t="s">
        <v>148</v>
      </c>
      <c r="L150" s="114"/>
      <c r="M150" s="114">
        <v>12</v>
      </c>
      <c r="N150" s="115" t="s">
        <v>1009</v>
      </c>
      <c r="O150" s="111" t="s">
        <v>1010</v>
      </c>
      <c r="P150" s="115" t="s">
        <v>1011</v>
      </c>
      <c r="Q150" s="111" t="s">
        <v>1012</v>
      </c>
      <c r="R150" s="111" t="s">
        <v>1013</v>
      </c>
      <c r="S150" s="116" t="s">
        <v>1014</v>
      </c>
      <c r="T150" s="98">
        <v>43</v>
      </c>
      <c r="U150" s="99">
        <v>72</v>
      </c>
      <c r="V150" s="99">
        <v>0</v>
      </c>
      <c r="W150" s="75" t="s">
        <v>2698</v>
      </c>
      <c r="X150" s="75" t="s">
        <v>2674</v>
      </c>
      <c r="Y150" s="109">
        <v>115</v>
      </c>
      <c r="Z150" s="98">
        <v>0</v>
      </c>
      <c r="AA150" s="99">
        <v>0</v>
      </c>
      <c r="AB150" s="99">
        <v>0</v>
      </c>
      <c r="AC150" s="75"/>
      <c r="AD150" s="75"/>
      <c r="AE150" s="109">
        <v>0</v>
      </c>
      <c r="AF150" s="117">
        <v>115</v>
      </c>
      <c r="AG150" s="113"/>
      <c r="AH150" s="140"/>
    </row>
    <row r="151" spans="1:34" s="80" customFormat="1" ht="12" customHeight="1">
      <c r="A151" s="66">
        <v>1149</v>
      </c>
      <c r="B151" s="67" t="s">
        <v>2696</v>
      </c>
      <c r="C151" s="96" t="s">
        <v>2838</v>
      </c>
      <c r="D151" s="67" t="s">
        <v>2698</v>
      </c>
      <c r="E151" s="66">
        <v>1</v>
      </c>
      <c r="F151" s="110">
        <v>4</v>
      </c>
      <c r="G151" s="69">
        <v>149</v>
      </c>
      <c r="H151" s="111" t="s">
        <v>1015</v>
      </c>
      <c r="I151" s="112" t="s">
        <v>1015</v>
      </c>
      <c r="J151" s="113">
        <v>10500100338701</v>
      </c>
      <c r="K151" s="114" t="s">
        <v>148</v>
      </c>
      <c r="L151" s="114"/>
      <c r="M151" s="114">
        <v>12</v>
      </c>
      <c r="N151" s="115" t="s">
        <v>1016</v>
      </c>
      <c r="O151" s="111" t="s">
        <v>1017</v>
      </c>
      <c r="P151" s="115" t="s">
        <v>1018</v>
      </c>
      <c r="Q151" s="111" t="s">
        <v>1019</v>
      </c>
      <c r="R151" s="111" t="s">
        <v>1020</v>
      </c>
      <c r="S151" s="116" t="s">
        <v>1021</v>
      </c>
      <c r="T151" s="98">
        <v>114</v>
      </c>
      <c r="U151" s="99">
        <v>80</v>
      </c>
      <c r="V151" s="99">
        <v>0</v>
      </c>
      <c r="W151" s="75" t="s">
        <v>2698</v>
      </c>
      <c r="X151" s="75" t="s">
        <v>2674</v>
      </c>
      <c r="Y151" s="109">
        <v>194</v>
      </c>
      <c r="Z151" s="98">
        <v>0</v>
      </c>
      <c r="AA151" s="99">
        <v>0</v>
      </c>
      <c r="AB151" s="99">
        <v>0</v>
      </c>
      <c r="AC151" s="75"/>
      <c r="AD151" s="75"/>
      <c r="AE151" s="109">
        <v>0</v>
      </c>
      <c r="AF151" s="117">
        <v>194</v>
      </c>
      <c r="AG151" s="113"/>
      <c r="AH151" s="140"/>
    </row>
    <row r="152" spans="1:34" s="80" customFormat="1" ht="12" customHeight="1">
      <c r="A152" s="66">
        <v>1150</v>
      </c>
      <c r="B152" s="67" t="s">
        <v>2696</v>
      </c>
      <c r="C152" s="96" t="s">
        <v>2838</v>
      </c>
      <c r="D152" s="67" t="s">
        <v>2699</v>
      </c>
      <c r="E152" s="66">
        <v>1</v>
      </c>
      <c r="F152" s="110">
        <v>4</v>
      </c>
      <c r="G152" s="69">
        <v>150</v>
      </c>
      <c r="H152" s="111" t="s">
        <v>1022</v>
      </c>
      <c r="I152" s="112" t="s">
        <v>1023</v>
      </c>
      <c r="J152" s="113">
        <v>10500100698001</v>
      </c>
      <c r="K152" s="114" t="s">
        <v>148</v>
      </c>
      <c r="L152" s="114"/>
      <c r="M152" s="114">
        <v>12</v>
      </c>
      <c r="N152" s="115" t="s">
        <v>1016</v>
      </c>
      <c r="O152" s="111" t="s">
        <v>1024</v>
      </c>
      <c r="P152" s="115" t="s">
        <v>1025</v>
      </c>
      <c r="Q152" s="111" t="s">
        <v>1026</v>
      </c>
      <c r="R152" s="111" t="s">
        <v>1027</v>
      </c>
      <c r="S152" s="116" t="s">
        <v>1028</v>
      </c>
      <c r="T152" s="98">
        <v>0</v>
      </c>
      <c r="U152" s="99">
        <v>179</v>
      </c>
      <c r="V152" s="99">
        <v>156</v>
      </c>
      <c r="W152" s="75" t="s">
        <v>2698</v>
      </c>
      <c r="X152" s="75" t="s">
        <v>2674</v>
      </c>
      <c r="Y152" s="109">
        <v>335</v>
      </c>
      <c r="Z152" s="98">
        <v>0</v>
      </c>
      <c r="AA152" s="99">
        <v>215</v>
      </c>
      <c r="AB152" s="99">
        <v>45</v>
      </c>
      <c r="AC152" s="75" t="s">
        <v>2700</v>
      </c>
      <c r="AD152" s="75" t="s">
        <v>2674</v>
      </c>
      <c r="AE152" s="109">
        <v>260</v>
      </c>
      <c r="AF152" s="117">
        <v>595</v>
      </c>
      <c r="AG152" s="113" t="s">
        <v>199</v>
      </c>
      <c r="AH152" s="140"/>
    </row>
    <row r="153" spans="1:34" s="80" customFormat="1" ht="12" customHeight="1">
      <c r="A153" s="66">
        <v>1151</v>
      </c>
      <c r="B153" s="67" t="s">
        <v>2696</v>
      </c>
      <c r="C153" s="96" t="s">
        <v>2838</v>
      </c>
      <c r="D153" s="67" t="s">
        <v>2698</v>
      </c>
      <c r="E153" s="66">
        <v>1</v>
      </c>
      <c r="F153" s="110">
        <v>4</v>
      </c>
      <c r="G153" s="69">
        <v>151</v>
      </c>
      <c r="H153" s="111" t="s">
        <v>1029</v>
      </c>
      <c r="I153" s="112" t="s">
        <v>1029</v>
      </c>
      <c r="J153" s="113">
        <v>10500100698002</v>
      </c>
      <c r="K153" s="114" t="s">
        <v>148</v>
      </c>
      <c r="L153" s="114"/>
      <c r="M153" s="114">
        <v>12</v>
      </c>
      <c r="N153" s="115" t="s">
        <v>1016</v>
      </c>
      <c r="O153" s="111" t="s">
        <v>1030</v>
      </c>
      <c r="P153" s="115">
        <v>4119245</v>
      </c>
      <c r="Q153" s="111" t="s">
        <v>1031</v>
      </c>
      <c r="R153" s="111" t="s">
        <v>1032</v>
      </c>
      <c r="S153" s="116" t="s">
        <v>1033</v>
      </c>
      <c r="T153" s="98">
        <v>81</v>
      </c>
      <c r="U153" s="99">
        <v>49</v>
      </c>
      <c r="V153" s="99">
        <v>0</v>
      </c>
      <c r="W153" s="75" t="s">
        <v>2698</v>
      </c>
      <c r="X153" s="75" t="s">
        <v>2674</v>
      </c>
      <c r="Y153" s="109">
        <v>130</v>
      </c>
      <c r="Z153" s="98">
        <v>0</v>
      </c>
      <c r="AA153" s="99">
        <v>0</v>
      </c>
      <c r="AB153" s="99">
        <v>0</v>
      </c>
      <c r="AC153" s="75"/>
      <c r="AD153" s="75"/>
      <c r="AE153" s="109">
        <v>0</v>
      </c>
      <c r="AF153" s="117">
        <v>130</v>
      </c>
      <c r="AG153" s="113" t="s">
        <v>199</v>
      </c>
      <c r="AH153" s="140"/>
    </row>
    <row r="154" spans="1:34" s="80" customFormat="1" ht="12" customHeight="1">
      <c r="A154" s="66">
        <v>1152</v>
      </c>
      <c r="B154" s="67" t="s">
        <v>2696</v>
      </c>
      <c r="C154" s="96" t="s">
        <v>2838</v>
      </c>
      <c r="D154" s="67" t="s">
        <v>2698</v>
      </c>
      <c r="E154" s="66">
        <v>1</v>
      </c>
      <c r="F154" s="110">
        <v>4</v>
      </c>
      <c r="G154" s="69">
        <v>152</v>
      </c>
      <c r="H154" s="111" t="s">
        <v>1034</v>
      </c>
      <c r="I154" s="112" t="s">
        <v>1034</v>
      </c>
      <c r="J154" s="113">
        <v>10500100698004</v>
      </c>
      <c r="K154" s="114" t="s">
        <v>148</v>
      </c>
      <c r="L154" s="114"/>
      <c r="M154" s="114">
        <v>12</v>
      </c>
      <c r="N154" s="115" t="s">
        <v>1035</v>
      </c>
      <c r="O154" s="111" t="s">
        <v>1036</v>
      </c>
      <c r="P154" s="115" t="s">
        <v>1037</v>
      </c>
      <c r="Q154" s="111" t="s">
        <v>1038</v>
      </c>
      <c r="R154" s="111" t="s">
        <v>1039</v>
      </c>
      <c r="S154" s="116" t="s">
        <v>1040</v>
      </c>
      <c r="T154" s="98">
        <v>220</v>
      </c>
      <c r="U154" s="99">
        <v>86</v>
      </c>
      <c r="V154" s="99">
        <v>0</v>
      </c>
      <c r="W154" s="75" t="s">
        <v>2698</v>
      </c>
      <c r="X154" s="75" t="s">
        <v>2674</v>
      </c>
      <c r="Y154" s="109">
        <v>306</v>
      </c>
      <c r="Z154" s="98">
        <v>0</v>
      </c>
      <c r="AA154" s="99">
        <v>0</v>
      </c>
      <c r="AB154" s="99">
        <v>0</v>
      </c>
      <c r="AC154" s="75"/>
      <c r="AD154" s="75"/>
      <c r="AE154" s="109">
        <v>0</v>
      </c>
      <c r="AF154" s="117">
        <v>306</v>
      </c>
      <c r="AG154" s="113"/>
      <c r="AH154" s="140"/>
    </row>
    <row r="155" spans="1:34" s="80" customFormat="1" ht="12" customHeight="1">
      <c r="A155" s="66">
        <v>1153</v>
      </c>
      <c r="B155" s="67" t="s">
        <v>2696</v>
      </c>
      <c r="C155" s="96" t="s">
        <v>2838</v>
      </c>
      <c r="D155" s="67" t="s">
        <v>2698</v>
      </c>
      <c r="E155" s="66">
        <v>1</v>
      </c>
      <c r="F155" s="110">
        <v>4</v>
      </c>
      <c r="G155" s="69">
        <v>153</v>
      </c>
      <c r="H155" s="111" t="s">
        <v>1041</v>
      </c>
      <c r="I155" s="112" t="s">
        <v>1041</v>
      </c>
      <c r="J155" s="113">
        <v>10500100149001</v>
      </c>
      <c r="K155" s="114" t="s">
        <v>148</v>
      </c>
      <c r="L155" s="114"/>
      <c r="M155" s="114">
        <v>12</v>
      </c>
      <c r="N155" s="115" t="s">
        <v>1035</v>
      </c>
      <c r="O155" s="111" t="s">
        <v>1042</v>
      </c>
      <c r="P155" s="115" t="s">
        <v>1043</v>
      </c>
      <c r="Q155" s="111" t="s">
        <v>1044</v>
      </c>
      <c r="R155" s="111" t="s">
        <v>1045</v>
      </c>
      <c r="S155" s="116" t="s">
        <v>1046</v>
      </c>
      <c r="T155" s="98">
        <v>0</v>
      </c>
      <c r="U155" s="99">
        <v>80</v>
      </c>
      <c r="V155" s="99">
        <v>100</v>
      </c>
      <c r="W155" s="75" t="s">
        <v>2698</v>
      </c>
      <c r="X155" s="75" t="s">
        <v>2674</v>
      </c>
      <c r="Y155" s="109">
        <v>180</v>
      </c>
      <c r="Z155" s="98">
        <v>0</v>
      </c>
      <c r="AA155" s="99">
        <v>0</v>
      </c>
      <c r="AB155" s="99">
        <v>0</v>
      </c>
      <c r="AC155" s="75"/>
      <c r="AD155" s="75"/>
      <c r="AE155" s="109">
        <v>0</v>
      </c>
      <c r="AF155" s="117">
        <v>180</v>
      </c>
      <c r="AG155" s="113"/>
      <c r="AH155" s="140"/>
    </row>
    <row r="156" spans="1:34" s="80" customFormat="1" ht="12" customHeight="1">
      <c r="A156" s="66">
        <v>1154</v>
      </c>
      <c r="B156" s="67" t="s">
        <v>2696</v>
      </c>
      <c r="C156" s="96" t="s">
        <v>2838</v>
      </c>
      <c r="D156" s="67" t="s">
        <v>2698</v>
      </c>
      <c r="E156" s="66">
        <v>1</v>
      </c>
      <c r="F156" s="110">
        <v>4</v>
      </c>
      <c r="G156" s="69">
        <v>154</v>
      </c>
      <c r="H156" s="111" t="s">
        <v>1047</v>
      </c>
      <c r="I156" s="112" t="s">
        <v>1047</v>
      </c>
      <c r="J156" s="113">
        <v>10500100149002</v>
      </c>
      <c r="K156" s="114" t="s">
        <v>148</v>
      </c>
      <c r="L156" s="114"/>
      <c r="M156" s="114">
        <v>12</v>
      </c>
      <c r="N156" s="115" t="s">
        <v>1035</v>
      </c>
      <c r="O156" s="111" t="s">
        <v>1048</v>
      </c>
      <c r="P156" s="115">
        <v>2341289</v>
      </c>
      <c r="Q156" s="111" t="s">
        <v>1049</v>
      </c>
      <c r="R156" s="111" t="s">
        <v>1050</v>
      </c>
      <c r="S156" s="116" t="s">
        <v>1051</v>
      </c>
      <c r="T156" s="98">
        <v>82</v>
      </c>
      <c r="U156" s="99">
        <v>43</v>
      </c>
      <c r="V156" s="99">
        <v>0</v>
      </c>
      <c r="W156" s="75" t="s">
        <v>2698</v>
      </c>
      <c r="X156" s="75" t="s">
        <v>2674</v>
      </c>
      <c r="Y156" s="109">
        <v>125</v>
      </c>
      <c r="Z156" s="98">
        <v>0</v>
      </c>
      <c r="AA156" s="99">
        <v>0</v>
      </c>
      <c r="AB156" s="99">
        <v>0</v>
      </c>
      <c r="AC156" s="75"/>
      <c r="AD156" s="75"/>
      <c r="AE156" s="109">
        <v>0</v>
      </c>
      <c r="AF156" s="117">
        <v>125</v>
      </c>
      <c r="AG156" s="113"/>
      <c r="AH156" s="140"/>
    </row>
    <row r="157" spans="1:34" s="80" customFormat="1" ht="12" customHeight="1">
      <c r="A157" s="66">
        <v>1155</v>
      </c>
      <c r="B157" s="67" t="s">
        <v>2696</v>
      </c>
      <c r="C157" s="96" t="s">
        <v>2838</v>
      </c>
      <c r="D157" s="67" t="s">
        <v>2699</v>
      </c>
      <c r="E157" s="66">
        <v>1</v>
      </c>
      <c r="F157" s="110">
        <v>4</v>
      </c>
      <c r="G157" s="69">
        <v>155</v>
      </c>
      <c r="H157" s="111" t="s">
        <v>1052</v>
      </c>
      <c r="I157" s="112" t="s">
        <v>1052</v>
      </c>
      <c r="J157" s="113">
        <v>10500100252601</v>
      </c>
      <c r="K157" s="114" t="s">
        <v>148</v>
      </c>
      <c r="L157" s="114"/>
      <c r="M157" s="114">
        <v>12</v>
      </c>
      <c r="N157" s="115" t="s">
        <v>1053</v>
      </c>
      <c r="O157" s="111" t="s">
        <v>1054</v>
      </c>
      <c r="P157" s="115" t="s">
        <v>1055</v>
      </c>
      <c r="Q157" s="111" t="s">
        <v>1056</v>
      </c>
      <c r="R157" s="111" t="s">
        <v>1057</v>
      </c>
      <c r="S157" s="116" t="s">
        <v>1058</v>
      </c>
      <c r="T157" s="98">
        <v>0</v>
      </c>
      <c r="U157" s="99">
        <v>144</v>
      </c>
      <c r="V157" s="99">
        <v>114</v>
      </c>
      <c r="W157" s="75" t="s">
        <v>2698</v>
      </c>
      <c r="X157" s="75" t="s">
        <v>2674</v>
      </c>
      <c r="Y157" s="109">
        <v>258</v>
      </c>
      <c r="Z157" s="98">
        <v>0</v>
      </c>
      <c r="AA157" s="99">
        <v>135</v>
      </c>
      <c r="AB157" s="99">
        <v>105</v>
      </c>
      <c r="AC157" s="75" t="s">
        <v>2700</v>
      </c>
      <c r="AD157" s="75" t="s">
        <v>2674</v>
      </c>
      <c r="AE157" s="109">
        <v>240</v>
      </c>
      <c r="AF157" s="117">
        <v>498</v>
      </c>
      <c r="AG157" s="113"/>
      <c r="AH157" s="140"/>
    </row>
    <row r="158" spans="1:34" s="80" customFormat="1" ht="12" customHeight="1">
      <c r="A158" s="66">
        <v>1156</v>
      </c>
      <c r="B158" s="67" t="s">
        <v>2696</v>
      </c>
      <c r="C158" s="96" t="s">
        <v>2838</v>
      </c>
      <c r="D158" s="67" t="s">
        <v>2698</v>
      </c>
      <c r="E158" s="66">
        <v>1</v>
      </c>
      <c r="F158" s="110">
        <v>4</v>
      </c>
      <c r="G158" s="69">
        <v>156</v>
      </c>
      <c r="H158" s="111" t="s">
        <v>1059</v>
      </c>
      <c r="I158" s="112" t="s">
        <v>1059</v>
      </c>
      <c r="J158" s="113">
        <v>10500100718801</v>
      </c>
      <c r="K158" s="114" t="s">
        <v>148</v>
      </c>
      <c r="L158" s="114"/>
      <c r="M158" s="114">
        <v>12</v>
      </c>
      <c r="N158" s="115" t="s">
        <v>1053</v>
      </c>
      <c r="O158" s="111" t="s">
        <v>1060</v>
      </c>
      <c r="P158" s="115">
        <v>4967767</v>
      </c>
      <c r="Q158" s="111" t="s">
        <v>1061</v>
      </c>
      <c r="R158" s="111" t="s">
        <v>1062</v>
      </c>
      <c r="S158" s="116" t="s">
        <v>1063</v>
      </c>
      <c r="T158" s="98">
        <v>100</v>
      </c>
      <c r="U158" s="99">
        <v>280</v>
      </c>
      <c r="V158" s="99">
        <v>90</v>
      </c>
      <c r="W158" s="75" t="s">
        <v>2698</v>
      </c>
      <c r="X158" s="75" t="s">
        <v>2674</v>
      </c>
      <c r="Y158" s="109">
        <v>470</v>
      </c>
      <c r="Z158" s="98">
        <v>0</v>
      </c>
      <c r="AA158" s="99">
        <v>0</v>
      </c>
      <c r="AB158" s="99">
        <v>0</v>
      </c>
      <c r="AC158" s="75"/>
      <c r="AD158" s="75"/>
      <c r="AE158" s="109">
        <v>0</v>
      </c>
      <c r="AF158" s="117">
        <v>470</v>
      </c>
      <c r="AG158" s="113"/>
      <c r="AH158" s="140"/>
    </row>
    <row r="159" spans="1:34" s="80" customFormat="1" ht="12" customHeight="1">
      <c r="A159" s="66">
        <v>1157</v>
      </c>
      <c r="B159" s="67" t="s">
        <v>2696</v>
      </c>
      <c r="C159" s="96" t="s">
        <v>2838</v>
      </c>
      <c r="D159" s="67" t="s">
        <v>2698</v>
      </c>
      <c r="E159" s="66">
        <v>1</v>
      </c>
      <c r="F159" s="110">
        <v>4</v>
      </c>
      <c r="G159" s="69">
        <v>157</v>
      </c>
      <c r="H159" s="111" t="s">
        <v>1064</v>
      </c>
      <c r="I159" s="112" t="s">
        <v>1064</v>
      </c>
      <c r="J159" s="113">
        <v>10500100297601</v>
      </c>
      <c r="K159" s="114" t="s">
        <v>148</v>
      </c>
      <c r="L159" s="114"/>
      <c r="M159" s="114">
        <v>12</v>
      </c>
      <c r="N159" s="115" t="s">
        <v>1065</v>
      </c>
      <c r="O159" s="111" t="s">
        <v>1066</v>
      </c>
      <c r="P159" s="115" t="s">
        <v>1067</v>
      </c>
      <c r="Q159" s="111" t="s">
        <v>1068</v>
      </c>
      <c r="R159" s="111" t="s">
        <v>1069</v>
      </c>
      <c r="S159" s="116" t="s">
        <v>1070</v>
      </c>
      <c r="T159" s="98">
        <v>0</v>
      </c>
      <c r="U159" s="99">
        <v>264</v>
      </c>
      <c r="V159" s="99">
        <v>42</v>
      </c>
      <c r="W159" s="75" t="s">
        <v>2698</v>
      </c>
      <c r="X159" s="75" t="s">
        <v>2674</v>
      </c>
      <c r="Y159" s="109">
        <v>306</v>
      </c>
      <c r="Z159" s="98">
        <v>0</v>
      </c>
      <c r="AA159" s="99">
        <v>0</v>
      </c>
      <c r="AB159" s="99">
        <v>0</v>
      </c>
      <c r="AC159" s="75"/>
      <c r="AD159" s="75"/>
      <c r="AE159" s="109">
        <v>0</v>
      </c>
      <c r="AF159" s="117">
        <v>306</v>
      </c>
      <c r="AG159" s="113"/>
      <c r="AH159" s="140"/>
    </row>
    <row r="160" spans="1:34" s="80" customFormat="1" ht="12" customHeight="1">
      <c r="A160" s="66">
        <v>1158</v>
      </c>
      <c r="B160" s="67" t="s">
        <v>2696</v>
      </c>
      <c r="C160" s="96" t="s">
        <v>2838</v>
      </c>
      <c r="D160" s="67" t="s">
        <v>2698</v>
      </c>
      <c r="E160" s="66">
        <v>1</v>
      </c>
      <c r="F160" s="110">
        <v>4</v>
      </c>
      <c r="G160" s="69">
        <v>158</v>
      </c>
      <c r="H160" s="111" t="s">
        <v>1071</v>
      </c>
      <c r="I160" s="112" t="s">
        <v>1071</v>
      </c>
      <c r="J160" s="113">
        <v>10500101188601</v>
      </c>
      <c r="K160" s="114" t="s">
        <v>148</v>
      </c>
      <c r="L160" s="114"/>
      <c r="M160" s="114">
        <v>12</v>
      </c>
      <c r="N160" s="115" t="s">
        <v>1072</v>
      </c>
      <c r="O160" s="111" t="s">
        <v>1073</v>
      </c>
      <c r="P160" s="115" t="s">
        <v>1074</v>
      </c>
      <c r="Q160" s="111" t="s">
        <v>1075</v>
      </c>
      <c r="R160" s="111" t="s">
        <v>1076</v>
      </c>
      <c r="S160" s="116" t="s">
        <v>1077</v>
      </c>
      <c r="T160" s="98">
        <v>0</v>
      </c>
      <c r="U160" s="99">
        <v>133</v>
      </c>
      <c r="V160" s="99">
        <v>87</v>
      </c>
      <c r="W160" s="75" t="s">
        <v>2698</v>
      </c>
      <c r="X160" s="75" t="s">
        <v>2674</v>
      </c>
      <c r="Y160" s="109">
        <v>220</v>
      </c>
      <c r="Z160" s="98">
        <v>0</v>
      </c>
      <c r="AA160" s="99">
        <v>0</v>
      </c>
      <c r="AB160" s="99">
        <v>0</v>
      </c>
      <c r="AC160" s="75"/>
      <c r="AD160" s="75"/>
      <c r="AE160" s="109">
        <v>0</v>
      </c>
      <c r="AF160" s="117">
        <v>220</v>
      </c>
      <c r="AG160" s="113"/>
      <c r="AH160" s="140"/>
    </row>
    <row r="161" spans="1:34" s="80" customFormat="1" ht="12" customHeight="1">
      <c r="A161" s="66">
        <v>1159</v>
      </c>
      <c r="B161" s="67" t="s">
        <v>2696</v>
      </c>
      <c r="C161" s="96" t="s">
        <v>2838</v>
      </c>
      <c r="D161" s="67" t="s">
        <v>2698</v>
      </c>
      <c r="E161" s="66">
        <v>1</v>
      </c>
      <c r="F161" s="110">
        <v>4</v>
      </c>
      <c r="G161" s="69">
        <v>159</v>
      </c>
      <c r="H161" s="111" t="s">
        <v>1078</v>
      </c>
      <c r="I161" s="112" t="s">
        <v>1078</v>
      </c>
      <c r="J161" s="113">
        <v>10500101188602</v>
      </c>
      <c r="K161" s="114" t="s">
        <v>148</v>
      </c>
      <c r="L161" s="114"/>
      <c r="M161" s="114">
        <v>13</v>
      </c>
      <c r="N161" s="115" t="s">
        <v>1079</v>
      </c>
      <c r="O161" s="111" t="s">
        <v>1080</v>
      </c>
      <c r="P161" s="115">
        <v>2531582</v>
      </c>
      <c r="Q161" s="111" t="s">
        <v>1081</v>
      </c>
      <c r="R161" s="111" t="s">
        <v>1082</v>
      </c>
      <c r="S161" s="116" t="s">
        <v>1083</v>
      </c>
      <c r="T161" s="98">
        <v>0</v>
      </c>
      <c r="U161" s="99">
        <v>195</v>
      </c>
      <c r="V161" s="99">
        <v>0</v>
      </c>
      <c r="W161" s="75" t="s">
        <v>2698</v>
      </c>
      <c r="X161" s="75" t="s">
        <v>2674</v>
      </c>
      <c r="Y161" s="109">
        <v>195</v>
      </c>
      <c r="Z161" s="98">
        <v>0</v>
      </c>
      <c r="AA161" s="99">
        <v>0</v>
      </c>
      <c r="AB161" s="99">
        <v>0</v>
      </c>
      <c r="AC161" s="75"/>
      <c r="AD161" s="75"/>
      <c r="AE161" s="109">
        <v>0</v>
      </c>
      <c r="AF161" s="117">
        <v>195</v>
      </c>
      <c r="AG161" s="113"/>
      <c r="AH161" s="140"/>
    </row>
    <row r="162" spans="1:34" s="80" customFormat="1" ht="12" customHeight="1">
      <c r="A162" s="66">
        <v>1160</v>
      </c>
      <c r="B162" s="67" t="s">
        <v>2696</v>
      </c>
      <c r="C162" s="96" t="s">
        <v>2838</v>
      </c>
      <c r="D162" s="67" t="s">
        <v>2698</v>
      </c>
      <c r="E162" s="66">
        <v>1</v>
      </c>
      <c r="F162" s="110">
        <v>4</v>
      </c>
      <c r="G162" s="69">
        <v>160</v>
      </c>
      <c r="H162" s="111" t="s">
        <v>1084</v>
      </c>
      <c r="I162" s="112" t="s">
        <v>1084</v>
      </c>
      <c r="J162" s="113">
        <v>10500100080901</v>
      </c>
      <c r="K162" s="114" t="s">
        <v>148</v>
      </c>
      <c r="L162" s="114"/>
      <c r="M162" s="114">
        <v>13</v>
      </c>
      <c r="N162" s="115" t="s">
        <v>1085</v>
      </c>
      <c r="O162" s="111" t="s">
        <v>1086</v>
      </c>
      <c r="P162" s="115" t="s">
        <v>1087</v>
      </c>
      <c r="Q162" s="111" t="s">
        <v>1088</v>
      </c>
      <c r="R162" s="111" t="s">
        <v>1089</v>
      </c>
      <c r="S162" s="116" t="s">
        <v>1090</v>
      </c>
      <c r="T162" s="98">
        <v>220</v>
      </c>
      <c r="U162" s="99">
        <v>35</v>
      </c>
      <c r="V162" s="99">
        <v>20</v>
      </c>
      <c r="W162" s="75" t="s">
        <v>2698</v>
      </c>
      <c r="X162" s="75" t="s">
        <v>2674</v>
      </c>
      <c r="Y162" s="109">
        <v>275</v>
      </c>
      <c r="Z162" s="98">
        <v>0</v>
      </c>
      <c r="AA162" s="99">
        <v>0</v>
      </c>
      <c r="AB162" s="99">
        <v>0</v>
      </c>
      <c r="AC162" s="75"/>
      <c r="AD162" s="75"/>
      <c r="AE162" s="109">
        <v>0</v>
      </c>
      <c r="AF162" s="117">
        <v>275</v>
      </c>
      <c r="AG162" s="113"/>
      <c r="AH162" s="140"/>
    </row>
    <row r="163" spans="1:34" s="80" customFormat="1" ht="12" customHeight="1">
      <c r="A163" s="66">
        <v>1161</v>
      </c>
      <c r="B163" s="67" t="s">
        <v>2696</v>
      </c>
      <c r="C163" s="96" t="s">
        <v>2838</v>
      </c>
      <c r="D163" s="67" t="s">
        <v>2699</v>
      </c>
      <c r="E163" s="66">
        <v>1</v>
      </c>
      <c r="F163" s="110">
        <v>4</v>
      </c>
      <c r="G163" s="69">
        <v>161</v>
      </c>
      <c r="H163" s="111" t="s">
        <v>1091</v>
      </c>
      <c r="I163" s="112" t="s">
        <v>1091</v>
      </c>
      <c r="J163" s="113">
        <v>10500102635201</v>
      </c>
      <c r="K163" s="114" t="s">
        <v>148</v>
      </c>
      <c r="L163" s="114"/>
      <c r="M163" s="114">
        <v>13</v>
      </c>
      <c r="N163" s="115" t="s">
        <v>1092</v>
      </c>
      <c r="O163" s="111" t="s">
        <v>1093</v>
      </c>
      <c r="P163" s="115">
        <v>2528790</v>
      </c>
      <c r="Q163" s="111" t="s">
        <v>1094</v>
      </c>
      <c r="R163" s="111" t="s">
        <v>1095</v>
      </c>
      <c r="S163" s="116" t="s">
        <v>1096</v>
      </c>
      <c r="T163" s="98">
        <v>158</v>
      </c>
      <c r="U163" s="99">
        <v>127</v>
      </c>
      <c r="V163" s="99">
        <v>0</v>
      </c>
      <c r="W163" s="75" t="s">
        <v>2698</v>
      </c>
      <c r="X163" s="75" t="s">
        <v>2674</v>
      </c>
      <c r="Y163" s="109">
        <v>285</v>
      </c>
      <c r="Z163" s="98">
        <v>0</v>
      </c>
      <c r="AA163" s="99">
        <v>304</v>
      </c>
      <c r="AB163" s="99">
        <v>82</v>
      </c>
      <c r="AC163" s="75" t="s">
        <v>2700</v>
      </c>
      <c r="AD163" s="75" t="s">
        <v>2674</v>
      </c>
      <c r="AE163" s="109">
        <v>386</v>
      </c>
      <c r="AF163" s="117">
        <v>671</v>
      </c>
      <c r="AG163" s="113" t="s">
        <v>199</v>
      </c>
      <c r="AH163" s="140"/>
    </row>
    <row r="164" spans="1:34" s="80" customFormat="1" ht="12" customHeight="1">
      <c r="A164" s="66">
        <v>1162</v>
      </c>
      <c r="B164" s="67" t="s">
        <v>2696</v>
      </c>
      <c r="C164" s="96" t="s">
        <v>2838</v>
      </c>
      <c r="D164" s="67" t="s">
        <v>2698</v>
      </c>
      <c r="E164" s="66">
        <v>1</v>
      </c>
      <c r="F164" s="110">
        <v>4</v>
      </c>
      <c r="G164" s="69">
        <v>162</v>
      </c>
      <c r="H164" s="111" t="s">
        <v>1097</v>
      </c>
      <c r="I164" s="112" t="s">
        <v>1097</v>
      </c>
      <c r="J164" s="113">
        <v>10500100252602</v>
      </c>
      <c r="K164" s="114" t="s">
        <v>148</v>
      </c>
      <c r="L164" s="114"/>
      <c r="M164" s="114">
        <v>13</v>
      </c>
      <c r="N164" s="115" t="s">
        <v>90</v>
      </c>
      <c r="O164" s="111" t="s">
        <v>1098</v>
      </c>
      <c r="P164" s="115">
        <v>2529888</v>
      </c>
      <c r="Q164" s="111" t="s">
        <v>1099</v>
      </c>
      <c r="R164" s="111" t="s">
        <v>1100</v>
      </c>
      <c r="S164" s="116" t="s">
        <v>1058</v>
      </c>
      <c r="T164" s="98">
        <v>160</v>
      </c>
      <c r="U164" s="99">
        <v>100</v>
      </c>
      <c r="V164" s="99">
        <v>0</v>
      </c>
      <c r="W164" s="75" t="s">
        <v>2698</v>
      </c>
      <c r="X164" s="75" t="s">
        <v>2674</v>
      </c>
      <c r="Y164" s="109">
        <v>260</v>
      </c>
      <c r="Z164" s="98">
        <v>0</v>
      </c>
      <c r="AA164" s="99">
        <v>0</v>
      </c>
      <c r="AB164" s="99">
        <v>0</v>
      </c>
      <c r="AC164" s="75"/>
      <c r="AD164" s="75"/>
      <c r="AE164" s="109">
        <v>0</v>
      </c>
      <c r="AF164" s="117">
        <v>260</v>
      </c>
      <c r="AG164" s="113"/>
      <c r="AH164" s="140"/>
    </row>
    <row r="165" spans="1:34" s="80" customFormat="1" ht="12" customHeight="1">
      <c r="A165" s="66">
        <v>1163</v>
      </c>
      <c r="B165" s="67" t="s">
        <v>2696</v>
      </c>
      <c r="C165" s="96" t="s">
        <v>2838</v>
      </c>
      <c r="D165" s="67" t="s">
        <v>2699</v>
      </c>
      <c r="E165" s="66">
        <v>1</v>
      </c>
      <c r="F165" s="110">
        <v>4</v>
      </c>
      <c r="G165" s="69">
        <v>163</v>
      </c>
      <c r="H165" s="111" t="s">
        <v>1101</v>
      </c>
      <c r="I165" s="112" t="s">
        <v>1101</v>
      </c>
      <c r="J165" s="113">
        <v>10500102669701</v>
      </c>
      <c r="K165" s="114" t="s">
        <v>148</v>
      </c>
      <c r="L165" s="114"/>
      <c r="M165" s="114">
        <v>13</v>
      </c>
      <c r="N165" s="115" t="s">
        <v>1102</v>
      </c>
      <c r="O165" s="111" t="s">
        <v>1103</v>
      </c>
      <c r="P165" s="115" t="s">
        <v>1104</v>
      </c>
      <c r="Q165" s="111" t="s">
        <v>1105</v>
      </c>
      <c r="R165" s="111" t="s">
        <v>1106</v>
      </c>
      <c r="S165" s="116" t="s">
        <v>1107</v>
      </c>
      <c r="T165" s="98">
        <v>57</v>
      </c>
      <c r="U165" s="99">
        <v>342</v>
      </c>
      <c r="V165" s="99">
        <v>0</v>
      </c>
      <c r="W165" s="75" t="s">
        <v>2698</v>
      </c>
      <c r="X165" s="75" t="s">
        <v>2674</v>
      </c>
      <c r="Y165" s="109">
        <v>399</v>
      </c>
      <c r="Z165" s="98">
        <v>0</v>
      </c>
      <c r="AA165" s="99">
        <v>225</v>
      </c>
      <c r="AB165" s="99">
        <v>174</v>
      </c>
      <c r="AC165" s="75" t="s">
        <v>2700</v>
      </c>
      <c r="AD165" s="75" t="s">
        <v>2674</v>
      </c>
      <c r="AE165" s="109">
        <v>399</v>
      </c>
      <c r="AF165" s="117">
        <v>798</v>
      </c>
      <c r="AG165" s="113"/>
      <c r="AH165" s="140"/>
    </row>
    <row r="166" spans="1:34" s="80" customFormat="1" ht="12" customHeight="1">
      <c r="A166" s="66">
        <v>1164</v>
      </c>
      <c r="B166" s="67" t="s">
        <v>2696</v>
      </c>
      <c r="C166" s="96" t="s">
        <v>2838</v>
      </c>
      <c r="D166" s="67" t="s">
        <v>2699</v>
      </c>
      <c r="E166" s="66">
        <v>1</v>
      </c>
      <c r="F166" s="110">
        <v>4</v>
      </c>
      <c r="G166" s="69">
        <v>164</v>
      </c>
      <c r="H166" s="111" t="s">
        <v>1108</v>
      </c>
      <c r="I166" s="112" t="s">
        <v>1108</v>
      </c>
      <c r="J166" s="113">
        <v>10500102119902</v>
      </c>
      <c r="K166" s="114" t="s">
        <v>148</v>
      </c>
      <c r="L166" s="114"/>
      <c r="M166" s="114">
        <v>13</v>
      </c>
      <c r="N166" s="115" t="s">
        <v>1109</v>
      </c>
      <c r="O166" s="111" t="s">
        <v>1110</v>
      </c>
      <c r="P166" s="115">
        <v>2531283</v>
      </c>
      <c r="Q166" s="111" t="s">
        <v>1111</v>
      </c>
      <c r="R166" s="111" t="s">
        <v>1112</v>
      </c>
      <c r="S166" s="116" t="s">
        <v>1113</v>
      </c>
      <c r="T166" s="98">
        <v>525</v>
      </c>
      <c r="U166" s="99">
        <v>5</v>
      </c>
      <c r="V166" s="99">
        <v>0</v>
      </c>
      <c r="W166" s="75" t="s">
        <v>2698</v>
      </c>
      <c r="X166" s="75" t="s">
        <v>2674</v>
      </c>
      <c r="Y166" s="109">
        <v>530</v>
      </c>
      <c r="Z166" s="98">
        <v>175</v>
      </c>
      <c r="AA166" s="99">
        <v>265</v>
      </c>
      <c r="AB166" s="99">
        <v>0</v>
      </c>
      <c r="AC166" s="75" t="s">
        <v>2700</v>
      </c>
      <c r="AD166" s="75" t="s">
        <v>2674</v>
      </c>
      <c r="AE166" s="109">
        <v>440</v>
      </c>
      <c r="AF166" s="117">
        <v>970</v>
      </c>
      <c r="AG166" s="113"/>
      <c r="AH166" s="140"/>
    </row>
    <row r="167" spans="1:34" s="80" customFormat="1" ht="12" customHeight="1">
      <c r="A167" s="66">
        <v>1165</v>
      </c>
      <c r="B167" s="67" t="s">
        <v>2696</v>
      </c>
      <c r="C167" s="96" t="s">
        <v>2838</v>
      </c>
      <c r="D167" s="67" t="s">
        <v>2698</v>
      </c>
      <c r="E167" s="66">
        <v>1</v>
      </c>
      <c r="F167" s="110">
        <v>4</v>
      </c>
      <c r="G167" s="69">
        <v>165</v>
      </c>
      <c r="H167" s="111" t="s">
        <v>1114</v>
      </c>
      <c r="I167" s="112" t="s">
        <v>1114</v>
      </c>
      <c r="J167" s="113">
        <v>10500102119903</v>
      </c>
      <c r="K167" s="114" t="s">
        <v>148</v>
      </c>
      <c r="L167" s="114"/>
      <c r="M167" s="114">
        <v>13</v>
      </c>
      <c r="N167" s="115" t="s">
        <v>1115</v>
      </c>
      <c r="O167" s="111" t="s">
        <v>1116</v>
      </c>
      <c r="P167" s="115">
        <v>4964993</v>
      </c>
      <c r="Q167" s="111" t="s">
        <v>1117</v>
      </c>
      <c r="R167" s="111" t="s">
        <v>1118</v>
      </c>
      <c r="S167" s="116" t="s">
        <v>1119</v>
      </c>
      <c r="T167" s="98">
        <v>116</v>
      </c>
      <c r="U167" s="99">
        <v>46</v>
      </c>
      <c r="V167" s="99">
        <v>0</v>
      </c>
      <c r="W167" s="75" t="s">
        <v>2698</v>
      </c>
      <c r="X167" s="75" t="s">
        <v>2674</v>
      </c>
      <c r="Y167" s="109">
        <v>162</v>
      </c>
      <c r="Z167" s="98">
        <v>0</v>
      </c>
      <c r="AA167" s="99">
        <v>0</v>
      </c>
      <c r="AB167" s="99">
        <v>0</v>
      </c>
      <c r="AC167" s="75"/>
      <c r="AD167" s="75"/>
      <c r="AE167" s="109">
        <v>0</v>
      </c>
      <c r="AF167" s="117">
        <v>162</v>
      </c>
      <c r="AG167" s="113"/>
      <c r="AH167" s="140"/>
    </row>
    <row r="168" spans="1:34" s="80" customFormat="1" ht="12" customHeight="1">
      <c r="A168" s="66">
        <v>1166</v>
      </c>
      <c r="B168" s="67" t="s">
        <v>2696</v>
      </c>
      <c r="C168" s="96" t="s">
        <v>2838</v>
      </c>
      <c r="D168" s="67" t="s">
        <v>2698</v>
      </c>
      <c r="E168" s="66">
        <v>1</v>
      </c>
      <c r="F168" s="110">
        <v>4</v>
      </c>
      <c r="G168" s="69">
        <v>166</v>
      </c>
      <c r="H168" s="111" t="s">
        <v>1120</v>
      </c>
      <c r="I168" s="112" t="s">
        <v>1120</v>
      </c>
      <c r="J168" s="113">
        <v>10500101517201</v>
      </c>
      <c r="K168" s="114" t="s">
        <v>148</v>
      </c>
      <c r="L168" s="114"/>
      <c r="M168" s="114">
        <v>13</v>
      </c>
      <c r="N168" s="115" t="s">
        <v>1121</v>
      </c>
      <c r="O168" s="111" t="s">
        <v>1122</v>
      </c>
      <c r="P168" s="115" t="s">
        <v>1123</v>
      </c>
      <c r="Q168" s="111" t="s">
        <v>1124</v>
      </c>
      <c r="R168" s="111" t="s">
        <v>1125</v>
      </c>
      <c r="S168" s="116" t="s">
        <v>1126</v>
      </c>
      <c r="T168" s="98">
        <v>112</v>
      </c>
      <c r="U168" s="99">
        <v>207</v>
      </c>
      <c r="V168" s="99">
        <v>51</v>
      </c>
      <c r="W168" s="75" t="s">
        <v>2698</v>
      </c>
      <c r="X168" s="75" t="s">
        <v>2674</v>
      </c>
      <c r="Y168" s="109">
        <v>370</v>
      </c>
      <c r="Z168" s="98">
        <v>0</v>
      </c>
      <c r="AA168" s="99">
        <v>0</v>
      </c>
      <c r="AB168" s="99">
        <v>0</v>
      </c>
      <c r="AC168" s="75"/>
      <c r="AD168" s="75"/>
      <c r="AE168" s="109">
        <v>0</v>
      </c>
      <c r="AF168" s="117">
        <v>370</v>
      </c>
      <c r="AG168" s="113"/>
      <c r="AH168" s="140"/>
    </row>
    <row r="169" spans="1:34" s="80" customFormat="1" ht="12" customHeight="1">
      <c r="A169" s="66">
        <v>1167</v>
      </c>
      <c r="B169" s="67" t="s">
        <v>2696</v>
      </c>
      <c r="C169" s="96" t="s">
        <v>2838</v>
      </c>
      <c r="D169" s="67" t="s">
        <v>2698</v>
      </c>
      <c r="E169" s="66">
        <v>1</v>
      </c>
      <c r="F169" s="110">
        <v>4</v>
      </c>
      <c r="G169" s="69">
        <v>167</v>
      </c>
      <c r="H169" s="111" t="s">
        <v>1127</v>
      </c>
      <c r="I169" s="112" t="s">
        <v>1127</v>
      </c>
      <c r="J169" s="113">
        <v>10500101517202</v>
      </c>
      <c r="K169" s="114" t="s">
        <v>148</v>
      </c>
      <c r="L169" s="114"/>
      <c r="M169" s="114">
        <v>13</v>
      </c>
      <c r="N169" s="115" t="s">
        <v>1109</v>
      </c>
      <c r="O169" s="111" t="s">
        <v>1128</v>
      </c>
      <c r="P169" s="115">
        <v>2536425</v>
      </c>
      <c r="Q169" s="111" t="s">
        <v>1129</v>
      </c>
      <c r="R169" s="111" t="s">
        <v>1130</v>
      </c>
      <c r="S169" s="116" t="s">
        <v>1131</v>
      </c>
      <c r="T169" s="98">
        <v>0</v>
      </c>
      <c r="U169" s="99">
        <v>251</v>
      </c>
      <c r="V169" s="99">
        <v>0</v>
      </c>
      <c r="W169" s="75" t="s">
        <v>2698</v>
      </c>
      <c r="X169" s="75" t="s">
        <v>2674</v>
      </c>
      <c r="Y169" s="109">
        <v>251</v>
      </c>
      <c r="Z169" s="98">
        <v>0</v>
      </c>
      <c r="AA169" s="99">
        <v>0</v>
      </c>
      <c r="AB169" s="99">
        <v>0</v>
      </c>
      <c r="AC169" s="75"/>
      <c r="AD169" s="75"/>
      <c r="AE169" s="109">
        <v>0</v>
      </c>
      <c r="AF169" s="117">
        <v>251</v>
      </c>
      <c r="AG169" s="113"/>
      <c r="AH169" s="140"/>
    </row>
    <row r="170" spans="1:34" s="80" customFormat="1" ht="12" customHeight="1">
      <c r="A170" s="66">
        <v>1168</v>
      </c>
      <c r="B170" s="67" t="s">
        <v>2696</v>
      </c>
      <c r="C170" s="96" t="s">
        <v>2838</v>
      </c>
      <c r="D170" s="67" t="s">
        <v>2698</v>
      </c>
      <c r="E170" s="66">
        <v>1</v>
      </c>
      <c r="F170" s="110">
        <v>4</v>
      </c>
      <c r="G170" s="69">
        <v>168</v>
      </c>
      <c r="H170" s="111" t="s">
        <v>1132</v>
      </c>
      <c r="I170" s="112" t="s">
        <v>1132</v>
      </c>
      <c r="J170" s="113">
        <v>10500100338703</v>
      </c>
      <c r="K170" s="114" t="s">
        <v>148</v>
      </c>
      <c r="L170" s="114"/>
      <c r="M170" s="114">
        <v>13</v>
      </c>
      <c r="N170" s="115" t="s">
        <v>1133</v>
      </c>
      <c r="O170" s="111" t="s">
        <v>1134</v>
      </c>
      <c r="P170" s="115">
        <v>2528123</v>
      </c>
      <c r="Q170" s="111" t="s">
        <v>1135</v>
      </c>
      <c r="R170" s="111" t="s">
        <v>1136</v>
      </c>
      <c r="S170" s="116" t="s">
        <v>1137</v>
      </c>
      <c r="T170" s="98">
        <v>200</v>
      </c>
      <c r="U170" s="99">
        <v>120</v>
      </c>
      <c r="V170" s="99">
        <v>0</v>
      </c>
      <c r="W170" s="75" t="s">
        <v>2698</v>
      </c>
      <c r="X170" s="75" t="s">
        <v>2674</v>
      </c>
      <c r="Y170" s="109">
        <v>320</v>
      </c>
      <c r="Z170" s="98">
        <v>0</v>
      </c>
      <c r="AA170" s="99">
        <v>0</v>
      </c>
      <c r="AB170" s="99">
        <v>0</v>
      </c>
      <c r="AC170" s="75"/>
      <c r="AD170" s="75"/>
      <c r="AE170" s="109">
        <v>0</v>
      </c>
      <c r="AF170" s="117">
        <v>320</v>
      </c>
      <c r="AG170" s="113"/>
      <c r="AH170" s="140"/>
    </row>
    <row r="171" spans="1:34" s="80" customFormat="1" ht="12" customHeight="1">
      <c r="A171" s="66">
        <v>1169</v>
      </c>
      <c r="B171" s="67" t="s">
        <v>2696</v>
      </c>
      <c r="C171" s="96" t="s">
        <v>2838</v>
      </c>
      <c r="D171" s="67" t="s">
        <v>2698</v>
      </c>
      <c r="E171" s="66">
        <v>1</v>
      </c>
      <c r="F171" s="110">
        <v>4</v>
      </c>
      <c r="G171" s="69">
        <v>169</v>
      </c>
      <c r="H171" s="111" t="s">
        <v>1138</v>
      </c>
      <c r="I171" s="112" t="s">
        <v>1138</v>
      </c>
      <c r="J171" s="113">
        <v>10500100655601</v>
      </c>
      <c r="K171" s="114" t="s">
        <v>148</v>
      </c>
      <c r="L171" s="114"/>
      <c r="M171" s="114">
        <v>13</v>
      </c>
      <c r="N171" s="115" t="s">
        <v>1139</v>
      </c>
      <c r="O171" s="111" t="s">
        <v>1140</v>
      </c>
      <c r="P171" s="115" t="s">
        <v>1141</v>
      </c>
      <c r="Q171" s="111" t="s">
        <v>1142</v>
      </c>
      <c r="R171" s="111" t="s">
        <v>1143</v>
      </c>
      <c r="S171" s="116" t="s">
        <v>1144</v>
      </c>
      <c r="T171" s="98">
        <v>221</v>
      </c>
      <c r="U171" s="99">
        <v>183</v>
      </c>
      <c r="V171" s="99">
        <v>0</v>
      </c>
      <c r="W171" s="75" t="s">
        <v>2698</v>
      </c>
      <c r="X171" s="75" t="s">
        <v>2674</v>
      </c>
      <c r="Y171" s="109">
        <v>404</v>
      </c>
      <c r="Z171" s="98">
        <v>0</v>
      </c>
      <c r="AA171" s="99">
        <v>0</v>
      </c>
      <c r="AB171" s="99">
        <v>0</v>
      </c>
      <c r="AC171" s="75"/>
      <c r="AD171" s="75"/>
      <c r="AE171" s="109">
        <v>0</v>
      </c>
      <c r="AF171" s="117">
        <v>404</v>
      </c>
      <c r="AG171" s="113"/>
      <c r="AH171" s="140"/>
    </row>
    <row r="172" spans="1:34" s="80" customFormat="1" ht="12" customHeight="1">
      <c r="A172" s="66">
        <v>1170</v>
      </c>
      <c r="B172" s="67" t="s">
        <v>2696</v>
      </c>
      <c r="C172" s="96" t="s">
        <v>2838</v>
      </c>
      <c r="D172" s="67" t="s">
        <v>2698</v>
      </c>
      <c r="E172" s="66">
        <v>1</v>
      </c>
      <c r="F172" s="110">
        <v>4</v>
      </c>
      <c r="G172" s="69">
        <v>170</v>
      </c>
      <c r="H172" s="111" t="s">
        <v>1145</v>
      </c>
      <c r="I172" s="112" t="s">
        <v>1146</v>
      </c>
      <c r="J172" s="113">
        <v>10500101901101</v>
      </c>
      <c r="K172" s="114" t="s">
        <v>148</v>
      </c>
      <c r="L172" s="114"/>
      <c r="M172" s="114">
        <v>13</v>
      </c>
      <c r="N172" s="115" t="s">
        <v>1147</v>
      </c>
      <c r="O172" s="111" t="s">
        <v>1148</v>
      </c>
      <c r="P172" s="115">
        <v>4927192</v>
      </c>
      <c r="Q172" s="111" t="s">
        <v>1149</v>
      </c>
      <c r="R172" s="111" t="s">
        <v>1150</v>
      </c>
      <c r="S172" s="116" t="s">
        <v>1151</v>
      </c>
      <c r="T172" s="98">
        <v>200</v>
      </c>
      <c r="U172" s="99">
        <v>100</v>
      </c>
      <c r="V172" s="99">
        <v>0</v>
      </c>
      <c r="W172" s="75" t="s">
        <v>2698</v>
      </c>
      <c r="X172" s="75" t="s">
        <v>2674</v>
      </c>
      <c r="Y172" s="109">
        <v>300</v>
      </c>
      <c r="Z172" s="98">
        <v>0</v>
      </c>
      <c r="AA172" s="99">
        <v>0</v>
      </c>
      <c r="AB172" s="99">
        <v>0</v>
      </c>
      <c r="AC172" s="75"/>
      <c r="AD172" s="75"/>
      <c r="AE172" s="109">
        <v>0</v>
      </c>
      <c r="AF172" s="117">
        <v>300</v>
      </c>
      <c r="AG172" s="113"/>
      <c r="AH172" s="140"/>
    </row>
    <row r="173" spans="1:34" s="80" customFormat="1" ht="12" customHeight="1">
      <c r="A173" s="66">
        <v>1171</v>
      </c>
      <c r="B173" s="67" t="s">
        <v>2696</v>
      </c>
      <c r="C173" s="96" t="s">
        <v>2838</v>
      </c>
      <c r="D173" s="67" t="s">
        <v>2698</v>
      </c>
      <c r="E173" s="66">
        <v>1</v>
      </c>
      <c r="F173" s="110">
        <v>4</v>
      </c>
      <c r="G173" s="69">
        <v>171</v>
      </c>
      <c r="H173" s="111" t="s">
        <v>1152</v>
      </c>
      <c r="I173" s="112" t="s">
        <v>1153</v>
      </c>
      <c r="J173" s="113">
        <v>10500101901101</v>
      </c>
      <c r="K173" s="114" t="s">
        <v>148</v>
      </c>
      <c r="L173" s="114"/>
      <c r="M173" s="114">
        <v>13</v>
      </c>
      <c r="N173" s="115" t="s">
        <v>1147</v>
      </c>
      <c r="O173" s="111" t="s">
        <v>1154</v>
      </c>
      <c r="P173" s="115">
        <v>4922768</v>
      </c>
      <c r="Q173" s="111" t="s">
        <v>1149</v>
      </c>
      <c r="R173" s="111" t="s">
        <v>1155</v>
      </c>
      <c r="S173" s="116" t="s">
        <v>1151</v>
      </c>
      <c r="T173" s="98">
        <v>0</v>
      </c>
      <c r="U173" s="99">
        <v>336</v>
      </c>
      <c r="V173" s="99">
        <v>64</v>
      </c>
      <c r="W173" s="75" t="s">
        <v>2698</v>
      </c>
      <c r="X173" s="75" t="s">
        <v>2674</v>
      </c>
      <c r="Y173" s="109">
        <v>400</v>
      </c>
      <c r="Z173" s="98">
        <v>0</v>
      </c>
      <c r="AA173" s="99">
        <v>0</v>
      </c>
      <c r="AB173" s="99">
        <v>0</v>
      </c>
      <c r="AC173" s="75"/>
      <c r="AD173" s="75"/>
      <c r="AE173" s="109">
        <v>0</v>
      </c>
      <c r="AF173" s="117">
        <v>400</v>
      </c>
      <c r="AG173" s="113"/>
      <c r="AH173" s="140"/>
    </row>
    <row r="174" spans="1:34" s="80" customFormat="1" ht="12" customHeight="1">
      <c r="A174" s="66">
        <v>1172</v>
      </c>
      <c r="B174" s="67" t="s">
        <v>2696</v>
      </c>
      <c r="C174" s="96" t="s">
        <v>2838</v>
      </c>
      <c r="D174" s="67" t="s">
        <v>2698</v>
      </c>
      <c r="E174" s="66">
        <v>1</v>
      </c>
      <c r="F174" s="110">
        <v>4</v>
      </c>
      <c r="G174" s="69">
        <v>172</v>
      </c>
      <c r="H174" s="111" t="s">
        <v>1156</v>
      </c>
      <c r="I174" s="112" t="s">
        <v>1156</v>
      </c>
      <c r="J174" s="113">
        <v>10500102668901</v>
      </c>
      <c r="K174" s="114" t="s">
        <v>148</v>
      </c>
      <c r="L174" s="114"/>
      <c r="M174" s="114">
        <v>13</v>
      </c>
      <c r="N174" s="115" t="s">
        <v>1157</v>
      </c>
      <c r="O174" s="111" t="s">
        <v>1158</v>
      </c>
      <c r="P174" s="115" t="s">
        <v>1159</v>
      </c>
      <c r="Q174" s="111" t="s">
        <v>1160</v>
      </c>
      <c r="R174" s="111" t="s">
        <v>1161</v>
      </c>
      <c r="S174" s="116" t="s">
        <v>1162</v>
      </c>
      <c r="T174" s="98">
        <v>159</v>
      </c>
      <c r="U174" s="99">
        <v>243</v>
      </c>
      <c r="V174" s="99">
        <v>58</v>
      </c>
      <c r="W174" s="75" t="s">
        <v>2698</v>
      </c>
      <c r="X174" s="75" t="s">
        <v>2674</v>
      </c>
      <c r="Y174" s="109">
        <v>460</v>
      </c>
      <c r="Z174" s="98">
        <v>0</v>
      </c>
      <c r="AA174" s="99">
        <v>0</v>
      </c>
      <c r="AB174" s="99">
        <v>0</v>
      </c>
      <c r="AC174" s="75"/>
      <c r="AD174" s="75"/>
      <c r="AE174" s="109">
        <v>0</v>
      </c>
      <c r="AF174" s="117">
        <v>460</v>
      </c>
      <c r="AG174" s="113"/>
      <c r="AH174" s="140"/>
    </row>
    <row r="175" spans="1:34" s="80" customFormat="1" ht="12" customHeight="1">
      <c r="A175" s="66">
        <v>1173</v>
      </c>
      <c r="B175" s="67" t="s">
        <v>2696</v>
      </c>
      <c r="C175" s="96" t="s">
        <v>2838</v>
      </c>
      <c r="D175" s="67" t="s">
        <v>2698</v>
      </c>
      <c r="E175" s="66">
        <v>1</v>
      </c>
      <c r="F175" s="110">
        <v>4</v>
      </c>
      <c r="G175" s="69">
        <v>173</v>
      </c>
      <c r="H175" s="111" t="s">
        <v>1163</v>
      </c>
      <c r="I175" s="112" t="s">
        <v>1163</v>
      </c>
      <c r="J175" s="113">
        <v>10500101344701</v>
      </c>
      <c r="K175" s="114" t="s">
        <v>148</v>
      </c>
      <c r="L175" s="114"/>
      <c r="M175" s="114">
        <v>60</v>
      </c>
      <c r="N175" s="115" t="s">
        <v>1164</v>
      </c>
      <c r="O175" s="111" t="s">
        <v>1165</v>
      </c>
      <c r="P175" s="115" t="s">
        <v>1166</v>
      </c>
      <c r="Q175" s="111" t="s">
        <v>1167</v>
      </c>
      <c r="R175" s="111" t="s">
        <v>1168</v>
      </c>
      <c r="S175" s="116" t="s">
        <v>1169</v>
      </c>
      <c r="T175" s="98">
        <v>200</v>
      </c>
      <c r="U175" s="99">
        <v>71</v>
      </c>
      <c r="V175" s="99">
        <v>0</v>
      </c>
      <c r="W175" s="75" t="s">
        <v>2698</v>
      </c>
      <c r="X175" s="75" t="s">
        <v>2674</v>
      </c>
      <c r="Y175" s="109">
        <v>271</v>
      </c>
      <c r="Z175" s="98">
        <v>0</v>
      </c>
      <c r="AA175" s="99">
        <v>0</v>
      </c>
      <c r="AB175" s="99">
        <v>0</v>
      </c>
      <c r="AC175" s="75"/>
      <c r="AD175" s="75"/>
      <c r="AE175" s="109">
        <v>0</v>
      </c>
      <c r="AF175" s="117">
        <v>271</v>
      </c>
      <c r="AG175" s="113"/>
      <c r="AH175" s="140"/>
    </row>
    <row r="176" spans="1:34" s="80" customFormat="1" ht="12" customHeight="1">
      <c r="A176" s="66">
        <v>1174</v>
      </c>
      <c r="B176" s="67" t="s">
        <v>2696</v>
      </c>
      <c r="C176" s="96" t="s">
        <v>2838</v>
      </c>
      <c r="D176" s="67" t="s">
        <v>2698</v>
      </c>
      <c r="E176" s="66">
        <v>1</v>
      </c>
      <c r="F176" s="110">
        <v>4</v>
      </c>
      <c r="G176" s="69">
        <v>174</v>
      </c>
      <c r="H176" s="111" t="s">
        <v>1170</v>
      </c>
      <c r="I176" s="112" t="s">
        <v>1170</v>
      </c>
      <c r="J176" s="113">
        <v>20500101026402</v>
      </c>
      <c r="K176" s="114" t="s">
        <v>148</v>
      </c>
      <c r="L176" s="114"/>
      <c r="M176" s="114">
        <v>60</v>
      </c>
      <c r="N176" s="115" t="s">
        <v>1164</v>
      </c>
      <c r="O176" s="111" t="s">
        <v>1171</v>
      </c>
      <c r="P176" s="115" t="s">
        <v>1172</v>
      </c>
      <c r="Q176" s="111" t="s">
        <v>1173</v>
      </c>
      <c r="R176" s="111" t="s">
        <v>1174</v>
      </c>
      <c r="S176" s="116" t="s">
        <v>1175</v>
      </c>
      <c r="T176" s="98">
        <v>171</v>
      </c>
      <c r="U176" s="99">
        <v>129</v>
      </c>
      <c r="V176" s="99">
        <v>0</v>
      </c>
      <c r="W176" s="75" t="s">
        <v>2698</v>
      </c>
      <c r="X176" s="75" t="s">
        <v>2674</v>
      </c>
      <c r="Y176" s="109">
        <v>300</v>
      </c>
      <c r="Z176" s="98">
        <v>0</v>
      </c>
      <c r="AA176" s="99">
        <v>0</v>
      </c>
      <c r="AB176" s="99">
        <v>0</v>
      </c>
      <c r="AC176" s="75"/>
      <c r="AD176" s="75"/>
      <c r="AE176" s="109">
        <v>0</v>
      </c>
      <c r="AF176" s="117">
        <v>300</v>
      </c>
      <c r="AG176" s="113" t="s">
        <v>199</v>
      </c>
      <c r="AH176" s="140"/>
    </row>
    <row r="177" spans="1:34" s="80" customFormat="1" ht="12" customHeight="1">
      <c r="A177" s="66">
        <v>1175</v>
      </c>
      <c r="B177" s="67" t="s">
        <v>2696</v>
      </c>
      <c r="C177" s="96" t="s">
        <v>2838</v>
      </c>
      <c r="D177" s="67" t="s">
        <v>2698</v>
      </c>
      <c r="E177" s="66">
        <v>1</v>
      </c>
      <c r="F177" s="110">
        <v>4</v>
      </c>
      <c r="G177" s="69">
        <v>175</v>
      </c>
      <c r="H177" s="111" t="s">
        <v>1176</v>
      </c>
      <c r="I177" s="112" t="s">
        <v>1176</v>
      </c>
      <c r="J177" s="113">
        <v>10500102657301</v>
      </c>
      <c r="K177" s="114" t="s">
        <v>148</v>
      </c>
      <c r="L177" s="114"/>
      <c r="M177" s="114">
        <v>60</v>
      </c>
      <c r="N177" s="115" t="s">
        <v>1177</v>
      </c>
      <c r="O177" s="111" t="s">
        <v>1178</v>
      </c>
      <c r="P177" s="115"/>
      <c r="Q177" s="111" t="s">
        <v>1179</v>
      </c>
      <c r="R177" s="111" t="s">
        <v>1180</v>
      </c>
      <c r="S177" s="116" t="s">
        <v>1181</v>
      </c>
      <c r="T177" s="98">
        <v>126</v>
      </c>
      <c r="U177" s="99">
        <v>204</v>
      </c>
      <c r="V177" s="99">
        <v>70</v>
      </c>
      <c r="W177" s="75" t="s">
        <v>2698</v>
      </c>
      <c r="X177" s="75" t="s">
        <v>2674</v>
      </c>
      <c r="Y177" s="109">
        <v>400</v>
      </c>
      <c r="Z177" s="98">
        <v>0</v>
      </c>
      <c r="AA177" s="99">
        <v>0</v>
      </c>
      <c r="AB177" s="99">
        <v>0</v>
      </c>
      <c r="AC177" s="75"/>
      <c r="AD177" s="75"/>
      <c r="AE177" s="109">
        <v>0</v>
      </c>
      <c r="AF177" s="117">
        <v>400</v>
      </c>
      <c r="AG177" s="113"/>
      <c r="AH177" s="140"/>
    </row>
    <row r="178" spans="1:34" s="80" customFormat="1" ht="12" customHeight="1">
      <c r="A178" s="66">
        <v>1176</v>
      </c>
      <c r="B178" s="67" t="s">
        <v>2696</v>
      </c>
      <c r="C178" s="96" t="s">
        <v>2838</v>
      </c>
      <c r="D178" s="67" t="s">
        <v>2699</v>
      </c>
      <c r="E178" s="66">
        <v>1</v>
      </c>
      <c r="F178" s="68">
        <v>6</v>
      </c>
      <c r="G178" s="69">
        <v>176</v>
      </c>
      <c r="H178" s="37" t="s">
        <v>1182</v>
      </c>
      <c r="I178" s="37" t="s">
        <v>1182</v>
      </c>
      <c r="J178" s="70">
        <v>10500101334001</v>
      </c>
      <c r="K178" s="38" t="s">
        <v>148</v>
      </c>
      <c r="L178" s="79"/>
      <c r="M178" s="38">
        <v>14</v>
      </c>
      <c r="N178" s="37" t="s">
        <v>1183</v>
      </c>
      <c r="O178" s="37" t="s">
        <v>1184</v>
      </c>
      <c r="P178" s="196" t="s">
        <v>1185</v>
      </c>
      <c r="Q178" s="37" t="s">
        <v>1186</v>
      </c>
      <c r="R178" s="196" t="s">
        <v>1187</v>
      </c>
      <c r="S178" s="197" t="s">
        <v>1188</v>
      </c>
      <c r="T178" s="73">
        <v>0</v>
      </c>
      <c r="U178" s="74">
        <v>526</v>
      </c>
      <c r="V178" s="74">
        <v>564</v>
      </c>
      <c r="W178" s="75" t="s">
        <v>2698</v>
      </c>
      <c r="X178" s="75" t="s">
        <v>2674</v>
      </c>
      <c r="Y178" s="76">
        <v>1090</v>
      </c>
      <c r="Z178" s="73">
        <v>0</v>
      </c>
      <c r="AA178" s="74">
        <v>490</v>
      </c>
      <c r="AB178" s="74">
        <v>400</v>
      </c>
      <c r="AC178" s="75" t="s">
        <v>2700</v>
      </c>
      <c r="AD178" s="75" t="s">
        <v>2674</v>
      </c>
      <c r="AE178" s="76">
        <v>890</v>
      </c>
      <c r="AF178" s="77">
        <v>1980</v>
      </c>
      <c r="AG178" s="78"/>
      <c r="AH178" s="79"/>
    </row>
    <row r="179" spans="1:34" s="80" customFormat="1" ht="12" customHeight="1">
      <c r="A179" s="66">
        <v>1177</v>
      </c>
      <c r="B179" s="67" t="s">
        <v>2696</v>
      </c>
      <c r="C179" s="96" t="s">
        <v>2838</v>
      </c>
      <c r="D179" s="67" t="s">
        <v>2698</v>
      </c>
      <c r="E179" s="66">
        <v>1</v>
      </c>
      <c r="F179" s="68">
        <v>6</v>
      </c>
      <c r="G179" s="69">
        <v>177</v>
      </c>
      <c r="H179" s="37" t="s">
        <v>1189</v>
      </c>
      <c r="I179" s="37" t="s">
        <v>1189</v>
      </c>
      <c r="J179" s="70">
        <v>10500101334002</v>
      </c>
      <c r="K179" s="38" t="s">
        <v>148</v>
      </c>
      <c r="L179" s="79"/>
      <c r="M179" s="38">
        <v>14</v>
      </c>
      <c r="N179" s="37" t="s">
        <v>1190</v>
      </c>
      <c r="O179" s="37" t="s">
        <v>1191</v>
      </c>
      <c r="P179" s="196" t="s">
        <v>1192</v>
      </c>
      <c r="Q179" s="37" t="s">
        <v>1193</v>
      </c>
      <c r="R179" s="196" t="s">
        <v>1194</v>
      </c>
      <c r="S179" s="197" t="s">
        <v>1195</v>
      </c>
      <c r="T179" s="73">
        <v>157</v>
      </c>
      <c r="U179" s="74">
        <v>59</v>
      </c>
      <c r="V179" s="74">
        <v>0</v>
      </c>
      <c r="W179" s="75" t="s">
        <v>2698</v>
      </c>
      <c r="X179" s="75" t="s">
        <v>2674</v>
      </c>
      <c r="Y179" s="76">
        <v>216</v>
      </c>
      <c r="Z179" s="73">
        <v>0</v>
      </c>
      <c r="AA179" s="74">
        <v>0</v>
      </c>
      <c r="AB179" s="74">
        <v>0</v>
      </c>
      <c r="AC179" s="75"/>
      <c r="AD179" s="75"/>
      <c r="AE179" s="76">
        <v>0</v>
      </c>
      <c r="AF179" s="77">
        <v>216</v>
      </c>
      <c r="AG179" s="69" t="s">
        <v>199</v>
      </c>
      <c r="AH179" s="150"/>
    </row>
    <row r="180" spans="1:34" s="80" customFormat="1" ht="12" customHeight="1">
      <c r="A180" s="66">
        <v>1178</v>
      </c>
      <c r="B180" s="67" t="s">
        <v>2696</v>
      </c>
      <c r="C180" s="96" t="s">
        <v>2838</v>
      </c>
      <c r="D180" s="67" t="s">
        <v>2699</v>
      </c>
      <c r="E180" s="66">
        <v>1</v>
      </c>
      <c r="F180" s="68">
        <v>6</v>
      </c>
      <c r="G180" s="69">
        <v>178</v>
      </c>
      <c r="H180" s="37" t="s">
        <v>1196</v>
      </c>
      <c r="I180" s="37" t="s">
        <v>1196</v>
      </c>
      <c r="J180" s="70">
        <v>10500100171601</v>
      </c>
      <c r="K180" s="38" t="s">
        <v>148</v>
      </c>
      <c r="L180" s="79"/>
      <c r="M180" s="38">
        <v>14</v>
      </c>
      <c r="N180" s="37" t="s">
        <v>1197</v>
      </c>
      <c r="O180" s="37" t="s">
        <v>1198</v>
      </c>
      <c r="P180" s="196" t="s">
        <v>1199</v>
      </c>
      <c r="Q180" s="37" t="s">
        <v>1200</v>
      </c>
      <c r="R180" s="196" t="s">
        <v>1201</v>
      </c>
      <c r="S180" s="198" t="s">
        <v>1202</v>
      </c>
      <c r="T180" s="73">
        <v>144</v>
      </c>
      <c r="U180" s="74">
        <v>79</v>
      </c>
      <c r="V180" s="74">
        <v>31</v>
      </c>
      <c r="W180" s="75" t="s">
        <v>2698</v>
      </c>
      <c r="X180" s="75" t="s">
        <v>2674</v>
      </c>
      <c r="Y180" s="76">
        <v>254</v>
      </c>
      <c r="Z180" s="73">
        <v>0</v>
      </c>
      <c r="AA180" s="74">
        <v>62</v>
      </c>
      <c r="AB180" s="74">
        <v>22</v>
      </c>
      <c r="AC180" s="75" t="s">
        <v>2700</v>
      </c>
      <c r="AD180" s="75" t="s">
        <v>2674</v>
      </c>
      <c r="AE180" s="76">
        <v>84</v>
      </c>
      <c r="AF180" s="77">
        <v>338</v>
      </c>
      <c r="AG180" s="69" t="s">
        <v>199</v>
      </c>
      <c r="AH180" s="150"/>
    </row>
    <row r="181" spans="1:34" s="80" customFormat="1" ht="12" customHeight="1">
      <c r="A181" s="66">
        <v>1179</v>
      </c>
      <c r="B181" s="67" t="s">
        <v>2696</v>
      </c>
      <c r="C181" s="96" t="s">
        <v>2838</v>
      </c>
      <c r="D181" s="67" t="s">
        <v>2699</v>
      </c>
      <c r="E181" s="66">
        <v>1</v>
      </c>
      <c r="F181" s="68">
        <v>6</v>
      </c>
      <c r="G181" s="69">
        <v>179</v>
      </c>
      <c r="H181" s="37" t="s">
        <v>1203</v>
      </c>
      <c r="I181" s="37" t="s">
        <v>1203</v>
      </c>
      <c r="J181" s="70">
        <v>10500100048501</v>
      </c>
      <c r="K181" s="38" t="s">
        <v>148</v>
      </c>
      <c r="L181" s="79"/>
      <c r="M181" s="38">
        <v>15</v>
      </c>
      <c r="N181" s="37" t="s">
        <v>1204</v>
      </c>
      <c r="O181" s="37" t="s">
        <v>1205</v>
      </c>
      <c r="P181" s="37" t="s">
        <v>1206</v>
      </c>
      <c r="Q181" s="37" t="s">
        <v>1207</v>
      </c>
      <c r="R181" s="37" t="s">
        <v>1208</v>
      </c>
      <c r="S181" s="72" t="s">
        <v>1209</v>
      </c>
      <c r="T181" s="73">
        <v>73</v>
      </c>
      <c r="U181" s="74">
        <v>90</v>
      </c>
      <c r="V181" s="74">
        <v>67</v>
      </c>
      <c r="W181" s="75" t="s">
        <v>2698</v>
      </c>
      <c r="X181" s="75" t="s">
        <v>2674</v>
      </c>
      <c r="Y181" s="76">
        <v>230</v>
      </c>
      <c r="Z181" s="73">
        <v>193</v>
      </c>
      <c r="AA181" s="74">
        <v>282</v>
      </c>
      <c r="AB181" s="74">
        <v>156</v>
      </c>
      <c r="AC181" s="75" t="s">
        <v>2700</v>
      </c>
      <c r="AD181" s="75" t="s">
        <v>2674</v>
      </c>
      <c r="AE181" s="76">
        <v>631</v>
      </c>
      <c r="AF181" s="77">
        <v>861</v>
      </c>
      <c r="AG181" s="199"/>
      <c r="AH181" s="150"/>
    </row>
    <row r="182" spans="1:34" s="80" customFormat="1" ht="12" customHeight="1">
      <c r="A182" s="66">
        <v>1180</v>
      </c>
      <c r="B182" s="67" t="s">
        <v>2696</v>
      </c>
      <c r="C182" s="96" t="s">
        <v>2838</v>
      </c>
      <c r="D182" s="67" t="s">
        <v>2699</v>
      </c>
      <c r="E182" s="66">
        <v>1</v>
      </c>
      <c r="F182" s="68">
        <v>6</v>
      </c>
      <c r="G182" s="69">
        <v>180</v>
      </c>
      <c r="H182" s="37" t="s">
        <v>1210</v>
      </c>
      <c r="I182" s="37" t="s">
        <v>1210</v>
      </c>
      <c r="J182" s="70">
        <v>10500100039603</v>
      </c>
      <c r="K182" s="38" t="s">
        <v>148</v>
      </c>
      <c r="L182" s="79"/>
      <c r="M182" s="38">
        <v>15</v>
      </c>
      <c r="N182" s="37" t="s">
        <v>1211</v>
      </c>
      <c r="O182" s="37" t="s">
        <v>1212</v>
      </c>
      <c r="P182" s="37" t="s">
        <v>1213</v>
      </c>
      <c r="Q182" s="37" t="s">
        <v>1214</v>
      </c>
      <c r="R182" s="37" t="s">
        <v>1214</v>
      </c>
      <c r="S182" s="72" t="s">
        <v>1215</v>
      </c>
      <c r="T182" s="73">
        <v>132</v>
      </c>
      <c r="U182" s="74">
        <v>58</v>
      </c>
      <c r="V182" s="74">
        <v>0</v>
      </c>
      <c r="W182" s="75" t="s">
        <v>2698</v>
      </c>
      <c r="X182" s="75" t="s">
        <v>2674</v>
      </c>
      <c r="Y182" s="76">
        <v>190</v>
      </c>
      <c r="Z182" s="73">
        <v>28</v>
      </c>
      <c r="AA182" s="74">
        <v>32</v>
      </c>
      <c r="AB182" s="74">
        <v>0</v>
      </c>
      <c r="AC182" s="75" t="s">
        <v>2700</v>
      </c>
      <c r="AD182" s="75" t="s">
        <v>2674</v>
      </c>
      <c r="AE182" s="76">
        <v>60</v>
      </c>
      <c r="AF182" s="77">
        <v>250</v>
      </c>
      <c r="AG182" s="69" t="s">
        <v>199</v>
      </c>
      <c r="AH182" s="150"/>
    </row>
    <row r="183" spans="1:34" s="80" customFormat="1" ht="12" customHeight="1">
      <c r="A183" s="66">
        <v>1181</v>
      </c>
      <c r="B183" s="67" t="s">
        <v>2696</v>
      </c>
      <c r="C183" s="96" t="s">
        <v>2838</v>
      </c>
      <c r="D183" s="67" t="s">
        <v>2699</v>
      </c>
      <c r="E183" s="66">
        <v>1</v>
      </c>
      <c r="F183" s="68">
        <v>6</v>
      </c>
      <c r="G183" s="69">
        <v>181</v>
      </c>
      <c r="H183" s="37" t="s">
        <v>1216</v>
      </c>
      <c r="I183" s="37" t="s">
        <v>1216</v>
      </c>
      <c r="J183" s="70">
        <v>10500100249602</v>
      </c>
      <c r="K183" s="38" t="s">
        <v>148</v>
      </c>
      <c r="L183" s="79"/>
      <c r="M183" s="38">
        <v>15</v>
      </c>
      <c r="N183" s="37" t="s">
        <v>1217</v>
      </c>
      <c r="O183" s="37" t="s">
        <v>1218</v>
      </c>
      <c r="P183" s="37" t="s">
        <v>1219</v>
      </c>
      <c r="Q183" s="37" t="s">
        <v>1220</v>
      </c>
      <c r="R183" s="37" t="s">
        <v>1221</v>
      </c>
      <c r="S183" s="72" t="s">
        <v>1222</v>
      </c>
      <c r="T183" s="73">
        <v>85</v>
      </c>
      <c r="U183" s="74">
        <v>55</v>
      </c>
      <c r="V183" s="74">
        <v>0</v>
      </c>
      <c r="W183" s="75" t="s">
        <v>2698</v>
      </c>
      <c r="X183" s="75" t="s">
        <v>2674</v>
      </c>
      <c r="Y183" s="76">
        <v>140</v>
      </c>
      <c r="Z183" s="73">
        <v>68</v>
      </c>
      <c r="AA183" s="74">
        <v>32</v>
      </c>
      <c r="AB183" s="74">
        <v>0</v>
      </c>
      <c r="AC183" s="75" t="s">
        <v>2700</v>
      </c>
      <c r="AD183" s="75" t="s">
        <v>2674</v>
      </c>
      <c r="AE183" s="76">
        <v>100</v>
      </c>
      <c r="AF183" s="77">
        <v>240</v>
      </c>
      <c r="AG183" s="199"/>
      <c r="AH183" s="150"/>
    </row>
    <row r="184" spans="1:34" s="80" customFormat="1" ht="12" customHeight="1">
      <c r="A184" s="66">
        <v>1182</v>
      </c>
      <c r="B184" s="67" t="s">
        <v>2696</v>
      </c>
      <c r="C184" s="96" t="s">
        <v>2838</v>
      </c>
      <c r="D184" s="67" t="s">
        <v>2699</v>
      </c>
      <c r="E184" s="66">
        <v>1</v>
      </c>
      <c r="F184" s="68">
        <v>6</v>
      </c>
      <c r="G184" s="69">
        <v>182</v>
      </c>
      <c r="H184" s="37" t="s">
        <v>1223</v>
      </c>
      <c r="I184" s="37" t="s">
        <v>1223</v>
      </c>
      <c r="J184" s="70">
        <v>10500100742101</v>
      </c>
      <c r="K184" s="38" t="s">
        <v>148</v>
      </c>
      <c r="L184" s="79"/>
      <c r="M184" s="38">
        <v>15</v>
      </c>
      <c r="N184" s="37" t="s">
        <v>1204</v>
      </c>
      <c r="O184" s="37" t="s">
        <v>1224</v>
      </c>
      <c r="P184" s="37" t="s">
        <v>1225</v>
      </c>
      <c r="Q184" s="37" t="s">
        <v>1226</v>
      </c>
      <c r="R184" s="37" t="s">
        <v>1227</v>
      </c>
      <c r="S184" s="72" t="s">
        <v>1228</v>
      </c>
      <c r="T184" s="73">
        <v>35</v>
      </c>
      <c r="U184" s="74">
        <v>75</v>
      </c>
      <c r="V184" s="74">
        <v>40</v>
      </c>
      <c r="W184" s="75" t="s">
        <v>2698</v>
      </c>
      <c r="X184" s="75" t="s">
        <v>2674</v>
      </c>
      <c r="Y184" s="76">
        <v>150</v>
      </c>
      <c r="Z184" s="73">
        <v>107</v>
      </c>
      <c r="AA184" s="74">
        <v>79</v>
      </c>
      <c r="AB184" s="74">
        <v>30</v>
      </c>
      <c r="AC184" s="75" t="s">
        <v>2700</v>
      </c>
      <c r="AD184" s="75" t="s">
        <v>2674</v>
      </c>
      <c r="AE184" s="76">
        <v>216</v>
      </c>
      <c r="AF184" s="77">
        <v>366</v>
      </c>
      <c r="AG184" s="69" t="s">
        <v>199</v>
      </c>
      <c r="AH184" s="150"/>
    </row>
    <row r="185" spans="1:34" s="80" customFormat="1" ht="12" customHeight="1">
      <c r="A185" s="66">
        <v>1183</v>
      </c>
      <c r="B185" s="67" t="s">
        <v>2696</v>
      </c>
      <c r="C185" s="96" t="s">
        <v>2838</v>
      </c>
      <c r="D185" s="67" t="s">
        <v>2699</v>
      </c>
      <c r="E185" s="66">
        <v>1</v>
      </c>
      <c r="F185" s="68">
        <v>6</v>
      </c>
      <c r="G185" s="69">
        <v>183</v>
      </c>
      <c r="H185" s="37" t="s">
        <v>1229</v>
      </c>
      <c r="I185" s="37" t="s">
        <v>1229</v>
      </c>
      <c r="J185" s="70">
        <v>10500100200301</v>
      </c>
      <c r="K185" s="38" t="s">
        <v>148</v>
      </c>
      <c r="L185" s="79"/>
      <c r="M185" s="38">
        <v>16</v>
      </c>
      <c r="N185" s="37" t="s">
        <v>1230</v>
      </c>
      <c r="O185" s="37" t="s">
        <v>1231</v>
      </c>
      <c r="P185" s="196" t="s">
        <v>1232</v>
      </c>
      <c r="Q185" s="37" t="s">
        <v>1233</v>
      </c>
      <c r="R185" s="196" t="s">
        <v>1234</v>
      </c>
      <c r="S185" s="72" t="s">
        <v>1235</v>
      </c>
      <c r="T185" s="73">
        <v>177</v>
      </c>
      <c r="U185" s="74">
        <v>128</v>
      </c>
      <c r="V185" s="74">
        <v>55</v>
      </c>
      <c r="W185" s="75" t="s">
        <v>2698</v>
      </c>
      <c r="X185" s="75" t="s">
        <v>2674</v>
      </c>
      <c r="Y185" s="76">
        <v>360</v>
      </c>
      <c r="Z185" s="73">
        <v>173</v>
      </c>
      <c r="AA185" s="74">
        <v>197</v>
      </c>
      <c r="AB185" s="74">
        <v>80</v>
      </c>
      <c r="AC185" s="75" t="s">
        <v>2700</v>
      </c>
      <c r="AD185" s="75" t="s">
        <v>2674</v>
      </c>
      <c r="AE185" s="76">
        <v>450</v>
      </c>
      <c r="AF185" s="77">
        <v>810</v>
      </c>
      <c r="AG185" s="199"/>
      <c r="AH185" s="150"/>
    </row>
    <row r="186" spans="1:34" s="80" customFormat="1" ht="12" customHeight="1">
      <c r="A186" s="66">
        <v>1184</v>
      </c>
      <c r="B186" s="67" t="s">
        <v>2696</v>
      </c>
      <c r="C186" s="96" t="s">
        <v>2838</v>
      </c>
      <c r="D186" s="67" t="s">
        <v>2699</v>
      </c>
      <c r="E186" s="66">
        <v>1</v>
      </c>
      <c r="F186" s="68">
        <v>6</v>
      </c>
      <c r="G186" s="69">
        <v>184</v>
      </c>
      <c r="H186" s="37" t="s">
        <v>1236</v>
      </c>
      <c r="I186" s="37" t="s">
        <v>1236</v>
      </c>
      <c r="J186" s="70">
        <v>10500100618101</v>
      </c>
      <c r="K186" s="38" t="s">
        <v>148</v>
      </c>
      <c r="L186" s="79"/>
      <c r="M186" s="38">
        <v>16</v>
      </c>
      <c r="N186" s="37" t="s">
        <v>1237</v>
      </c>
      <c r="O186" s="37" t="s">
        <v>1238</v>
      </c>
      <c r="P186" s="196" t="s">
        <v>1239</v>
      </c>
      <c r="Q186" s="196" t="s">
        <v>1240</v>
      </c>
      <c r="R186" s="196" t="s">
        <v>1241</v>
      </c>
      <c r="S186" s="72" t="s">
        <v>1242</v>
      </c>
      <c r="T186" s="73">
        <v>266</v>
      </c>
      <c r="U186" s="74">
        <v>132</v>
      </c>
      <c r="V186" s="74">
        <v>62</v>
      </c>
      <c r="W186" s="75" t="s">
        <v>2698</v>
      </c>
      <c r="X186" s="75" t="s">
        <v>2674</v>
      </c>
      <c r="Y186" s="76">
        <v>460</v>
      </c>
      <c r="Z186" s="73">
        <v>58</v>
      </c>
      <c r="AA186" s="74">
        <v>344</v>
      </c>
      <c r="AB186" s="74">
        <v>0</v>
      </c>
      <c r="AC186" s="75" t="s">
        <v>2700</v>
      </c>
      <c r="AD186" s="75" t="s">
        <v>2674</v>
      </c>
      <c r="AE186" s="76">
        <v>402</v>
      </c>
      <c r="AF186" s="77">
        <v>862</v>
      </c>
      <c r="AG186" s="199"/>
      <c r="AH186" s="150"/>
    </row>
    <row r="187" spans="1:34" s="80" customFormat="1" ht="12" customHeight="1">
      <c r="A187" s="66">
        <v>1185</v>
      </c>
      <c r="B187" s="67" t="s">
        <v>2696</v>
      </c>
      <c r="C187" s="96" t="s">
        <v>2838</v>
      </c>
      <c r="D187" s="67" t="s">
        <v>2699</v>
      </c>
      <c r="E187" s="66">
        <v>1</v>
      </c>
      <c r="F187" s="68">
        <v>6</v>
      </c>
      <c r="G187" s="69">
        <v>185</v>
      </c>
      <c r="H187" s="37" t="s">
        <v>1243</v>
      </c>
      <c r="I187" s="37" t="s">
        <v>1243</v>
      </c>
      <c r="J187" s="70">
        <v>10500100102301</v>
      </c>
      <c r="K187" s="38" t="s">
        <v>148</v>
      </c>
      <c r="L187" s="79"/>
      <c r="M187" s="38">
        <v>16</v>
      </c>
      <c r="N187" s="37" t="s">
        <v>1244</v>
      </c>
      <c r="O187" s="37" t="s">
        <v>1245</v>
      </c>
      <c r="P187" s="37">
        <v>2384910</v>
      </c>
      <c r="Q187" s="37" t="s">
        <v>1246</v>
      </c>
      <c r="R187" s="37" t="s">
        <v>1247</v>
      </c>
      <c r="S187" s="72" t="s">
        <v>1248</v>
      </c>
      <c r="T187" s="73">
        <v>230</v>
      </c>
      <c r="U187" s="74">
        <v>90</v>
      </c>
      <c r="V187" s="74">
        <v>30</v>
      </c>
      <c r="W187" s="75" t="s">
        <v>2698</v>
      </c>
      <c r="X187" s="75" t="s">
        <v>2674</v>
      </c>
      <c r="Y187" s="76">
        <v>350</v>
      </c>
      <c r="Z187" s="73">
        <v>41</v>
      </c>
      <c r="AA187" s="74">
        <v>270</v>
      </c>
      <c r="AB187" s="74">
        <v>165</v>
      </c>
      <c r="AC187" s="75" t="s">
        <v>2700</v>
      </c>
      <c r="AD187" s="75" t="s">
        <v>2674</v>
      </c>
      <c r="AE187" s="76">
        <v>476</v>
      </c>
      <c r="AF187" s="77">
        <v>826</v>
      </c>
      <c r="AG187" s="199"/>
      <c r="AH187" s="150"/>
    </row>
    <row r="188" spans="1:34" s="80" customFormat="1" ht="12" customHeight="1">
      <c r="A188" s="66">
        <v>1186</v>
      </c>
      <c r="B188" s="67" t="s">
        <v>2696</v>
      </c>
      <c r="C188" s="96" t="s">
        <v>2838</v>
      </c>
      <c r="D188" s="67" t="s">
        <v>2699</v>
      </c>
      <c r="E188" s="66">
        <v>1</v>
      </c>
      <c r="F188" s="68">
        <v>6</v>
      </c>
      <c r="G188" s="69">
        <v>186</v>
      </c>
      <c r="H188" s="37" t="s">
        <v>1249</v>
      </c>
      <c r="I188" s="37" t="s">
        <v>1249</v>
      </c>
      <c r="J188" s="70">
        <v>10500100163504</v>
      </c>
      <c r="K188" s="38" t="s">
        <v>148</v>
      </c>
      <c r="L188" s="38" t="s">
        <v>120</v>
      </c>
      <c r="M188" s="38">
        <v>16</v>
      </c>
      <c r="N188" s="37" t="s">
        <v>1250</v>
      </c>
      <c r="O188" s="37" t="s">
        <v>1251</v>
      </c>
      <c r="P188" s="37">
        <v>2560941</v>
      </c>
      <c r="Q188" s="37" t="s">
        <v>1252</v>
      </c>
      <c r="R188" s="37" t="s">
        <v>1253</v>
      </c>
      <c r="S188" s="72" t="s">
        <v>1254</v>
      </c>
      <c r="T188" s="73">
        <v>113</v>
      </c>
      <c r="U188" s="74">
        <v>127</v>
      </c>
      <c r="V188" s="74">
        <v>0</v>
      </c>
      <c r="W188" s="75" t="s">
        <v>2698</v>
      </c>
      <c r="X188" s="75" t="s">
        <v>2674</v>
      </c>
      <c r="Y188" s="76">
        <v>240</v>
      </c>
      <c r="Z188" s="73">
        <v>90</v>
      </c>
      <c r="AA188" s="74">
        <v>93</v>
      </c>
      <c r="AB188" s="74">
        <v>0</v>
      </c>
      <c r="AC188" s="75" t="s">
        <v>2700</v>
      </c>
      <c r="AD188" s="75" t="s">
        <v>2674</v>
      </c>
      <c r="AE188" s="76">
        <v>183</v>
      </c>
      <c r="AF188" s="77">
        <v>423</v>
      </c>
      <c r="AG188" s="69" t="s">
        <v>199</v>
      </c>
      <c r="AH188" s="150"/>
    </row>
    <row r="189" spans="1:34" s="80" customFormat="1" ht="12" customHeight="1">
      <c r="A189" s="66">
        <v>1187</v>
      </c>
      <c r="B189" s="67" t="s">
        <v>2696</v>
      </c>
      <c r="C189" s="96" t="s">
        <v>2838</v>
      </c>
      <c r="D189" s="67" t="s">
        <v>2699</v>
      </c>
      <c r="E189" s="66">
        <v>1</v>
      </c>
      <c r="F189" s="68">
        <v>6</v>
      </c>
      <c r="G189" s="69">
        <v>187</v>
      </c>
      <c r="H189" s="37" t="s">
        <v>1255</v>
      </c>
      <c r="I189" s="37" t="s">
        <v>1255</v>
      </c>
      <c r="J189" s="70">
        <v>10500101992502</v>
      </c>
      <c r="K189" s="38" t="s">
        <v>148</v>
      </c>
      <c r="L189" s="79"/>
      <c r="M189" s="38">
        <v>16</v>
      </c>
      <c r="N189" s="37" t="s">
        <v>1244</v>
      </c>
      <c r="O189" s="37" t="s">
        <v>1256</v>
      </c>
      <c r="P189" s="37" t="s">
        <v>1257</v>
      </c>
      <c r="Q189" s="37" t="s">
        <v>1258</v>
      </c>
      <c r="R189" s="37" t="s">
        <v>1259</v>
      </c>
      <c r="S189" s="72" t="s">
        <v>1260</v>
      </c>
      <c r="T189" s="73">
        <v>207</v>
      </c>
      <c r="U189" s="74">
        <v>0</v>
      </c>
      <c r="V189" s="74">
        <v>0</v>
      </c>
      <c r="W189" s="75" t="s">
        <v>2698</v>
      </c>
      <c r="X189" s="75" t="s">
        <v>2674</v>
      </c>
      <c r="Y189" s="76">
        <v>207</v>
      </c>
      <c r="Z189" s="73">
        <v>105</v>
      </c>
      <c r="AA189" s="74">
        <v>0</v>
      </c>
      <c r="AB189" s="74">
        <v>0</v>
      </c>
      <c r="AC189" s="75" t="s">
        <v>2700</v>
      </c>
      <c r="AD189" s="75" t="s">
        <v>2674</v>
      </c>
      <c r="AE189" s="76">
        <v>105</v>
      </c>
      <c r="AF189" s="77">
        <v>312</v>
      </c>
      <c r="AG189" s="199"/>
      <c r="AH189" s="150"/>
    </row>
    <row r="190" spans="1:34" s="80" customFormat="1" ht="12" customHeight="1">
      <c r="A190" s="66">
        <v>1188</v>
      </c>
      <c r="B190" s="67" t="s">
        <v>2696</v>
      </c>
      <c r="C190" s="96" t="s">
        <v>2838</v>
      </c>
      <c r="D190" s="67" t="s">
        <v>2699</v>
      </c>
      <c r="E190" s="66">
        <v>1</v>
      </c>
      <c r="F190" s="68">
        <v>6</v>
      </c>
      <c r="G190" s="69">
        <v>188</v>
      </c>
      <c r="H190" s="37" t="s">
        <v>1261</v>
      </c>
      <c r="I190" s="37" t="s">
        <v>1261</v>
      </c>
      <c r="J190" s="70">
        <v>10500100086801</v>
      </c>
      <c r="K190" s="38" t="s">
        <v>148</v>
      </c>
      <c r="L190" s="79"/>
      <c r="M190" s="38">
        <v>16</v>
      </c>
      <c r="N190" s="37" t="s">
        <v>1262</v>
      </c>
      <c r="O190" s="37" t="s">
        <v>1263</v>
      </c>
      <c r="P190" s="196" t="s">
        <v>1264</v>
      </c>
      <c r="Q190" s="37" t="s">
        <v>1265</v>
      </c>
      <c r="R190" s="196" t="s">
        <v>1266</v>
      </c>
      <c r="S190" s="198" t="s">
        <v>1267</v>
      </c>
      <c r="T190" s="73">
        <v>148</v>
      </c>
      <c r="U190" s="74">
        <v>124</v>
      </c>
      <c r="V190" s="74">
        <v>8</v>
      </c>
      <c r="W190" s="75" t="s">
        <v>2698</v>
      </c>
      <c r="X190" s="75" t="s">
        <v>2674</v>
      </c>
      <c r="Y190" s="76">
        <v>280</v>
      </c>
      <c r="Z190" s="73">
        <v>31</v>
      </c>
      <c r="AA190" s="74">
        <v>147</v>
      </c>
      <c r="AB190" s="74">
        <v>42</v>
      </c>
      <c r="AC190" s="75" t="s">
        <v>2700</v>
      </c>
      <c r="AD190" s="75" t="s">
        <v>2674</v>
      </c>
      <c r="AE190" s="76">
        <v>220</v>
      </c>
      <c r="AF190" s="77">
        <v>500</v>
      </c>
      <c r="AG190" s="78"/>
      <c r="AH190" s="79"/>
    </row>
    <row r="191" spans="1:34" s="80" customFormat="1" ht="12" customHeight="1">
      <c r="A191" s="66">
        <v>1189</v>
      </c>
      <c r="B191" s="67" t="s">
        <v>2696</v>
      </c>
      <c r="C191" s="96" t="s">
        <v>2838</v>
      </c>
      <c r="D191" s="67" t="s">
        <v>2699</v>
      </c>
      <c r="E191" s="66">
        <v>1</v>
      </c>
      <c r="F191" s="68">
        <v>6</v>
      </c>
      <c r="G191" s="69">
        <v>189</v>
      </c>
      <c r="H191" s="37" t="s">
        <v>1268</v>
      </c>
      <c r="I191" s="37" t="s">
        <v>1268</v>
      </c>
      <c r="J191" s="70">
        <v>10500100049301</v>
      </c>
      <c r="K191" s="38" t="s">
        <v>148</v>
      </c>
      <c r="L191" s="79"/>
      <c r="M191" s="38">
        <v>16</v>
      </c>
      <c r="N191" s="37" t="s">
        <v>1269</v>
      </c>
      <c r="O191" s="37" t="s">
        <v>1270</v>
      </c>
      <c r="P191" s="196" t="s">
        <v>1271</v>
      </c>
      <c r="Q191" s="37" t="s">
        <v>1272</v>
      </c>
      <c r="R191" s="196" t="s">
        <v>1273</v>
      </c>
      <c r="S191" s="198" t="s">
        <v>1274</v>
      </c>
      <c r="T191" s="73">
        <v>166</v>
      </c>
      <c r="U191" s="74">
        <v>60</v>
      </c>
      <c r="V191" s="74">
        <v>114</v>
      </c>
      <c r="W191" s="75" t="s">
        <v>2698</v>
      </c>
      <c r="X191" s="75" t="s">
        <v>2674</v>
      </c>
      <c r="Y191" s="76">
        <v>340</v>
      </c>
      <c r="Z191" s="73">
        <v>84</v>
      </c>
      <c r="AA191" s="74">
        <v>452</v>
      </c>
      <c r="AB191" s="74">
        <v>106</v>
      </c>
      <c r="AC191" s="75" t="s">
        <v>2700</v>
      </c>
      <c r="AD191" s="75" t="s">
        <v>2674</v>
      </c>
      <c r="AE191" s="76">
        <v>642</v>
      </c>
      <c r="AF191" s="77">
        <v>982</v>
      </c>
      <c r="AG191" s="38"/>
      <c r="AH191" s="79"/>
    </row>
    <row r="192" spans="1:34" s="80" customFormat="1" ht="12" customHeight="1">
      <c r="A192" s="66">
        <v>1190</v>
      </c>
      <c r="B192" s="67" t="s">
        <v>2696</v>
      </c>
      <c r="C192" s="96" t="s">
        <v>2838</v>
      </c>
      <c r="D192" s="67" t="s">
        <v>2699</v>
      </c>
      <c r="E192" s="66">
        <v>1</v>
      </c>
      <c r="F192" s="68">
        <v>6</v>
      </c>
      <c r="G192" s="69">
        <v>190</v>
      </c>
      <c r="H192" s="37" t="s">
        <v>1275</v>
      </c>
      <c r="I192" s="37" t="s">
        <v>1275</v>
      </c>
      <c r="J192" s="70">
        <v>10500100848601</v>
      </c>
      <c r="K192" s="38" t="s">
        <v>148</v>
      </c>
      <c r="L192" s="79"/>
      <c r="M192" s="38">
        <v>16</v>
      </c>
      <c r="N192" s="37" t="s">
        <v>1250</v>
      </c>
      <c r="O192" s="37" t="s">
        <v>1276</v>
      </c>
      <c r="P192" s="196" t="s">
        <v>1277</v>
      </c>
      <c r="Q192" s="37" t="s">
        <v>1278</v>
      </c>
      <c r="R192" s="37" t="s">
        <v>1279</v>
      </c>
      <c r="S192" s="72" t="s">
        <v>1280</v>
      </c>
      <c r="T192" s="73">
        <v>154</v>
      </c>
      <c r="U192" s="74">
        <v>100</v>
      </c>
      <c r="V192" s="74">
        <v>20</v>
      </c>
      <c r="W192" s="75" t="s">
        <v>2698</v>
      </c>
      <c r="X192" s="75" t="s">
        <v>2674</v>
      </c>
      <c r="Y192" s="76">
        <v>274</v>
      </c>
      <c r="Z192" s="73">
        <v>57</v>
      </c>
      <c r="AA192" s="74">
        <v>220</v>
      </c>
      <c r="AB192" s="74">
        <v>90</v>
      </c>
      <c r="AC192" s="75" t="s">
        <v>2700</v>
      </c>
      <c r="AD192" s="75" t="s">
        <v>2674</v>
      </c>
      <c r="AE192" s="76">
        <v>367</v>
      </c>
      <c r="AF192" s="77">
        <v>641</v>
      </c>
      <c r="AG192" s="78"/>
      <c r="AH192" s="79"/>
    </row>
    <row r="193" spans="1:34" s="80" customFormat="1" ht="12" customHeight="1">
      <c r="A193" s="200">
        <v>1191</v>
      </c>
      <c r="B193" s="201" t="s">
        <v>2696</v>
      </c>
      <c r="C193" s="201" t="s">
        <v>2697</v>
      </c>
      <c r="D193" s="201" t="s">
        <v>2698</v>
      </c>
      <c r="E193" s="200">
        <v>1</v>
      </c>
      <c r="F193" s="202">
        <v>1</v>
      </c>
      <c r="G193" s="69">
        <v>191</v>
      </c>
      <c r="H193" s="203" t="s">
        <v>2213</v>
      </c>
      <c r="I193" s="203" t="s">
        <v>2213</v>
      </c>
      <c r="J193" s="204">
        <v>10500100098102</v>
      </c>
      <c r="K193" s="205" t="s">
        <v>148</v>
      </c>
      <c r="L193" s="206"/>
      <c r="M193" s="205">
        <v>4</v>
      </c>
      <c r="N193" s="207" t="s">
        <v>436</v>
      </c>
      <c r="O193" s="207"/>
      <c r="P193" s="207" t="s">
        <v>2214</v>
      </c>
      <c r="Q193" s="207" t="s">
        <v>432</v>
      </c>
      <c r="R193" s="207" t="s">
        <v>438</v>
      </c>
      <c r="S193" s="208" t="s">
        <v>2215</v>
      </c>
      <c r="T193" s="209">
        <v>0</v>
      </c>
      <c r="U193" s="210">
        <v>196</v>
      </c>
      <c r="V193" s="210">
        <v>194</v>
      </c>
      <c r="W193" s="211" t="s">
        <v>2698</v>
      </c>
      <c r="X193" s="212" t="s">
        <v>2697</v>
      </c>
      <c r="Y193" s="213">
        <v>390</v>
      </c>
      <c r="Z193" s="209"/>
      <c r="AA193" s="210"/>
      <c r="AB193" s="210"/>
      <c r="AC193" s="214"/>
      <c r="AD193" s="211"/>
      <c r="AE193" s="213">
        <v>0</v>
      </c>
      <c r="AF193" s="215">
        <v>390</v>
      </c>
      <c r="AG193" s="206"/>
      <c r="AH193" s="216"/>
    </row>
    <row r="194" spans="1:34" s="80" customFormat="1" ht="12" customHeight="1">
      <c r="A194" s="217">
        <v>1192</v>
      </c>
      <c r="B194" s="218" t="s">
        <v>2696</v>
      </c>
      <c r="C194" s="219" t="s">
        <v>2697</v>
      </c>
      <c r="D194" s="220" t="s">
        <v>2698</v>
      </c>
      <c r="E194" s="217">
        <v>1</v>
      </c>
      <c r="F194" s="221">
        <v>3</v>
      </c>
      <c r="G194" s="69">
        <v>192</v>
      </c>
      <c r="H194" s="222" t="s">
        <v>842</v>
      </c>
      <c r="I194" s="223" t="s">
        <v>842</v>
      </c>
      <c r="J194" s="224">
        <v>10500102658102</v>
      </c>
      <c r="K194" s="225" t="s">
        <v>148</v>
      </c>
      <c r="L194" s="225"/>
      <c r="M194" s="225">
        <v>8</v>
      </c>
      <c r="N194" s="223" t="s">
        <v>843</v>
      </c>
      <c r="O194" s="222" t="s">
        <v>844</v>
      </c>
      <c r="P194" s="223" t="s">
        <v>845</v>
      </c>
      <c r="Q194" s="222" t="s">
        <v>846</v>
      </c>
      <c r="R194" s="222" t="s">
        <v>847</v>
      </c>
      <c r="S194" s="226" t="s">
        <v>848</v>
      </c>
      <c r="T194" s="227"/>
      <c r="U194" s="228"/>
      <c r="V194" s="228">
        <v>0</v>
      </c>
      <c r="W194" s="220" t="s">
        <v>2698</v>
      </c>
      <c r="X194" s="220" t="s">
        <v>2697</v>
      </c>
      <c r="Y194" s="229">
        <v>515</v>
      </c>
      <c r="Z194" s="227">
        <v>0</v>
      </c>
      <c r="AA194" s="228">
        <v>0</v>
      </c>
      <c r="AB194" s="228">
        <v>0</v>
      </c>
      <c r="AC194" s="220"/>
      <c r="AD194" s="220"/>
      <c r="AE194" s="229">
        <v>0</v>
      </c>
      <c r="AF194" s="215">
        <v>515</v>
      </c>
      <c r="AG194" s="224" t="s">
        <v>199</v>
      </c>
      <c r="AH194" s="230"/>
    </row>
    <row r="195" spans="1:34" s="80" customFormat="1" ht="12" customHeight="1">
      <c r="A195" s="217">
        <v>1193</v>
      </c>
      <c r="B195" s="218" t="s">
        <v>2696</v>
      </c>
      <c r="C195" s="231" t="s">
        <v>2850</v>
      </c>
      <c r="D195" s="218" t="s">
        <v>2841</v>
      </c>
      <c r="E195" s="217">
        <v>1</v>
      </c>
      <c r="F195" s="221">
        <v>3</v>
      </c>
      <c r="G195" s="69">
        <v>193</v>
      </c>
      <c r="H195" s="222" t="s">
        <v>1612</v>
      </c>
      <c r="I195" s="223" t="s">
        <v>1612</v>
      </c>
      <c r="J195" s="224">
        <v>10500101163101</v>
      </c>
      <c r="K195" s="225" t="s">
        <v>148</v>
      </c>
      <c r="L195" s="225" t="s">
        <v>120</v>
      </c>
      <c r="M195" s="225">
        <v>9</v>
      </c>
      <c r="N195" s="223" t="s">
        <v>896</v>
      </c>
      <c r="O195" s="222" t="s">
        <v>1613</v>
      </c>
      <c r="P195" s="223" t="s">
        <v>1614</v>
      </c>
      <c r="Q195" s="222" t="s">
        <v>1615</v>
      </c>
      <c r="R195" s="222" t="s">
        <v>1616</v>
      </c>
      <c r="S195" s="226" t="s">
        <v>1617</v>
      </c>
      <c r="T195" s="232">
        <v>0</v>
      </c>
      <c r="U195" s="230"/>
      <c r="V195" s="230"/>
      <c r="W195" s="220" t="s">
        <v>2698</v>
      </c>
      <c r="X195" s="233" t="s">
        <v>2840</v>
      </c>
      <c r="Y195" s="234">
        <v>241</v>
      </c>
      <c r="Z195" s="232">
        <v>0</v>
      </c>
      <c r="AA195" s="230">
        <v>0</v>
      </c>
      <c r="AB195" s="230">
        <v>0</v>
      </c>
      <c r="AC195" s="233"/>
      <c r="AD195" s="233" t="s">
        <v>2840</v>
      </c>
      <c r="AE195" s="234">
        <v>164</v>
      </c>
      <c r="AF195" s="235">
        <v>405</v>
      </c>
      <c r="AG195" s="224"/>
      <c r="AH195" s="236"/>
    </row>
    <row r="196" spans="1:34" s="80" customFormat="1" ht="12" customHeight="1">
      <c r="A196" s="217">
        <v>1194</v>
      </c>
      <c r="B196" s="201" t="s">
        <v>2696</v>
      </c>
      <c r="C196" s="231" t="s">
        <v>2850</v>
      </c>
      <c r="D196" s="218" t="s">
        <v>2700</v>
      </c>
      <c r="E196" s="217">
        <v>1</v>
      </c>
      <c r="F196" s="237">
        <v>2</v>
      </c>
      <c r="G196" s="69">
        <v>194</v>
      </c>
      <c r="H196" s="238" t="s">
        <v>479</v>
      </c>
      <c r="I196" s="239" t="s">
        <v>2260</v>
      </c>
      <c r="J196" s="240">
        <v>10500101979803</v>
      </c>
      <c r="K196" s="241" t="s">
        <v>148</v>
      </c>
      <c r="L196" s="241"/>
      <c r="M196" s="241">
        <v>5</v>
      </c>
      <c r="N196" s="242" t="s">
        <v>480</v>
      </c>
      <c r="O196" s="238" t="s">
        <v>2261</v>
      </c>
      <c r="P196" s="242" t="s">
        <v>2262</v>
      </c>
      <c r="Q196" s="238" t="s">
        <v>483</v>
      </c>
      <c r="R196" s="238" t="s">
        <v>484</v>
      </c>
      <c r="S196" s="243" t="s">
        <v>485</v>
      </c>
      <c r="T196" s="244"/>
      <c r="U196" s="245"/>
      <c r="V196" s="245"/>
      <c r="W196" s="246"/>
      <c r="X196" s="220"/>
      <c r="Y196" s="229">
        <v>0</v>
      </c>
      <c r="Z196" s="244">
        <v>0</v>
      </c>
      <c r="AA196" s="245">
        <v>35</v>
      </c>
      <c r="AB196" s="245">
        <v>55</v>
      </c>
      <c r="AC196" s="220" t="s">
        <v>2700</v>
      </c>
      <c r="AD196" s="220" t="s">
        <v>2840</v>
      </c>
      <c r="AE196" s="229">
        <v>90</v>
      </c>
      <c r="AF196" s="247">
        <v>90</v>
      </c>
      <c r="AG196" s="236"/>
      <c r="AH196" s="248"/>
    </row>
    <row r="197" spans="1:34" s="80" customFormat="1" ht="12" customHeight="1">
      <c r="A197" s="217">
        <v>1195</v>
      </c>
      <c r="B197" s="201" t="s">
        <v>2696</v>
      </c>
      <c r="C197" s="231" t="s">
        <v>2838</v>
      </c>
      <c r="D197" s="218" t="s">
        <v>2698</v>
      </c>
      <c r="E197" s="217">
        <v>1</v>
      </c>
      <c r="F197" s="237">
        <v>4</v>
      </c>
      <c r="G197" s="69">
        <v>195</v>
      </c>
      <c r="H197" s="238" t="s">
        <v>1015</v>
      </c>
      <c r="I197" s="239" t="s">
        <v>1015</v>
      </c>
      <c r="J197" s="240">
        <v>10500100338701</v>
      </c>
      <c r="K197" s="241" t="s">
        <v>148</v>
      </c>
      <c r="L197" s="241"/>
      <c r="M197" s="241">
        <v>12</v>
      </c>
      <c r="N197" s="242" t="s">
        <v>1016</v>
      </c>
      <c r="O197" s="238" t="s">
        <v>1017</v>
      </c>
      <c r="P197" s="242" t="s">
        <v>1018</v>
      </c>
      <c r="Q197" s="238" t="s">
        <v>1019</v>
      </c>
      <c r="R197" s="238" t="s">
        <v>1020</v>
      </c>
      <c r="S197" s="243" t="s">
        <v>1021</v>
      </c>
      <c r="T197" s="244">
        <v>0</v>
      </c>
      <c r="U197" s="245">
        <v>120</v>
      </c>
      <c r="V197" s="245">
        <v>74</v>
      </c>
      <c r="W197" s="246" t="s">
        <v>2698</v>
      </c>
      <c r="X197" s="220" t="s">
        <v>2838</v>
      </c>
      <c r="Y197" s="229">
        <v>194</v>
      </c>
      <c r="Z197" s="244">
        <v>0</v>
      </c>
      <c r="AA197" s="245">
        <v>0</v>
      </c>
      <c r="AB197" s="245">
        <v>0</v>
      </c>
      <c r="AC197" s="220"/>
      <c r="AD197" s="220"/>
      <c r="AE197" s="229">
        <v>0</v>
      </c>
      <c r="AF197" s="247">
        <v>194</v>
      </c>
      <c r="AG197" s="236"/>
      <c r="AH197" s="248"/>
    </row>
    <row r="198" spans="1:34" s="80" customFormat="1" ht="12" customHeight="1">
      <c r="A198" s="217">
        <v>1196</v>
      </c>
      <c r="B198" s="201" t="s">
        <v>2696</v>
      </c>
      <c r="C198" s="219" t="s">
        <v>2697</v>
      </c>
      <c r="D198" s="218" t="s">
        <v>2698</v>
      </c>
      <c r="E198" s="217">
        <v>1</v>
      </c>
      <c r="F198" s="237">
        <v>2</v>
      </c>
      <c r="G198" s="69">
        <v>196</v>
      </c>
      <c r="H198" s="239" t="s">
        <v>539</v>
      </c>
      <c r="I198" s="239" t="s">
        <v>539</v>
      </c>
      <c r="J198" s="240">
        <v>30500101568601</v>
      </c>
      <c r="K198" s="241" t="s">
        <v>148</v>
      </c>
      <c r="L198" s="241"/>
      <c r="M198" s="241">
        <v>5</v>
      </c>
      <c r="N198" s="242" t="s">
        <v>533</v>
      </c>
      <c r="O198" s="238" t="s">
        <v>540</v>
      </c>
      <c r="P198" s="242">
        <v>4719328</v>
      </c>
      <c r="Q198" s="238" t="s">
        <v>541</v>
      </c>
      <c r="R198" s="238" t="s">
        <v>542</v>
      </c>
      <c r="S198" s="243" t="s">
        <v>543</v>
      </c>
      <c r="T198" s="244">
        <v>187</v>
      </c>
      <c r="U198" s="245">
        <v>236</v>
      </c>
      <c r="V198" s="245">
        <v>67</v>
      </c>
      <c r="W198" s="246" t="s">
        <v>2698</v>
      </c>
      <c r="X198" s="220" t="s">
        <v>2697</v>
      </c>
      <c r="Y198" s="229">
        <v>490</v>
      </c>
      <c r="Z198" s="244">
        <v>0</v>
      </c>
      <c r="AA198" s="245">
        <v>0</v>
      </c>
      <c r="AB198" s="245">
        <v>0</v>
      </c>
      <c r="AC198" s="220"/>
      <c r="AD198" s="220"/>
      <c r="AE198" s="229">
        <v>0</v>
      </c>
      <c r="AF198" s="247">
        <v>490</v>
      </c>
      <c r="AG198" s="236"/>
      <c r="AH198" s="248"/>
    </row>
    <row r="199" spans="1:34" s="80" customFormat="1" ht="12" customHeight="1">
      <c r="A199" s="217">
        <v>1197</v>
      </c>
      <c r="B199" s="218" t="s">
        <v>2696</v>
      </c>
      <c r="C199" s="231" t="s">
        <v>2838</v>
      </c>
      <c r="D199" s="218" t="s">
        <v>2700</v>
      </c>
      <c r="E199" s="217">
        <v>1</v>
      </c>
      <c r="F199" s="249">
        <v>1</v>
      </c>
      <c r="G199" s="69">
        <v>197</v>
      </c>
      <c r="H199" s="250" t="s">
        <v>358</v>
      </c>
      <c r="I199" s="250" t="s">
        <v>358</v>
      </c>
      <c r="J199" s="251">
        <v>10500102210101</v>
      </c>
      <c r="K199" s="252" t="s">
        <v>148</v>
      </c>
      <c r="L199" s="252"/>
      <c r="M199" s="252">
        <v>3</v>
      </c>
      <c r="N199" s="250" t="s">
        <v>326</v>
      </c>
      <c r="O199" s="250" t="s">
        <v>359</v>
      </c>
      <c r="P199" s="253">
        <v>5710070</v>
      </c>
      <c r="Q199" s="250" t="s">
        <v>360</v>
      </c>
      <c r="R199" s="250" t="s">
        <v>361</v>
      </c>
      <c r="S199" s="254" t="s">
        <v>362</v>
      </c>
      <c r="T199" s="255"/>
      <c r="U199" s="256"/>
      <c r="V199" s="256"/>
      <c r="W199" s="220"/>
      <c r="X199" s="220" t="s">
        <v>2838</v>
      </c>
      <c r="Y199" s="257">
        <v>0</v>
      </c>
      <c r="Z199" s="255">
        <v>43</v>
      </c>
      <c r="AA199" s="256">
        <v>215</v>
      </c>
      <c r="AB199" s="256">
        <v>67</v>
      </c>
      <c r="AC199" s="220" t="s">
        <v>2700</v>
      </c>
      <c r="AD199" s="220" t="s">
        <v>2674</v>
      </c>
      <c r="AE199" s="257">
        <v>312</v>
      </c>
      <c r="AF199" s="258">
        <v>312</v>
      </c>
      <c r="AG199" s="259"/>
      <c r="AH199" s="260"/>
    </row>
    <row r="200" spans="1:34" s="80" customFormat="1" ht="12" customHeight="1">
      <c r="A200" s="217">
        <v>1198</v>
      </c>
      <c r="B200" s="218" t="s">
        <v>2696</v>
      </c>
      <c r="C200" s="231" t="s">
        <v>2838</v>
      </c>
      <c r="D200" s="218" t="s">
        <v>2698</v>
      </c>
      <c r="E200" s="217">
        <v>1</v>
      </c>
      <c r="F200" s="249">
        <v>6</v>
      </c>
      <c r="G200" s="69">
        <v>198</v>
      </c>
      <c r="H200" s="250" t="s">
        <v>2592</v>
      </c>
      <c r="I200" s="250" t="s">
        <v>2592</v>
      </c>
      <c r="J200" s="251">
        <v>10500101992503</v>
      </c>
      <c r="K200" s="252" t="s">
        <v>148</v>
      </c>
      <c r="L200" s="260"/>
      <c r="M200" s="252">
        <v>16</v>
      </c>
      <c r="N200" s="250" t="s">
        <v>1244</v>
      </c>
      <c r="O200" s="250" t="s">
        <v>2593</v>
      </c>
      <c r="P200" s="250" t="s">
        <v>2594</v>
      </c>
      <c r="Q200" s="250" t="s">
        <v>1258</v>
      </c>
      <c r="R200" s="250" t="s">
        <v>1259</v>
      </c>
      <c r="S200" s="254" t="s">
        <v>1260</v>
      </c>
      <c r="T200" s="255">
        <v>68</v>
      </c>
      <c r="U200" s="256">
        <v>167</v>
      </c>
      <c r="V200" s="256">
        <v>0</v>
      </c>
      <c r="W200" s="220" t="s">
        <v>2698</v>
      </c>
      <c r="X200" s="220" t="s">
        <v>2838</v>
      </c>
      <c r="Y200" s="261">
        <v>235</v>
      </c>
      <c r="Z200" s="255"/>
      <c r="AA200" s="256"/>
      <c r="AB200" s="256"/>
      <c r="AC200" s="220"/>
      <c r="AD200" s="246"/>
      <c r="AE200" s="261">
        <v>0</v>
      </c>
      <c r="AF200" s="215">
        <v>235</v>
      </c>
      <c r="AG200" s="224" t="s">
        <v>199</v>
      </c>
      <c r="AH200" s="248"/>
    </row>
    <row r="201" spans="1:34" s="80" customFormat="1" ht="12" customHeight="1">
      <c r="A201" s="217">
        <v>1199</v>
      </c>
      <c r="B201" s="218" t="s">
        <v>2696</v>
      </c>
      <c r="C201" s="219" t="s">
        <v>2697</v>
      </c>
      <c r="D201" s="218" t="s">
        <v>2698</v>
      </c>
      <c r="E201" s="217">
        <v>1</v>
      </c>
      <c r="F201" s="249">
        <v>1</v>
      </c>
      <c r="G201" s="69">
        <v>199</v>
      </c>
      <c r="H201" s="250" t="s">
        <v>1428</v>
      </c>
      <c r="I201" s="250" t="s">
        <v>1428</v>
      </c>
      <c r="J201" s="251">
        <v>10500100098101</v>
      </c>
      <c r="K201" s="252" t="s">
        <v>148</v>
      </c>
      <c r="L201" s="260"/>
      <c r="M201" s="252">
        <v>4</v>
      </c>
      <c r="N201" s="250" t="s">
        <v>436</v>
      </c>
      <c r="O201" s="250" t="s">
        <v>1429</v>
      </c>
      <c r="P201" s="250" t="s">
        <v>1430</v>
      </c>
      <c r="Q201" s="250" t="s">
        <v>432</v>
      </c>
      <c r="R201" s="250" t="s">
        <v>1431</v>
      </c>
      <c r="S201" s="254" t="s">
        <v>1432</v>
      </c>
      <c r="T201" s="255">
        <v>0</v>
      </c>
      <c r="U201" s="256">
        <v>0</v>
      </c>
      <c r="V201" s="256">
        <v>300</v>
      </c>
      <c r="W201" s="220" t="s">
        <v>2702</v>
      </c>
      <c r="X201" s="220" t="s">
        <v>2701</v>
      </c>
      <c r="Y201" s="261">
        <v>300</v>
      </c>
      <c r="Z201" s="255">
        <v>0</v>
      </c>
      <c r="AA201" s="256">
        <v>0</v>
      </c>
      <c r="AB201" s="256">
        <v>0</v>
      </c>
      <c r="AC201" s="220"/>
      <c r="AD201" s="246"/>
      <c r="AE201" s="261">
        <v>0</v>
      </c>
      <c r="AF201" s="215">
        <v>300</v>
      </c>
      <c r="AG201" s="224"/>
      <c r="AH201" s="248" t="s">
        <v>1433</v>
      </c>
    </row>
    <row r="202" spans="1:34" s="80" customFormat="1" ht="12" customHeight="1">
      <c r="A202" s="217">
        <v>1200</v>
      </c>
      <c r="B202" s="218" t="s">
        <v>2696</v>
      </c>
      <c r="C202" s="231" t="s">
        <v>2838</v>
      </c>
      <c r="D202" s="218" t="s">
        <v>199</v>
      </c>
      <c r="E202" s="217">
        <v>1</v>
      </c>
      <c r="F202" s="249">
        <v>4</v>
      </c>
      <c r="G202" s="69">
        <v>200</v>
      </c>
      <c r="H202" s="250" t="s">
        <v>2515</v>
      </c>
      <c r="I202" s="250" t="s">
        <v>2515</v>
      </c>
      <c r="J202" s="251">
        <v>10500100188102</v>
      </c>
      <c r="K202" s="252" t="s">
        <v>148</v>
      </c>
      <c r="L202" s="260"/>
      <c r="M202" s="252">
        <v>13</v>
      </c>
      <c r="N202" s="250" t="s">
        <v>90</v>
      </c>
      <c r="O202" s="250" t="s">
        <v>2516</v>
      </c>
      <c r="P202" s="250">
        <v>2530160</v>
      </c>
      <c r="Q202" s="250" t="s">
        <v>2517</v>
      </c>
      <c r="R202" s="250" t="s">
        <v>2518</v>
      </c>
      <c r="S202" s="254" t="s">
        <v>2519</v>
      </c>
      <c r="T202" s="255">
        <v>0</v>
      </c>
      <c r="U202" s="256">
        <v>0</v>
      </c>
      <c r="V202" s="256">
        <v>298</v>
      </c>
      <c r="W202" s="220" t="s">
        <v>199</v>
      </c>
      <c r="X202" s="220" t="s">
        <v>2838</v>
      </c>
      <c r="Y202" s="261">
        <v>298</v>
      </c>
      <c r="Z202" s="255">
        <v>0</v>
      </c>
      <c r="AA202" s="256">
        <v>0</v>
      </c>
      <c r="AB202" s="256">
        <v>0</v>
      </c>
      <c r="AC202" s="220"/>
      <c r="AD202" s="246"/>
      <c r="AE202" s="261">
        <v>0</v>
      </c>
      <c r="AF202" s="215">
        <v>298</v>
      </c>
      <c r="AG202" s="224" t="s">
        <v>199</v>
      </c>
      <c r="AH202" s="248"/>
    </row>
    <row r="203" spans="1:34" s="80" customFormat="1" ht="12" customHeight="1">
      <c r="A203" s="66">
        <v>2001</v>
      </c>
      <c r="B203" s="67" t="s">
        <v>2701</v>
      </c>
      <c r="C203" s="67" t="s">
        <v>2701</v>
      </c>
      <c r="D203" s="67" t="s">
        <v>2702</v>
      </c>
      <c r="E203" s="66">
        <v>2</v>
      </c>
      <c r="F203" s="83">
        <v>1</v>
      </c>
      <c r="G203" s="69">
        <v>201</v>
      </c>
      <c r="H203" s="84" t="s">
        <v>1281</v>
      </c>
      <c r="I203" s="84" t="s">
        <v>1281</v>
      </c>
      <c r="J203" s="262">
        <v>10500102584401</v>
      </c>
      <c r="K203" s="88" t="s">
        <v>148</v>
      </c>
      <c r="L203" s="88" t="s">
        <v>120</v>
      </c>
      <c r="M203" s="88">
        <v>1</v>
      </c>
      <c r="N203" s="84" t="s">
        <v>156</v>
      </c>
      <c r="O203" s="84" t="s">
        <v>1282</v>
      </c>
      <c r="P203" s="263" t="s">
        <v>1283</v>
      </c>
      <c r="Q203" s="84" t="s">
        <v>159</v>
      </c>
      <c r="R203" s="84" t="s">
        <v>1284</v>
      </c>
      <c r="S203" s="264" t="s">
        <v>1285</v>
      </c>
      <c r="T203" s="265">
        <v>0</v>
      </c>
      <c r="U203" s="266">
        <v>80</v>
      </c>
      <c r="V203" s="266">
        <v>350</v>
      </c>
      <c r="W203" s="267" t="s">
        <v>2702</v>
      </c>
      <c r="X203" s="267" t="s">
        <v>2701</v>
      </c>
      <c r="Y203" s="268">
        <v>430</v>
      </c>
      <c r="Z203" s="265">
        <v>0</v>
      </c>
      <c r="AA203" s="266">
        <v>0</v>
      </c>
      <c r="AB203" s="266">
        <v>0</v>
      </c>
      <c r="AC203" s="267"/>
      <c r="AD203" s="267"/>
      <c r="AE203" s="268">
        <v>0</v>
      </c>
      <c r="AF203" s="269">
        <v>430</v>
      </c>
      <c r="AG203" s="270"/>
      <c r="AH203" s="271" t="s">
        <v>1286</v>
      </c>
    </row>
    <row r="204" spans="1:34" s="80" customFormat="1" ht="12" customHeight="1">
      <c r="A204" s="66">
        <v>2002</v>
      </c>
      <c r="B204" s="67" t="s">
        <v>2701</v>
      </c>
      <c r="C204" s="67" t="s">
        <v>2701</v>
      </c>
      <c r="D204" s="67" t="s">
        <v>2702</v>
      </c>
      <c r="E204" s="66">
        <v>2</v>
      </c>
      <c r="F204" s="68">
        <v>1</v>
      </c>
      <c r="G204" s="69">
        <v>202</v>
      </c>
      <c r="H204" s="37" t="s">
        <v>1287</v>
      </c>
      <c r="I204" s="37" t="s">
        <v>1287</v>
      </c>
      <c r="J204" s="70">
        <v>10500102584404</v>
      </c>
      <c r="K204" s="38" t="s">
        <v>148</v>
      </c>
      <c r="L204" s="38"/>
      <c r="M204" s="38">
        <v>1</v>
      </c>
      <c r="N204" s="37" t="s">
        <v>1288</v>
      </c>
      <c r="O204" s="37" t="s">
        <v>1289</v>
      </c>
      <c r="P204" s="71">
        <v>5290481</v>
      </c>
      <c r="Q204" s="37" t="s">
        <v>159</v>
      </c>
      <c r="R204" s="37" t="s">
        <v>1290</v>
      </c>
      <c r="S204" s="72" t="s">
        <v>1291</v>
      </c>
      <c r="T204" s="272">
        <v>308</v>
      </c>
      <c r="U204" s="273">
        <v>142</v>
      </c>
      <c r="V204" s="273">
        <v>0</v>
      </c>
      <c r="W204" s="267" t="s">
        <v>2702</v>
      </c>
      <c r="X204" s="267" t="s">
        <v>2701</v>
      </c>
      <c r="Y204" s="268">
        <v>450</v>
      </c>
      <c r="Z204" s="272">
        <v>0</v>
      </c>
      <c r="AA204" s="273">
        <v>0</v>
      </c>
      <c r="AB204" s="273">
        <v>0</v>
      </c>
      <c r="AC204" s="267"/>
      <c r="AD204" s="267"/>
      <c r="AE204" s="268">
        <v>0</v>
      </c>
      <c r="AF204" s="269">
        <v>450</v>
      </c>
      <c r="AG204" s="78"/>
      <c r="AH204" s="79"/>
    </row>
    <row r="205" spans="1:34" s="80" customFormat="1" ht="12" customHeight="1">
      <c r="A205" s="66">
        <v>2003</v>
      </c>
      <c r="B205" s="67" t="s">
        <v>2701</v>
      </c>
      <c r="C205" s="67" t="s">
        <v>2701</v>
      </c>
      <c r="D205" s="67" t="s">
        <v>2703</v>
      </c>
      <c r="E205" s="66">
        <v>2</v>
      </c>
      <c r="F205" s="68">
        <v>1</v>
      </c>
      <c r="G205" s="69">
        <v>203</v>
      </c>
      <c r="H205" s="37" t="s">
        <v>1292</v>
      </c>
      <c r="I205" s="37" t="s">
        <v>1292</v>
      </c>
      <c r="J205" s="70">
        <v>10500101930501</v>
      </c>
      <c r="K205" s="38" t="s">
        <v>148</v>
      </c>
      <c r="L205" s="38"/>
      <c r="M205" s="38">
        <v>1</v>
      </c>
      <c r="N205" s="37" t="s">
        <v>1293</v>
      </c>
      <c r="O205" s="37" t="s">
        <v>1294</v>
      </c>
      <c r="P205" s="71">
        <v>5721377</v>
      </c>
      <c r="Q205" s="37" t="s">
        <v>1295</v>
      </c>
      <c r="R205" s="37" t="s">
        <v>1296</v>
      </c>
      <c r="S205" s="72" t="s">
        <v>1297</v>
      </c>
      <c r="T205" s="272">
        <v>203</v>
      </c>
      <c r="U205" s="273">
        <v>170</v>
      </c>
      <c r="V205" s="273">
        <v>37</v>
      </c>
      <c r="W205" s="267" t="s">
        <v>2702</v>
      </c>
      <c r="X205" s="267" t="s">
        <v>2701</v>
      </c>
      <c r="Y205" s="268">
        <v>410</v>
      </c>
      <c r="Z205" s="272">
        <v>0</v>
      </c>
      <c r="AA205" s="273">
        <v>140</v>
      </c>
      <c r="AB205" s="273">
        <v>20</v>
      </c>
      <c r="AC205" s="267" t="s">
        <v>2700</v>
      </c>
      <c r="AD205" s="267" t="s">
        <v>2701</v>
      </c>
      <c r="AE205" s="268">
        <v>160</v>
      </c>
      <c r="AF205" s="269">
        <v>570</v>
      </c>
      <c r="AG205" s="78"/>
      <c r="AH205" s="79"/>
    </row>
    <row r="206" spans="1:34" s="80" customFormat="1" ht="12" customHeight="1">
      <c r="A206" s="66">
        <v>2004</v>
      </c>
      <c r="B206" s="67" t="s">
        <v>2701</v>
      </c>
      <c r="C206" s="67" t="s">
        <v>2701</v>
      </c>
      <c r="D206" s="67" t="s">
        <v>2702</v>
      </c>
      <c r="E206" s="66">
        <v>2</v>
      </c>
      <c r="F206" s="68">
        <v>1</v>
      </c>
      <c r="G206" s="69">
        <v>204</v>
      </c>
      <c r="H206" s="37" t="s">
        <v>1298</v>
      </c>
      <c r="I206" s="37" t="s">
        <v>1298</v>
      </c>
      <c r="J206" s="70">
        <v>10500100234801</v>
      </c>
      <c r="K206" s="38" t="s">
        <v>148</v>
      </c>
      <c r="L206" s="79"/>
      <c r="M206" s="38">
        <v>1</v>
      </c>
      <c r="N206" s="37" t="s">
        <v>177</v>
      </c>
      <c r="O206" s="37" t="s">
        <v>1299</v>
      </c>
      <c r="P206" s="71" t="s">
        <v>1300</v>
      </c>
      <c r="Q206" s="37" t="s">
        <v>1301</v>
      </c>
      <c r="R206" s="37" t="s">
        <v>1302</v>
      </c>
      <c r="S206" s="72" t="s">
        <v>1303</v>
      </c>
      <c r="T206" s="274">
        <v>444</v>
      </c>
      <c r="U206" s="139">
        <v>156</v>
      </c>
      <c r="V206" s="139">
        <v>0</v>
      </c>
      <c r="W206" s="267" t="s">
        <v>2702</v>
      </c>
      <c r="X206" s="267" t="s">
        <v>2701</v>
      </c>
      <c r="Y206" s="268">
        <v>600</v>
      </c>
      <c r="Z206" s="272">
        <v>0</v>
      </c>
      <c r="AA206" s="273">
        <v>0</v>
      </c>
      <c r="AB206" s="273">
        <v>0</v>
      </c>
      <c r="AC206" s="267"/>
      <c r="AD206" s="267"/>
      <c r="AE206" s="268">
        <v>0</v>
      </c>
      <c r="AF206" s="269">
        <v>600</v>
      </c>
      <c r="AG206" s="78"/>
      <c r="AH206" s="79"/>
    </row>
    <row r="207" spans="1:34" s="80" customFormat="1" ht="12" customHeight="1">
      <c r="A207" s="66">
        <v>2005</v>
      </c>
      <c r="B207" s="67" t="s">
        <v>2701</v>
      </c>
      <c r="C207" s="67" t="s">
        <v>2701</v>
      </c>
      <c r="D207" s="67" t="s">
        <v>2702</v>
      </c>
      <c r="E207" s="66">
        <v>2</v>
      </c>
      <c r="F207" s="68">
        <v>1</v>
      </c>
      <c r="G207" s="69">
        <v>205</v>
      </c>
      <c r="H207" s="37" t="s">
        <v>1304</v>
      </c>
      <c r="I207" s="37" t="s">
        <v>1304</v>
      </c>
      <c r="J207" s="70">
        <v>10500100234802</v>
      </c>
      <c r="K207" s="38" t="s">
        <v>148</v>
      </c>
      <c r="L207" s="38" t="s">
        <v>120</v>
      </c>
      <c r="M207" s="38">
        <v>1</v>
      </c>
      <c r="N207" s="37" t="s">
        <v>177</v>
      </c>
      <c r="O207" s="37" t="s">
        <v>1305</v>
      </c>
      <c r="P207" s="71" t="s">
        <v>1306</v>
      </c>
      <c r="Q207" s="37" t="s">
        <v>1301</v>
      </c>
      <c r="R207" s="37" t="s">
        <v>1307</v>
      </c>
      <c r="S207" s="72" t="s">
        <v>1308</v>
      </c>
      <c r="T207" s="272">
        <v>0</v>
      </c>
      <c r="U207" s="273">
        <v>128</v>
      </c>
      <c r="V207" s="273">
        <v>150</v>
      </c>
      <c r="W207" s="267" t="s">
        <v>2702</v>
      </c>
      <c r="X207" s="267" t="s">
        <v>2701</v>
      </c>
      <c r="Y207" s="268">
        <v>278</v>
      </c>
      <c r="Z207" s="272">
        <v>0</v>
      </c>
      <c r="AA207" s="273">
        <v>0</v>
      </c>
      <c r="AB207" s="273">
        <v>0</v>
      </c>
      <c r="AC207" s="267"/>
      <c r="AD207" s="267"/>
      <c r="AE207" s="268">
        <v>0</v>
      </c>
      <c r="AF207" s="269">
        <v>278</v>
      </c>
      <c r="AG207" s="78"/>
      <c r="AH207" s="275"/>
    </row>
    <row r="208" spans="1:34" s="80" customFormat="1" ht="12" customHeight="1">
      <c r="A208" s="66">
        <v>2006</v>
      </c>
      <c r="B208" s="67" t="s">
        <v>2701</v>
      </c>
      <c r="C208" s="67" t="s">
        <v>2701</v>
      </c>
      <c r="D208" s="67" t="s">
        <v>2703</v>
      </c>
      <c r="E208" s="66">
        <v>2</v>
      </c>
      <c r="F208" s="68">
        <v>1</v>
      </c>
      <c r="G208" s="69">
        <v>206</v>
      </c>
      <c r="H208" s="37" t="s">
        <v>1309</v>
      </c>
      <c r="I208" s="37" t="s">
        <v>1309</v>
      </c>
      <c r="J208" s="70">
        <v>30500101528701</v>
      </c>
      <c r="K208" s="38" t="s">
        <v>148</v>
      </c>
      <c r="L208" s="38" t="s">
        <v>120</v>
      </c>
      <c r="M208" s="38">
        <v>1</v>
      </c>
      <c r="N208" s="37" t="s">
        <v>177</v>
      </c>
      <c r="O208" s="37" t="s">
        <v>1310</v>
      </c>
      <c r="P208" s="71" t="s">
        <v>1311</v>
      </c>
      <c r="Q208" s="37" t="s">
        <v>1312</v>
      </c>
      <c r="R208" s="37" t="s">
        <v>1313</v>
      </c>
      <c r="S208" s="72" t="s">
        <v>1314</v>
      </c>
      <c r="T208" s="272">
        <v>101</v>
      </c>
      <c r="U208" s="273">
        <v>247</v>
      </c>
      <c r="V208" s="273">
        <v>102</v>
      </c>
      <c r="W208" s="267" t="s">
        <v>2702</v>
      </c>
      <c r="X208" s="267" t="s">
        <v>2701</v>
      </c>
      <c r="Y208" s="268">
        <v>450</v>
      </c>
      <c r="Z208" s="272">
        <v>243</v>
      </c>
      <c r="AA208" s="273">
        <v>435</v>
      </c>
      <c r="AB208" s="273">
        <v>22</v>
      </c>
      <c r="AC208" s="267" t="s">
        <v>2700</v>
      </c>
      <c r="AD208" s="267" t="s">
        <v>2701</v>
      </c>
      <c r="AE208" s="268">
        <v>700</v>
      </c>
      <c r="AF208" s="269">
        <v>1150</v>
      </c>
      <c r="AG208" s="78"/>
      <c r="AH208" s="79"/>
    </row>
    <row r="209" spans="1:34" s="80" customFormat="1" ht="12" customHeight="1">
      <c r="A209" s="66">
        <v>2007</v>
      </c>
      <c r="B209" s="67" t="s">
        <v>2701</v>
      </c>
      <c r="C209" s="67" t="s">
        <v>2701</v>
      </c>
      <c r="D209" s="67" t="s">
        <v>2703</v>
      </c>
      <c r="E209" s="66">
        <v>2</v>
      </c>
      <c r="F209" s="68">
        <v>1</v>
      </c>
      <c r="G209" s="69">
        <v>207</v>
      </c>
      <c r="H209" s="37" t="s">
        <v>1315</v>
      </c>
      <c r="I209" s="37" t="s">
        <v>1315</v>
      </c>
      <c r="J209" s="70">
        <v>30500101528702</v>
      </c>
      <c r="K209" s="38" t="s">
        <v>148</v>
      </c>
      <c r="L209" s="38"/>
      <c r="M209" s="38">
        <v>1</v>
      </c>
      <c r="N209" s="37" t="s">
        <v>1316</v>
      </c>
      <c r="O209" s="37" t="s">
        <v>1317</v>
      </c>
      <c r="P209" s="71">
        <v>5723241</v>
      </c>
      <c r="Q209" s="37" t="s">
        <v>1318</v>
      </c>
      <c r="R209" s="37" t="s">
        <v>1319</v>
      </c>
      <c r="S209" s="72" t="s">
        <v>1320</v>
      </c>
      <c r="T209" s="272">
        <v>190</v>
      </c>
      <c r="U209" s="273">
        <v>0</v>
      </c>
      <c r="V209" s="273">
        <v>0</v>
      </c>
      <c r="W209" s="267" t="s">
        <v>2702</v>
      </c>
      <c r="X209" s="267" t="s">
        <v>2701</v>
      </c>
      <c r="Y209" s="268">
        <v>190</v>
      </c>
      <c r="Z209" s="272">
        <v>120</v>
      </c>
      <c r="AA209" s="273">
        <v>0</v>
      </c>
      <c r="AB209" s="273">
        <v>0</v>
      </c>
      <c r="AC209" s="267" t="s">
        <v>2700</v>
      </c>
      <c r="AD209" s="267" t="s">
        <v>2701</v>
      </c>
      <c r="AE209" s="268">
        <v>120</v>
      </c>
      <c r="AF209" s="269">
        <v>310</v>
      </c>
      <c r="AG209" s="78"/>
      <c r="AH209" s="79"/>
    </row>
    <row r="210" spans="1:34" s="80" customFormat="1" ht="12" customHeight="1">
      <c r="A210" s="66">
        <v>2008</v>
      </c>
      <c r="B210" s="67" t="s">
        <v>2701</v>
      </c>
      <c r="C210" s="67" t="s">
        <v>2701</v>
      </c>
      <c r="D210" s="67" t="s">
        <v>2703</v>
      </c>
      <c r="E210" s="66">
        <v>2</v>
      </c>
      <c r="F210" s="68">
        <v>1</v>
      </c>
      <c r="G210" s="69">
        <v>208</v>
      </c>
      <c r="H210" s="37" t="s">
        <v>1321</v>
      </c>
      <c r="I210" s="37" t="s">
        <v>1321</v>
      </c>
      <c r="J210" s="70">
        <v>10500101169002</v>
      </c>
      <c r="K210" s="38" t="s">
        <v>148</v>
      </c>
      <c r="L210" s="38"/>
      <c r="M210" s="38">
        <v>1</v>
      </c>
      <c r="N210" s="37" t="s">
        <v>183</v>
      </c>
      <c r="O210" s="37" t="s">
        <v>1322</v>
      </c>
      <c r="P210" s="71" t="s">
        <v>1323</v>
      </c>
      <c r="Q210" s="37" t="s">
        <v>1324</v>
      </c>
      <c r="R210" s="37" t="s">
        <v>1325</v>
      </c>
      <c r="S210" s="72" t="s">
        <v>1326</v>
      </c>
      <c r="T210" s="272">
        <v>171</v>
      </c>
      <c r="U210" s="273">
        <v>99</v>
      </c>
      <c r="V210" s="273">
        <v>0</v>
      </c>
      <c r="W210" s="267" t="s">
        <v>2702</v>
      </c>
      <c r="X210" s="267" t="s">
        <v>2701</v>
      </c>
      <c r="Y210" s="268">
        <v>270</v>
      </c>
      <c r="Z210" s="272">
        <v>240</v>
      </c>
      <c r="AA210" s="273">
        <v>150</v>
      </c>
      <c r="AB210" s="273">
        <v>0</v>
      </c>
      <c r="AC210" s="267" t="s">
        <v>2700</v>
      </c>
      <c r="AD210" s="267" t="s">
        <v>2701</v>
      </c>
      <c r="AE210" s="268">
        <v>390</v>
      </c>
      <c r="AF210" s="269">
        <v>660</v>
      </c>
      <c r="AG210" s="78"/>
      <c r="AH210" s="79"/>
    </row>
    <row r="211" spans="1:34" s="80" customFormat="1" ht="12" customHeight="1">
      <c r="A211" s="66">
        <v>2009</v>
      </c>
      <c r="B211" s="67" t="s">
        <v>2701</v>
      </c>
      <c r="C211" s="67" t="s">
        <v>2701</v>
      </c>
      <c r="D211" s="67" t="s">
        <v>2702</v>
      </c>
      <c r="E211" s="66">
        <v>2</v>
      </c>
      <c r="F211" s="68">
        <v>1</v>
      </c>
      <c r="G211" s="69">
        <v>209</v>
      </c>
      <c r="H211" s="37" t="s">
        <v>1327</v>
      </c>
      <c r="I211" s="37" t="s">
        <v>1327</v>
      </c>
      <c r="J211" s="70">
        <v>10500100721801</v>
      </c>
      <c r="K211" s="38" t="s">
        <v>148</v>
      </c>
      <c r="L211" s="38" t="s">
        <v>120</v>
      </c>
      <c r="M211" s="38">
        <v>1</v>
      </c>
      <c r="N211" s="37" t="s">
        <v>208</v>
      </c>
      <c r="O211" s="37" t="s">
        <v>1328</v>
      </c>
      <c r="P211" s="71" t="s">
        <v>1329</v>
      </c>
      <c r="Q211" s="37" t="s">
        <v>1330</v>
      </c>
      <c r="R211" s="37" t="s">
        <v>1331</v>
      </c>
      <c r="S211" s="72" t="s">
        <v>1332</v>
      </c>
      <c r="T211" s="272">
        <v>370</v>
      </c>
      <c r="U211" s="273">
        <v>179</v>
      </c>
      <c r="V211" s="273">
        <v>151</v>
      </c>
      <c r="W211" s="267" t="s">
        <v>2702</v>
      </c>
      <c r="X211" s="267" t="s">
        <v>2701</v>
      </c>
      <c r="Y211" s="268">
        <v>700</v>
      </c>
      <c r="Z211" s="272">
        <v>0</v>
      </c>
      <c r="AA211" s="273">
        <v>0</v>
      </c>
      <c r="AB211" s="273">
        <v>0</v>
      </c>
      <c r="AC211" s="267"/>
      <c r="AD211" s="267"/>
      <c r="AE211" s="268">
        <v>0</v>
      </c>
      <c r="AF211" s="269">
        <v>700</v>
      </c>
      <c r="AG211" s="78"/>
      <c r="AH211" s="79"/>
    </row>
    <row r="212" spans="1:34" s="80" customFormat="1" ht="12" customHeight="1">
      <c r="A212" s="66">
        <v>2010</v>
      </c>
      <c r="B212" s="67" t="s">
        <v>2701</v>
      </c>
      <c r="C212" s="67" t="s">
        <v>2701</v>
      </c>
      <c r="D212" s="67" t="s">
        <v>2702</v>
      </c>
      <c r="E212" s="66">
        <v>2</v>
      </c>
      <c r="F212" s="68">
        <v>1</v>
      </c>
      <c r="G212" s="69">
        <v>210</v>
      </c>
      <c r="H212" s="37" t="s">
        <v>1333</v>
      </c>
      <c r="I212" s="37" t="s">
        <v>1333</v>
      </c>
      <c r="J212" s="70">
        <v>30500101950901</v>
      </c>
      <c r="K212" s="38" t="s">
        <v>226</v>
      </c>
      <c r="L212" s="38"/>
      <c r="M212" s="38">
        <v>1</v>
      </c>
      <c r="N212" s="37" t="s">
        <v>1293</v>
      </c>
      <c r="O212" s="37" t="s">
        <v>1334</v>
      </c>
      <c r="P212" s="71" t="s">
        <v>1335</v>
      </c>
      <c r="Q212" s="37" t="s">
        <v>1336</v>
      </c>
      <c r="R212" s="37" t="s">
        <v>1337</v>
      </c>
      <c r="S212" s="72" t="s">
        <v>1338</v>
      </c>
      <c r="T212" s="272">
        <v>78</v>
      </c>
      <c r="U212" s="273">
        <v>110</v>
      </c>
      <c r="V212" s="273">
        <v>0</v>
      </c>
      <c r="W212" s="267" t="s">
        <v>2702</v>
      </c>
      <c r="X212" s="267" t="s">
        <v>2701</v>
      </c>
      <c r="Y212" s="268">
        <v>188</v>
      </c>
      <c r="Z212" s="272">
        <v>0</v>
      </c>
      <c r="AA212" s="273">
        <v>0</v>
      </c>
      <c r="AB212" s="273">
        <v>0</v>
      </c>
      <c r="AC212" s="267"/>
      <c r="AD212" s="267"/>
      <c r="AE212" s="268">
        <v>0</v>
      </c>
      <c r="AF212" s="269">
        <v>188</v>
      </c>
      <c r="AG212" s="78"/>
      <c r="AH212" s="79"/>
    </row>
    <row r="213" spans="1:34" s="80" customFormat="1" ht="12" customHeight="1">
      <c r="A213" s="66">
        <v>2011</v>
      </c>
      <c r="B213" s="67" t="s">
        <v>2701</v>
      </c>
      <c r="C213" s="67" t="s">
        <v>2701</v>
      </c>
      <c r="D213" s="67" t="s">
        <v>2703</v>
      </c>
      <c r="E213" s="66">
        <v>2</v>
      </c>
      <c r="F213" s="68">
        <v>1</v>
      </c>
      <c r="G213" s="69">
        <v>211</v>
      </c>
      <c r="H213" s="37" t="s">
        <v>1339</v>
      </c>
      <c r="I213" s="37" t="s">
        <v>1339</v>
      </c>
      <c r="J213" s="70">
        <v>10500100791901</v>
      </c>
      <c r="K213" s="38" t="s">
        <v>226</v>
      </c>
      <c r="L213" s="38"/>
      <c r="M213" s="38">
        <v>1</v>
      </c>
      <c r="N213" s="37" t="s">
        <v>1340</v>
      </c>
      <c r="O213" s="37" t="s">
        <v>1341</v>
      </c>
      <c r="P213" s="71" t="s">
        <v>1342</v>
      </c>
      <c r="Q213" s="37" t="s">
        <v>1343</v>
      </c>
      <c r="R213" s="37" t="s">
        <v>1344</v>
      </c>
      <c r="S213" s="72" t="s">
        <v>1345</v>
      </c>
      <c r="T213" s="272">
        <v>150</v>
      </c>
      <c r="U213" s="273">
        <v>150</v>
      </c>
      <c r="V213" s="273">
        <v>100</v>
      </c>
      <c r="W213" s="267" t="s">
        <v>2702</v>
      </c>
      <c r="X213" s="267" t="s">
        <v>2701</v>
      </c>
      <c r="Y213" s="268">
        <v>400</v>
      </c>
      <c r="Z213" s="272">
        <v>206</v>
      </c>
      <c r="AA213" s="273">
        <v>228</v>
      </c>
      <c r="AB213" s="273">
        <v>16</v>
      </c>
      <c r="AC213" s="267" t="s">
        <v>2700</v>
      </c>
      <c r="AD213" s="267" t="s">
        <v>2701</v>
      </c>
      <c r="AE213" s="268">
        <v>450</v>
      </c>
      <c r="AF213" s="269">
        <v>850</v>
      </c>
      <c r="AG213" s="78"/>
      <c r="AH213" s="79"/>
    </row>
    <row r="214" spans="1:34" s="80" customFormat="1" ht="12" customHeight="1">
      <c r="A214" s="66">
        <v>2012</v>
      </c>
      <c r="B214" s="67" t="s">
        <v>2701</v>
      </c>
      <c r="C214" s="67" t="s">
        <v>2701</v>
      </c>
      <c r="D214" s="67" t="s">
        <v>2702</v>
      </c>
      <c r="E214" s="66">
        <v>2</v>
      </c>
      <c r="F214" s="68">
        <v>1</v>
      </c>
      <c r="G214" s="69">
        <v>212</v>
      </c>
      <c r="H214" s="37" t="s">
        <v>1346</v>
      </c>
      <c r="I214" s="37" t="s">
        <v>1346</v>
      </c>
      <c r="J214" s="70">
        <v>30500102182101</v>
      </c>
      <c r="K214" s="38" t="s">
        <v>226</v>
      </c>
      <c r="L214" s="38"/>
      <c r="M214" s="38">
        <v>1</v>
      </c>
      <c r="N214" s="37" t="s">
        <v>1288</v>
      </c>
      <c r="O214" s="37" t="s">
        <v>1347</v>
      </c>
      <c r="P214" s="71">
        <v>5285471</v>
      </c>
      <c r="Q214" s="37" t="s">
        <v>1348</v>
      </c>
      <c r="R214" s="37" t="s">
        <v>1349</v>
      </c>
      <c r="S214" s="72" t="s">
        <v>1350</v>
      </c>
      <c r="T214" s="272">
        <v>104</v>
      </c>
      <c r="U214" s="273">
        <v>263</v>
      </c>
      <c r="V214" s="273">
        <v>63</v>
      </c>
      <c r="W214" s="267" t="s">
        <v>2702</v>
      </c>
      <c r="X214" s="267" t="s">
        <v>2701</v>
      </c>
      <c r="Y214" s="268">
        <v>430</v>
      </c>
      <c r="Z214" s="272">
        <v>0</v>
      </c>
      <c r="AA214" s="273">
        <v>0</v>
      </c>
      <c r="AB214" s="273">
        <v>0</v>
      </c>
      <c r="AC214" s="267"/>
      <c r="AD214" s="267"/>
      <c r="AE214" s="268">
        <v>0</v>
      </c>
      <c r="AF214" s="269">
        <v>430</v>
      </c>
      <c r="AG214" s="78"/>
      <c r="AH214" s="276"/>
    </row>
    <row r="215" spans="1:34" s="80" customFormat="1" ht="12" customHeight="1">
      <c r="A215" s="66">
        <v>2013</v>
      </c>
      <c r="B215" s="67" t="s">
        <v>2701</v>
      </c>
      <c r="C215" s="67" t="s">
        <v>2701</v>
      </c>
      <c r="D215" s="67" t="s">
        <v>2703</v>
      </c>
      <c r="E215" s="66">
        <v>2</v>
      </c>
      <c r="F215" s="68">
        <v>1</v>
      </c>
      <c r="G215" s="69">
        <v>213</v>
      </c>
      <c r="H215" s="37" t="s">
        <v>1351</v>
      </c>
      <c r="I215" s="37" t="s">
        <v>1351</v>
      </c>
      <c r="J215" s="70">
        <v>10500101314501</v>
      </c>
      <c r="K215" s="38" t="s">
        <v>148</v>
      </c>
      <c r="L215" s="38"/>
      <c r="M215" s="38">
        <v>2</v>
      </c>
      <c r="N215" s="37" t="s">
        <v>284</v>
      </c>
      <c r="O215" s="37" t="s">
        <v>1352</v>
      </c>
      <c r="P215" s="71" t="s">
        <v>1353</v>
      </c>
      <c r="Q215" s="37" t="s">
        <v>1354</v>
      </c>
      <c r="R215" s="37" t="s">
        <v>1355</v>
      </c>
      <c r="S215" s="72" t="s">
        <v>1356</v>
      </c>
      <c r="T215" s="272">
        <v>52</v>
      </c>
      <c r="U215" s="273">
        <v>98</v>
      </c>
      <c r="V215" s="273">
        <v>50</v>
      </c>
      <c r="W215" s="267" t="s">
        <v>2702</v>
      </c>
      <c r="X215" s="267" t="s">
        <v>2701</v>
      </c>
      <c r="Y215" s="268">
        <v>200</v>
      </c>
      <c r="Z215" s="272">
        <v>386</v>
      </c>
      <c r="AA215" s="273">
        <v>438</v>
      </c>
      <c r="AB215" s="273">
        <v>166</v>
      </c>
      <c r="AC215" s="267" t="s">
        <v>2700</v>
      </c>
      <c r="AD215" s="267" t="s">
        <v>2701</v>
      </c>
      <c r="AE215" s="268">
        <v>990</v>
      </c>
      <c r="AF215" s="269">
        <v>1190</v>
      </c>
      <c r="AG215" s="78"/>
      <c r="AH215" s="79"/>
    </row>
    <row r="216" spans="1:34" s="80" customFormat="1" ht="12" customHeight="1">
      <c r="A216" s="66">
        <v>2014</v>
      </c>
      <c r="B216" s="67" t="s">
        <v>2701</v>
      </c>
      <c r="C216" s="67" t="s">
        <v>2701</v>
      </c>
      <c r="D216" s="67" t="s">
        <v>2703</v>
      </c>
      <c r="E216" s="66">
        <v>2</v>
      </c>
      <c r="F216" s="68">
        <v>1</v>
      </c>
      <c r="G216" s="69">
        <v>214</v>
      </c>
      <c r="H216" s="37" t="s">
        <v>1357</v>
      </c>
      <c r="I216" s="37" t="s">
        <v>1357</v>
      </c>
      <c r="J216" s="70">
        <v>10500100313101</v>
      </c>
      <c r="K216" s="38" t="s">
        <v>148</v>
      </c>
      <c r="L216" s="38"/>
      <c r="M216" s="38">
        <v>2</v>
      </c>
      <c r="N216" s="37" t="s">
        <v>266</v>
      </c>
      <c r="O216" s="37" t="s">
        <v>1358</v>
      </c>
      <c r="P216" s="71" t="s">
        <v>1359</v>
      </c>
      <c r="Q216" s="37" t="s">
        <v>274</v>
      </c>
      <c r="R216" s="37" t="s">
        <v>1360</v>
      </c>
      <c r="S216" s="72" t="s">
        <v>1361</v>
      </c>
      <c r="T216" s="274">
        <v>0</v>
      </c>
      <c r="U216" s="139">
        <v>320</v>
      </c>
      <c r="V216" s="139">
        <v>0</v>
      </c>
      <c r="W216" s="267" t="s">
        <v>2702</v>
      </c>
      <c r="X216" s="267" t="s">
        <v>2701</v>
      </c>
      <c r="Y216" s="268">
        <v>320</v>
      </c>
      <c r="Z216" s="272">
        <v>120</v>
      </c>
      <c r="AA216" s="273">
        <v>118</v>
      </c>
      <c r="AB216" s="273">
        <v>0</v>
      </c>
      <c r="AC216" s="267" t="s">
        <v>2700</v>
      </c>
      <c r="AD216" s="267" t="s">
        <v>2701</v>
      </c>
      <c r="AE216" s="268">
        <v>238</v>
      </c>
      <c r="AF216" s="269">
        <v>558</v>
      </c>
      <c r="AG216" s="78"/>
      <c r="AH216" s="79"/>
    </row>
    <row r="217" spans="1:34" s="80" customFormat="1" ht="12" customHeight="1">
      <c r="A217" s="66">
        <v>2015</v>
      </c>
      <c r="B217" s="67" t="s">
        <v>2701</v>
      </c>
      <c r="C217" s="67" t="s">
        <v>2701</v>
      </c>
      <c r="D217" s="67" t="s">
        <v>2702</v>
      </c>
      <c r="E217" s="66">
        <v>2</v>
      </c>
      <c r="F217" s="68">
        <v>1</v>
      </c>
      <c r="G217" s="69">
        <v>215</v>
      </c>
      <c r="H217" s="37" t="s">
        <v>1362</v>
      </c>
      <c r="I217" s="37" t="s">
        <v>1362</v>
      </c>
      <c r="J217" s="70">
        <v>10500102396501</v>
      </c>
      <c r="K217" s="38" t="s">
        <v>148</v>
      </c>
      <c r="L217" s="38" t="s">
        <v>120</v>
      </c>
      <c r="M217" s="38">
        <v>2</v>
      </c>
      <c r="N217" s="37" t="s">
        <v>233</v>
      </c>
      <c r="O217" s="37" t="s">
        <v>1363</v>
      </c>
      <c r="P217" s="71" t="s">
        <v>1364</v>
      </c>
      <c r="Q217" s="37" t="s">
        <v>1365</v>
      </c>
      <c r="R217" s="37" t="s">
        <v>1366</v>
      </c>
      <c r="S217" s="72" t="s">
        <v>1367</v>
      </c>
      <c r="T217" s="272">
        <v>0</v>
      </c>
      <c r="U217" s="273">
        <v>266</v>
      </c>
      <c r="V217" s="273">
        <v>134</v>
      </c>
      <c r="W217" s="267" t="s">
        <v>2702</v>
      </c>
      <c r="X217" s="267" t="s">
        <v>2701</v>
      </c>
      <c r="Y217" s="268">
        <v>400</v>
      </c>
      <c r="Z217" s="272">
        <v>0</v>
      </c>
      <c r="AA217" s="273">
        <v>0</v>
      </c>
      <c r="AB217" s="273">
        <v>0</v>
      </c>
      <c r="AC217" s="267"/>
      <c r="AD217" s="267"/>
      <c r="AE217" s="268">
        <v>0</v>
      </c>
      <c r="AF217" s="269">
        <v>400</v>
      </c>
      <c r="AG217" s="78"/>
      <c r="AH217" s="275"/>
    </row>
    <row r="218" spans="1:34" s="80" customFormat="1" ht="12" customHeight="1">
      <c r="A218" s="66">
        <v>2016</v>
      </c>
      <c r="B218" s="67" t="s">
        <v>2701</v>
      </c>
      <c r="C218" s="67" t="s">
        <v>2701</v>
      </c>
      <c r="D218" s="67" t="s">
        <v>2702</v>
      </c>
      <c r="E218" s="66">
        <v>2</v>
      </c>
      <c r="F218" s="68">
        <v>1</v>
      </c>
      <c r="G218" s="69">
        <v>216</v>
      </c>
      <c r="H218" s="37" t="s">
        <v>1368</v>
      </c>
      <c r="I218" s="37" t="s">
        <v>1368</v>
      </c>
      <c r="J218" s="70">
        <v>10500102396505</v>
      </c>
      <c r="K218" s="38" t="s">
        <v>148</v>
      </c>
      <c r="L218" s="38"/>
      <c r="M218" s="38">
        <v>2</v>
      </c>
      <c r="N218" s="37" t="s">
        <v>1369</v>
      </c>
      <c r="O218" s="37" t="s">
        <v>1370</v>
      </c>
      <c r="P218" s="71">
        <v>2581053</v>
      </c>
      <c r="Q218" s="37" t="s">
        <v>1371</v>
      </c>
      <c r="R218" s="37" t="s">
        <v>1372</v>
      </c>
      <c r="S218" s="72" t="s">
        <v>1373</v>
      </c>
      <c r="T218" s="272">
        <v>210</v>
      </c>
      <c r="U218" s="273">
        <v>77</v>
      </c>
      <c r="V218" s="273">
        <v>0</v>
      </c>
      <c r="W218" s="267" t="s">
        <v>2702</v>
      </c>
      <c r="X218" s="267" t="s">
        <v>2701</v>
      </c>
      <c r="Y218" s="268">
        <v>287</v>
      </c>
      <c r="Z218" s="272">
        <v>0</v>
      </c>
      <c r="AA218" s="273">
        <v>0</v>
      </c>
      <c r="AB218" s="273">
        <v>0</v>
      </c>
      <c r="AC218" s="267"/>
      <c r="AD218" s="267"/>
      <c r="AE218" s="268">
        <v>0</v>
      </c>
      <c r="AF218" s="269">
        <v>287</v>
      </c>
      <c r="AG218" s="104"/>
      <c r="AH218" s="79"/>
    </row>
    <row r="219" spans="1:34" s="80" customFormat="1" ht="12" customHeight="1">
      <c r="A219" s="66">
        <v>2017</v>
      </c>
      <c r="B219" s="67" t="s">
        <v>2701</v>
      </c>
      <c r="C219" s="67" t="s">
        <v>2701</v>
      </c>
      <c r="D219" s="67" t="s">
        <v>2703</v>
      </c>
      <c r="E219" s="66">
        <v>2</v>
      </c>
      <c r="F219" s="68">
        <v>1</v>
      </c>
      <c r="G219" s="69">
        <v>217</v>
      </c>
      <c r="H219" s="37" t="s">
        <v>1374</v>
      </c>
      <c r="I219" s="37" t="s">
        <v>1374</v>
      </c>
      <c r="J219" s="70">
        <v>10500100112101</v>
      </c>
      <c r="K219" s="38" t="s">
        <v>148</v>
      </c>
      <c r="L219" s="38" t="s">
        <v>120</v>
      </c>
      <c r="M219" s="38">
        <v>3</v>
      </c>
      <c r="N219" s="37" t="s">
        <v>353</v>
      </c>
      <c r="O219" s="37" t="s">
        <v>1375</v>
      </c>
      <c r="P219" s="71">
        <v>2331414</v>
      </c>
      <c r="Q219" s="37" t="s">
        <v>1376</v>
      </c>
      <c r="R219" s="37" t="s">
        <v>1377</v>
      </c>
      <c r="S219" s="72" t="s">
        <v>1378</v>
      </c>
      <c r="T219" s="274">
        <v>0</v>
      </c>
      <c r="U219" s="139">
        <v>0</v>
      </c>
      <c r="V219" s="139">
        <v>320</v>
      </c>
      <c r="W219" s="267" t="s">
        <v>2702</v>
      </c>
      <c r="X219" s="267" t="s">
        <v>2701</v>
      </c>
      <c r="Y219" s="268">
        <v>320</v>
      </c>
      <c r="Z219" s="274">
        <v>0</v>
      </c>
      <c r="AA219" s="139">
        <v>538</v>
      </c>
      <c r="AB219" s="139">
        <v>162</v>
      </c>
      <c r="AC219" s="267" t="s">
        <v>2700</v>
      </c>
      <c r="AD219" s="267" t="s">
        <v>2701</v>
      </c>
      <c r="AE219" s="268">
        <v>700</v>
      </c>
      <c r="AF219" s="269">
        <v>1020</v>
      </c>
      <c r="AG219" s="78"/>
      <c r="AH219" s="275"/>
    </row>
    <row r="220" spans="1:34" s="80" customFormat="1" ht="12" customHeight="1">
      <c r="A220" s="66">
        <v>2018</v>
      </c>
      <c r="B220" s="67" t="s">
        <v>2701</v>
      </c>
      <c r="C220" s="67" t="s">
        <v>2701</v>
      </c>
      <c r="D220" s="67" t="s">
        <v>2703</v>
      </c>
      <c r="E220" s="66">
        <v>2</v>
      </c>
      <c r="F220" s="68">
        <v>1</v>
      </c>
      <c r="G220" s="69">
        <v>218</v>
      </c>
      <c r="H220" s="37" t="s">
        <v>1379</v>
      </c>
      <c r="I220" s="37" t="s">
        <v>1379</v>
      </c>
      <c r="J220" s="70">
        <v>10500100965202</v>
      </c>
      <c r="K220" s="38" t="s">
        <v>148</v>
      </c>
      <c r="L220" s="38"/>
      <c r="M220" s="38">
        <v>3</v>
      </c>
      <c r="N220" s="37" t="s">
        <v>326</v>
      </c>
      <c r="O220" s="37" t="s">
        <v>1380</v>
      </c>
      <c r="P220" s="71">
        <v>2118231</v>
      </c>
      <c r="Q220" s="37" t="s">
        <v>329</v>
      </c>
      <c r="R220" s="37" t="s">
        <v>1381</v>
      </c>
      <c r="S220" s="72" t="s">
        <v>1382</v>
      </c>
      <c r="T220" s="272">
        <v>230</v>
      </c>
      <c r="U220" s="273">
        <v>90</v>
      </c>
      <c r="V220" s="273">
        <v>0</v>
      </c>
      <c r="W220" s="267" t="s">
        <v>2702</v>
      </c>
      <c r="X220" s="267" t="s">
        <v>2701</v>
      </c>
      <c r="Y220" s="268">
        <v>320</v>
      </c>
      <c r="Z220" s="272">
        <v>18</v>
      </c>
      <c r="AA220" s="273">
        <v>107</v>
      </c>
      <c r="AB220" s="273">
        <v>0</v>
      </c>
      <c r="AC220" s="267" t="s">
        <v>2700</v>
      </c>
      <c r="AD220" s="267" t="s">
        <v>2701</v>
      </c>
      <c r="AE220" s="268">
        <v>125</v>
      </c>
      <c r="AF220" s="269">
        <v>445</v>
      </c>
      <c r="AG220" s="78"/>
      <c r="AH220" s="79"/>
    </row>
    <row r="221" spans="1:34" s="80" customFormat="1" ht="12" customHeight="1">
      <c r="A221" s="66">
        <v>2019</v>
      </c>
      <c r="B221" s="67" t="s">
        <v>2701</v>
      </c>
      <c r="C221" s="67" t="s">
        <v>2701</v>
      </c>
      <c r="D221" s="67" t="s">
        <v>2702</v>
      </c>
      <c r="E221" s="66">
        <v>2</v>
      </c>
      <c r="F221" s="68">
        <v>1</v>
      </c>
      <c r="G221" s="69">
        <v>219</v>
      </c>
      <c r="H221" s="37" t="s">
        <v>1383</v>
      </c>
      <c r="I221" s="37" t="s">
        <v>1383</v>
      </c>
      <c r="J221" s="70">
        <v>10500101058803</v>
      </c>
      <c r="K221" s="38" t="s">
        <v>148</v>
      </c>
      <c r="L221" s="38"/>
      <c r="M221" s="38">
        <v>3</v>
      </c>
      <c r="N221" s="37" t="s">
        <v>1384</v>
      </c>
      <c r="O221" s="37" t="s">
        <v>1385</v>
      </c>
      <c r="P221" s="71">
        <v>2631828</v>
      </c>
      <c r="Q221" s="37" t="s">
        <v>335</v>
      </c>
      <c r="R221" s="37" t="s">
        <v>1386</v>
      </c>
      <c r="S221" s="72" t="s">
        <v>1387</v>
      </c>
      <c r="T221" s="272">
        <v>289</v>
      </c>
      <c r="U221" s="273">
        <v>111</v>
      </c>
      <c r="V221" s="273">
        <v>0</v>
      </c>
      <c r="W221" s="267" t="s">
        <v>2702</v>
      </c>
      <c r="X221" s="267" t="s">
        <v>2701</v>
      </c>
      <c r="Y221" s="268">
        <v>400</v>
      </c>
      <c r="Z221" s="272">
        <v>0</v>
      </c>
      <c r="AA221" s="273">
        <v>0</v>
      </c>
      <c r="AB221" s="273">
        <v>0</v>
      </c>
      <c r="AC221" s="267"/>
      <c r="AD221" s="267"/>
      <c r="AE221" s="268">
        <v>0</v>
      </c>
      <c r="AF221" s="277">
        <v>400</v>
      </c>
      <c r="AG221" s="78"/>
      <c r="AH221" s="79"/>
    </row>
    <row r="222" spans="1:34" s="80" customFormat="1" ht="12" customHeight="1">
      <c r="A222" s="66">
        <v>2020</v>
      </c>
      <c r="B222" s="67" t="s">
        <v>2701</v>
      </c>
      <c r="C222" s="67" t="s">
        <v>2701</v>
      </c>
      <c r="D222" s="67" t="s">
        <v>2702</v>
      </c>
      <c r="E222" s="66">
        <v>2</v>
      </c>
      <c r="F222" s="68">
        <v>1</v>
      </c>
      <c r="G222" s="69">
        <v>220</v>
      </c>
      <c r="H222" s="37" t="s">
        <v>1388</v>
      </c>
      <c r="I222" s="37" t="s">
        <v>1388</v>
      </c>
      <c r="J222" s="70">
        <v>10500100017501</v>
      </c>
      <c r="K222" s="38" t="s">
        <v>148</v>
      </c>
      <c r="L222" s="38" t="s">
        <v>120</v>
      </c>
      <c r="M222" s="38">
        <v>3</v>
      </c>
      <c r="N222" s="37" t="s">
        <v>333</v>
      </c>
      <c r="O222" s="37" t="s">
        <v>1389</v>
      </c>
      <c r="P222" s="71" t="s">
        <v>1390</v>
      </c>
      <c r="Q222" s="37" t="s">
        <v>1391</v>
      </c>
      <c r="R222" s="37" t="s">
        <v>1392</v>
      </c>
      <c r="S222" s="72" t="s">
        <v>1393</v>
      </c>
      <c r="T222" s="272">
        <v>76</v>
      </c>
      <c r="U222" s="273">
        <v>244</v>
      </c>
      <c r="V222" s="273">
        <v>90</v>
      </c>
      <c r="W222" s="267" t="s">
        <v>2702</v>
      </c>
      <c r="X222" s="267" t="s">
        <v>2701</v>
      </c>
      <c r="Y222" s="268">
        <v>410</v>
      </c>
      <c r="Z222" s="272">
        <v>0</v>
      </c>
      <c r="AA222" s="273">
        <v>0</v>
      </c>
      <c r="AB222" s="273">
        <v>0</v>
      </c>
      <c r="AC222" s="267"/>
      <c r="AD222" s="267"/>
      <c r="AE222" s="268">
        <v>0</v>
      </c>
      <c r="AF222" s="269">
        <v>410</v>
      </c>
      <c r="AG222" s="278"/>
      <c r="AH222" s="79"/>
    </row>
    <row r="223" spans="1:34" s="80" customFormat="1" ht="12" customHeight="1">
      <c r="A223" s="66">
        <v>2021</v>
      </c>
      <c r="B223" s="67" t="s">
        <v>2701</v>
      </c>
      <c r="C223" s="67" t="s">
        <v>2701</v>
      </c>
      <c r="D223" s="67" t="s">
        <v>2702</v>
      </c>
      <c r="E223" s="66">
        <v>2</v>
      </c>
      <c r="F223" s="68">
        <v>1</v>
      </c>
      <c r="G223" s="69">
        <v>221</v>
      </c>
      <c r="H223" s="37" t="s">
        <v>1394</v>
      </c>
      <c r="I223" s="37" t="s">
        <v>1394</v>
      </c>
      <c r="J223" s="70">
        <v>10500100017502</v>
      </c>
      <c r="K223" s="38" t="s">
        <v>148</v>
      </c>
      <c r="L223" s="38"/>
      <c r="M223" s="38">
        <v>3</v>
      </c>
      <c r="N223" s="37" t="s">
        <v>333</v>
      </c>
      <c r="O223" s="37" t="s">
        <v>1395</v>
      </c>
      <c r="P223" s="71">
        <v>2632428</v>
      </c>
      <c r="Q223" s="37" t="s">
        <v>1396</v>
      </c>
      <c r="R223" s="37" t="s">
        <v>1392</v>
      </c>
      <c r="S223" s="72" t="s">
        <v>1397</v>
      </c>
      <c r="T223" s="272">
        <v>134</v>
      </c>
      <c r="U223" s="273">
        <v>66</v>
      </c>
      <c r="V223" s="273">
        <v>0</v>
      </c>
      <c r="W223" s="267" t="s">
        <v>2702</v>
      </c>
      <c r="X223" s="267" t="s">
        <v>2701</v>
      </c>
      <c r="Y223" s="268">
        <v>200</v>
      </c>
      <c r="Z223" s="272">
        <v>0</v>
      </c>
      <c r="AA223" s="273">
        <v>0</v>
      </c>
      <c r="AB223" s="273">
        <v>0</v>
      </c>
      <c r="AC223" s="267"/>
      <c r="AD223" s="267"/>
      <c r="AE223" s="268">
        <v>0</v>
      </c>
      <c r="AF223" s="269">
        <v>200</v>
      </c>
      <c r="AG223" s="278"/>
      <c r="AH223" s="79"/>
    </row>
    <row r="224" spans="1:34" s="80" customFormat="1" ht="12" customHeight="1">
      <c r="A224" s="66">
        <v>2022</v>
      </c>
      <c r="B224" s="67" t="s">
        <v>2701</v>
      </c>
      <c r="C224" s="67" t="s">
        <v>2701</v>
      </c>
      <c r="D224" s="67" t="s">
        <v>2703</v>
      </c>
      <c r="E224" s="66">
        <v>2</v>
      </c>
      <c r="F224" s="68">
        <v>1</v>
      </c>
      <c r="G224" s="69">
        <v>222</v>
      </c>
      <c r="H224" s="37" t="s">
        <v>1398</v>
      </c>
      <c r="I224" s="37" t="s">
        <v>1399</v>
      </c>
      <c r="J224" s="70">
        <v>10500100123601</v>
      </c>
      <c r="K224" s="38" t="s">
        <v>148</v>
      </c>
      <c r="L224" s="38"/>
      <c r="M224" s="38">
        <v>3</v>
      </c>
      <c r="N224" s="37" t="s">
        <v>333</v>
      </c>
      <c r="O224" s="37" t="s">
        <v>1400</v>
      </c>
      <c r="P224" s="71">
        <v>2639104</v>
      </c>
      <c r="Q224" s="37" t="s">
        <v>1401</v>
      </c>
      <c r="R224" s="37" t="s">
        <v>1402</v>
      </c>
      <c r="S224" s="72" t="s">
        <v>1403</v>
      </c>
      <c r="T224" s="272">
        <v>40</v>
      </c>
      <c r="U224" s="273">
        <v>306</v>
      </c>
      <c r="V224" s="273">
        <v>254</v>
      </c>
      <c r="W224" s="267" t="s">
        <v>2702</v>
      </c>
      <c r="X224" s="267" t="s">
        <v>2701</v>
      </c>
      <c r="Y224" s="268">
        <v>600</v>
      </c>
      <c r="Z224" s="272">
        <v>311</v>
      </c>
      <c r="AA224" s="273">
        <v>139</v>
      </c>
      <c r="AB224" s="273">
        <v>0</v>
      </c>
      <c r="AC224" s="267" t="s">
        <v>2700</v>
      </c>
      <c r="AD224" s="267" t="s">
        <v>2701</v>
      </c>
      <c r="AE224" s="268">
        <v>450</v>
      </c>
      <c r="AF224" s="269">
        <v>1050</v>
      </c>
      <c r="AG224" s="278"/>
      <c r="AH224" s="79"/>
    </row>
    <row r="225" spans="1:34" s="80" customFormat="1" ht="12" customHeight="1">
      <c r="A225" s="66">
        <v>2023</v>
      </c>
      <c r="B225" s="67" t="s">
        <v>2701</v>
      </c>
      <c r="C225" s="67" t="s">
        <v>2701</v>
      </c>
      <c r="D225" s="67" t="s">
        <v>2702</v>
      </c>
      <c r="E225" s="66">
        <v>2</v>
      </c>
      <c r="F225" s="68">
        <v>1</v>
      </c>
      <c r="G225" s="69">
        <v>223</v>
      </c>
      <c r="H225" s="37" t="s">
        <v>1404</v>
      </c>
      <c r="I225" s="37" t="s">
        <v>1405</v>
      </c>
      <c r="J225" s="70">
        <v>10500101953401</v>
      </c>
      <c r="K225" s="38" t="s">
        <v>148</v>
      </c>
      <c r="L225" s="38"/>
      <c r="M225" s="38">
        <v>3</v>
      </c>
      <c r="N225" s="37" t="s">
        <v>1406</v>
      </c>
      <c r="O225" s="37" t="s">
        <v>1407</v>
      </c>
      <c r="P225" s="71">
        <v>2849094</v>
      </c>
      <c r="Q225" s="37" t="s">
        <v>1408</v>
      </c>
      <c r="R225" s="37" t="s">
        <v>1409</v>
      </c>
      <c r="S225" s="72" t="s">
        <v>1410</v>
      </c>
      <c r="T225" s="272">
        <v>379</v>
      </c>
      <c r="U225" s="273">
        <v>251</v>
      </c>
      <c r="V225" s="273">
        <v>0</v>
      </c>
      <c r="W225" s="267" t="s">
        <v>2702</v>
      </c>
      <c r="X225" s="267" t="s">
        <v>2701</v>
      </c>
      <c r="Y225" s="268">
        <v>630</v>
      </c>
      <c r="Z225" s="272">
        <v>0</v>
      </c>
      <c r="AA225" s="273">
        <v>0</v>
      </c>
      <c r="AB225" s="273">
        <v>0</v>
      </c>
      <c r="AC225" s="267"/>
      <c r="AD225" s="267"/>
      <c r="AE225" s="268">
        <v>0</v>
      </c>
      <c r="AF225" s="269">
        <v>630</v>
      </c>
      <c r="AG225" s="278"/>
      <c r="AH225" s="79"/>
    </row>
    <row r="226" spans="1:34" s="80" customFormat="1" ht="12" customHeight="1">
      <c r="A226" s="66">
        <v>2024</v>
      </c>
      <c r="B226" s="67" t="s">
        <v>2701</v>
      </c>
      <c r="C226" s="67" t="s">
        <v>2701</v>
      </c>
      <c r="D226" s="67" t="s">
        <v>2703</v>
      </c>
      <c r="E226" s="66">
        <v>2</v>
      </c>
      <c r="F226" s="68">
        <v>1</v>
      </c>
      <c r="G226" s="69">
        <v>224</v>
      </c>
      <c r="H226" s="37" t="s">
        <v>1411</v>
      </c>
      <c r="I226" s="37" t="s">
        <v>1411</v>
      </c>
      <c r="J226" s="70">
        <v>30500100487101</v>
      </c>
      <c r="K226" s="38" t="s">
        <v>226</v>
      </c>
      <c r="L226" s="38"/>
      <c r="M226" s="38">
        <v>3</v>
      </c>
      <c r="N226" s="37" t="s">
        <v>307</v>
      </c>
      <c r="O226" s="37" t="s">
        <v>1412</v>
      </c>
      <c r="P226" s="71" t="s">
        <v>1413</v>
      </c>
      <c r="Q226" s="37" t="s">
        <v>1414</v>
      </c>
      <c r="R226" s="37" t="s">
        <v>1415</v>
      </c>
      <c r="S226" s="72" t="s">
        <v>1416</v>
      </c>
      <c r="T226" s="272">
        <v>104</v>
      </c>
      <c r="U226" s="273">
        <v>120</v>
      </c>
      <c r="V226" s="273">
        <v>16</v>
      </c>
      <c r="W226" s="267" t="s">
        <v>2702</v>
      </c>
      <c r="X226" s="267" t="s">
        <v>2701</v>
      </c>
      <c r="Y226" s="268">
        <v>240</v>
      </c>
      <c r="Z226" s="272">
        <v>190</v>
      </c>
      <c r="AA226" s="273">
        <v>400</v>
      </c>
      <c r="AB226" s="273">
        <v>210</v>
      </c>
      <c r="AC226" s="267" t="s">
        <v>2700</v>
      </c>
      <c r="AD226" s="267" t="s">
        <v>2701</v>
      </c>
      <c r="AE226" s="268">
        <v>800</v>
      </c>
      <c r="AF226" s="269">
        <v>1040</v>
      </c>
      <c r="AG226" s="278"/>
      <c r="AH226" s="79"/>
    </row>
    <row r="227" spans="1:34" s="80" customFormat="1" ht="12" customHeight="1">
      <c r="A227" s="66">
        <v>2025</v>
      </c>
      <c r="B227" s="67" t="s">
        <v>2701</v>
      </c>
      <c r="C227" s="67" t="s">
        <v>2701</v>
      </c>
      <c r="D227" s="67" t="s">
        <v>2702</v>
      </c>
      <c r="E227" s="66">
        <v>2</v>
      </c>
      <c r="F227" s="68">
        <v>1</v>
      </c>
      <c r="G227" s="69">
        <v>225</v>
      </c>
      <c r="H227" s="37" t="s">
        <v>1417</v>
      </c>
      <c r="I227" s="37" t="s">
        <v>1417</v>
      </c>
      <c r="J227" s="70">
        <v>30500102246101</v>
      </c>
      <c r="K227" s="38" t="s">
        <v>226</v>
      </c>
      <c r="L227" s="38"/>
      <c r="M227" s="38">
        <v>3</v>
      </c>
      <c r="N227" s="37" t="s">
        <v>369</v>
      </c>
      <c r="O227" s="37" t="s">
        <v>1418</v>
      </c>
      <c r="P227" s="71" t="s">
        <v>1419</v>
      </c>
      <c r="Q227" s="37" t="s">
        <v>1420</v>
      </c>
      <c r="R227" s="37" t="s">
        <v>1421</v>
      </c>
      <c r="S227" s="72" t="s">
        <v>1422</v>
      </c>
      <c r="T227" s="272">
        <v>293</v>
      </c>
      <c r="U227" s="273">
        <v>373</v>
      </c>
      <c r="V227" s="273">
        <v>64</v>
      </c>
      <c r="W227" s="267" t="s">
        <v>2702</v>
      </c>
      <c r="X227" s="267" t="s">
        <v>2701</v>
      </c>
      <c r="Y227" s="268">
        <v>730</v>
      </c>
      <c r="Z227" s="272">
        <v>0</v>
      </c>
      <c r="AA227" s="273">
        <v>0</v>
      </c>
      <c r="AB227" s="273">
        <v>0</v>
      </c>
      <c r="AC227" s="267"/>
      <c r="AD227" s="267"/>
      <c r="AE227" s="268">
        <v>0</v>
      </c>
      <c r="AF227" s="269">
        <v>730</v>
      </c>
      <c r="AG227" s="278"/>
      <c r="AH227" s="276"/>
    </row>
    <row r="228" spans="1:34" s="80" customFormat="1" ht="12" customHeight="1">
      <c r="A228" s="66">
        <v>2026</v>
      </c>
      <c r="B228" s="67" t="s">
        <v>2701</v>
      </c>
      <c r="C228" s="67" t="s">
        <v>2701</v>
      </c>
      <c r="D228" s="67" t="s">
        <v>2702</v>
      </c>
      <c r="E228" s="66">
        <v>2</v>
      </c>
      <c r="F228" s="68">
        <v>1</v>
      </c>
      <c r="G228" s="69">
        <v>226</v>
      </c>
      <c r="H228" s="37" t="s">
        <v>1423</v>
      </c>
      <c r="I228" s="37" t="s">
        <v>1423</v>
      </c>
      <c r="J228" s="70">
        <v>30500102633501</v>
      </c>
      <c r="K228" s="38" t="s">
        <v>226</v>
      </c>
      <c r="L228" s="38"/>
      <c r="M228" s="38">
        <v>3</v>
      </c>
      <c r="N228" s="37" t="s">
        <v>369</v>
      </c>
      <c r="O228" s="37" t="s">
        <v>1424</v>
      </c>
      <c r="P228" s="71">
        <v>2313169</v>
      </c>
      <c r="Q228" s="37" t="s">
        <v>1425</v>
      </c>
      <c r="R228" s="37" t="s">
        <v>1426</v>
      </c>
      <c r="S228" s="72" t="s">
        <v>1427</v>
      </c>
      <c r="T228" s="274">
        <v>95</v>
      </c>
      <c r="U228" s="139">
        <v>224</v>
      </c>
      <c r="V228" s="139">
        <v>11</v>
      </c>
      <c r="W228" s="267" t="s">
        <v>2702</v>
      </c>
      <c r="X228" s="267" t="s">
        <v>2701</v>
      </c>
      <c r="Y228" s="268">
        <v>330</v>
      </c>
      <c r="Z228" s="272">
        <v>0</v>
      </c>
      <c r="AA228" s="273">
        <v>0</v>
      </c>
      <c r="AB228" s="273">
        <v>0</v>
      </c>
      <c r="AC228" s="267"/>
      <c r="AD228" s="267"/>
      <c r="AE228" s="268">
        <v>0</v>
      </c>
      <c r="AF228" s="269">
        <v>330</v>
      </c>
      <c r="AG228" s="278"/>
      <c r="AH228" s="79"/>
    </row>
    <row r="229" spans="1:34" s="80" customFormat="1" ht="12" customHeight="1">
      <c r="A229" s="66">
        <v>2027</v>
      </c>
      <c r="B229" s="67" t="s">
        <v>2701</v>
      </c>
      <c r="C229" s="67" t="s">
        <v>2701</v>
      </c>
      <c r="D229" s="67" t="s">
        <v>2702</v>
      </c>
      <c r="E229" s="66">
        <v>2</v>
      </c>
      <c r="F229" s="83">
        <v>1</v>
      </c>
      <c r="G229" s="69">
        <v>227</v>
      </c>
      <c r="H229" s="279" t="s">
        <v>1428</v>
      </c>
      <c r="I229" s="85" t="s">
        <v>1428</v>
      </c>
      <c r="J229" s="86">
        <v>10500100098101</v>
      </c>
      <c r="K229" s="87" t="s">
        <v>148</v>
      </c>
      <c r="L229" s="280"/>
      <c r="M229" s="87">
        <v>4</v>
      </c>
      <c r="N229" s="85" t="s">
        <v>436</v>
      </c>
      <c r="O229" s="85" t="s">
        <v>1429</v>
      </c>
      <c r="P229" s="89" t="s">
        <v>1430</v>
      </c>
      <c r="Q229" s="85" t="s">
        <v>432</v>
      </c>
      <c r="R229" s="85" t="s">
        <v>1431</v>
      </c>
      <c r="S229" s="90" t="s">
        <v>1432</v>
      </c>
      <c r="T229" s="281">
        <v>0</v>
      </c>
      <c r="U229" s="282">
        <v>0</v>
      </c>
      <c r="V229" s="92">
        <v>300</v>
      </c>
      <c r="W229" s="267" t="s">
        <v>2702</v>
      </c>
      <c r="X229" s="267" t="s">
        <v>2701</v>
      </c>
      <c r="Y229" s="268">
        <v>300</v>
      </c>
      <c r="Z229" s="281">
        <v>0</v>
      </c>
      <c r="AA229" s="282">
        <v>0</v>
      </c>
      <c r="AB229" s="282">
        <v>0</v>
      </c>
      <c r="AC229" s="267"/>
      <c r="AD229" s="267"/>
      <c r="AE229" s="268">
        <v>0</v>
      </c>
      <c r="AF229" s="283">
        <v>300</v>
      </c>
      <c r="AG229" s="284"/>
      <c r="AH229" s="95" t="s">
        <v>1433</v>
      </c>
    </row>
    <row r="230" spans="1:34" s="80" customFormat="1" ht="12" customHeight="1">
      <c r="A230" s="66">
        <v>2028</v>
      </c>
      <c r="B230" s="67" t="s">
        <v>2701</v>
      </c>
      <c r="C230" s="67" t="s">
        <v>2701</v>
      </c>
      <c r="D230" s="67" t="s">
        <v>2703</v>
      </c>
      <c r="E230" s="66">
        <v>2</v>
      </c>
      <c r="F230" s="110">
        <v>2</v>
      </c>
      <c r="G230" s="69">
        <v>228</v>
      </c>
      <c r="H230" s="111" t="s">
        <v>1434</v>
      </c>
      <c r="I230" s="112" t="s">
        <v>1434</v>
      </c>
      <c r="J230" s="113">
        <v>10500100328001</v>
      </c>
      <c r="K230" s="114" t="s">
        <v>148</v>
      </c>
      <c r="L230" s="114" t="s">
        <v>120</v>
      </c>
      <c r="M230" s="114">
        <v>5</v>
      </c>
      <c r="N230" s="115" t="s">
        <v>527</v>
      </c>
      <c r="O230" s="111" t="s">
        <v>1435</v>
      </c>
      <c r="P230" s="115" t="s">
        <v>1436</v>
      </c>
      <c r="Q230" s="111" t="s">
        <v>1437</v>
      </c>
      <c r="R230" s="111" t="s">
        <v>1438</v>
      </c>
      <c r="S230" s="116" t="s">
        <v>1439</v>
      </c>
      <c r="T230" s="274">
        <v>0</v>
      </c>
      <c r="U230" s="139">
        <v>115</v>
      </c>
      <c r="V230" s="139">
        <v>105</v>
      </c>
      <c r="W230" s="267" t="s">
        <v>2702</v>
      </c>
      <c r="X230" s="267" t="s">
        <v>2701</v>
      </c>
      <c r="Y230" s="285">
        <v>220</v>
      </c>
      <c r="Z230" s="274">
        <v>0</v>
      </c>
      <c r="AA230" s="139">
        <v>90</v>
      </c>
      <c r="AB230" s="139">
        <v>60</v>
      </c>
      <c r="AC230" s="267" t="s">
        <v>2700</v>
      </c>
      <c r="AD230" s="267" t="s">
        <v>2701</v>
      </c>
      <c r="AE230" s="285">
        <v>150</v>
      </c>
      <c r="AF230" s="286">
        <v>370</v>
      </c>
      <c r="AG230" s="118"/>
      <c r="AH230" s="119"/>
    </row>
    <row r="231" spans="1:34" s="80" customFormat="1" ht="12" customHeight="1">
      <c r="A231" s="66">
        <v>2029</v>
      </c>
      <c r="B231" s="67" t="s">
        <v>2701</v>
      </c>
      <c r="C231" s="67" t="s">
        <v>2701</v>
      </c>
      <c r="D231" s="67" t="s">
        <v>2703</v>
      </c>
      <c r="E231" s="66">
        <v>2</v>
      </c>
      <c r="F231" s="110">
        <v>2</v>
      </c>
      <c r="G231" s="69">
        <v>229</v>
      </c>
      <c r="H231" s="111" t="s">
        <v>1440</v>
      </c>
      <c r="I231" s="112" t="s">
        <v>1440</v>
      </c>
      <c r="J231" s="113">
        <v>10500102578001</v>
      </c>
      <c r="K231" s="114" t="s">
        <v>148</v>
      </c>
      <c r="L231" s="114" t="s">
        <v>120</v>
      </c>
      <c r="M231" s="114">
        <v>5</v>
      </c>
      <c r="N231" s="115" t="s">
        <v>509</v>
      </c>
      <c r="O231" s="111" t="s">
        <v>1441</v>
      </c>
      <c r="P231" s="115" t="s">
        <v>1442</v>
      </c>
      <c r="Q231" s="111" t="s">
        <v>1443</v>
      </c>
      <c r="R231" s="111" t="s">
        <v>1444</v>
      </c>
      <c r="S231" s="116" t="s">
        <v>1445</v>
      </c>
      <c r="T231" s="274">
        <v>0</v>
      </c>
      <c r="U231" s="139">
        <v>10</v>
      </c>
      <c r="V231" s="139">
        <v>300</v>
      </c>
      <c r="W231" s="267" t="s">
        <v>2702</v>
      </c>
      <c r="X231" s="267" t="s">
        <v>2701</v>
      </c>
      <c r="Y231" s="285">
        <v>310</v>
      </c>
      <c r="Z231" s="287">
        <v>176</v>
      </c>
      <c r="AA231" s="288">
        <v>279</v>
      </c>
      <c r="AB231" s="139">
        <v>105</v>
      </c>
      <c r="AC231" s="267" t="s">
        <v>2700</v>
      </c>
      <c r="AD231" s="267" t="s">
        <v>2701</v>
      </c>
      <c r="AE231" s="285">
        <v>560</v>
      </c>
      <c r="AF231" s="286">
        <v>870</v>
      </c>
      <c r="AG231" s="289"/>
      <c r="AH231" s="119"/>
    </row>
    <row r="232" spans="1:34" s="80" customFormat="1" ht="12" customHeight="1">
      <c r="A232" s="66">
        <v>2030</v>
      </c>
      <c r="B232" s="67" t="s">
        <v>2701</v>
      </c>
      <c r="C232" s="67" t="s">
        <v>2701</v>
      </c>
      <c r="D232" s="67" t="s">
        <v>2703</v>
      </c>
      <c r="E232" s="66">
        <v>2</v>
      </c>
      <c r="F232" s="110">
        <v>2</v>
      </c>
      <c r="G232" s="69">
        <v>230</v>
      </c>
      <c r="H232" s="111" t="s">
        <v>1446</v>
      </c>
      <c r="I232" s="112" t="s">
        <v>1446</v>
      </c>
      <c r="J232" s="113">
        <v>10500102163601</v>
      </c>
      <c r="K232" s="114" t="s">
        <v>148</v>
      </c>
      <c r="L232" s="114" t="s">
        <v>120</v>
      </c>
      <c r="M232" s="114">
        <v>6</v>
      </c>
      <c r="N232" s="115" t="s">
        <v>563</v>
      </c>
      <c r="O232" s="111" t="s">
        <v>1447</v>
      </c>
      <c r="P232" s="115" t="s">
        <v>1448</v>
      </c>
      <c r="Q232" s="111" t="s">
        <v>572</v>
      </c>
      <c r="R232" s="111" t="s">
        <v>1449</v>
      </c>
      <c r="S232" s="116" t="s">
        <v>574</v>
      </c>
      <c r="T232" s="274">
        <v>0</v>
      </c>
      <c r="U232" s="139">
        <v>120</v>
      </c>
      <c r="V232" s="139">
        <v>120</v>
      </c>
      <c r="W232" s="267" t="s">
        <v>2702</v>
      </c>
      <c r="X232" s="267" t="s">
        <v>2701</v>
      </c>
      <c r="Y232" s="285">
        <v>240</v>
      </c>
      <c r="Z232" s="274">
        <v>0</v>
      </c>
      <c r="AA232" s="139">
        <v>350</v>
      </c>
      <c r="AB232" s="139">
        <v>150</v>
      </c>
      <c r="AC232" s="267" t="s">
        <v>2700</v>
      </c>
      <c r="AD232" s="267" t="s">
        <v>2701</v>
      </c>
      <c r="AE232" s="285">
        <v>500</v>
      </c>
      <c r="AF232" s="286">
        <v>740</v>
      </c>
      <c r="AG232" s="118"/>
      <c r="AH232" s="119"/>
    </row>
    <row r="233" spans="1:34" s="80" customFormat="1" ht="12" customHeight="1">
      <c r="A233" s="66">
        <v>2031</v>
      </c>
      <c r="B233" s="67" t="s">
        <v>2701</v>
      </c>
      <c r="C233" s="67" t="s">
        <v>2701</v>
      </c>
      <c r="D233" s="67" t="s">
        <v>2703</v>
      </c>
      <c r="E233" s="66">
        <v>2</v>
      </c>
      <c r="F233" s="110">
        <v>2</v>
      </c>
      <c r="G233" s="69">
        <v>231</v>
      </c>
      <c r="H233" s="111" t="s">
        <v>1450</v>
      </c>
      <c r="I233" s="112" t="s">
        <v>1450</v>
      </c>
      <c r="J233" s="113">
        <v>10500101044801</v>
      </c>
      <c r="K233" s="114" t="s">
        <v>148</v>
      </c>
      <c r="L233" s="114" t="s">
        <v>120</v>
      </c>
      <c r="M233" s="114">
        <v>6</v>
      </c>
      <c r="N233" s="115" t="s">
        <v>1451</v>
      </c>
      <c r="O233" s="111" t="s">
        <v>1452</v>
      </c>
      <c r="P233" s="115">
        <v>2375615</v>
      </c>
      <c r="Q233" s="111" t="s">
        <v>1453</v>
      </c>
      <c r="R233" s="111" t="s">
        <v>1454</v>
      </c>
      <c r="S233" s="116" t="s">
        <v>1455</v>
      </c>
      <c r="T233" s="274">
        <v>0</v>
      </c>
      <c r="U233" s="139">
        <v>240</v>
      </c>
      <c r="V233" s="139">
        <v>160</v>
      </c>
      <c r="W233" s="267" t="s">
        <v>2702</v>
      </c>
      <c r="X233" s="267" t="s">
        <v>2701</v>
      </c>
      <c r="Y233" s="285">
        <v>400</v>
      </c>
      <c r="Z233" s="274">
        <v>0</v>
      </c>
      <c r="AA233" s="139">
        <v>195</v>
      </c>
      <c r="AB233" s="139">
        <v>65</v>
      </c>
      <c r="AC233" s="267" t="s">
        <v>2700</v>
      </c>
      <c r="AD233" s="267" t="s">
        <v>2701</v>
      </c>
      <c r="AE233" s="285">
        <v>260</v>
      </c>
      <c r="AF233" s="286">
        <v>660</v>
      </c>
      <c r="AG233" s="118"/>
      <c r="AH233" s="119"/>
    </row>
    <row r="234" spans="1:34" s="80" customFormat="1" ht="12" customHeight="1">
      <c r="A234" s="66">
        <v>2032</v>
      </c>
      <c r="B234" s="67" t="s">
        <v>2701</v>
      </c>
      <c r="C234" s="67" t="s">
        <v>2701</v>
      </c>
      <c r="D234" s="67" t="s">
        <v>2702</v>
      </c>
      <c r="E234" s="66">
        <v>2</v>
      </c>
      <c r="F234" s="110">
        <v>2</v>
      </c>
      <c r="G234" s="69">
        <v>232</v>
      </c>
      <c r="H234" s="111" t="s">
        <v>1456</v>
      </c>
      <c r="I234" s="112" t="s">
        <v>1456</v>
      </c>
      <c r="J234" s="113">
        <v>10500101044804</v>
      </c>
      <c r="K234" s="114" t="s">
        <v>148</v>
      </c>
      <c r="L234" s="114" t="s">
        <v>120</v>
      </c>
      <c r="M234" s="114">
        <v>6</v>
      </c>
      <c r="N234" s="115" t="s">
        <v>1451</v>
      </c>
      <c r="O234" s="111" t="s">
        <v>1457</v>
      </c>
      <c r="P234" s="115">
        <v>2379548</v>
      </c>
      <c r="Q234" s="111" t="s">
        <v>1453</v>
      </c>
      <c r="R234" s="111" t="s">
        <v>1458</v>
      </c>
      <c r="S234" s="116" t="s">
        <v>1459</v>
      </c>
      <c r="T234" s="274">
        <v>120</v>
      </c>
      <c r="U234" s="139">
        <v>100</v>
      </c>
      <c r="V234" s="139">
        <v>0</v>
      </c>
      <c r="W234" s="267" t="s">
        <v>2702</v>
      </c>
      <c r="X234" s="267" t="s">
        <v>2701</v>
      </c>
      <c r="Y234" s="285">
        <v>220</v>
      </c>
      <c r="Z234" s="274">
        <v>0</v>
      </c>
      <c r="AA234" s="139">
        <v>0</v>
      </c>
      <c r="AB234" s="139">
        <v>0</v>
      </c>
      <c r="AC234" s="267"/>
      <c r="AD234" s="267"/>
      <c r="AE234" s="285">
        <v>0</v>
      </c>
      <c r="AF234" s="286">
        <v>220</v>
      </c>
      <c r="AG234" s="118"/>
      <c r="AH234" s="119"/>
    </row>
    <row r="235" spans="1:34" s="80" customFormat="1" ht="12" customHeight="1">
      <c r="A235" s="66">
        <v>2033</v>
      </c>
      <c r="B235" s="67" t="s">
        <v>2701</v>
      </c>
      <c r="C235" s="67" t="s">
        <v>2701</v>
      </c>
      <c r="D235" s="67" t="s">
        <v>2702</v>
      </c>
      <c r="E235" s="66">
        <v>2</v>
      </c>
      <c r="F235" s="110">
        <v>2</v>
      </c>
      <c r="G235" s="69">
        <v>233</v>
      </c>
      <c r="H235" s="111" t="s">
        <v>1460</v>
      </c>
      <c r="I235" s="112" t="s">
        <v>1460</v>
      </c>
      <c r="J235" s="113">
        <v>10500101044802</v>
      </c>
      <c r="K235" s="114" t="s">
        <v>148</v>
      </c>
      <c r="L235" s="114" t="s">
        <v>120</v>
      </c>
      <c r="M235" s="114">
        <v>6</v>
      </c>
      <c r="N235" s="115" t="s">
        <v>1451</v>
      </c>
      <c r="O235" s="111" t="s">
        <v>1461</v>
      </c>
      <c r="P235" s="115">
        <v>2374541</v>
      </c>
      <c r="Q235" s="111" t="s">
        <v>1453</v>
      </c>
      <c r="R235" s="111" t="s">
        <v>1462</v>
      </c>
      <c r="S235" s="116" t="s">
        <v>1463</v>
      </c>
      <c r="T235" s="274">
        <v>114</v>
      </c>
      <c r="U235" s="139">
        <v>73</v>
      </c>
      <c r="V235" s="139">
        <v>0</v>
      </c>
      <c r="W235" s="267" t="s">
        <v>2702</v>
      </c>
      <c r="X235" s="267" t="s">
        <v>2701</v>
      </c>
      <c r="Y235" s="285">
        <v>187</v>
      </c>
      <c r="Z235" s="274">
        <v>0</v>
      </c>
      <c r="AA235" s="139">
        <v>0</v>
      </c>
      <c r="AB235" s="139">
        <v>0</v>
      </c>
      <c r="AC235" s="267"/>
      <c r="AD235" s="267"/>
      <c r="AE235" s="285">
        <v>0</v>
      </c>
      <c r="AF235" s="286">
        <v>187</v>
      </c>
      <c r="AG235" s="118"/>
      <c r="AH235" s="119"/>
    </row>
    <row r="236" spans="1:34" s="80" customFormat="1" ht="12" customHeight="1">
      <c r="A236" s="66">
        <v>2034</v>
      </c>
      <c r="B236" s="67" t="s">
        <v>2701</v>
      </c>
      <c r="C236" s="67" t="s">
        <v>2701</v>
      </c>
      <c r="D236" s="67" t="s">
        <v>2702</v>
      </c>
      <c r="E236" s="66">
        <v>2</v>
      </c>
      <c r="F236" s="110">
        <v>2</v>
      </c>
      <c r="G236" s="69">
        <v>234</v>
      </c>
      <c r="H236" s="111" t="s">
        <v>1464</v>
      </c>
      <c r="I236" s="112" t="s">
        <v>1464</v>
      </c>
      <c r="J236" s="113">
        <v>10500101044803</v>
      </c>
      <c r="K236" s="114" t="s">
        <v>148</v>
      </c>
      <c r="L236" s="114" t="s">
        <v>120</v>
      </c>
      <c r="M236" s="114">
        <v>6</v>
      </c>
      <c r="N236" s="115" t="s">
        <v>1451</v>
      </c>
      <c r="O236" s="111" t="s">
        <v>1465</v>
      </c>
      <c r="P236" s="115">
        <v>2370213</v>
      </c>
      <c r="Q236" s="111" t="s">
        <v>1453</v>
      </c>
      <c r="R236" s="111" t="s">
        <v>1466</v>
      </c>
      <c r="S236" s="116" t="s">
        <v>1467</v>
      </c>
      <c r="T236" s="287">
        <v>107</v>
      </c>
      <c r="U236" s="288">
        <v>93</v>
      </c>
      <c r="V236" s="288">
        <v>0</v>
      </c>
      <c r="W236" s="267" t="s">
        <v>2702</v>
      </c>
      <c r="X236" s="267" t="s">
        <v>2701</v>
      </c>
      <c r="Y236" s="285">
        <v>200</v>
      </c>
      <c r="Z236" s="274">
        <v>0</v>
      </c>
      <c r="AA236" s="139">
        <v>0</v>
      </c>
      <c r="AB236" s="139">
        <v>0</v>
      </c>
      <c r="AC236" s="267"/>
      <c r="AD236" s="267"/>
      <c r="AE236" s="285">
        <v>0</v>
      </c>
      <c r="AF236" s="286">
        <v>200</v>
      </c>
      <c r="AG236" s="118"/>
      <c r="AH236" s="119"/>
    </row>
    <row r="237" spans="1:34" s="80" customFormat="1" ht="12" customHeight="1">
      <c r="A237" s="66">
        <v>2035</v>
      </c>
      <c r="B237" s="67" t="s">
        <v>2701</v>
      </c>
      <c r="C237" s="67" t="s">
        <v>2701</v>
      </c>
      <c r="D237" s="67" t="s">
        <v>2702</v>
      </c>
      <c r="E237" s="66">
        <v>2</v>
      </c>
      <c r="F237" s="110">
        <v>2</v>
      </c>
      <c r="G237" s="69">
        <v>235</v>
      </c>
      <c r="H237" s="111" t="s">
        <v>1468</v>
      </c>
      <c r="I237" s="112" t="s">
        <v>1468</v>
      </c>
      <c r="J237" s="113">
        <v>10500101044805</v>
      </c>
      <c r="K237" s="114" t="s">
        <v>148</v>
      </c>
      <c r="L237" s="114" t="s">
        <v>120</v>
      </c>
      <c r="M237" s="114">
        <v>6</v>
      </c>
      <c r="N237" s="115" t="s">
        <v>1469</v>
      </c>
      <c r="O237" s="111" t="s">
        <v>1470</v>
      </c>
      <c r="P237" s="115">
        <v>2378059</v>
      </c>
      <c r="Q237" s="111" t="s">
        <v>1453</v>
      </c>
      <c r="R237" s="111" t="s">
        <v>1471</v>
      </c>
      <c r="S237" s="116" t="s">
        <v>1472</v>
      </c>
      <c r="T237" s="287">
        <v>159</v>
      </c>
      <c r="U237" s="288">
        <v>86</v>
      </c>
      <c r="V237" s="288">
        <v>0</v>
      </c>
      <c r="W237" s="267" t="s">
        <v>2702</v>
      </c>
      <c r="X237" s="267" t="s">
        <v>2701</v>
      </c>
      <c r="Y237" s="285">
        <v>245</v>
      </c>
      <c r="Z237" s="274">
        <v>0</v>
      </c>
      <c r="AA237" s="139">
        <v>0</v>
      </c>
      <c r="AB237" s="139">
        <v>0</v>
      </c>
      <c r="AC237" s="267"/>
      <c r="AD237" s="267"/>
      <c r="AE237" s="285">
        <v>0</v>
      </c>
      <c r="AF237" s="286">
        <v>245</v>
      </c>
      <c r="AG237" s="118"/>
      <c r="AH237" s="119"/>
    </row>
    <row r="238" spans="1:34" s="80" customFormat="1" ht="12" customHeight="1">
      <c r="A238" s="66">
        <v>2036</v>
      </c>
      <c r="B238" s="67" t="s">
        <v>2701</v>
      </c>
      <c r="C238" s="67" t="s">
        <v>2701</v>
      </c>
      <c r="D238" s="67" t="s">
        <v>2703</v>
      </c>
      <c r="E238" s="66">
        <v>2</v>
      </c>
      <c r="F238" s="110">
        <v>2</v>
      </c>
      <c r="G238" s="69">
        <v>236</v>
      </c>
      <c r="H238" s="111" t="s">
        <v>1473</v>
      </c>
      <c r="I238" s="112" t="s">
        <v>1473</v>
      </c>
      <c r="J238" s="113">
        <v>10500102407301</v>
      </c>
      <c r="K238" s="114" t="s">
        <v>148</v>
      </c>
      <c r="L238" s="114" t="s">
        <v>120</v>
      </c>
      <c r="M238" s="114">
        <v>6</v>
      </c>
      <c r="N238" s="115" t="s">
        <v>533</v>
      </c>
      <c r="O238" s="111" t="s">
        <v>1474</v>
      </c>
      <c r="P238" s="115" t="s">
        <v>1475</v>
      </c>
      <c r="Q238" s="111" t="s">
        <v>1476</v>
      </c>
      <c r="R238" s="111" t="s">
        <v>1477</v>
      </c>
      <c r="S238" s="116" t="s">
        <v>1478</v>
      </c>
      <c r="T238" s="287">
        <v>0</v>
      </c>
      <c r="U238" s="288">
        <v>45</v>
      </c>
      <c r="V238" s="288">
        <v>260</v>
      </c>
      <c r="W238" s="267" t="s">
        <v>2702</v>
      </c>
      <c r="X238" s="267" t="s">
        <v>2701</v>
      </c>
      <c r="Y238" s="285">
        <v>305</v>
      </c>
      <c r="Z238" s="274">
        <v>0</v>
      </c>
      <c r="AA238" s="139">
        <v>129</v>
      </c>
      <c r="AB238" s="139">
        <v>64</v>
      </c>
      <c r="AC238" s="267" t="s">
        <v>2700</v>
      </c>
      <c r="AD238" s="267" t="s">
        <v>2701</v>
      </c>
      <c r="AE238" s="285">
        <v>193</v>
      </c>
      <c r="AF238" s="286">
        <v>498</v>
      </c>
      <c r="AG238" s="118"/>
      <c r="AH238" s="119"/>
    </row>
    <row r="239" spans="1:34" s="80" customFormat="1" ht="12" customHeight="1">
      <c r="A239" s="66">
        <v>2037</v>
      </c>
      <c r="B239" s="67" t="s">
        <v>2701</v>
      </c>
      <c r="C239" s="67" t="s">
        <v>2701</v>
      </c>
      <c r="D239" s="67" t="s">
        <v>2702</v>
      </c>
      <c r="E239" s="66">
        <v>2</v>
      </c>
      <c r="F239" s="110">
        <v>2</v>
      </c>
      <c r="G239" s="69">
        <v>237</v>
      </c>
      <c r="H239" s="111" t="s">
        <v>1479</v>
      </c>
      <c r="I239" s="112" t="s">
        <v>1479</v>
      </c>
      <c r="J239" s="113">
        <v>10500102407302</v>
      </c>
      <c r="K239" s="114" t="s">
        <v>148</v>
      </c>
      <c r="L239" s="114" t="s">
        <v>120</v>
      </c>
      <c r="M239" s="114">
        <v>6</v>
      </c>
      <c r="N239" s="115" t="s">
        <v>591</v>
      </c>
      <c r="O239" s="111" t="s">
        <v>1480</v>
      </c>
      <c r="P239" s="115">
        <v>2379168</v>
      </c>
      <c r="Q239" s="111" t="s">
        <v>1481</v>
      </c>
      <c r="R239" s="111" t="s">
        <v>1482</v>
      </c>
      <c r="S239" s="116"/>
      <c r="T239" s="287">
        <v>100</v>
      </c>
      <c r="U239" s="288">
        <v>80</v>
      </c>
      <c r="V239" s="288">
        <v>0</v>
      </c>
      <c r="W239" s="267" t="s">
        <v>2702</v>
      </c>
      <c r="X239" s="267" t="s">
        <v>2701</v>
      </c>
      <c r="Y239" s="285">
        <v>180</v>
      </c>
      <c r="Z239" s="274">
        <v>0</v>
      </c>
      <c r="AA239" s="139">
        <v>0</v>
      </c>
      <c r="AB239" s="139">
        <v>0</v>
      </c>
      <c r="AC239" s="267"/>
      <c r="AD239" s="267"/>
      <c r="AE239" s="285">
        <v>0</v>
      </c>
      <c r="AF239" s="286">
        <v>180</v>
      </c>
      <c r="AG239" s="118"/>
      <c r="AH239" s="119"/>
    </row>
    <row r="240" spans="1:34" s="80" customFormat="1" ht="12" customHeight="1">
      <c r="A240" s="66">
        <v>2038</v>
      </c>
      <c r="B240" s="67" t="s">
        <v>2701</v>
      </c>
      <c r="C240" s="67" t="s">
        <v>2701</v>
      </c>
      <c r="D240" s="67" t="s">
        <v>2702</v>
      </c>
      <c r="E240" s="66">
        <v>2</v>
      </c>
      <c r="F240" s="110">
        <v>2</v>
      </c>
      <c r="G240" s="69">
        <v>238</v>
      </c>
      <c r="H240" s="111" t="s">
        <v>1483</v>
      </c>
      <c r="I240" s="112" t="s">
        <v>1483</v>
      </c>
      <c r="J240" s="113">
        <v>30500102423601</v>
      </c>
      <c r="K240" s="114" t="s">
        <v>226</v>
      </c>
      <c r="L240" s="114"/>
      <c r="M240" s="114">
        <v>6</v>
      </c>
      <c r="N240" s="115" t="s">
        <v>619</v>
      </c>
      <c r="O240" s="111" t="s">
        <v>1484</v>
      </c>
      <c r="P240" s="115">
        <v>4714266</v>
      </c>
      <c r="Q240" s="111" t="s">
        <v>1485</v>
      </c>
      <c r="R240" s="111" t="s">
        <v>1486</v>
      </c>
      <c r="S240" s="116" t="s">
        <v>1487</v>
      </c>
      <c r="T240" s="274">
        <v>160</v>
      </c>
      <c r="U240" s="139">
        <v>130</v>
      </c>
      <c r="V240" s="139">
        <v>0</v>
      </c>
      <c r="W240" s="267" t="s">
        <v>2702</v>
      </c>
      <c r="X240" s="267" t="s">
        <v>2701</v>
      </c>
      <c r="Y240" s="285">
        <v>290</v>
      </c>
      <c r="Z240" s="274">
        <v>0</v>
      </c>
      <c r="AA240" s="139">
        <v>0</v>
      </c>
      <c r="AB240" s="139">
        <v>0</v>
      </c>
      <c r="AC240" s="267"/>
      <c r="AD240" s="267"/>
      <c r="AE240" s="285">
        <v>0</v>
      </c>
      <c r="AF240" s="286">
        <v>290</v>
      </c>
      <c r="AG240" s="118"/>
      <c r="AH240" s="119"/>
    </row>
    <row r="241" spans="1:34" s="80" customFormat="1" ht="12" customHeight="1">
      <c r="A241" s="66">
        <v>2039</v>
      </c>
      <c r="B241" s="67" t="s">
        <v>2701</v>
      </c>
      <c r="C241" s="67" t="s">
        <v>2701</v>
      </c>
      <c r="D241" s="67" t="s">
        <v>2702</v>
      </c>
      <c r="E241" s="66">
        <v>2</v>
      </c>
      <c r="F241" s="110">
        <v>2</v>
      </c>
      <c r="G241" s="69">
        <v>239</v>
      </c>
      <c r="H241" s="111" t="s">
        <v>1488</v>
      </c>
      <c r="I241" s="112" t="s">
        <v>1488</v>
      </c>
      <c r="J241" s="113">
        <v>10500101209202</v>
      </c>
      <c r="K241" s="114" t="s">
        <v>148</v>
      </c>
      <c r="L241" s="114" t="s">
        <v>120</v>
      </c>
      <c r="M241" s="114">
        <v>6</v>
      </c>
      <c r="N241" s="115" t="s">
        <v>467</v>
      </c>
      <c r="O241" s="111" t="s">
        <v>1489</v>
      </c>
      <c r="P241" s="115" t="s">
        <v>1490</v>
      </c>
      <c r="Q241" s="111" t="s">
        <v>633</v>
      </c>
      <c r="R241" s="111" t="s">
        <v>1491</v>
      </c>
      <c r="S241" s="116" t="s">
        <v>635</v>
      </c>
      <c r="T241" s="274">
        <v>0</v>
      </c>
      <c r="U241" s="139">
        <v>196</v>
      </c>
      <c r="V241" s="139">
        <v>0</v>
      </c>
      <c r="W241" s="267" t="s">
        <v>2702</v>
      </c>
      <c r="X241" s="267" t="s">
        <v>2701</v>
      </c>
      <c r="Y241" s="285">
        <v>196</v>
      </c>
      <c r="Z241" s="274">
        <v>0</v>
      </c>
      <c r="AA241" s="139">
        <v>0</v>
      </c>
      <c r="AB241" s="139">
        <v>0</v>
      </c>
      <c r="AC241" s="267"/>
      <c r="AD241" s="267"/>
      <c r="AE241" s="285">
        <v>0</v>
      </c>
      <c r="AF241" s="286">
        <v>196</v>
      </c>
      <c r="AG241" s="118"/>
      <c r="AH241" s="119"/>
    </row>
    <row r="242" spans="1:34" s="80" customFormat="1" ht="12" customHeight="1">
      <c r="A242" s="66">
        <v>2040</v>
      </c>
      <c r="B242" s="67" t="s">
        <v>2701</v>
      </c>
      <c r="C242" s="67" t="s">
        <v>2701</v>
      </c>
      <c r="D242" s="67" t="s">
        <v>2703</v>
      </c>
      <c r="E242" s="66">
        <v>2</v>
      </c>
      <c r="F242" s="110">
        <v>2</v>
      </c>
      <c r="G242" s="69">
        <v>240</v>
      </c>
      <c r="H242" s="111" t="s">
        <v>1492</v>
      </c>
      <c r="I242" s="112" t="s">
        <v>1492</v>
      </c>
      <c r="J242" s="113">
        <v>10500101301301</v>
      </c>
      <c r="K242" s="114" t="s">
        <v>148</v>
      </c>
      <c r="L242" s="114" t="s">
        <v>120</v>
      </c>
      <c r="M242" s="114">
        <v>6</v>
      </c>
      <c r="N242" s="115" t="s">
        <v>1493</v>
      </c>
      <c r="O242" s="111" t="s">
        <v>1494</v>
      </c>
      <c r="P242" s="115" t="s">
        <v>1495</v>
      </c>
      <c r="Q242" s="111" t="s">
        <v>1496</v>
      </c>
      <c r="R242" s="111" t="s">
        <v>1497</v>
      </c>
      <c r="S242" s="116" t="s">
        <v>1498</v>
      </c>
      <c r="T242" s="274">
        <v>240</v>
      </c>
      <c r="U242" s="139">
        <v>150</v>
      </c>
      <c r="V242" s="139">
        <v>60</v>
      </c>
      <c r="W242" s="267" t="s">
        <v>2702</v>
      </c>
      <c r="X242" s="267" t="s">
        <v>2701</v>
      </c>
      <c r="Y242" s="285">
        <v>450</v>
      </c>
      <c r="Z242" s="274">
        <v>0</v>
      </c>
      <c r="AA242" s="139">
        <v>160</v>
      </c>
      <c r="AB242" s="139">
        <v>90</v>
      </c>
      <c r="AC242" s="267" t="s">
        <v>2700</v>
      </c>
      <c r="AD242" s="267" t="s">
        <v>2701</v>
      </c>
      <c r="AE242" s="285">
        <v>250</v>
      </c>
      <c r="AF242" s="286">
        <v>700</v>
      </c>
      <c r="AG242" s="118"/>
      <c r="AH242" s="119"/>
    </row>
    <row r="243" spans="1:34" s="80" customFormat="1" ht="12" customHeight="1">
      <c r="A243" s="66">
        <v>2041</v>
      </c>
      <c r="B243" s="67" t="s">
        <v>2701</v>
      </c>
      <c r="C243" s="67" t="s">
        <v>2701</v>
      </c>
      <c r="D243" s="67" t="s">
        <v>2702</v>
      </c>
      <c r="E243" s="66">
        <v>2</v>
      </c>
      <c r="F243" s="110">
        <v>2</v>
      </c>
      <c r="G243" s="69">
        <v>241</v>
      </c>
      <c r="H243" s="111" t="s">
        <v>1499</v>
      </c>
      <c r="I243" s="112" t="s">
        <v>1499</v>
      </c>
      <c r="J243" s="113">
        <v>10500101207601</v>
      </c>
      <c r="K243" s="114" t="s">
        <v>148</v>
      </c>
      <c r="L243" s="114"/>
      <c r="M243" s="114">
        <v>7</v>
      </c>
      <c r="N243" s="115" t="s">
        <v>724</v>
      </c>
      <c r="O243" s="111" t="s">
        <v>1500</v>
      </c>
      <c r="P243" s="115">
        <v>2642845</v>
      </c>
      <c r="Q243" s="111" t="s">
        <v>1501</v>
      </c>
      <c r="R243" s="111" t="s">
        <v>1502</v>
      </c>
      <c r="S243" s="116" t="s">
        <v>1503</v>
      </c>
      <c r="T243" s="274">
        <v>57</v>
      </c>
      <c r="U243" s="139">
        <v>45</v>
      </c>
      <c r="V243" s="139">
        <v>0</v>
      </c>
      <c r="W243" s="267" t="s">
        <v>2702</v>
      </c>
      <c r="X243" s="267" t="s">
        <v>2701</v>
      </c>
      <c r="Y243" s="285">
        <v>102</v>
      </c>
      <c r="Z243" s="274">
        <v>0</v>
      </c>
      <c r="AA243" s="139">
        <v>0</v>
      </c>
      <c r="AB243" s="139">
        <v>0</v>
      </c>
      <c r="AC243" s="267"/>
      <c r="AD243" s="267"/>
      <c r="AE243" s="285">
        <v>0</v>
      </c>
      <c r="AF243" s="286">
        <v>102</v>
      </c>
      <c r="AG243" s="118"/>
      <c r="AH243" s="119"/>
    </row>
    <row r="244" spans="1:34" s="80" customFormat="1" ht="12" customHeight="1">
      <c r="A244" s="66">
        <v>2042</v>
      </c>
      <c r="B244" s="67" t="s">
        <v>2701</v>
      </c>
      <c r="C244" s="67" t="s">
        <v>2701</v>
      </c>
      <c r="D244" s="67" t="s">
        <v>2703</v>
      </c>
      <c r="E244" s="66">
        <v>2</v>
      </c>
      <c r="F244" s="110">
        <v>2</v>
      </c>
      <c r="G244" s="69">
        <v>242</v>
      </c>
      <c r="H244" s="111" t="s">
        <v>1504</v>
      </c>
      <c r="I244" s="112" t="s">
        <v>1504</v>
      </c>
      <c r="J244" s="113">
        <v>10500100824901</v>
      </c>
      <c r="K244" s="114" t="s">
        <v>148</v>
      </c>
      <c r="L244" s="114"/>
      <c r="M244" s="114">
        <v>7</v>
      </c>
      <c r="N244" s="115" t="s">
        <v>1505</v>
      </c>
      <c r="O244" s="111" t="s">
        <v>1506</v>
      </c>
      <c r="P244" s="115" t="s">
        <v>1507</v>
      </c>
      <c r="Q244" s="111" t="s">
        <v>1508</v>
      </c>
      <c r="R244" s="111" t="s">
        <v>1509</v>
      </c>
      <c r="S244" s="116" t="s">
        <v>1510</v>
      </c>
      <c r="T244" s="274">
        <v>60</v>
      </c>
      <c r="U244" s="139">
        <v>60</v>
      </c>
      <c r="V244" s="139">
        <v>50</v>
      </c>
      <c r="W244" s="267" t="s">
        <v>2702</v>
      </c>
      <c r="X244" s="267" t="s">
        <v>2701</v>
      </c>
      <c r="Y244" s="285">
        <v>170</v>
      </c>
      <c r="Z244" s="274">
        <v>130</v>
      </c>
      <c r="AA244" s="139">
        <v>290</v>
      </c>
      <c r="AB244" s="139">
        <v>140</v>
      </c>
      <c r="AC244" s="267" t="s">
        <v>2700</v>
      </c>
      <c r="AD244" s="267" t="s">
        <v>2701</v>
      </c>
      <c r="AE244" s="285">
        <v>560</v>
      </c>
      <c r="AF244" s="286">
        <v>730</v>
      </c>
      <c r="AG244" s="118"/>
      <c r="AH244" s="119"/>
    </row>
    <row r="245" spans="1:34" s="80" customFormat="1" ht="12" customHeight="1">
      <c r="A245" s="66">
        <v>2043</v>
      </c>
      <c r="B245" s="67" t="s">
        <v>2701</v>
      </c>
      <c r="C245" s="67" t="s">
        <v>2701</v>
      </c>
      <c r="D245" s="67" t="s">
        <v>2702</v>
      </c>
      <c r="E245" s="66">
        <v>2</v>
      </c>
      <c r="F245" s="110">
        <v>2</v>
      </c>
      <c r="G245" s="69">
        <v>243</v>
      </c>
      <c r="H245" s="145" t="s">
        <v>1511</v>
      </c>
      <c r="I245" s="290" t="s">
        <v>1511</v>
      </c>
      <c r="J245" s="147">
        <v>10500102027301</v>
      </c>
      <c r="K245" s="148" t="s">
        <v>1512</v>
      </c>
      <c r="L245" s="148"/>
      <c r="M245" s="148">
        <v>7</v>
      </c>
      <c r="N245" s="146" t="s">
        <v>763</v>
      </c>
      <c r="O245" s="145" t="s">
        <v>1513</v>
      </c>
      <c r="P245" s="146" t="s">
        <v>1514</v>
      </c>
      <c r="Q245" s="145" t="s">
        <v>1515</v>
      </c>
      <c r="R245" s="145" t="s">
        <v>1516</v>
      </c>
      <c r="S245" s="149" t="s">
        <v>1517</v>
      </c>
      <c r="T245" s="287">
        <v>28</v>
      </c>
      <c r="U245" s="288">
        <v>185</v>
      </c>
      <c r="V245" s="288">
        <v>38</v>
      </c>
      <c r="W245" s="267" t="s">
        <v>2702</v>
      </c>
      <c r="X245" s="267" t="s">
        <v>2701</v>
      </c>
      <c r="Y245" s="285">
        <v>251</v>
      </c>
      <c r="Z245" s="287">
        <v>0</v>
      </c>
      <c r="AA245" s="288">
        <v>0</v>
      </c>
      <c r="AB245" s="288">
        <v>0</v>
      </c>
      <c r="AC245" s="267"/>
      <c r="AD245" s="267"/>
      <c r="AE245" s="285">
        <v>0</v>
      </c>
      <c r="AF245" s="286">
        <v>251</v>
      </c>
      <c r="AG245" s="289"/>
      <c r="AH245" s="291"/>
    </row>
    <row r="246" spans="1:34" s="80" customFormat="1" ht="12" customHeight="1">
      <c r="A246" s="66">
        <v>2044</v>
      </c>
      <c r="B246" s="67" t="s">
        <v>2701</v>
      </c>
      <c r="C246" s="67" t="s">
        <v>2701</v>
      </c>
      <c r="D246" s="67" t="s">
        <v>2703</v>
      </c>
      <c r="E246" s="66">
        <v>2</v>
      </c>
      <c r="F246" s="110">
        <v>2</v>
      </c>
      <c r="G246" s="69">
        <v>244</v>
      </c>
      <c r="H246" s="111" t="s">
        <v>1518</v>
      </c>
      <c r="I246" s="112" t="s">
        <v>1518</v>
      </c>
      <c r="J246" s="113">
        <v>10500180011201</v>
      </c>
      <c r="K246" s="114" t="s">
        <v>148</v>
      </c>
      <c r="L246" s="114" t="s">
        <v>120</v>
      </c>
      <c r="M246" s="114">
        <v>7</v>
      </c>
      <c r="N246" s="115" t="s">
        <v>799</v>
      </c>
      <c r="O246" s="111" t="s">
        <v>1519</v>
      </c>
      <c r="P246" s="115">
        <v>4416168</v>
      </c>
      <c r="Q246" s="111" t="s">
        <v>1520</v>
      </c>
      <c r="R246" s="111" t="s">
        <v>1521</v>
      </c>
      <c r="S246" s="116" t="s">
        <v>1522</v>
      </c>
      <c r="T246" s="274">
        <v>0</v>
      </c>
      <c r="U246" s="139">
        <v>46</v>
      </c>
      <c r="V246" s="139">
        <v>134</v>
      </c>
      <c r="W246" s="267" t="s">
        <v>2702</v>
      </c>
      <c r="X246" s="267" t="s">
        <v>2701</v>
      </c>
      <c r="Y246" s="285">
        <v>180</v>
      </c>
      <c r="Z246" s="274">
        <v>0</v>
      </c>
      <c r="AA246" s="139">
        <v>130</v>
      </c>
      <c r="AB246" s="139">
        <v>15</v>
      </c>
      <c r="AC246" s="267" t="s">
        <v>2700</v>
      </c>
      <c r="AD246" s="267" t="s">
        <v>2701</v>
      </c>
      <c r="AE246" s="285">
        <v>145</v>
      </c>
      <c r="AF246" s="286">
        <v>325</v>
      </c>
      <c r="AG246" s="118"/>
      <c r="AH246" s="119"/>
    </row>
    <row r="247" spans="1:34" s="80" customFormat="1" ht="12" customHeight="1">
      <c r="A247" s="66">
        <v>2045</v>
      </c>
      <c r="B247" s="67" t="s">
        <v>2701</v>
      </c>
      <c r="C247" s="67" t="s">
        <v>2701</v>
      </c>
      <c r="D247" s="67" t="s">
        <v>2703</v>
      </c>
      <c r="E247" s="66">
        <v>2</v>
      </c>
      <c r="F247" s="110">
        <v>3</v>
      </c>
      <c r="G247" s="69">
        <v>245</v>
      </c>
      <c r="H247" s="111" t="s">
        <v>1523</v>
      </c>
      <c r="I247" s="115" t="s">
        <v>1523</v>
      </c>
      <c r="J247" s="113">
        <v>10500101521101</v>
      </c>
      <c r="K247" s="114" t="s">
        <v>148</v>
      </c>
      <c r="L247" s="114"/>
      <c r="M247" s="114">
        <v>8</v>
      </c>
      <c r="N247" s="115" t="s">
        <v>1524</v>
      </c>
      <c r="O247" s="111" t="s">
        <v>1525</v>
      </c>
      <c r="P247" s="115" t="s">
        <v>1526</v>
      </c>
      <c r="Q247" s="111" t="s">
        <v>1527</v>
      </c>
      <c r="R247" s="111" t="s">
        <v>1528</v>
      </c>
      <c r="S247" s="116" t="s">
        <v>1529</v>
      </c>
      <c r="T247" s="274">
        <v>239</v>
      </c>
      <c r="U247" s="139">
        <v>121</v>
      </c>
      <c r="V247" s="139">
        <v>0</v>
      </c>
      <c r="W247" s="267" t="s">
        <v>2702</v>
      </c>
      <c r="X247" s="267" t="s">
        <v>2701</v>
      </c>
      <c r="Y247" s="285">
        <v>360</v>
      </c>
      <c r="Z247" s="274">
        <v>23</v>
      </c>
      <c r="AA247" s="139">
        <v>242</v>
      </c>
      <c r="AB247" s="139">
        <v>75</v>
      </c>
      <c r="AC247" s="267" t="s">
        <v>2700</v>
      </c>
      <c r="AD247" s="267" t="s">
        <v>2701</v>
      </c>
      <c r="AE247" s="285">
        <v>340</v>
      </c>
      <c r="AF247" s="286">
        <v>700</v>
      </c>
      <c r="AG247" s="118"/>
      <c r="AH247" s="140"/>
    </row>
    <row r="248" spans="1:34" s="80" customFormat="1" ht="12" customHeight="1">
      <c r="A248" s="66">
        <v>2046</v>
      </c>
      <c r="B248" s="67" t="s">
        <v>2701</v>
      </c>
      <c r="C248" s="67" t="s">
        <v>2701</v>
      </c>
      <c r="D248" s="67" t="s">
        <v>2703</v>
      </c>
      <c r="E248" s="66">
        <v>2</v>
      </c>
      <c r="F248" s="110">
        <v>3</v>
      </c>
      <c r="G248" s="69">
        <v>246</v>
      </c>
      <c r="H248" s="111" t="s">
        <v>1530</v>
      </c>
      <c r="I248" s="115" t="s">
        <v>1530</v>
      </c>
      <c r="J248" s="113">
        <v>10500102658101</v>
      </c>
      <c r="K248" s="114" t="s">
        <v>148</v>
      </c>
      <c r="L248" s="114" t="s">
        <v>120</v>
      </c>
      <c r="M248" s="114">
        <v>8</v>
      </c>
      <c r="N248" s="115" t="s">
        <v>1531</v>
      </c>
      <c r="O248" s="111" t="s">
        <v>1532</v>
      </c>
      <c r="P248" s="115" t="s">
        <v>1533</v>
      </c>
      <c r="Q248" s="111" t="s">
        <v>846</v>
      </c>
      <c r="R248" s="111" t="s">
        <v>1534</v>
      </c>
      <c r="S248" s="116" t="s">
        <v>1535</v>
      </c>
      <c r="T248" s="274">
        <v>0</v>
      </c>
      <c r="U248" s="139">
        <v>220</v>
      </c>
      <c r="V248" s="139">
        <v>140</v>
      </c>
      <c r="W248" s="267" t="s">
        <v>2702</v>
      </c>
      <c r="X248" s="267" t="s">
        <v>2701</v>
      </c>
      <c r="Y248" s="285">
        <v>360</v>
      </c>
      <c r="Z248" s="274">
        <v>0</v>
      </c>
      <c r="AA248" s="139">
        <v>0</v>
      </c>
      <c r="AB248" s="139">
        <v>30</v>
      </c>
      <c r="AC248" s="267" t="s">
        <v>2700</v>
      </c>
      <c r="AD248" s="267" t="s">
        <v>2701</v>
      </c>
      <c r="AE248" s="285">
        <v>30</v>
      </c>
      <c r="AF248" s="286">
        <v>390</v>
      </c>
      <c r="AG248" s="118"/>
      <c r="AH248" s="140"/>
    </row>
    <row r="249" spans="1:34" s="80" customFormat="1" ht="12" customHeight="1">
      <c r="A249" s="66">
        <v>2047</v>
      </c>
      <c r="B249" s="67" t="s">
        <v>2701</v>
      </c>
      <c r="C249" s="67" t="s">
        <v>2701</v>
      </c>
      <c r="D249" s="67" t="s">
        <v>2703</v>
      </c>
      <c r="E249" s="66">
        <v>2</v>
      </c>
      <c r="F249" s="110">
        <v>3</v>
      </c>
      <c r="G249" s="69">
        <v>247</v>
      </c>
      <c r="H249" s="111" t="s">
        <v>1536</v>
      </c>
      <c r="I249" s="115" t="s">
        <v>1536</v>
      </c>
      <c r="J249" s="113">
        <v>10500100035301</v>
      </c>
      <c r="K249" s="114" t="s">
        <v>148</v>
      </c>
      <c r="L249" s="114"/>
      <c r="M249" s="114">
        <v>8</v>
      </c>
      <c r="N249" s="115" t="s">
        <v>1537</v>
      </c>
      <c r="O249" s="111" t="s">
        <v>1538</v>
      </c>
      <c r="P249" s="115" t="s">
        <v>1539</v>
      </c>
      <c r="Q249" s="111" t="s">
        <v>1540</v>
      </c>
      <c r="R249" s="111" t="s">
        <v>1541</v>
      </c>
      <c r="S249" s="116" t="s">
        <v>1542</v>
      </c>
      <c r="T249" s="274">
        <v>119</v>
      </c>
      <c r="U249" s="139">
        <v>94</v>
      </c>
      <c r="V249" s="139">
        <v>27</v>
      </c>
      <c r="W249" s="267" t="s">
        <v>2702</v>
      </c>
      <c r="X249" s="267" t="s">
        <v>2701</v>
      </c>
      <c r="Y249" s="285">
        <v>240</v>
      </c>
      <c r="Z249" s="274">
        <v>54</v>
      </c>
      <c r="AA249" s="139">
        <v>216</v>
      </c>
      <c r="AB249" s="139">
        <v>121</v>
      </c>
      <c r="AC249" s="267" t="s">
        <v>2700</v>
      </c>
      <c r="AD249" s="267" t="s">
        <v>2701</v>
      </c>
      <c r="AE249" s="285">
        <v>391</v>
      </c>
      <c r="AF249" s="286">
        <v>631</v>
      </c>
      <c r="AG249" s="118"/>
      <c r="AH249" s="140"/>
    </row>
    <row r="250" spans="1:34" s="80" customFormat="1" ht="12" customHeight="1">
      <c r="A250" s="66">
        <v>2048</v>
      </c>
      <c r="B250" s="67" t="s">
        <v>2701</v>
      </c>
      <c r="C250" s="67" t="s">
        <v>2701</v>
      </c>
      <c r="D250" s="67" t="s">
        <v>2703</v>
      </c>
      <c r="E250" s="66">
        <v>2</v>
      </c>
      <c r="F250" s="110">
        <v>3</v>
      </c>
      <c r="G250" s="69">
        <v>248</v>
      </c>
      <c r="H250" s="111" t="s">
        <v>1543</v>
      </c>
      <c r="I250" s="115" t="s">
        <v>1543</v>
      </c>
      <c r="J250" s="113">
        <v>10500100062101</v>
      </c>
      <c r="K250" s="114" t="s">
        <v>148</v>
      </c>
      <c r="L250" s="114" t="s">
        <v>120</v>
      </c>
      <c r="M250" s="114">
        <v>8</v>
      </c>
      <c r="N250" s="115" t="s">
        <v>1544</v>
      </c>
      <c r="O250" s="111" t="s">
        <v>1545</v>
      </c>
      <c r="P250" s="115" t="s">
        <v>1546</v>
      </c>
      <c r="Q250" s="111" t="s">
        <v>1547</v>
      </c>
      <c r="R250" s="111" t="s">
        <v>1548</v>
      </c>
      <c r="S250" s="116" t="s">
        <v>1549</v>
      </c>
      <c r="T250" s="274">
        <v>144</v>
      </c>
      <c r="U250" s="139">
        <v>306</v>
      </c>
      <c r="V250" s="139">
        <v>0</v>
      </c>
      <c r="W250" s="267" t="s">
        <v>2702</v>
      </c>
      <c r="X250" s="267" t="s">
        <v>2701</v>
      </c>
      <c r="Y250" s="285">
        <v>450</v>
      </c>
      <c r="Z250" s="274">
        <v>160</v>
      </c>
      <c r="AA250" s="139">
        <v>240</v>
      </c>
      <c r="AB250" s="139">
        <v>200</v>
      </c>
      <c r="AC250" s="267" t="s">
        <v>2700</v>
      </c>
      <c r="AD250" s="267" t="s">
        <v>2701</v>
      </c>
      <c r="AE250" s="285">
        <v>600</v>
      </c>
      <c r="AF250" s="286">
        <v>1050</v>
      </c>
      <c r="AG250" s="118"/>
      <c r="AH250" s="78"/>
    </row>
    <row r="251" spans="1:34" s="80" customFormat="1" ht="12" customHeight="1">
      <c r="A251" s="66">
        <v>2049</v>
      </c>
      <c r="B251" s="67" t="s">
        <v>2701</v>
      </c>
      <c r="C251" s="67" t="s">
        <v>2701</v>
      </c>
      <c r="D251" s="67" t="s">
        <v>2702</v>
      </c>
      <c r="E251" s="66">
        <v>2</v>
      </c>
      <c r="F251" s="110">
        <v>3</v>
      </c>
      <c r="G251" s="69">
        <v>249</v>
      </c>
      <c r="H251" s="111" t="s">
        <v>1550</v>
      </c>
      <c r="I251" s="115" t="s">
        <v>1550</v>
      </c>
      <c r="J251" s="113">
        <v>10500100235602</v>
      </c>
      <c r="K251" s="114" t="s">
        <v>148</v>
      </c>
      <c r="L251" s="114"/>
      <c r="M251" s="114">
        <v>8</v>
      </c>
      <c r="N251" s="115" t="s">
        <v>1551</v>
      </c>
      <c r="O251" s="111" t="s">
        <v>1552</v>
      </c>
      <c r="P251" s="115">
        <v>2210507</v>
      </c>
      <c r="Q251" s="111" t="s">
        <v>858</v>
      </c>
      <c r="R251" s="111" t="s">
        <v>1553</v>
      </c>
      <c r="S251" s="116" t="s">
        <v>1554</v>
      </c>
      <c r="T251" s="274">
        <v>190</v>
      </c>
      <c r="U251" s="139">
        <v>60</v>
      </c>
      <c r="V251" s="139">
        <v>0</v>
      </c>
      <c r="W251" s="267" t="s">
        <v>2702</v>
      </c>
      <c r="X251" s="267" t="s">
        <v>2701</v>
      </c>
      <c r="Y251" s="285">
        <v>250</v>
      </c>
      <c r="Z251" s="274">
        <v>0</v>
      </c>
      <c r="AA251" s="139">
        <v>0</v>
      </c>
      <c r="AB251" s="139">
        <v>0</v>
      </c>
      <c r="AC251" s="267"/>
      <c r="AD251" s="267"/>
      <c r="AE251" s="285">
        <v>0</v>
      </c>
      <c r="AF251" s="286">
        <v>250</v>
      </c>
      <c r="AG251" s="118" t="s">
        <v>199</v>
      </c>
      <c r="AH251" s="140"/>
    </row>
    <row r="252" spans="1:34" s="80" customFormat="1" ht="12" customHeight="1">
      <c r="A252" s="66">
        <v>2050</v>
      </c>
      <c r="B252" s="67" t="s">
        <v>2701</v>
      </c>
      <c r="C252" s="67" t="s">
        <v>2701</v>
      </c>
      <c r="D252" s="67" t="s">
        <v>2703</v>
      </c>
      <c r="E252" s="66">
        <v>2</v>
      </c>
      <c r="F252" s="110">
        <v>3</v>
      </c>
      <c r="G252" s="69">
        <v>250</v>
      </c>
      <c r="H252" s="111" t="s">
        <v>1555</v>
      </c>
      <c r="I252" s="115" t="s">
        <v>1555</v>
      </c>
      <c r="J252" s="113">
        <v>10500100970903</v>
      </c>
      <c r="K252" s="114" t="s">
        <v>148</v>
      </c>
      <c r="L252" s="114"/>
      <c r="M252" s="114">
        <v>8</v>
      </c>
      <c r="N252" s="115" t="s">
        <v>827</v>
      </c>
      <c r="O252" s="111" t="s">
        <v>1556</v>
      </c>
      <c r="P252" s="115">
        <v>2699584</v>
      </c>
      <c r="Q252" s="111" t="s">
        <v>863</v>
      </c>
      <c r="R252" s="111" t="s">
        <v>869</v>
      </c>
      <c r="S252" s="116" t="s">
        <v>1557</v>
      </c>
      <c r="T252" s="274">
        <v>151</v>
      </c>
      <c r="U252" s="139">
        <v>59</v>
      </c>
      <c r="V252" s="139">
        <v>0</v>
      </c>
      <c r="W252" s="267" t="s">
        <v>2702</v>
      </c>
      <c r="X252" s="267" t="s">
        <v>2701</v>
      </c>
      <c r="Y252" s="285">
        <v>210</v>
      </c>
      <c r="Z252" s="274">
        <v>10</v>
      </c>
      <c r="AA252" s="139">
        <v>42</v>
      </c>
      <c r="AB252" s="139">
        <v>0</v>
      </c>
      <c r="AC252" s="267" t="s">
        <v>2700</v>
      </c>
      <c r="AD252" s="267" t="s">
        <v>2701</v>
      </c>
      <c r="AE252" s="285">
        <v>52</v>
      </c>
      <c r="AF252" s="286">
        <v>262</v>
      </c>
      <c r="AG252" s="118"/>
      <c r="AH252" s="140"/>
    </row>
    <row r="253" spans="1:34" s="80" customFormat="1" ht="12" customHeight="1">
      <c r="A253" s="66">
        <v>2051</v>
      </c>
      <c r="B253" s="67" t="s">
        <v>2701</v>
      </c>
      <c r="C253" s="67" t="s">
        <v>2701</v>
      </c>
      <c r="D253" s="67" t="s">
        <v>2702</v>
      </c>
      <c r="E253" s="66">
        <v>2</v>
      </c>
      <c r="F253" s="110">
        <v>3</v>
      </c>
      <c r="G253" s="69">
        <v>251</v>
      </c>
      <c r="H253" s="111" t="s">
        <v>1558</v>
      </c>
      <c r="I253" s="115" t="s">
        <v>1558</v>
      </c>
      <c r="J253" s="113">
        <v>10500101908901</v>
      </c>
      <c r="K253" s="114" t="s">
        <v>148</v>
      </c>
      <c r="L253" s="114"/>
      <c r="M253" s="114">
        <v>8</v>
      </c>
      <c r="N253" s="115" t="s">
        <v>867</v>
      </c>
      <c r="O253" s="111" t="s">
        <v>1559</v>
      </c>
      <c r="P253" s="115" t="s">
        <v>1560</v>
      </c>
      <c r="Q253" s="111" t="s">
        <v>1561</v>
      </c>
      <c r="R253" s="111" t="s">
        <v>1562</v>
      </c>
      <c r="S253" s="116" t="s">
        <v>1563</v>
      </c>
      <c r="T253" s="274">
        <v>225</v>
      </c>
      <c r="U253" s="139">
        <v>0</v>
      </c>
      <c r="V253" s="139">
        <v>0</v>
      </c>
      <c r="W253" s="267" t="s">
        <v>2702</v>
      </c>
      <c r="X253" s="267" t="s">
        <v>2701</v>
      </c>
      <c r="Y253" s="285">
        <v>225</v>
      </c>
      <c r="Z253" s="274">
        <v>0</v>
      </c>
      <c r="AA253" s="139">
        <v>0</v>
      </c>
      <c r="AB253" s="139">
        <v>0</v>
      </c>
      <c r="AC253" s="267"/>
      <c r="AD253" s="267"/>
      <c r="AE253" s="285">
        <v>0</v>
      </c>
      <c r="AF253" s="286">
        <v>225</v>
      </c>
      <c r="AG253" s="118"/>
      <c r="AH253" s="140"/>
    </row>
    <row r="254" spans="1:34" s="80" customFormat="1" ht="12" customHeight="1">
      <c r="A254" s="66">
        <v>2052</v>
      </c>
      <c r="B254" s="67" t="s">
        <v>2701</v>
      </c>
      <c r="C254" s="67" t="s">
        <v>2701</v>
      </c>
      <c r="D254" s="67" t="s">
        <v>2702</v>
      </c>
      <c r="E254" s="66">
        <v>2</v>
      </c>
      <c r="F254" s="110">
        <v>3</v>
      </c>
      <c r="G254" s="69">
        <v>252</v>
      </c>
      <c r="H254" s="111" t="s">
        <v>1564</v>
      </c>
      <c r="I254" s="115" t="s">
        <v>1564</v>
      </c>
      <c r="J254" s="113">
        <v>10500101908902</v>
      </c>
      <c r="K254" s="114" t="s">
        <v>148</v>
      </c>
      <c r="L254" s="114"/>
      <c r="M254" s="114">
        <v>8</v>
      </c>
      <c r="N254" s="115" t="s">
        <v>867</v>
      </c>
      <c r="O254" s="111" t="s">
        <v>1565</v>
      </c>
      <c r="P254" s="115">
        <v>2260631</v>
      </c>
      <c r="Q254" s="111" t="s">
        <v>1561</v>
      </c>
      <c r="R254" s="111" t="s">
        <v>1566</v>
      </c>
      <c r="S254" s="116" t="s">
        <v>1563</v>
      </c>
      <c r="T254" s="274">
        <v>75</v>
      </c>
      <c r="U254" s="139">
        <v>225</v>
      </c>
      <c r="V254" s="139">
        <v>0</v>
      </c>
      <c r="W254" s="267" t="s">
        <v>2702</v>
      </c>
      <c r="X254" s="267" t="s">
        <v>2701</v>
      </c>
      <c r="Y254" s="285">
        <v>300</v>
      </c>
      <c r="Z254" s="274">
        <v>0</v>
      </c>
      <c r="AA254" s="139">
        <v>0</v>
      </c>
      <c r="AB254" s="139">
        <v>0</v>
      </c>
      <c r="AC254" s="267"/>
      <c r="AD254" s="267"/>
      <c r="AE254" s="285">
        <v>0</v>
      </c>
      <c r="AF254" s="286">
        <v>300</v>
      </c>
      <c r="AG254" s="118"/>
      <c r="AH254" s="140"/>
    </row>
    <row r="255" spans="1:34" s="80" customFormat="1" ht="12" customHeight="1">
      <c r="A255" s="66">
        <v>2053</v>
      </c>
      <c r="B255" s="67" t="s">
        <v>2701</v>
      </c>
      <c r="C255" s="67" t="s">
        <v>2701</v>
      </c>
      <c r="D255" s="67" t="s">
        <v>2702</v>
      </c>
      <c r="E255" s="66">
        <v>2</v>
      </c>
      <c r="F255" s="110">
        <v>3</v>
      </c>
      <c r="G255" s="69">
        <v>253</v>
      </c>
      <c r="H255" s="111" t="s">
        <v>1567</v>
      </c>
      <c r="I255" s="115" t="s">
        <v>1567</v>
      </c>
      <c r="J255" s="113">
        <v>10500101908903</v>
      </c>
      <c r="K255" s="114" t="s">
        <v>148</v>
      </c>
      <c r="L255" s="114" t="s">
        <v>120</v>
      </c>
      <c r="M255" s="114">
        <v>8</v>
      </c>
      <c r="N255" s="115" t="s">
        <v>867</v>
      </c>
      <c r="O255" s="111" t="s">
        <v>1568</v>
      </c>
      <c r="P255" s="115">
        <v>2260591</v>
      </c>
      <c r="Q255" s="111" t="s">
        <v>1561</v>
      </c>
      <c r="R255" s="111" t="s">
        <v>1569</v>
      </c>
      <c r="S255" s="116" t="s">
        <v>1563</v>
      </c>
      <c r="T255" s="274">
        <v>0</v>
      </c>
      <c r="U255" s="139">
        <v>120</v>
      </c>
      <c r="V255" s="139">
        <v>140</v>
      </c>
      <c r="W255" s="267" t="s">
        <v>2702</v>
      </c>
      <c r="X255" s="267" t="s">
        <v>2701</v>
      </c>
      <c r="Y255" s="285">
        <v>260</v>
      </c>
      <c r="Z255" s="274">
        <v>0</v>
      </c>
      <c r="AA255" s="139">
        <v>0</v>
      </c>
      <c r="AB255" s="139">
        <v>0</v>
      </c>
      <c r="AC255" s="267"/>
      <c r="AD255" s="267"/>
      <c r="AE255" s="285">
        <v>0</v>
      </c>
      <c r="AF255" s="286">
        <v>260</v>
      </c>
      <c r="AG255" s="118"/>
      <c r="AH255" s="140"/>
    </row>
    <row r="256" spans="1:34" s="80" customFormat="1" ht="12" customHeight="1">
      <c r="A256" s="66">
        <v>2054</v>
      </c>
      <c r="B256" s="67" t="s">
        <v>2701</v>
      </c>
      <c r="C256" s="67" t="s">
        <v>2701</v>
      </c>
      <c r="D256" s="67" t="s">
        <v>2703</v>
      </c>
      <c r="E256" s="66">
        <v>2</v>
      </c>
      <c r="F256" s="110">
        <v>3</v>
      </c>
      <c r="G256" s="69">
        <v>254</v>
      </c>
      <c r="H256" s="111" t="s">
        <v>1570</v>
      </c>
      <c r="I256" s="115" t="s">
        <v>1570</v>
      </c>
      <c r="J256" s="113">
        <v>10500102187301</v>
      </c>
      <c r="K256" s="114" t="s">
        <v>148</v>
      </c>
      <c r="L256" s="114"/>
      <c r="M256" s="114">
        <v>8</v>
      </c>
      <c r="N256" s="115" t="s">
        <v>1571</v>
      </c>
      <c r="O256" s="111" t="s">
        <v>1572</v>
      </c>
      <c r="P256" s="115" t="s">
        <v>1573</v>
      </c>
      <c r="Q256" s="111" t="s">
        <v>1574</v>
      </c>
      <c r="R256" s="111" t="s">
        <v>1575</v>
      </c>
      <c r="S256" s="116" t="s">
        <v>1576</v>
      </c>
      <c r="T256" s="274">
        <v>0</v>
      </c>
      <c r="U256" s="139">
        <v>205</v>
      </c>
      <c r="V256" s="139">
        <v>65</v>
      </c>
      <c r="W256" s="267" t="s">
        <v>2702</v>
      </c>
      <c r="X256" s="267" t="s">
        <v>2701</v>
      </c>
      <c r="Y256" s="285">
        <v>270</v>
      </c>
      <c r="Z256" s="274">
        <v>0</v>
      </c>
      <c r="AA256" s="139">
        <v>292</v>
      </c>
      <c r="AB256" s="139">
        <v>200</v>
      </c>
      <c r="AC256" s="267" t="s">
        <v>2700</v>
      </c>
      <c r="AD256" s="267" t="s">
        <v>2701</v>
      </c>
      <c r="AE256" s="285">
        <v>492</v>
      </c>
      <c r="AF256" s="286">
        <v>762</v>
      </c>
      <c r="AG256" s="118"/>
      <c r="AH256" s="140"/>
    </row>
    <row r="257" spans="1:34" s="80" customFormat="1" ht="12" customHeight="1">
      <c r="A257" s="66">
        <v>2055</v>
      </c>
      <c r="B257" s="67" t="s">
        <v>2701</v>
      </c>
      <c r="C257" s="67" t="s">
        <v>2701</v>
      </c>
      <c r="D257" s="67" t="s">
        <v>2703</v>
      </c>
      <c r="E257" s="66">
        <v>2</v>
      </c>
      <c r="F257" s="110">
        <v>3</v>
      </c>
      <c r="G257" s="69">
        <v>255</v>
      </c>
      <c r="H257" s="111" t="s">
        <v>1577</v>
      </c>
      <c r="I257" s="115" t="s">
        <v>1577</v>
      </c>
      <c r="J257" s="113">
        <v>10500102187302</v>
      </c>
      <c r="K257" s="114" t="s">
        <v>148</v>
      </c>
      <c r="L257" s="114"/>
      <c r="M257" s="114">
        <v>8</v>
      </c>
      <c r="N257" s="115" t="s">
        <v>1571</v>
      </c>
      <c r="O257" s="111" t="s">
        <v>1578</v>
      </c>
      <c r="P257" s="115">
        <v>2845867</v>
      </c>
      <c r="Q257" s="111" t="s">
        <v>1574</v>
      </c>
      <c r="R257" s="111" t="s">
        <v>1579</v>
      </c>
      <c r="S257" s="116" t="s">
        <v>1576</v>
      </c>
      <c r="T257" s="274">
        <v>472</v>
      </c>
      <c r="U257" s="139">
        <v>151</v>
      </c>
      <c r="V257" s="139">
        <v>0</v>
      </c>
      <c r="W257" s="267" t="s">
        <v>2702</v>
      </c>
      <c r="X257" s="267" t="s">
        <v>2701</v>
      </c>
      <c r="Y257" s="285">
        <v>623</v>
      </c>
      <c r="Z257" s="274">
        <v>236</v>
      </c>
      <c r="AA257" s="139">
        <v>73</v>
      </c>
      <c r="AB257" s="139">
        <v>0</v>
      </c>
      <c r="AC257" s="267" t="s">
        <v>2700</v>
      </c>
      <c r="AD257" s="267" t="s">
        <v>2701</v>
      </c>
      <c r="AE257" s="285">
        <v>309</v>
      </c>
      <c r="AF257" s="286">
        <v>932</v>
      </c>
      <c r="AG257" s="113"/>
      <c r="AH257" s="195"/>
    </row>
    <row r="258" spans="1:34" s="80" customFormat="1" ht="12" customHeight="1">
      <c r="A258" s="66">
        <v>2056</v>
      </c>
      <c r="B258" s="67" t="s">
        <v>2701</v>
      </c>
      <c r="C258" s="67" t="s">
        <v>2701</v>
      </c>
      <c r="D258" s="67" t="s">
        <v>2702</v>
      </c>
      <c r="E258" s="66">
        <v>2</v>
      </c>
      <c r="F258" s="110">
        <v>3</v>
      </c>
      <c r="G258" s="69">
        <v>256</v>
      </c>
      <c r="H258" s="111" t="s">
        <v>1580</v>
      </c>
      <c r="I258" s="115" t="s">
        <v>1581</v>
      </c>
      <c r="J258" s="113">
        <v>30500102518501</v>
      </c>
      <c r="K258" s="114" t="s">
        <v>226</v>
      </c>
      <c r="L258" s="114"/>
      <c r="M258" s="114">
        <v>8</v>
      </c>
      <c r="N258" s="115" t="s">
        <v>817</v>
      </c>
      <c r="O258" s="111" t="s">
        <v>1582</v>
      </c>
      <c r="P258" s="115">
        <v>2923804</v>
      </c>
      <c r="Q258" s="111" t="s">
        <v>1583</v>
      </c>
      <c r="R258" s="111" t="s">
        <v>1584</v>
      </c>
      <c r="S258" s="116" t="s">
        <v>1585</v>
      </c>
      <c r="T258" s="274">
        <v>242</v>
      </c>
      <c r="U258" s="139">
        <v>83</v>
      </c>
      <c r="V258" s="139">
        <v>0</v>
      </c>
      <c r="W258" s="267" t="s">
        <v>2702</v>
      </c>
      <c r="X258" s="267" t="s">
        <v>2701</v>
      </c>
      <c r="Y258" s="285">
        <v>325</v>
      </c>
      <c r="Z258" s="274">
        <v>0</v>
      </c>
      <c r="AA258" s="139">
        <v>0</v>
      </c>
      <c r="AB258" s="139">
        <v>0</v>
      </c>
      <c r="AC258" s="267"/>
      <c r="AD258" s="267"/>
      <c r="AE258" s="285">
        <v>0</v>
      </c>
      <c r="AF258" s="286">
        <v>325</v>
      </c>
      <c r="AG258" s="113"/>
      <c r="AH258" s="140"/>
    </row>
    <row r="259" spans="1:34" s="80" customFormat="1" ht="12" customHeight="1">
      <c r="A259" s="66">
        <v>2057</v>
      </c>
      <c r="B259" s="67" t="s">
        <v>2701</v>
      </c>
      <c r="C259" s="67" t="s">
        <v>2701</v>
      </c>
      <c r="D259" s="67" t="s">
        <v>2702</v>
      </c>
      <c r="E259" s="66">
        <v>2</v>
      </c>
      <c r="F259" s="110">
        <v>3</v>
      </c>
      <c r="G259" s="69">
        <v>257</v>
      </c>
      <c r="H259" s="111" t="s">
        <v>1586</v>
      </c>
      <c r="I259" s="115" t="s">
        <v>1587</v>
      </c>
      <c r="J259" s="113">
        <v>30500102518501</v>
      </c>
      <c r="K259" s="114" t="s">
        <v>226</v>
      </c>
      <c r="L259" s="114"/>
      <c r="M259" s="114">
        <v>8</v>
      </c>
      <c r="N259" s="115" t="s">
        <v>856</v>
      </c>
      <c r="O259" s="111" t="s">
        <v>1588</v>
      </c>
      <c r="P259" s="115">
        <v>2220327</v>
      </c>
      <c r="Q259" s="111" t="s">
        <v>1583</v>
      </c>
      <c r="R259" s="111" t="s">
        <v>1584</v>
      </c>
      <c r="S259" s="116" t="s">
        <v>1585</v>
      </c>
      <c r="T259" s="274">
        <v>85</v>
      </c>
      <c r="U259" s="139">
        <v>86</v>
      </c>
      <c r="V259" s="139">
        <v>46</v>
      </c>
      <c r="W259" s="267" t="s">
        <v>2702</v>
      </c>
      <c r="X259" s="267" t="s">
        <v>2701</v>
      </c>
      <c r="Y259" s="285">
        <v>217</v>
      </c>
      <c r="Z259" s="274">
        <v>0</v>
      </c>
      <c r="AA259" s="139">
        <v>0</v>
      </c>
      <c r="AB259" s="139">
        <v>0</v>
      </c>
      <c r="AC259" s="267"/>
      <c r="AD259" s="267"/>
      <c r="AE259" s="285">
        <v>0</v>
      </c>
      <c r="AF259" s="286">
        <v>217</v>
      </c>
      <c r="AG259" s="113"/>
      <c r="AH259" s="140"/>
    </row>
    <row r="260" spans="1:34" s="80" customFormat="1" ht="12" customHeight="1">
      <c r="A260" s="66">
        <v>2058</v>
      </c>
      <c r="B260" s="67" t="s">
        <v>2701</v>
      </c>
      <c r="C260" s="67" t="s">
        <v>2701</v>
      </c>
      <c r="D260" s="67" t="s">
        <v>2703</v>
      </c>
      <c r="E260" s="66">
        <v>2</v>
      </c>
      <c r="F260" s="110">
        <v>3</v>
      </c>
      <c r="G260" s="69">
        <v>258</v>
      </c>
      <c r="H260" s="111" t="s">
        <v>1589</v>
      </c>
      <c r="I260" s="115" t="s">
        <v>1589</v>
      </c>
      <c r="J260" s="113">
        <v>10500102002801</v>
      </c>
      <c r="K260" s="114" t="s">
        <v>148</v>
      </c>
      <c r="L260" s="114"/>
      <c r="M260" s="114">
        <v>9</v>
      </c>
      <c r="N260" s="115" t="s">
        <v>910</v>
      </c>
      <c r="O260" s="111" t="s">
        <v>1590</v>
      </c>
      <c r="P260" s="115" t="s">
        <v>1591</v>
      </c>
      <c r="Q260" s="111" t="s">
        <v>1592</v>
      </c>
      <c r="R260" s="111" t="s">
        <v>1593</v>
      </c>
      <c r="S260" s="116" t="s">
        <v>1594</v>
      </c>
      <c r="T260" s="274">
        <v>0</v>
      </c>
      <c r="U260" s="139">
        <v>130</v>
      </c>
      <c r="V260" s="139">
        <v>90</v>
      </c>
      <c r="W260" s="267" t="s">
        <v>2702</v>
      </c>
      <c r="X260" s="267" t="s">
        <v>2701</v>
      </c>
      <c r="Y260" s="285">
        <v>220</v>
      </c>
      <c r="Z260" s="274">
        <v>0</v>
      </c>
      <c r="AA260" s="139">
        <v>135</v>
      </c>
      <c r="AB260" s="139">
        <v>65</v>
      </c>
      <c r="AC260" s="267" t="s">
        <v>2700</v>
      </c>
      <c r="AD260" s="267" t="s">
        <v>2701</v>
      </c>
      <c r="AE260" s="285">
        <v>200</v>
      </c>
      <c r="AF260" s="286">
        <v>420</v>
      </c>
      <c r="AG260" s="113"/>
      <c r="AH260" s="140"/>
    </row>
    <row r="261" spans="1:34" s="80" customFormat="1" ht="12" customHeight="1">
      <c r="A261" s="66">
        <v>2059</v>
      </c>
      <c r="B261" s="67" t="s">
        <v>2701</v>
      </c>
      <c r="C261" s="67" t="s">
        <v>2701</v>
      </c>
      <c r="D261" s="67" t="s">
        <v>2702</v>
      </c>
      <c r="E261" s="66">
        <v>2</v>
      </c>
      <c r="F261" s="110">
        <v>3</v>
      </c>
      <c r="G261" s="69">
        <v>259</v>
      </c>
      <c r="H261" s="111" t="s">
        <v>1595</v>
      </c>
      <c r="I261" s="115" t="s">
        <v>1595</v>
      </c>
      <c r="J261" s="113">
        <v>10500102002802</v>
      </c>
      <c r="K261" s="114" t="s">
        <v>148</v>
      </c>
      <c r="L261" s="114"/>
      <c r="M261" s="114">
        <v>9</v>
      </c>
      <c r="N261" s="115" t="s">
        <v>910</v>
      </c>
      <c r="O261" s="111" t="s">
        <v>1596</v>
      </c>
      <c r="P261" s="115">
        <v>2396342</v>
      </c>
      <c r="Q261" s="111" t="s">
        <v>1597</v>
      </c>
      <c r="R261" s="111" t="s">
        <v>1598</v>
      </c>
      <c r="S261" s="116" t="s">
        <v>1599</v>
      </c>
      <c r="T261" s="274">
        <v>195</v>
      </c>
      <c r="U261" s="139">
        <v>71</v>
      </c>
      <c r="V261" s="139">
        <v>0</v>
      </c>
      <c r="W261" s="267" t="s">
        <v>2702</v>
      </c>
      <c r="X261" s="267" t="s">
        <v>2701</v>
      </c>
      <c r="Y261" s="285">
        <v>266</v>
      </c>
      <c r="Z261" s="274">
        <v>0</v>
      </c>
      <c r="AA261" s="139">
        <v>0</v>
      </c>
      <c r="AB261" s="139">
        <v>0</v>
      </c>
      <c r="AC261" s="267"/>
      <c r="AD261" s="267"/>
      <c r="AE261" s="285">
        <v>0</v>
      </c>
      <c r="AF261" s="286">
        <v>266</v>
      </c>
      <c r="AG261" s="113"/>
      <c r="AH261" s="140"/>
    </row>
    <row r="262" spans="1:34" s="80" customFormat="1" ht="12" customHeight="1">
      <c r="A262" s="66">
        <v>2060</v>
      </c>
      <c r="B262" s="67" t="s">
        <v>2701</v>
      </c>
      <c r="C262" s="67" t="s">
        <v>2701</v>
      </c>
      <c r="D262" s="67" t="s">
        <v>2702</v>
      </c>
      <c r="E262" s="66">
        <v>2</v>
      </c>
      <c r="F262" s="110">
        <v>3</v>
      </c>
      <c r="G262" s="69">
        <v>260</v>
      </c>
      <c r="H262" s="111" t="s">
        <v>1600</v>
      </c>
      <c r="I262" s="115" t="s">
        <v>1600</v>
      </c>
      <c r="J262" s="113">
        <v>10500101085502</v>
      </c>
      <c r="K262" s="114" t="s">
        <v>148</v>
      </c>
      <c r="L262" s="114"/>
      <c r="M262" s="114">
        <v>9</v>
      </c>
      <c r="N262" s="115" t="s">
        <v>910</v>
      </c>
      <c r="O262" s="111" t="s">
        <v>1601</v>
      </c>
      <c r="P262" s="115" t="s">
        <v>1602</v>
      </c>
      <c r="Q262" s="111" t="s">
        <v>1603</v>
      </c>
      <c r="R262" s="111" t="s">
        <v>1173</v>
      </c>
      <c r="S262" s="116" t="s">
        <v>1604</v>
      </c>
      <c r="T262" s="274">
        <v>147</v>
      </c>
      <c r="U262" s="139">
        <v>77</v>
      </c>
      <c r="V262" s="139">
        <v>0</v>
      </c>
      <c r="W262" s="267" t="s">
        <v>2702</v>
      </c>
      <c r="X262" s="267" t="s">
        <v>2701</v>
      </c>
      <c r="Y262" s="285">
        <v>224</v>
      </c>
      <c r="Z262" s="274">
        <v>0</v>
      </c>
      <c r="AA262" s="139">
        <v>0</v>
      </c>
      <c r="AB262" s="139">
        <v>0</v>
      </c>
      <c r="AC262" s="267"/>
      <c r="AD262" s="267"/>
      <c r="AE262" s="285">
        <v>0</v>
      </c>
      <c r="AF262" s="286">
        <v>224</v>
      </c>
      <c r="AG262" s="113"/>
      <c r="AH262" s="140"/>
    </row>
    <row r="263" spans="1:34" s="80" customFormat="1" ht="12" customHeight="1">
      <c r="A263" s="66">
        <v>2061</v>
      </c>
      <c r="B263" s="67" t="s">
        <v>2701</v>
      </c>
      <c r="C263" s="67" t="s">
        <v>2701</v>
      </c>
      <c r="D263" s="67" t="s">
        <v>2703</v>
      </c>
      <c r="E263" s="66">
        <v>2</v>
      </c>
      <c r="F263" s="110">
        <v>3</v>
      </c>
      <c r="G263" s="69">
        <v>261</v>
      </c>
      <c r="H263" s="111" t="s">
        <v>1605</v>
      </c>
      <c r="I263" s="115" t="s">
        <v>1605</v>
      </c>
      <c r="J263" s="113">
        <v>10500100838901</v>
      </c>
      <c r="K263" s="114" t="s">
        <v>148</v>
      </c>
      <c r="L263" s="114"/>
      <c r="M263" s="114">
        <v>9</v>
      </c>
      <c r="N263" s="115" t="s">
        <v>1606</v>
      </c>
      <c r="O263" s="111" t="s">
        <v>1607</v>
      </c>
      <c r="P263" s="115" t="s">
        <v>1608</v>
      </c>
      <c r="Q263" s="111" t="s">
        <v>1609</v>
      </c>
      <c r="R263" s="111" t="s">
        <v>1610</v>
      </c>
      <c r="S263" s="116" t="s">
        <v>1611</v>
      </c>
      <c r="T263" s="274">
        <v>72</v>
      </c>
      <c r="U263" s="139">
        <v>163</v>
      </c>
      <c r="V263" s="139">
        <v>0</v>
      </c>
      <c r="W263" s="267" t="s">
        <v>2702</v>
      </c>
      <c r="X263" s="267" t="s">
        <v>2701</v>
      </c>
      <c r="Y263" s="285">
        <v>235</v>
      </c>
      <c r="Z263" s="274">
        <v>29</v>
      </c>
      <c r="AA263" s="139">
        <v>311</v>
      </c>
      <c r="AB263" s="139">
        <v>192</v>
      </c>
      <c r="AC263" s="267" t="s">
        <v>2700</v>
      </c>
      <c r="AD263" s="267" t="s">
        <v>2701</v>
      </c>
      <c r="AE263" s="285">
        <v>532</v>
      </c>
      <c r="AF263" s="286">
        <v>767</v>
      </c>
      <c r="AG263" s="113"/>
      <c r="AH263" s="140"/>
    </row>
    <row r="264" spans="1:34" s="80" customFormat="1" ht="12" customHeight="1">
      <c r="A264" s="66">
        <v>2062</v>
      </c>
      <c r="B264" s="67" t="s">
        <v>2701</v>
      </c>
      <c r="C264" s="67" t="s">
        <v>2701</v>
      </c>
      <c r="D264" s="67" t="s">
        <v>2702</v>
      </c>
      <c r="E264" s="66">
        <v>2</v>
      </c>
      <c r="F264" s="110">
        <v>3</v>
      </c>
      <c r="G264" s="69">
        <v>262</v>
      </c>
      <c r="H264" s="111" t="s">
        <v>1612</v>
      </c>
      <c r="I264" s="115" t="s">
        <v>1612</v>
      </c>
      <c r="J264" s="113">
        <v>10500101163101</v>
      </c>
      <c r="K264" s="114" t="s">
        <v>148</v>
      </c>
      <c r="L264" s="114" t="s">
        <v>120</v>
      </c>
      <c r="M264" s="114">
        <v>9</v>
      </c>
      <c r="N264" s="115" t="s">
        <v>896</v>
      </c>
      <c r="O264" s="111" t="s">
        <v>1613</v>
      </c>
      <c r="P264" s="115" t="s">
        <v>1614</v>
      </c>
      <c r="Q264" s="111" t="s">
        <v>1615</v>
      </c>
      <c r="R264" s="111" t="s">
        <v>1616</v>
      </c>
      <c r="S264" s="116" t="s">
        <v>1617</v>
      </c>
      <c r="T264" s="274">
        <v>0</v>
      </c>
      <c r="U264" s="139">
        <v>167</v>
      </c>
      <c r="V264" s="139">
        <v>183</v>
      </c>
      <c r="W264" s="267" t="s">
        <v>2702</v>
      </c>
      <c r="X264" s="267" t="s">
        <v>2701</v>
      </c>
      <c r="Y264" s="285">
        <v>350</v>
      </c>
      <c r="Z264" s="274">
        <v>0</v>
      </c>
      <c r="AA264" s="139">
        <v>0</v>
      </c>
      <c r="AB264" s="139">
        <v>0</v>
      </c>
      <c r="AC264" s="267"/>
      <c r="AD264" s="267"/>
      <c r="AE264" s="285">
        <v>0</v>
      </c>
      <c r="AF264" s="286">
        <v>350</v>
      </c>
      <c r="AG264" s="113" t="s">
        <v>199</v>
      </c>
      <c r="AH264" s="119"/>
    </row>
    <row r="265" spans="1:34" s="80" customFormat="1" ht="12" customHeight="1">
      <c r="A265" s="66">
        <v>2063</v>
      </c>
      <c r="B265" s="67" t="s">
        <v>2701</v>
      </c>
      <c r="C265" s="67" t="s">
        <v>2701</v>
      </c>
      <c r="D265" s="67" t="s">
        <v>2703</v>
      </c>
      <c r="E265" s="66">
        <v>2</v>
      </c>
      <c r="F265" s="110">
        <v>3</v>
      </c>
      <c r="G265" s="69">
        <v>263</v>
      </c>
      <c r="H265" s="111" t="s">
        <v>1618</v>
      </c>
      <c r="I265" s="115" t="s">
        <v>1618</v>
      </c>
      <c r="J265" s="113">
        <v>10500100156201</v>
      </c>
      <c r="K265" s="114" t="s">
        <v>148</v>
      </c>
      <c r="L265" s="114" t="s">
        <v>120</v>
      </c>
      <c r="M265" s="114">
        <v>10</v>
      </c>
      <c r="N265" s="115" t="s">
        <v>951</v>
      </c>
      <c r="O265" s="111" t="s">
        <v>1619</v>
      </c>
      <c r="P265" s="115" t="s">
        <v>1620</v>
      </c>
      <c r="Q265" s="111" t="s">
        <v>953</v>
      </c>
      <c r="R265" s="111" t="s">
        <v>1621</v>
      </c>
      <c r="S265" s="116" t="s">
        <v>1622</v>
      </c>
      <c r="T265" s="274">
        <v>0</v>
      </c>
      <c r="U265" s="139">
        <v>200</v>
      </c>
      <c r="V265" s="139">
        <v>120</v>
      </c>
      <c r="W265" s="267" t="s">
        <v>2702</v>
      </c>
      <c r="X265" s="267" t="s">
        <v>2701</v>
      </c>
      <c r="Y265" s="285">
        <v>320</v>
      </c>
      <c r="Z265" s="274">
        <v>83</v>
      </c>
      <c r="AA265" s="139">
        <v>217</v>
      </c>
      <c r="AB265" s="139">
        <v>200</v>
      </c>
      <c r="AC265" s="267" t="s">
        <v>2700</v>
      </c>
      <c r="AD265" s="267" t="s">
        <v>2701</v>
      </c>
      <c r="AE265" s="285">
        <v>500</v>
      </c>
      <c r="AF265" s="286">
        <v>820</v>
      </c>
      <c r="AG265" s="113"/>
      <c r="AH265" s="140"/>
    </row>
    <row r="266" spans="1:34" s="80" customFormat="1" ht="12" customHeight="1">
      <c r="A266" s="66">
        <v>2064</v>
      </c>
      <c r="B266" s="67" t="s">
        <v>2701</v>
      </c>
      <c r="C266" s="67" t="s">
        <v>2701</v>
      </c>
      <c r="D266" s="67" t="s">
        <v>2702</v>
      </c>
      <c r="E266" s="66">
        <v>2</v>
      </c>
      <c r="F266" s="110">
        <v>3</v>
      </c>
      <c r="G266" s="69">
        <v>264</v>
      </c>
      <c r="H266" s="111" t="s">
        <v>1623</v>
      </c>
      <c r="I266" s="115" t="s">
        <v>1623</v>
      </c>
      <c r="J266" s="113">
        <v>10500102651401</v>
      </c>
      <c r="K266" s="114" t="s">
        <v>148</v>
      </c>
      <c r="L266" s="114" t="s">
        <v>120</v>
      </c>
      <c r="M266" s="114">
        <v>10</v>
      </c>
      <c r="N266" s="115" t="s">
        <v>1624</v>
      </c>
      <c r="O266" s="111" t="s">
        <v>1625</v>
      </c>
      <c r="P266" s="115">
        <v>2510634</v>
      </c>
      <c r="Q266" s="111" t="s">
        <v>1626</v>
      </c>
      <c r="R266" s="111" t="s">
        <v>1627</v>
      </c>
      <c r="S266" s="116" t="s">
        <v>1628</v>
      </c>
      <c r="T266" s="274">
        <v>88</v>
      </c>
      <c r="U266" s="139">
        <v>110</v>
      </c>
      <c r="V266" s="139">
        <v>43</v>
      </c>
      <c r="W266" s="267" t="s">
        <v>2702</v>
      </c>
      <c r="X266" s="267" t="s">
        <v>2701</v>
      </c>
      <c r="Y266" s="285">
        <v>241</v>
      </c>
      <c r="Z266" s="274">
        <v>0</v>
      </c>
      <c r="AA266" s="139">
        <v>0</v>
      </c>
      <c r="AB266" s="139">
        <v>0</v>
      </c>
      <c r="AC266" s="267"/>
      <c r="AD266" s="267"/>
      <c r="AE266" s="285">
        <v>0</v>
      </c>
      <c r="AF266" s="286">
        <v>241</v>
      </c>
      <c r="AG266" s="113"/>
      <c r="AH266" s="140"/>
    </row>
    <row r="267" spans="1:34" s="80" customFormat="1" ht="12" customHeight="1">
      <c r="A267" s="66">
        <v>2065</v>
      </c>
      <c r="B267" s="67" t="s">
        <v>2701</v>
      </c>
      <c r="C267" s="67" t="s">
        <v>2701</v>
      </c>
      <c r="D267" s="67" t="s">
        <v>2703</v>
      </c>
      <c r="E267" s="66">
        <v>2</v>
      </c>
      <c r="F267" s="110">
        <v>3</v>
      </c>
      <c r="G267" s="69">
        <v>265</v>
      </c>
      <c r="H267" s="111" t="s">
        <v>1629</v>
      </c>
      <c r="I267" s="115" t="s">
        <v>1629</v>
      </c>
      <c r="J267" s="113">
        <v>10500100025601</v>
      </c>
      <c r="K267" s="114" t="s">
        <v>148</v>
      </c>
      <c r="L267" s="114" t="s">
        <v>120</v>
      </c>
      <c r="M267" s="114">
        <v>10</v>
      </c>
      <c r="N267" s="115" t="s">
        <v>951</v>
      </c>
      <c r="O267" s="111" t="s">
        <v>1630</v>
      </c>
      <c r="P267" s="115" t="s">
        <v>1631</v>
      </c>
      <c r="Q267" s="111" t="s">
        <v>1632</v>
      </c>
      <c r="R267" s="111" t="s">
        <v>1633</v>
      </c>
      <c r="S267" s="116" t="s">
        <v>1634</v>
      </c>
      <c r="T267" s="274">
        <v>182</v>
      </c>
      <c r="U267" s="139">
        <v>88</v>
      </c>
      <c r="V267" s="139">
        <v>90</v>
      </c>
      <c r="W267" s="267" t="s">
        <v>2702</v>
      </c>
      <c r="X267" s="267" t="s">
        <v>2701</v>
      </c>
      <c r="Y267" s="285">
        <v>360</v>
      </c>
      <c r="Z267" s="274">
        <v>0</v>
      </c>
      <c r="AA267" s="139">
        <v>246</v>
      </c>
      <c r="AB267" s="139">
        <v>84</v>
      </c>
      <c r="AC267" s="267" t="s">
        <v>2700</v>
      </c>
      <c r="AD267" s="267" t="s">
        <v>2701</v>
      </c>
      <c r="AE267" s="285">
        <v>330</v>
      </c>
      <c r="AF267" s="286">
        <v>690</v>
      </c>
      <c r="AG267" s="113"/>
      <c r="AH267" s="140"/>
    </row>
    <row r="268" spans="1:34" s="80" customFormat="1" ht="12" customHeight="1">
      <c r="A268" s="66">
        <v>2066</v>
      </c>
      <c r="B268" s="67" t="s">
        <v>2701</v>
      </c>
      <c r="C268" s="67" t="s">
        <v>2701</v>
      </c>
      <c r="D268" s="67" t="s">
        <v>2702</v>
      </c>
      <c r="E268" s="66">
        <v>2</v>
      </c>
      <c r="F268" s="110">
        <v>3</v>
      </c>
      <c r="G268" s="69">
        <v>266</v>
      </c>
      <c r="H268" s="111" t="s">
        <v>1635</v>
      </c>
      <c r="I268" s="115" t="s">
        <v>1635</v>
      </c>
      <c r="J268" s="113">
        <v>10500100025602</v>
      </c>
      <c r="K268" s="114" t="s">
        <v>148</v>
      </c>
      <c r="L268" s="114" t="s">
        <v>120</v>
      </c>
      <c r="M268" s="114">
        <v>10</v>
      </c>
      <c r="N268" s="115" t="s">
        <v>1636</v>
      </c>
      <c r="O268" s="111" t="s">
        <v>1637</v>
      </c>
      <c r="P268" s="115">
        <v>2623588</v>
      </c>
      <c r="Q268" s="111" t="s">
        <v>1632</v>
      </c>
      <c r="R268" s="111" t="s">
        <v>1638</v>
      </c>
      <c r="S268" s="116" t="s">
        <v>1639</v>
      </c>
      <c r="T268" s="274">
        <v>78</v>
      </c>
      <c r="U268" s="139">
        <v>83</v>
      </c>
      <c r="V268" s="139">
        <v>0</v>
      </c>
      <c r="W268" s="267" t="s">
        <v>2702</v>
      </c>
      <c r="X268" s="267" t="s">
        <v>2701</v>
      </c>
      <c r="Y268" s="285">
        <v>161</v>
      </c>
      <c r="Z268" s="274">
        <v>0</v>
      </c>
      <c r="AA268" s="139">
        <v>0</v>
      </c>
      <c r="AB268" s="139">
        <v>0</v>
      </c>
      <c r="AC268" s="267"/>
      <c r="AD268" s="267"/>
      <c r="AE268" s="285">
        <v>0</v>
      </c>
      <c r="AF268" s="286">
        <v>161</v>
      </c>
      <c r="AG268" s="139"/>
      <c r="AH268" s="292"/>
    </row>
    <row r="269" spans="1:34" s="80" customFormat="1" ht="12" customHeight="1">
      <c r="A269" s="66">
        <v>2067</v>
      </c>
      <c r="B269" s="67" t="s">
        <v>2701</v>
      </c>
      <c r="C269" s="67" t="s">
        <v>2701</v>
      </c>
      <c r="D269" s="67" t="s">
        <v>2702</v>
      </c>
      <c r="E269" s="66">
        <v>2</v>
      </c>
      <c r="F269" s="110">
        <v>3</v>
      </c>
      <c r="G269" s="69">
        <v>267</v>
      </c>
      <c r="H269" s="111" t="s">
        <v>1640</v>
      </c>
      <c r="I269" s="115" t="s">
        <v>1640</v>
      </c>
      <c r="J269" s="113">
        <v>30500101711501</v>
      </c>
      <c r="K269" s="114" t="s">
        <v>226</v>
      </c>
      <c r="L269" s="114"/>
      <c r="M269" s="114">
        <v>10</v>
      </c>
      <c r="N269" s="115" t="s">
        <v>1641</v>
      </c>
      <c r="O269" s="111" t="s">
        <v>1642</v>
      </c>
      <c r="P269" s="115" t="s">
        <v>1643</v>
      </c>
      <c r="Q269" s="111" t="s">
        <v>1644</v>
      </c>
      <c r="R269" s="111" t="s">
        <v>1644</v>
      </c>
      <c r="S269" s="116" t="s">
        <v>1645</v>
      </c>
      <c r="T269" s="274">
        <v>29</v>
      </c>
      <c r="U269" s="139">
        <v>50</v>
      </c>
      <c r="V269" s="139">
        <v>0</v>
      </c>
      <c r="W269" s="267" t="s">
        <v>2702</v>
      </c>
      <c r="X269" s="267" t="s">
        <v>2701</v>
      </c>
      <c r="Y269" s="285">
        <v>79</v>
      </c>
      <c r="Z269" s="274">
        <v>0</v>
      </c>
      <c r="AA269" s="139">
        <v>0</v>
      </c>
      <c r="AB269" s="139">
        <v>0</v>
      </c>
      <c r="AC269" s="267"/>
      <c r="AD269" s="267"/>
      <c r="AE269" s="285">
        <v>0</v>
      </c>
      <c r="AF269" s="286">
        <v>79</v>
      </c>
      <c r="AG269" s="139"/>
      <c r="AH269" s="139"/>
    </row>
    <row r="270" spans="1:34" s="80" customFormat="1" ht="12" customHeight="1">
      <c r="A270" s="66">
        <v>2068</v>
      </c>
      <c r="B270" s="67" t="s">
        <v>2701</v>
      </c>
      <c r="C270" s="67" t="s">
        <v>2701</v>
      </c>
      <c r="D270" s="67" t="s">
        <v>2702</v>
      </c>
      <c r="E270" s="66">
        <v>2</v>
      </c>
      <c r="F270" s="110">
        <v>3</v>
      </c>
      <c r="G270" s="69">
        <v>268</v>
      </c>
      <c r="H270" s="111" t="s">
        <v>1646</v>
      </c>
      <c r="I270" s="115" t="s">
        <v>1646</v>
      </c>
      <c r="J270" s="113">
        <v>10500100035302</v>
      </c>
      <c r="K270" s="114" t="s">
        <v>148</v>
      </c>
      <c r="L270" s="114"/>
      <c r="M270" s="114">
        <v>10</v>
      </c>
      <c r="N270" s="115" t="s">
        <v>970</v>
      </c>
      <c r="O270" s="111" t="s">
        <v>1647</v>
      </c>
      <c r="P270" s="115">
        <v>2549409</v>
      </c>
      <c r="Q270" s="111" t="s">
        <v>1648</v>
      </c>
      <c r="R270" s="111" t="s">
        <v>1649</v>
      </c>
      <c r="S270" s="116" t="s">
        <v>1650</v>
      </c>
      <c r="T270" s="274">
        <v>80</v>
      </c>
      <c r="U270" s="139">
        <v>60</v>
      </c>
      <c r="V270" s="139">
        <v>0</v>
      </c>
      <c r="W270" s="267" t="s">
        <v>2702</v>
      </c>
      <c r="X270" s="267" t="s">
        <v>2701</v>
      </c>
      <c r="Y270" s="285">
        <v>140</v>
      </c>
      <c r="Z270" s="274">
        <v>0</v>
      </c>
      <c r="AA270" s="139">
        <v>0</v>
      </c>
      <c r="AB270" s="139">
        <v>0</v>
      </c>
      <c r="AC270" s="267"/>
      <c r="AD270" s="267"/>
      <c r="AE270" s="285">
        <v>0</v>
      </c>
      <c r="AF270" s="286">
        <v>140</v>
      </c>
      <c r="AG270" s="113"/>
      <c r="AH270" s="140"/>
    </row>
    <row r="271" spans="1:34" s="80" customFormat="1" ht="12" customHeight="1">
      <c r="A271" s="66">
        <v>2069</v>
      </c>
      <c r="B271" s="67" t="s">
        <v>2701</v>
      </c>
      <c r="C271" s="67" t="s">
        <v>2701</v>
      </c>
      <c r="D271" s="67" t="s">
        <v>2702</v>
      </c>
      <c r="E271" s="66">
        <v>2</v>
      </c>
      <c r="F271" s="110">
        <v>3</v>
      </c>
      <c r="G271" s="69">
        <v>269</v>
      </c>
      <c r="H271" s="111" t="s">
        <v>1651</v>
      </c>
      <c r="I271" s="115" t="s">
        <v>1651</v>
      </c>
      <c r="J271" s="113">
        <v>20500100138903</v>
      </c>
      <c r="K271" s="114" t="s">
        <v>148</v>
      </c>
      <c r="L271" s="114"/>
      <c r="M271" s="114">
        <v>90</v>
      </c>
      <c r="N271" s="115" t="s">
        <v>1652</v>
      </c>
      <c r="O271" s="111" t="s">
        <v>1653</v>
      </c>
      <c r="P271" s="115" t="s">
        <v>1654</v>
      </c>
      <c r="Q271" s="111" t="s">
        <v>1655</v>
      </c>
      <c r="R271" s="111" t="s">
        <v>1656</v>
      </c>
      <c r="S271" s="116" t="s">
        <v>1657</v>
      </c>
      <c r="T271" s="274">
        <v>65</v>
      </c>
      <c r="U271" s="139">
        <v>24</v>
      </c>
      <c r="V271" s="139">
        <v>0</v>
      </c>
      <c r="W271" s="267" t="s">
        <v>2702</v>
      </c>
      <c r="X271" s="267" t="s">
        <v>2701</v>
      </c>
      <c r="Y271" s="285">
        <v>89</v>
      </c>
      <c r="Z271" s="274">
        <v>0</v>
      </c>
      <c r="AA271" s="139">
        <v>0</v>
      </c>
      <c r="AB271" s="139">
        <v>0</v>
      </c>
      <c r="AC271" s="267"/>
      <c r="AD271" s="267"/>
      <c r="AE271" s="285">
        <v>0</v>
      </c>
      <c r="AF271" s="286">
        <v>89</v>
      </c>
      <c r="AG271" s="113"/>
      <c r="AH271" s="140"/>
    </row>
    <row r="272" spans="1:34" s="80" customFormat="1" ht="12" customHeight="1">
      <c r="A272" s="66">
        <v>2070</v>
      </c>
      <c r="B272" s="67" t="s">
        <v>2701</v>
      </c>
      <c r="C272" s="67" t="s">
        <v>2701</v>
      </c>
      <c r="D272" s="67" t="s">
        <v>2702</v>
      </c>
      <c r="E272" s="66">
        <v>2</v>
      </c>
      <c r="F272" s="110">
        <v>3</v>
      </c>
      <c r="G272" s="69">
        <v>270</v>
      </c>
      <c r="H272" s="111" t="s">
        <v>1658</v>
      </c>
      <c r="I272" s="115" t="s">
        <v>1658</v>
      </c>
      <c r="J272" s="113">
        <v>20500101103101</v>
      </c>
      <c r="K272" s="114" t="s">
        <v>148</v>
      </c>
      <c r="L272" s="114" t="s">
        <v>120</v>
      </c>
      <c r="M272" s="114">
        <v>90</v>
      </c>
      <c r="N272" s="115" t="s">
        <v>1652</v>
      </c>
      <c r="O272" s="111" t="s">
        <v>1659</v>
      </c>
      <c r="P272" s="115" t="s">
        <v>1660</v>
      </c>
      <c r="Q272" s="111" t="s">
        <v>1661</v>
      </c>
      <c r="R272" s="111" t="s">
        <v>1662</v>
      </c>
      <c r="S272" s="116" t="s">
        <v>1663</v>
      </c>
      <c r="T272" s="274">
        <v>0</v>
      </c>
      <c r="U272" s="139">
        <v>138</v>
      </c>
      <c r="V272" s="139">
        <v>83</v>
      </c>
      <c r="W272" s="267" t="s">
        <v>2702</v>
      </c>
      <c r="X272" s="267" t="s">
        <v>2701</v>
      </c>
      <c r="Y272" s="285">
        <v>221</v>
      </c>
      <c r="Z272" s="274">
        <v>0</v>
      </c>
      <c r="AA272" s="139">
        <v>0</v>
      </c>
      <c r="AB272" s="139">
        <v>0</v>
      </c>
      <c r="AC272" s="267"/>
      <c r="AD272" s="267"/>
      <c r="AE272" s="285">
        <v>0</v>
      </c>
      <c r="AF272" s="286">
        <v>221</v>
      </c>
      <c r="AG272" s="113"/>
      <c r="AH272" s="140"/>
    </row>
    <row r="273" spans="1:34" s="80" customFormat="1" ht="12" customHeight="1">
      <c r="A273" s="66">
        <v>2071</v>
      </c>
      <c r="B273" s="67" t="s">
        <v>2701</v>
      </c>
      <c r="C273" s="67" t="s">
        <v>2701</v>
      </c>
      <c r="D273" s="67" t="s">
        <v>2702</v>
      </c>
      <c r="E273" s="66">
        <v>2</v>
      </c>
      <c r="F273" s="110">
        <v>3</v>
      </c>
      <c r="G273" s="69">
        <v>271</v>
      </c>
      <c r="H273" s="111" t="s">
        <v>1664</v>
      </c>
      <c r="I273" s="115" t="s">
        <v>1664</v>
      </c>
      <c r="J273" s="113">
        <v>20500101103102</v>
      </c>
      <c r="K273" s="114" t="s">
        <v>148</v>
      </c>
      <c r="L273" s="114" t="s">
        <v>120</v>
      </c>
      <c r="M273" s="114">
        <v>90</v>
      </c>
      <c r="N273" s="115" t="s">
        <v>1652</v>
      </c>
      <c r="O273" s="111" t="s">
        <v>1659</v>
      </c>
      <c r="P273" s="115" t="s">
        <v>1665</v>
      </c>
      <c r="Q273" s="111" t="s">
        <v>1661</v>
      </c>
      <c r="R273" s="111" t="s">
        <v>1666</v>
      </c>
      <c r="S273" s="116" t="s">
        <v>1667</v>
      </c>
      <c r="T273" s="274">
        <v>55</v>
      </c>
      <c r="U273" s="139">
        <v>28</v>
      </c>
      <c r="V273" s="139">
        <v>0</v>
      </c>
      <c r="W273" s="267" t="s">
        <v>2702</v>
      </c>
      <c r="X273" s="267" t="s">
        <v>2701</v>
      </c>
      <c r="Y273" s="285">
        <v>83</v>
      </c>
      <c r="Z273" s="274">
        <v>0</v>
      </c>
      <c r="AA273" s="139">
        <v>0</v>
      </c>
      <c r="AB273" s="139">
        <v>0</v>
      </c>
      <c r="AC273" s="267"/>
      <c r="AD273" s="267"/>
      <c r="AE273" s="285">
        <v>0</v>
      </c>
      <c r="AF273" s="286">
        <v>83</v>
      </c>
      <c r="AG273" s="113"/>
      <c r="AH273" s="140"/>
    </row>
    <row r="274" spans="1:34" s="80" customFormat="1" ht="12" customHeight="1">
      <c r="A274" s="66">
        <v>2072</v>
      </c>
      <c r="B274" s="67" t="s">
        <v>2701</v>
      </c>
      <c r="C274" s="67" t="s">
        <v>2701</v>
      </c>
      <c r="D274" s="67" t="s">
        <v>2702</v>
      </c>
      <c r="E274" s="66">
        <v>2</v>
      </c>
      <c r="F274" s="110">
        <v>3</v>
      </c>
      <c r="G274" s="69">
        <v>272</v>
      </c>
      <c r="H274" s="111" t="s">
        <v>1668</v>
      </c>
      <c r="I274" s="115" t="s">
        <v>1668</v>
      </c>
      <c r="J274" s="113">
        <v>20500100622402</v>
      </c>
      <c r="K274" s="114" t="s">
        <v>148</v>
      </c>
      <c r="L274" s="114"/>
      <c r="M274" s="114">
        <v>90</v>
      </c>
      <c r="N274" s="115" t="s">
        <v>1669</v>
      </c>
      <c r="O274" s="111" t="s">
        <v>1670</v>
      </c>
      <c r="P274" s="115">
        <v>5513286</v>
      </c>
      <c r="Q274" s="111" t="s">
        <v>1671</v>
      </c>
      <c r="R274" s="111" t="s">
        <v>1672</v>
      </c>
      <c r="S274" s="116" t="s">
        <v>1673</v>
      </c>
      <c r="T274" s="274">
        <v>12</v>
      </c>
      <c r="U274" s="139">
        <v>2</v>
      </c>
      <c r="V274" s="139">
        <v>0</v>
      </c>
      <c r="W274" s="267" t="s">
        <v>2702</v>
      </c>
      <c r="X274" s="267" t="s">
        <v>2701</v>
      </c>
      <c r="Y274" s="285">
        <v>14</v>
      </c>
      <c r="Z274" s="274">
        <v>0</v>
      </c>
      <c r="AA274" s="139">
        <v>0</v>
      </c>
      <c r="AB274" s="139">
        <v>0</v>
      </c>
      <c r="AC274" s="267"/>
      <c r="AD274" s="267"/>
      <c r="AE274" s="285">
        <v>0</v>
      </c>
      <c r="AF274" s="286">
        <v>14</v>
      </c>
      <c r="AG274" s="113"/>
      <c r="AH274" s="140"/>
    </row>
    <row r="275" spans="1:34" s="80" customFormat="1" ht="12" customHeight="1">
      <c r="A275" s="66">
        <v>2073</v>
      </c>
      <c r="B275" s="67" t="s">
        <v>2701</v>
      </c>
      <c r="C275" s="67" t="s">
        <v>2701</v>
      </c>
      <c r="D275" s="67" t="s">
        <v>2702</v>
      </c>
      <c r="E275" s="66">
        <v>2</v>
      </c>
      <c r="F275" s="110">
        <v>3</v>
      </c>
      <c r="G275" s="69">
        <v>273</v>
      </c>
      <c r="H275" s="111" t="s">
        <v>1674</v>
      </c>
      <c r="I275" s="115" t="s">
        <v>1674</v>
      </c>
      <c r="J275" s="113">
        <v>20500100138901</v>
      </c>
      <c r="K275" s="114" t="s">
        <v>148</v>
      </c>
      <c r="L275" s="114"/>
      <c r="M275" s="114">
        <v>90</v>
      </c>
      <c r="N275" s="115" t="s">
        <v>1652</v>
      </c>
      <c r="O275" s="111" t="s">
        <v>1675</v>
      </c>
      <c r="P275" s="115">
        <v>2695500</v>
      </c>
      <c r="Q275" s="111" t="s">
        <v>1655</v>
      </c>
      <c r="R275" s="111" t="s">
        <v>1676</v>
      </c>
      <c r="S275" s="116" t="s">
        <v>1657</v>
      </c>
      <c r="T275" s="274">
        <v>72</v>
      </c>
      <c r="U275" s="139">
        <v>30</v>
      </c>
      <c r="V275" s="139">
        <v>0</v>
      </c>
      <c r="W275" s="267" t="s">
        <v>2702</v>
      </c>
      <c r="X275" s="267" t="s">
        <v>2701</v>
      </c>
      <c r="Y275" s="285">
        <v>102</v>
      </c>
      <c r="Z275" s="274">
        <v>0</v>
      </c>
      <c r="AA275" s="139">
        <v>0</v>
      </c>
      <c r="AB275" s="139">
        <v>0</v>
      </c>
      <c r="AC275" s="267"/>
      <c r="AD275" s="267"/>
      <c r="AE275" s="285">
        <v>0</v>
      </c>
      <c r="AF275" s="286">
        <v>102</v>
      </c>
      <c r="AG275" s="113"/>
      <c r="AH275" s="140"/>
    </row>
    <row r="276" spans="1:34" s="80" customFormat="1" ht="12" customHeight="1">
      <c r="A276" s="66">
        <v>2074</v>
      </c>
      <c r="B276" s="67" t="s">
        <v>2701</v>
      </c>
      <c r="C276" s="67" t="s">
        <v>2701</v>
      </c>
      <c r="D276" s="67" t="s">
        <v>2702</v>
      </c>
      <c r="E276" s="66">
        <v>2</v>
      </c>
      <c r="F276" s="110">
        <v>3</v>
      </c>
      <c r="G276" s="69">
        <v>274</v>
      </c>
      <c r="H276" s="111" t="s">
        <v>1677</v>
      </c>
      <c r="I276" s="115" t="s">
        <v>1677</v>
      </c>
      <c r="J276" s="113">
        <v>20500100138902</v>
      </c>
      <c r="K276" s="114" t="s">
        <v>148</v>
      </c>
      <c r="L276" s="114"/>
      <c r="M276" s="114">
        <v>90</v>
      </c>
      <c r="N276" s="115" t="s">
        <v>1678</v>
      </c>
      <c r="O276" s="111" t="s">
        <v>1679</v>
      </c>
      <c r="P276" s="115" t="s">
        <v>1680</v>
      </c>
      <c r="Q276" s="111" t="s">
        <v>1655</v>
      </c>
      <c r="R276" s="111" t="s">
        <v>1681</v>
      </c>
      <c r="S276" s="116" t="s">
        <v>1657</v>
      </c>
      <c r="T276" s="274">
        <v>29</v>
      </c>
      <c r="U276" s="139">
        <v>19</v>
      </c>
      <c r="V276" s="139">
        <v>0</v>
      </c>
      <c r="W276" s="267" t="s">
        <v>2702</v>
      </c>
      <c r="X276" s="267" t="s">
        <v>2701</v>
      </c>
      <c r="Y276" s="285">
        <v>48</v>
      </c>
      <c r="Z276" s="274">
        <v>0</v>
      </c>
      <c r="AA276" s="139">
        <v>0</v>
      </c>
      <c r="AB276" s="139">
        <v>0</v>
      </c>
      <c r="AC276" s="267"/>
      <c r="AD276" s="267"/>
      <c r="AE276" s="285">
        <v>0</v>
      </c>
      <c r="AF276" s="286">
        <v>48</v>
      </c>
      <c r="AG276" s="113"/>
      <c r="AH276" s="140"/>
    </row>
    <row r="277" spans="1:34" s="80" customFormat="1" ht="12" customHeight="1">
      <c r="A277" s="66">
        <v>2075</v>
      </c>
      <c r="B277" s="67" t="s">
        <v>2701</v>
      </c>
      <c r="C277" s="67" t="s">
        <v>2701</v>
      </c>
      <c r="D277" s="67" t="s">
        <v>2702</v>
      </c>
      <c r="E277" s="66">
        <v>2</v>
      </c>
      <c r="F277" s="110">
        <v>3</v>
      </c>
      <c r="G277" s="69">
        <v>275</v>
      </c>
      <c r="H277" s="111" t="s">
        <v>1682</v>
      </c>
      <c r="I277" s="115" t="s">
        <v>1682</v>
      </c>
      <c r="J277" s="113">
        <v>20500100611902</v>
      </c>
      <c r="K277" s="114" t="s">
        <v>148</v>
      </c>
      <c r="L277" s="114"/>
      <c r="M277" s="114">
        <v>90</v>
      </c>
      <c r="N277" s="115" t="s">
        <v>1683</v>
      </c>
      <c r="O277" s="111" t="s">
        <v>1684</v>
      </c>
      <c r="P277" s="115">
        <v>5669186</v>
      </c>
      <c r="Q277" s="111" t="s">
        <v>1685</v>
      </c>
      <c r="R277" s="111" t="s">
        <v>1686</v>
      </c>
      <c r="S277" s="116" t="s">
        <v>1687</v>
      </c>
      <c r="T277" s="274">
        <v>37</v>
      </c>
      <c r="U277" s="139">
        <v>18</v>
      </c>
      <c r="V277" s="139">
        <v>0</v>
      </c>
      <c r="W277" s="267" t="s">
        <v>2702</v>
      </c>
      <c r="X277" s="267" t="s">
        <v>2701</v>
      </c>
      <c r="Y277" s="285">
        <v>55</v>
      </c>
      <c r="Z277" s="274">
        <v>0</v>
      </c>
      <c r="AA277" s="139">
        <v>0</v>
      </c>
      <c r="AB277" s="139">
        <v>0</v>
      </c>
      <c r="AC277" s="267"/>
      <c r="AD277" s="267"/>
      <c r="AE277" s="285">
        <v>0</v>
      </c>
      <c r="AF277" s="286">
        <v>55</v>
      </c>
      <c r="AG277" s="113"/>
      <c r="AH277" s="140"/>
    </row>
    <row r="278" spans="1:34" s="80" customFormat="1" ht="12" customHeight="1">
      <c r="A278" s="66">
        <v>2076</v>
      </c>
      <c r="B278" s="67" t="s">
        <v>2701</v>
      </c>
      <c r="C278" s="67" t="s">
        <v>2701</v>
      </c>
      <c r="D278" s="67" t="s">
        <v>2702</v>
      </c>
      <c r="E278" s="66">
        <v>2</v>
      </c>
      <c r="F278" s="110">
        <v>3</v>
      </c>
      <c r="G278" s="69">
        <v>276</v>
      </c>
      <c r="H278" s="111" t="s">
        <v>1688</v>
      </c>
      <c r="I278" s="115" t="s">
        <v>1688</v>
      </c>
      <c r="J278" s="113">
        <v>20500100611903</v>
      </c>
      <c r="K278" s="114" t="s">
        <v>148</v>
      </c>
      <c r="L278" s="114"/>
      <c r="M278" s="114">
        <v>90</v>
      </c>
      <c r="N278" s="115" t="s">
        <v>1689</v>
      </c>
      <c r="O278" s="111" t="s">
        <v>1690</v>
      </c>
      <c r="P278" s="115">
        <v>5381830</v>
      </c>
      <c r="Q278" s="111" t="s">
        <v>1685</v>
      </c>
      <c r="R278" s="111" t="s">
        <v>1691</v>
      </c>
      <c r="S278" s="116" t="s">
        <v>1692</v>
      </c>
      <c r="T278" s="274">
        <v>48</v>
      </c>
      <c r="U278" s="139">
        <v>21</v>
      </c>
      <c r="V278" s="139">
        <v>0</v>
      </c>
      <c r="W278" s="267" t="s">
        <v>2702</v>
      </c>
      <c r="X278" s="267" t="s">
        <v>2701</v>
      </c>
      <c r="Y278" s="285">
        <v>69</v>
      </c>
      <c r="Z278" s="274">
        <v>0</v>
      </c>
      <c r="AA278" s="139">
        <v>0</v>
      </c>
      <c r="AB278" s="139">
        <v>0</v>
      </c>
      <c r="AC278" s="267"/>
      <c r="AD278" s="267"/>
      <c r="AE278" s="285">
        <v>0</v>
      </c>
      <c r="AF278" s="286">
        <v>69</v>
      </c>
      <c r="AG278" s="113"/>
      <c r="AH278" s="140"/>
    </row>
    <row r="279" spans="1:34" s="80" customFormat="1" ht="12" customHeight="1">
      <c r="A279" s="66">
        <v>2077</v>
      </c>
      <c r="B279" s="67" t="s">
        <v>2701</v>
      </c>
      <c r="C279" s="67" t="s">
        <v>2701</v>
      </c>
      <c r="D279" s="67" t="s">
        <v>2702</v>
      </c>
      <c r="E279" s="66">
        <v>2</v>
      </c>
      <c r="F279" s="110">
        <v>3</v>
      </c>
      <c r="G279" s="69">
        <v>277</v>
      </c>
      <c r="H279" s="111" t="s">
        <v>1693</v>
      </c>
      <c r="I279" s="115" t="s">
        <v>1693</v>
      </c>
      <c r="J279" s="113">
        <v>20500100611901</v>
      </c>
      <c r="K279" s="114" t="s">
        <v>148</v>
      </c>
      <c r="L279" s="114"/>
      <c r="M279" s="114">
        <v>90</v>
      </c>
      <c r="N279" s="115" t="s">
        <v>1694</v>
      </c>
      <c r="O279" s="111" t="s">
        <v>1695</v>
      </c>
      <c r="P279" s="115" t="s">
        <v>1696</v>
      </c>
      <c r="Q279" s="111" t="s">
        <v>1685</v>
      </c>
      <c r="R279" s="111" t="s">
        <v>1697</v>
      </c>
      <c r="S279" s="116" t="s">
        <v>1692</v>
      </c>
      <c r="T279" s="274">
        <v>87</v>
      </c>
      <c r="U279" s="139">
        <v>37</v>
      </c>
      <c r="V279" s="139">
        <v>0</v>
      </c>
      <c r="W279" s="267" t="s">
        <v>2702</v>
      </c>
      <c r="X279" s="267" t="s">
        <v>2701</v>
      </c>
      <c r="Y279" s="285">
        <v>124</v>
      </c>
      <c r="Z279" s="274">
        <v>0</v>
      </c>
      <c r="AA279" s="139">
        <v>0</v>
      </c>
      <c r="AB279" s="139">
        <v>0</v>
      </c>
      <c r="AC279" s="267"/>
      <c r="AD279" s="267"/>
      <c r="AE279" s="285">
        <v>0</v>
      </c>
      <c r="AF279" s="286">
        <v>124</v>
      </c>
      <c r="AG279" s="113"/>
      <c r="AH279" s="140"/>
    </row>
    <row r="280" spans="1:34" s="80" customFormat="1" ht="12" customHeight="1">
      <c r="A280" s="66">
        <v>2078</v>
      </c>
      <c r="B280" s="67" t="s">
        <v>2701</v>
      </c>
      <c r="C280" s="67" t="s">
        <v>2701</v>
      </c>
      <c r="D280" s="67" t="s">
        <v>2702</v>
      </c>
      <c r="E280" s="66">
        <v>2</v>
      </c>
      <c r="F280" s="110">
        <v>3</v>
      </c>
      <c r="G280" s="69">
        <v>278</v>
      </c>
      <c r="H280" s="111" t="s">
        <v>1698</v>
      </c>
      <c r="I280" s="115" t="s">
        <v>1698</v>
      </c>
      <c r="J280" s="113">
        <v>20500100622401</v>
      </c>
      <c r="K280" s="114" t="s">
        <v>148</v>
      </c>
      <c r="L280" s="114"/>
      <c r="M280" s="114">
        <v>90</v>
      </c>
      <c r="N280" s="115" t="s">
        <v>1699</v>
      </c>
      <c r="O280" s="111" t="s">
        <v>1700</v>
      </c>
      <c r="P280" s="115">
        <v>5669390</v>
      </c>
      <c r="Q280" s="111" t="s">
        <v>1701</v>
      </c>
      <c r="R280" s="111" t="s">
        <v>1702</v>
      </c>
      <c r="S280" s="116" t="s">
        <v>1703</v>
      </c>
      <c r="T280" s="274">
        <v>70</v>
      </c>
      <c r="U280" s="139">
        <v>34</v>
      </c>
      <c r="V280" s="139">
        <v>0</v>
      </c>
      <c r="W280" s="267" t="s">
        <v>2702</v>
      </c>
      <c r="X280" s="267" t="s">
        <v>2701</v>
      </c>
      <c r="Y280" s="285">
        <v>104</v>
      </c>
      <c r="Z280" s="274">
        <v>0</v>
      </c>
      <c r="AA280" s="139">
        <v>0</v>
      </c>
      <c r="AB280" s="139">
        <v>0</v>
      </c>
      <c r="AC280" s="267"/>
      <c r="AD280" s="267"/>
      <c r="AE280" s="285">
        <v>0</v>
      </c>
      <c r="AF280" s="286">
        <v>104</v>
      </c>
      <c r="AG280" s="113"/>
      <c r="AH280" s="140"/>
    </row>
    <row r="281" spans="1:34" s="80" customFormat="1" ht="12" customHeight="1">
      <c r="A281" s="66">
        <v>2079</v>
      </c>
      <c r="B281" s="67" t="s">
        <v>2701</v>
      </c>
      <c r="C281" s="67" t="s">
        <v>2701</v>
      </c>
      <c r="D281" s="67" t="s">
        <v>2702</v>
      </c>
      <c r="E281" s="66">
        <v>2</v>
      </c>
      <c r="F281" s="110">
        <v>3</v>
      </c>
      <c r="G281" s="69">
        <v>279</v>
      </c>
      <c r="H281" s="111" t="s">
        <v>1704</v>
      </c>
      <c r="I281" s="115" t="s">
        <v>1704</v>
      </c>
      <c r="J281" s="113">
        <v>30500102251801</v>
      </c>
      <c r="K281" s="114" t="s">
        <v>226</v>
      </c>
      <c r="L281" s="114"/>
      <c r="M281" s="114">
        <v>10</v>
      </c>
      <c r="N281" s="115" t="s">
        <v>1624</v>
      </c>
      <c r="O281" s="111" t="s">
        <v>1705</v>
      </c>
      <c r="P281" s="115" t="s">
        <v>1706</v>
      </c>
      <c r="Q281" s="111" t="s">
        <v>1707</v>
      </c>
      <c r="R281" s="111"/>
      <c r="S281" s="116"/>
      <c r="T281" s="274">
        <v>30</v>
      </c>
      <c r="U281" s="139">
        <v>90</v>
      </c>
      <c r="V281" s="139">
        <v>0</v>
      </c>
      <c r="W281" s="267" t="s">
        <v>2702</v>
      </c>
      <c r="X281" s="267" t="s">
        <v>2701</v>
      </c>
      <c r="Y281" s="285">
        <v>120</v>
      </c>
      <c r="Z281" s="274">
        <v>0</v>
      </c>
      <c r="AA281" s="139">
        <v>0</v>
      </c>
      <c r="AB281" s="139">
        <v>0</v>
      </c>
      <c r="AC281" s="267"/>
      <c r="AD281" s="267"/>
      <c r="AE281" s="285">
        <v>0</v>
      </c>
      <c r="AF281" s="286">
        <v>120</v>
      </c>
      <c r="AG281" s="113"/>
      <c r="AH281" s="140"/>
    </row>
    <row r="282" spans="1:34" s="80" customFormat="1" ht="12" customHeight="1">
      <c r="A282" s="66">
        <v>2080</v>
      </c>
      <c r="B282" s="67" t="s">
        <v>2701</v>
      </c>
      <c r="C282" s="67" t="s">
        <v>2701</v>
      </c>
      <c r="D282" s="67" t="s">
        <v>2703</v>
      </c>
      <c r="E282" s="66">
        <v>2</v>
      </c>
      <c r="F282" s="110">
        <v>4</v>
      </c>
      <c r="G282" s="69">
        <v>280</v>
      </c>
      <c r="H282" s="111" t="s">
        <v>1708</v>
      </c>
      <c r="I282" s="112" t="s">
        <v>1708</v>
      </c>
      <c r="J282" s="113">
        <v>10500100211901</v>
      </c>
      <c r="K282" s="114" t="s">
        <v>148</v>
      </c>
      <c r="L282" s="114" t="s">
        <v>120</v>
      </c>
      <c r="M282" s="114">
        <v>11</v>
      </c>
      <c r="N282" s="115" t="s">
        <v>1709</v>
      </c>
      <c r="O282" s="111" t="s">
        <v>1710</v>
      </c>
      <c r="P282" s="115" t="s">
        <v>1711</v>
      </c>
      <c r="Q282" s="111" t="s">
        <v>1712</v>
      </c>
      <c r="R282" s="111" t="s">
        <v>1713</v>
      </c>
      <c r="S282" s="116" t="s">
        <v>1714</v>
      </c>
      <c r="T282" s="274">
        <v>0</v>
      </c>
      <c r="U282" s="139">
        <v>250</v>
      </c>
      <c r="V282" s="139">
        <v>200</v>
      </c>
      <c r="W282" s="267" t="s">
        <v>2702</v>
      </c>
      <c r="X282" s="267" t="s">
        <v>2701</v>
      </c>
      <c r="Y282" s="285">
        <v>450</v>
      </c>
      <c r="Z282" s="274">
        <v>0</v>
      </c>
      <c r="AA282" s="139">
        <v>200</v>
      </c>
      <c r="AB282" s="139">
        <v>100</v>
      </c>
      <c r="AC282" s="267" t="s">
        <v>2700</v>
      </c>
      <c r="AD282" s="267" t="s">
        <v>2701</v>
      </c>
      <c r="AE282" s="285">
        <v>300</v>
      </c>
      <c r="AF282" s="286">
        <v>750</v>
      </c>
      <c r="AG282" s="113"/>
      <c r="AH282" s="140"/>
    </row>
    <row r="283" spans="1:34" s="80" customFormat="1" ht="12" customHeight="1">
      <c r="A283" s="66">
        <v>2081</v>
      </c>
      <c r="B283" s="67" t="s">
        <v>2701</v>
      </c>
      <c r="C283" s="67" t="s">
        <v>2701</v>
      </c>
      <c r="D283" s="67" t="s">
        <v>2702</v>
      </c>
      <c r="E283" s="66">
        <v>2</v>
      </c>
      <c r="F283" s="110">
        <v>4</v>
      </c>
      <c r="G283" s="69">
        <v>281</v>
      </c>
      <c r="H283" s="111" t="s">
        <v>1715</v>
      </c>
      <c r="I283" s="112" t="s">
        <v>1716</v>
      </c>
      <c r="J283" s="113">
        <v>10500100125201</v>
      </c>
      <c r="K283" s="114" t="s">
        <v>148</v>
      </c>
      <c r="L283" s="114" t="s">
        <v>120</v>
      </c>
      <c r="M283" s="114">
        <v>12</v>
      </c>
      <c r="N283" s="115" t="s">
        <v>1072</v>
      </c>
      <c r="O283" s="111" t="s">
        <v>1717</v>
      </c>
      <c r="P283" s="115" t="s">
        <v>1718</v>
      </c>
      <c r="Q283" s="111" t="s">
        <v>1719</v>
      </c>
      <c r="R283" s="111" t="s">
        <v>1720</v>
      </c>
      <c r="S283" s="116" t="s">
        <v>1721</v>
      </c>
      <c r="T283" s="274">
        <v>0</v>
      </c>
      <c r="U283" s="139">
        <v>8</v>
      </c>
      <c r="V283" s="139">
        <v>147</v>
      </c>
      <c r="W283" s="267" t="s">
        <v>2702</v>
      </c>
      <c r="X283" s="267" t="s">
        <v>2701</v>
      </c>
      <c r="Y283" s="285">
        <v>155</v>
      </c>
      <c r="Z283" s="274">
        <v>0</v>
      </c>
      <c r="AA283" s="139">
        <v>0</v>
      </c>
      <c r="AB283" s="139">
        <v>0</v>
      </c>
      <c r="AC283" s="267"/>
      <c r="AD283" s="267"/>
      <c r="AE283" s="285">
        <v>0</v>
      </c>
      <c r="AF283" s="286">
        <v>155</v>
      </c>
      <c r="AG283" s="113"/>
      <c r="AH283" s="140"/>
    </row>
    <row r="284" spans="1:34" s="80" customFormat="1" ht="12" customHeight="1">
      <c r="A284" s="66">
        <v>2082</v>
      </c>
      <c r="B284" s="67" t="s">
        <v>2701</v>
      </c>
      <c r="C284" s="67" t="s">
        <v>2701</v>
      </c>
      <c r="D284" s="67" t="s">
        <v>2702</v>
      </c>
      <c r="E284" s="66">
        <v>2</v>
      </c>
      <c r="F284" s="110">
        <v>4</v>
      </c>
      <c r="G284" s="69">
        <v>282</v>
      </c>
      <c r="H284" s="111" t="s">
        <v>1722</v>
      </c>
      <c r="I284" s="112" t="s">
        <v>1723</v>
      </c>
      <c r="J284" s="113">
        <v>10500100125201</v>
      </c>
      <c r="K284" s="114" t="s">
        <v>148</v>
      </c>
      <c r="L284" s="293"/>
      <c r="M284" s="114">
        <v>12</v>
      </c>
      <c r="N284" s="115"/>
      <c r="O284" s="111"/>
      <c r="P284" s="115"/>
      <c r="Q284" s="111"/>
      <c r="R284" s="111"/>
      <c r="S284" s="116"/>
      <c r="T284" s="274">
        <v>130</v>
      </c>
      <c r="U284" s="139">
        <v>0</v>
      </c>
      <c r="V284" s="139">
        <v>0</v>
      </c>
      <c r="W284" s="267" t="s">
        <v>2702</v>
      </c>
      <c r="X284" s="267" t="s">
        <v>2701</v>
      </c>
      <c r="Y284" s="285">
        <v>130</v>
      </c>
      <c r="Z284" s="274">
        <v>0</v>
      </c>
      <c r="AA284" s="139">
        <v>0</v>
      </c>
      <c r="AB284" s="139">
        <v>0</v>
      </c>
      <c r="AC284" s="267"/>
      <c r="AD284" s="267"/>
      <c r="AE284" s="285">
        <v>0</v>
      </c>
      <c r="AF284" s="286">
        <v>130</v>
      </c>
      <c r="AG284" s="113"/>
      <c r="AH284" s="140"/>
    </row>
    <row r="285" spans="1:34" s="80" customFormat="1" ht="12" customHeight="1">
      <c r="A285" s="66">
        <v>2083</v>
      </c>
      <c r="B285" s="67" t="s">
        <v>2701</v>
      </c>
      <c r="C285" s="67" t="s">
        <v>2701</v>
      </c>
      <c r="D285" s="67" t="s">
        <v>2702</v>
      </c>
      <c r="E285" s="66">
        <v>2</v>
      </c>
      <c r="F285" s="110">
        <v>4</v>
      </c>
      <c r="G285" s="69">
        <v>283</v>
      </c>
      <c r="H285" s="111" t="s">
        <v>1724</v>
      </c>
      <c r="I285" s="112" t="s">
        <v>1724</v>
      </c>
      <c r="J285" s="113">
        <v>10500100188104</v>
      </c>
      <c r="K285" s="114" t="s">
        <v>148</v>
      </c>
      <c r="L285" s="114" t="s">
        <v>120</v>
      </c>
      <c r="M285" s="114">
        <v>12</v>
      </c>
      <c r="N285" s="115" t="s">
        <v>1053</v>
      </c>
      <c r="O285" s="111" t="s">
        <v>1725</v>
      </c>
      <c r="P285" s="115">
        <v>2520596</v>
      </c>
      <c r="Q285" s="111" t="s">
        <v>1726</v>
      </c>
      <c r="R285" s="111"/>
      <c r="S285" s="111" t="s">
        <v>1727</v>
      </c>
      <c r="T285" s="139">
        <v>270</v>
      </c>
      <c r="U285" s="139">
        <v>120</v>
      </c>
      <c r="V285" s="139">
        <v>0</v>
      </c>
      <c r="W285" s="267" t="s">
        <v>2702</v>
      </c>
      <c r="X285" s="267" t="s">
        <v>2701</v>
      </c>
      <c r="Y285" s="294">
        <v>390</v>
      </c>
      <c r="Z285" s="139">
        <v>0</v>
      </c>
      <c r="AA285" s="139">
        <v>0</v>
      </c>
      <c r="AB285" s="139">
        <v>0</v>
      </c>
      <c r="AC285" s="267"/>
      <c r="AD285" s="267"/>
      <c r="AE285" s="294">
        <v>0</v>
      </c>
      <c r="AF285" s="295">
        <v>390</v>
      </c>
      <c r="AG285" s="113"/>
      <c r="AH285" s="140"/>
    </row>
    <row r="286" spans="1:34" s="80" customFormat="1" ht="12" customHeight="1">
      <c r="A286" s="66">
        <v>2084</v>
      </c>
      <c r="B286" s="67" t="s">
        <v>2701</v>
      </c>
      <c r="C286" s="67" t="s">
        <v>2701</v>
      </c>
      <c r="D286" s="67" t="s">
        <v>2703</v>
      </c>
      <c r="E286" s="66">
        <v>2</v>
      </c>
      <c r="F286" s="110">
        <v>4</v>
      </c>
      <c r="G286" s="69">
        <v>284</v>
      </c>
      <c r="H286" s="111" t="s">
        <v>1728</v>
      </c>
      <c r="I286" s="112" t="s">
        <v>1728</v>
      </c>
      <c r="J286" s="113">
        <v>10500102119901</v>
      </c>
      <c r="K286" s="114" t="s">
        <v>148</v>
      </c>
      <c r="L286" s="114" t="s">
        <v>120</v>
      </c>
      <c r="M286" s="114">
        <v>13</v>
      </c>
      <c r="N286" s="115" t="s">
        <v>1109</v>
      </c>
      <c r="O286" s="111" t="s">
        <v>1729</v>
      </c>
      <c r="P286" s="115">
        <v>4929808</v>
      </c>
      <c r="Q286" s="111" t="s">
        <v>1730</v>
      </c>
      <c r="R286" s="111" t="s">
        <v>1731</v>
      </c>
      <c r="S286" s="116" t="s">
        <v>1732</v>
      </c>
      <c r="T286" s="274">
        <v>0</v>
      </c>
      <c r="U286" s="139">
        <v>136</v>
      </c>
      <c r="V286" s="139">
        <v>294</v>
      </c>
      <c r="W286" s="267" t="s">
        <v>2702</v>
      </c>
      <c r="X286" s="267" t="s">
        <v>2701</v>
      </c>
      <c r="Y286" s="285">
        <v>430</v>
      </c>
      <c r="Z286" s="274">
        <v>0</v>
      </c>
      <c r="AA286" s="139">
        <v>224</v>
      </c>
      <c r="AB286" s="139">
        <v>20</v>
      </c>
      <c r="AC286" s="267" t="s">
        <v>2700</v>
      </c>
      <c r="AD286" s="267" t="s">
        <v>2701</v>
      </c>
      <c r="AE286" s="285">
        <v>244</v>
      </c>
      <c r="AF286" s="286">
        <v>674</v>
      </c>
      <c r="AG286" s="113" t="s">
        <v>199</v>
      </c>
      <c r="AH286" s="119"/>
    </row>
    <row r="287" spans="1:34" s="80" customFormat="1" ht="12" customHeight="1">
      <c r="A287" s="66">
        <v>2085</v>
      </c>
      <c r="B287" s="67" t="s">
        <v>2701</v>
      </c>
      <c r="C287" s="67" t="s">
        <v>2701</v>
      </c>
      <c r="D287" s="67" t="s">
        <v>2702</v>
      </c>
      <c r="E287" s="66">
        <v>2</v>
      </c>
      <c r="F287" s="110">
        <v>4</v>
      </c>
      <c r="G287" s="69">
        <v>285</v>
      </c>
      <c r="H287" s="111" t="s">
        <v>1733</v>
      </c>
      <c r="I287" s="112" t="s">
        <v>1734</v>
      </c>
      <c r="J287" s="113">
        <v>20500100773501</v>
      </c>
      <c r="K287" s="114" t="s">
        <v>148</v>
      </c>
      <c r="L287" s="114" t="s">
        <v>120</v>
      </c>
      <c r="M287" s="114">
        <v>50</v>
      </c>
      <c r="N287" s="115" t="s">
        <v>1735</v>
      </c>
      <c r="O287" s="111" t="s">
        <v>1736</v>
      </c>
      <c r="P287" s="115" t="s">
        <v>1737</v>
      </c>
      <c r="Q287" s="111" t="s">
        <v>1738</v>
      </c>
      <c r="R287" s="111" t="s">
        <v>1739</v>
      </c>
      <c r="S287" s="116" t="s">
        <v>1740</v>
      </c>
      <c r="T287" s="274">
        <v>0</v>
      </c>
      <c r="U287" s="139">
        <v>135</v>
      </c>
      <c r="V287" s="139">
        <v>30</v>
      </c>
      <c r="W287" s="267" t="s">
        <v>2702</v>
      </c>
      <c r="X287" s="267" t="s">
        <v>2701</v>
      </c>
      <c r="Y287" s="285">
        <v>165</v>
      </c>
      <c r="Z287" s="274">
        <v>0</v>
      </c>
      <c r="AA287" s="139">
        <v>0</v>
      </c>
      <c r="AB287" s="139">
        <v>0</v>
      </c>
      <c r="AC287" s="267"/>
      <c r="AD287" s="267"/>
      <c r="AE287" s="285">
        <v>0</v>
      </c>
      <c r="AF287" s="286">
        <v>165</v>
      </c>
      <c r="AG287" s="113"/>
      <c r="AH287" s="140"/>
    </row>
    <row r="288" spans="1:34" s="80" customFormat="1" ht="12" customHeight="1">
      <c r="A288" s="66">
        <v>2086</v>
      </c>
      <c r="B288" s="67" t="s">
        <v>2701</v>
      </c>
      <c r="C288" s="67" t="s">
        <v>2701</v>
      </c>
      <c r="D288" s="67" t="s">
        <v>2702</v>
      </c>
      <c r="E288" s="66">
        <v>2</v>
      </c>
      <c r="F288" s="110">
        <v>4</v>
      </c>
      <c r="G288" s="69">
        <v>286</v>
      </c>
      <c r="H288" s="111" t="s">
        <v>1733</v>
      </c>
      <c r="I288" s="112" t="s">
        <v>1733</v>
      </c>
      <c r="J288" s="113">
        <v>20500100773502</v>
      </c>
      <c r="K288" s="114" t="s">
        <v>148</v>
      </c>
      <c r="L288" s="114" t="s">
        <v>120</v>
      </c>
      <c r="M288" s="114">
        <v>50</v>
      </c>
      <c r="N288" s="115" t="s">
        <v>1735</v>
      </c>
      <c r="O288" s="111" t="s">
        <v>1736</v>
      </c>
      <c r="P288" s="115" t="s">
        <v>1737</v>
      </c>
      <c r="Q288" s="111" t="s">
        <v>1738</v>
      </c>
      <c r="R288" s="111" t="s">
        <v>1739</v>
      </c>
      <c r="S288" s="116" t="s">
        <v>1740</v>
      </c>
      <c r="T288" s="274">
        <v>85</v>
      </c>
      <c r="U288" s="139">
        <v>54</v>
      </c>
      <c r="V288" s="139">
        <v>0</v>
      </c>
      <c r="W288" s="267" t="s">
        <v>2702</v>
      </c>
      <c r="X288" s="267" t="s">
        <v>2701</v>
      </c>
      <c r="Y288" s="285">
        <v>139</v>
      </c>
      <c r="Z288" s="274">
        <v>0</v>
      </c>
      <c r="AA288" s="139">
        <v>0</v>
      </c>
      <c r="AB288" s="139">
        <v>0</v>
      </c>
      <c r="AC288" s="267"/>
      <c r="AD288" s="267"/>
      <c r="AE288" s="285">
        <v>0</v>
      </c>
      <c r="AF288" s="286">
        <v>139</v>
      </c>
      <c r="AG288" s="113"/>
      <c r="AH288" s="140"/>
    </row>
    <row r="289" spans="1:34" s="80" customFormat="1" ht="12" customHeight="1">
      <c r="A289" s="66">
        <v>2087</v>
      </c>
      <c r="B289" s="67" t="s">
        <v>2701</v>
      </c>
      <c r="C289" s="67" t="s">
        <v>2701</v>
      </c>
      <c r="D289" s="67" t="s">
        <v>2702</v>
      </c>
      <c r="E289" s="66">
        <v>2</v>
      </c>
      <c r="F289" s="110">
        <v>4</v>
      </c>
      <c r="G289" s="69">
        <v>287</v>
      </c>
      <c r="H289" s="111" t="s">
        <v>1741</v>
      </c>
      <c r="I289" s="112" t="s">
        <v>1742</v>
      </c>
      <c r="J289" s="113">
        <v>20500100196602</v>
      </c>
      <c r="K289" s="114" t="s">
        <v>148</v>
      </c>
      <c r="L289" s="114"/>
      <c r="M289" s="114">
        <v>50</v>
      </c>
      <c r="N289" s="115" t="s">
        <v>1743</v>
      </c>
      <c r="O289" s="111" t="s">
        <v>1744</v>
      </c>
      <c r="P289" s="115" t="s">
        <v>1745</v>
      </c>
      <c r="Q289" s="111" t="s">
        <v>1746</v>
      </c>
      <c r="R289" s="111" t="s">
        <v>1747</v>
      </c>
      <c r="S289" s="116" t="s">
        <v>1748</v>
      </c>
      <c r="T289" s="274">
        <v>10</v>
      </c>
      <c r="U289" s="139">
        <v>6</v>
      </c>
      <c r="V289" s="139">
        <v>0</v>
      </c>
      <c r="W289" s="267" t="s">
        <v>2702</v>
      </c>
      <c r="X289" s="267" t="s">
        <v>2701</v>
      </c>
      <c r="Y289" s="285">
        <v>16</v>
      </c>
      <c r="Z289" s="274">
        <v>0</v>
      </c>
      <c r="AA289" s="139">
        <v>0</v>
      </c>
      <c r="AB289" s="139">
        <v>0</v>
      </c>
      <c r="AC289" s="267"/>
      <c r="AD289" s="267"/>
      <c r="AE289" s="285">
        <v>0</v>
      </c>
      <c r="AF289" s="286">
        <v>16</v>
      </c>
      <c r="AG289" s="113"/>
      <c r="AH289" s="140"/>
    </row>
    <row r="290" spans="1:34" s="80" customFormat="1" ht="12" customHeight="1">
      <c r="A290" s="66">
        <v>2088</v>
      </c>
      <c r="B290" s="67" t="s">
        <v>2701</v>
      </c>
      <c r="C290" s="67" t="s">
        <v>2701</v>
      </c>
      <c r="D290" s="67" t="s">
        <v>2702</v>
      </c>
      <c r="E290" s="66">
        <v>2</v>
      </c>
      <c r="F290" s="110">
        <v>4</v>
      </c>
      <c r="G290" s="69">
        <v>288</v>
      </c>
      <c r="H290" s="111" t="s">
        <v>1749</v>
      </c>
      <c r="I290" s="112" t="s">
        <v>1749</v>
      </c>
      <c r="J290" s="113">
        <v>20500100196603</v>
      </c>
      <c r="K290" s="114" t="s">
        <v>148</v>
      </c>
      <c r="L290" s="114"/>
      <c r="M290" s="114">
        <v>50</v>
      </c>
      <c r="N290" s="115" t="s">
        <v>1743</v>
      </c>
      <c r="O290" s="111" t="s">
        <v>1750</v>
      </c>
      <c r="P290" s="115">
        <v>4463248</v>
      </c>
      <c r="Q290" s="111" t="s">
        <v>1746</v>
      </c>
      <c r="R290" s="111" t="s">
        <v>1751</v>
      </c>
      <c r="S290" s="116" t="s">
        <v>1752</v>
      </c>
      <c r="T290" s="274">
        <v>12</v>
      </c>
      <c r="U290" s="139">
        <v>5</v>
      </c>
      <c r="V290" s="139">
        <v>0</v>
      </c>
      <c r="W290" s="267" t="s">
        <v>2702</v>
      </c>
      <c r="X290" s="267" t="s">
        <v>2701</v>
      </c>
      <c r="Y290" s="285">
        <v>17</v>
      </c>
      <c r="Z290" s="274">
        <v>0</v>
      </c>
      <c r="AA290" s="139">
        <v>0</v>
      </c>
      <c r="AB290" s="139">
        <v>0</v>
      </c>
      <c r="AC290" s="267"/>
      <c r="AD290" s="267"/>
      <c r="AE290" s="285">
        <v>0</v>
      </c>
      <c r="AF290" s="286">
        <v>17</v>
      </c>
      <c r="AG290" s="113"/>
      <c r="AH290" s="140"/>
    </row>
    <row r="291" spans="1:34" s="80" customFormat="1" ht="12" customHeight="1">
      <c r="A291" s="66">
        <v>2089</v>
      </c>
      <c r="B291" s="67" t="s">
        <v>2701</v>
      </c>
      <c r="C291" s="67" t="s">
        <v>2701</v>
      </c>
      <c r="D291" s="67" t="s">
        <v>2702</v>
      </c>
      <c r="E291" s="66">
        <v>2</v>
      </c>
      <c r="F291" s="120">
        <v>4</v>
      </c>
      <c r="G291" s="69">
        <v>289</v>
      </c>
      <c r="H291" s="111" t="s">
        <v>1741</v>
      </c>
      <c r="I291" s="122" t="s">
        <v>1741</v>
      </c>
      <c r="J291" s="123">
        <v>20500100196605</v>
      </c>
      <c r="K291" s="124" t="s">
        <v>148</v>
      </c>
      <c r="L291" s="114"/>
      <c r="M291" s="124">
        <v>50</v>
      </c>
      <c r="N291" s="125" t="s">
        <v>1743</v>
      </c>
      <c r="O291" s="121" t="s">
        <v>1753</v>
      </c>
      <c r="P291" s="125">
        <v>4463712</v>
      </c>
      <c r="Q291" s="121" t="s">
        <v>1746</v>
      </c>
      <c r="R291" s="121" t="s">
        <v>1754</v>
      </c>
      <c r="S291" s="126" t="s">
        <v>1755</v>
      </c>
      <c r="T291" s="296">
        <v>18</v>
      </c>
      <c r="U291" s="297">
        <v>5</v>
      </c>
      <c r="V291" s="297">
        <v>0</v>
      </c>
      <c r="W291" s="267" t="s">
        <v>2702</v>
      </c>
      <c r="X291" s="267" t="s">
        <v>2701</v>
      </c>
      <c r="Y291" s="285">
        <v>23</v>
      </c>
      <c r="Z291" s="296">
        <v>0</v>
      </c>
      <c r="AA291" s="297">
        <v>0</v>
      </c>
      <c r="AB291" s="297">
        <v>0</v>
      </c>
      <c r="AC291" s="267"/>
      <c r="AD291" s="267"/>
      <c r="AE291" s="285">
        <v>0</v>
      </c>
      <c r="AF291" s="298">
        <v>23</v>
      </c>
      <c r="AG291" s="123"/>
      <c r="AH291" s="299" t="s">
        <v>1756</v>
      </c>
    </row>
    <row r="292" spans="1:34" s="80" customFormat="1" ht="12" customHeight="1">
      <c r="A292" s="66">
        <v>2090</v>
      </c>
      <c r="B292" s="67" t="s">
        <v>2701</v>
      </c>
      <c r="C292" s="67" t="s">
        <v>2701</v>
      </c>
      <c r="D292" s="67" t="s">
        <v>2702</v>
      </c>
      <c r="E292" s="66">
        <v>2</v>
      </c>
      <c r="F292" s="120">
        <v>4</v>
      </c>
      <c r="G292" s="69">
        <v>290</v>
      </c>
      <c r="H292" s="111" t="s">
        <v>1741</v>
      </c>
      <c r="I292" s="122" t="s">
        <v>1757</v>
      </c>
      <c r="J292" s="123">
        <v>30500102560601</v>
      </c>
      <c r="K292" s="124" t="s">
        <v>148</v>
      </c>
      <c r="L292" s="114"/>
      <c r="M292" s="124">
        <v>50</v>
      </c>
      <c r="N292" s="125" t="s">
        <v>1743</v>
      </c>
      <c r="O292" s="121" t="s">
        <v>1753</v>
      </c>
      <c r="P292" s="125">
        <v>4463712</v>
      </c>
      <c r="Q292" s="121" t="s">
        <v>1746</v>
      </c>
      <c r="R292" s="121" t="s">
        <v>1754</v>
      </c>
      <c r="S292" s="126" t="s">
        <v>1755</v>
      </c>
      <c r="T292" s="296">
        <v>0</v>
      </c>
      <c r="U292" s="297">
        <v>15</v>
      </c>
      <c r="V292" s="297">
        <v>15</v>
      </c>
      <c r="W292" s="267" t="s">
        <v>2702</v>
      </c>
      <c r="X292" s="267" t="s">
        <v>2701</v>
      </c>
      <c r="Y292" s="285">
        <v>30</v>
      </c>
      <c r="Z292" s="296">
        <v>0</v>
      </c>
      <c r="AA292" s="297">
        <v>0</v>
      </c>
      <c r="AB292" s="297">
        <v>0</v>
      </c>
      <c r="AC292" s="267"/>
      <c r="AD292" s="267"/>
      <c r="AE292" s="285">
        <v>0</v>
      </c>
      <c r="AF292" s="298">
        <v>30</v>
      </c>
      <c r="AG292" s="123"/>
      <c r="AH292" s="299" t="s">
        <v>1758</v>
      </c>
    </row>
    <row r="293" spans="1:34" s="80" customFormat="1" ht="12" customHeight="1">
      <c r="A293" s="66">
        <v>2091</v>
      </c>
      <c r="B293" s="67" t="s">
        <v>2701</v>
      </c>
      <c r="C293" s="67" t="s">
        <v>2701</v>
      </c>
      <c r="D293" s="67" t="s">
        <v>2702</v>
      </c>
      <c r="E293" s="66">
        <v>2</v>
      </c>
      <c r="F293" s="120">
        <v>4</v>
      </c>
      <c r="G293" s="69">
        <v>291</v>
      </c>
      <c r="H293" s="111" t="s">
        <v>1759</v>
      </c>
      <c r="I293" s="125" t="s">
        <v>1759</v>
      </c>
      <c r="J293" s="125">
        <v>20500100196601</v>
      </c>
      <c r="K293" s="124" t="s">
        <v>148</v>
      </c>
      <c r="L293" s="114"/>
      <c r="M293" s="124">
        <v>50</v>
      </c>
      <c r="N293" s="125" t="s">
        <v>1743</v>
      </c>
      <c r="O293" s="125" t="s">
        <v>1760</v>
      </c>
      <c r="P293" s="125">
        <v>3870129</v>
      </c>
      <c r="Q293" s="125" t="s">
        <v>1746</v>
      </c>
      <c r="R293" s="124" t="s">
        <v>1761</v>
      </c>
      <c r="S293" s="300" t="s">
        <v>1748</v>
      </c>
      <c r="T293" s="301">
        <v>48</v>
      </c>
      <c r="U293" s="124">
        <v>18</v>
      </c>
      <c r="V293" s="124">
        <v>0</v>
      </c>
      <c r="W293" s="267" t="s">
        <v>2702</v>
      </c>
      <c r="X293" s="267" t="s">
        <v>2701</v>
      </c>
      <c r="Y293" s="302">
        <v>66</v>
      </c>
      <c r="Z293" s="301">
        <v>0</v>
      </c>
      <c r="AA293" s="124">
        <v>0</v>
      </c>
      <c r="AB293" s="124">
        <v>0</v>
      </c>
      <c r="AC293" s="267"/>
      <c r="AD293" s="267"/>
      <c r="AE293" s="302">
        <v>0</v>
      </c>
      <c r="AF293" s="120">
        <v>66</v>
      </c>
      <c r="AG293" s="124" t="s">
        <v>199</v>
      </c>
      <c r="AH293" s="124" t="s">
        <v>1762</v>
      </c>
    </row>
    <row r="294" spans="1:34" s="80" customFormat="1" ht="12" customHeight="1">
      <c r="A294" s="66">
        <v>2092</v>
      </c>
      <c r="B294" s="67" t="s">
        <v>2701</v>
      </c>
      <c r="C294" s="67" t="s">
        <v>2701</v>
      </c>
      <c r="D294" s="67" t="s">
        <v>2702</v>
      </c>
      <c r="E294" s="66">
        <v>2</v>
      </c>
      <c r="F294" s="110">
        <v>4</v>
      </c>
      <c r="G294" s="69">
        <v>292</v>
      </c>
      <c r="H294" s="111" t="s">
        <v>1763</v>
      </c>
      <c r="I294" s="112" t="s">
        <v>1763</v>
      </c>
      <c r="J294" s="113">
        <v>20500100196607</v>
      </c>
      <c r="K294" s="114" t="s">
        <v>148</v>
      </c>
      <c r="L294" s="114"/>
      <c r="M294" s="114">
        <v>50</v>
      </c>
      <c r="N294" s="115" t="s">
        <v>1743</v>
      </c>
      <c r="O294" s="111" t="s">
        <v>1764</v>
      </c>
      <c r="P294" s="115">
        <v>3870825</v>
      </c>
      <c r="Q294" s="111" t="s">
        <v>1746</v>
      </c>
      <c r="R294" s="111" t="s">
        <v>1765</v>
      </c>
      <c r="S294" s="116" t="s">
        <v>1748</v>
      </c>
      <c r="T294" s="274">
        <v>10</v>
      </c>
      <c r="U294" s="139">
        <v>6</v>
      </c>
      <c r="V294" s="139">
        <v>0</v>
      </c>
      <c r="W294" s="267" t="s">
        <v>2702</v>
      </c>
      <c r="X294" s="267" t="s">
        <v>2701</v>
      </c>
      <c r="Y294" s="285">
        <v>16</v>
      </c>
      <c r="Z294" s="274">
        <v>0</v>
      </c>
      <c r="AA294" s="139">
        <v>0</v>
      </c>
      <c r="AB294" s="139">
        <v>0</v>
      </c>
      <c r="AC294" s="267"/>
      <c r="AD294" s="267"/>
      <c r="AE294" s="285">
        <v>0</v>
      </c>
      <c r="AF294" s="286">
        <v>16</v>
      </c>
      <c r="AG294" s="113"/>
      <c r="AH294" s="140"/>
    </row>
    <row r="295" spans="1:34" s="80" customFormat="1" ht="12" customHeight="1">
      <c r="A295" s="66">
        <v>2093</v>
      </c>
      <c r="B295" s="67" t="s">
        <v>2701</v>
      </c>
      <c r="C295" s="67" t="s">
        <v>2701</v>
      </c>
      <c r="D295" s="67" t="s">
        <v>2702</v>
      </c>
      <c r="E295" s="66">
        <v>2</v>
      </c>
      <c r="F295" s="110">
        <v>4</v>
      </c>
      <c r="G295" s="69">
        <v>293</v>
      </c>
      <c r="H295" s="111" t="s">
        <v>1766</v>
      </c>
      <c r="I295" s="112" t="s">
        <v>1766</v>
      </c>
      <c r="J295" s="113">
        <v>20500100196606</v>
      </c>
      <c r="K295" s="114" t="s">
        <v>148</v>
      </c>
      <c r="L295" s="114"/>
      <c r="M295" s="114">
        <v>50</v>
      </c>
      <c r="N295" s="115" t="s">
        <v>1743</v>
      </c>
      <c r="O295" s="111" t="s">
        <v>1767</v>
      </c>
      <c r="P295" s="115">
        <v>3871105</v>
      </c>
      <c r="Q295" s="111" t="s">
        <v>1746</v>
      </c>
      <c r="R295" s="111" t="s">
        <v>1768</v>
      </c>
      <c r="S295" s="116" t="s">
        <v>1748</v>
      </c>
      <c r="T295" s="274">
        <v>12</v>
      </c>
      <c r="U295" s="139">
        <v>6</v>
      </c>
      <c r="V295" s="139">
        <v>0</v>
      </c>
      <c r="W295" s="267" t="s">
        <v>2702</v>
      </c>
      <c r="X295" s="267" t="s">
        <v>2701</v>
      </c>
      <c r="Y295" s="285">
        <v>18</v>
      </c>
      <c r="Z295" s="274">
        <v>0</v>
      </c>
      <c r="AA295" s="139">
        <v>0</v>
      </c>
      <c r="AB295" s="139">
        <v>0</v>
      </c>
      <c r="AC295" s="267"/>
      <c r="AD295" s="267"/>
      <c r="AE295" s="285">
        <v>0</v>
      </c>
      <c r="AF295" s="286">
        <v>18</v>
      </c>
      <c r="AG295" s="113"/>
      <c r="AH295" s="140"/>
    </row>
    <row r="296" spans="1:34" s="80" customFormat="1" ht="12" customHeight="1">
      <c r="A296" s="66">
        <v>2094</v>
      </c>
      <c r="B296" s="67" t="s">
        <v>2701</v>
      </c>
      <c r="C296" s="67" t="s">
        <v>2701</v>
      </c>
      <c r="D296" s="67" t="s">
        <v>2702</v>
      </c>
      <c r="E296" s="66">
        <v>2</v>
      </c>
      <c r="F296" s="110">
        <v>4</v>
      </c>
      <c r="G296" s="69">
        <v>294</v>
      </c>
      <c r="H296" s="111" t="s">
        <v>1769</v>
      </c>
      <c r="I296" s="112" t="s">
        <v>1769</v>
      </c>
      <c r="J296" s="113">
        <v>20500100196604</v>
      </c>
      <c r="K296" s="114" t="s">
        <v>148</v>
      </c>
      <c r="L296" s="114"/>
      <c r="M296" s="114">
        <v>50</v>
      </c>
      <c r="N296" s="115" t="s">
        <v>1743</v>
      </c>
      <c r="O296" s="111" t="s">
        <v>1770</v>
      </c>
      <c r="P296" s="115">
        <v>4461379</v>
      </c>
      <c r="Q296" s="111" t="s">
        <v>1746</v>
      </c>
      <c r="R296" s="111" t="s">
        <v>1771</v>
      </c>
      <c r="S296" s="116" t="s">
        <v>1748</v>
      </c>
      <c r="T296" s="274">
        <v>10</v>
      </c>
      <c r="U296" s="139">
        <v>10</v>
      </c>
      <c r="V296" s="139">
        <v>0</v>
      </c>
      <c r="W296" s="267" t="s">
        <v>2702</v>
      </c>
      <c r="X296" s="267" t="s">
        <v>2701</v>
      </c>
      <c r="Y296" s="285">
        <v>20</v>
      </c>
      <c r="Z296" s="274">
        <v>0</v>
      </c>
      <c r="AA296" s="139">
        <v>0</v>
      </c>
      <c r="AB296" s="139">
        <v>0</v>
      </c>
      <c r="AC296" s="267"/>
      <c r="AD296" s="267"/>
      <c r="AE296" s="285">
        <v>0</v>
      </c>
      <c r="AF296" s="286">
        <v>20</v>
      </c>
      <c r="AG296" s="113"/>
      <c r="AH296" s="140"/>
    </row>
    <row r="297" spans="1:34" s="80" customFormat="1" ht="12" customHeight="1">
      <c r="A297" s="66">
        <v>2095</v>
      </c>
      <c r="B297" s="67" t="s">
        <v>2701</v>
      </c>
      <c r="C297" s="67" t="s">
        <v>2701</v>
      </c>
      <c r="D297" s="67" t="s">
        <v>2702</v>
      </c>
      <c r="E297" s="66">
        <v>2</v>
      </c>
      <c r="F297" s="110">
        <v>4</v>
      </c>
      <c r="G297" s="69">
        <v>295</v>
      </c>
      <c r="H297" s="111" t="s">
        <v>1772</v>
      </c>
      <c r="I297" s="112" t="s">
        <v>1772</v>
      </c>
      <c r="J297" s="113">
        <v>10500101363301</v>
      </c>
      <c r="K297" s="114" t="s">
        <v>148</v>
      </c>
      <c r="L297" s="114"/>
      <c r="M297" s="114">
        <v>60</v>
      </c>
      <c r="N297" s="115" t="s">
        <v>1164</v>
      </c>
      <c r="O297" s="111" t="s">
        <v>1773</v>
      </c>
      <c r="P297" s="115" t="s">
        <v>1774</v>
      </c>
      <c r="Q297" s="111" t="s">
        <v>1775</v>
      </c>
      <c r="R297" s="111" t="s">
        <v>1776</v>
      </c>
      <c r="S297" s="116" t="s">
        <v>1777</v>
      </c>
      <c r="T297" s="274">
        <v>122</v>
      </c>
      <c r="U297" s="139">
        <v>111</v>
      </c>
      <c r="V297" s="139">
        <v>27</v>
      </c>
      <c r="W297" s="267" t="s">
        <v>2702</v>
      </c>
      <c r="X297" s="267" t="s">
        <v>2701</v>
      </c>
      <c r="Y297" s="285">
        <v>260</v>
      </c>
      <c r="Z297" s="274">
        <v>0</v>
      </c>
      <c r="AA297" s="139">
        <v>0</v>
      </c>
      <c r="AB297" s="139">
        <v>0</v>
      </c>
      <c r="AC297" s="267"/>
      <c r="AD297" s="267"/>
      <c r="AE297" s="285">
        <v>0</v>
      </c>
      <c r="AF297" s="286">
        <v>260</v>
      </c>
      <c r="AG297" s="113"/>
      <c r="AH297" s="140"/>
    </row>
    <row r="298" spans="1:34" s="80" customFormat="1" ht="12" customHeight="1">
      <c r="A298" s="66">
        <v>2096</v>
      </c>
      <c r="B298" s="67" t="s">
        <v>2701</v>
      </c>
      <c r="C298" s="67" t="s">
        <v>2701</v>
      </c>
      <c r="D298" s="67" t="s">
        <v>2702</v>
      </c>
      <c r="E298" s="66">
        <v>2</v>
      </c>
      <c r="F298" s="110">
        <v>4</v>
      </c>
      <c r="G298" s="69">
        <v>296</v>
      </c>
      <c r="H298" s="111" t="s">
        <v>1778</v>
      </c>
      <c r="I298" s="112" t="s">
        <v>1778</v>
      </c>
      <c r="J298" s="113">
        <v>10500101363302</v>
      </c>
      <c r="K298" s="114" t="s">
        <v>148</v>
      </c>
      <c r="L298" s="114"/>
      <c r="M298" s="114">
        <v>60</v>
      </c>
      <c r="N298" s="115" t="s">
        <v>1164</v>
      </c>
      <c r="O298" s="111" t="s">
        <v>1779</v>
      </c>
      <c r="P298" s="115">
        <v>2530223</v>
      </c>
      <c r="Q298" s="111" t="s">
        <v>1775</v>
      </c>
      <c r="R298" s="111" t="s">
        <v>1780</v>
      </c>
      <c r="S298" s="116" t="s">
        <v>1781</v>
      </c>
      <c r="T298" s="274">
        <v>102</v>
      </c>
      <c r="U298" s="139">
        <v>138</v>
      </c>
      <c r="V298" s="139">
        <v>9</v>
      </c>
      <c r="W298" s="267" t="s">
        <v>2702</v>
      </c>
      <c r="X298" s="267" t="s">
        <v>2701</v>
      </c>
      <c r="Y298" s="285">
        <v>249</v>
      </c>
      <c r="Z298" s="274">
        <v>0</v>
      </c>
      <c r="AA298" s="139">
        <v>0</v>
      </c>
      <c r="AB298" s="139">
        <v>0</v>
      </c>
      <c r="AC298" s="267"/>
      <c r="AD298" s="267"/>
      <c r="AE298" s="285">
        <v>0</v>
      </c>
      <c r="AF298" s="286">
        <v>249</v>
      </c>
      <c r="AG298" s="113"/>
      <c r="AH298" s="140"/>
    </row>
    <row r="299" spans="1:34" s="80" customFormat="1" ht="12" customHeight="1">
      <c r="A299" s="66">
        <v>2097</v>
      </c>
      <c r="B299" s="67" t="s">
        <v>2701</v>
      </c>
      <c r="C299" s="67" t="s">
        <v>2701</v>
      </c>
      <c r="D299" s="67" t="s">
        <v>2702</v>
      </c>
      <c r="E299" s="66">
        <v>2</v>
      </c>
      <c r="F299" s="110">
        <v>4</v>
      </c>
      <c r="G299" s="69">
        <v>297</v>
      </c>
      <c r="H299" s="111" t="s">
        <v>1782</v>
      </c>
      <c r="I299" s="112" t="s">
        <v>1782</v>
      </c>
      <c r="J299" s="113">
        <v>20500100623201</v>
      </c>
      <c r="K299" s="114" t="s">
        <v>148</v>
      </c>
      <c r="L299" s="114"/>
      <c r="M299" s="114">
        <v>60</v>
      </c>
      <c r="N299" s="115" t="s">
        <v>1164</v>
      </c>
      <c r="O299" s="111" t="s">
        <v>1783</v>
      </c>
      <c r="P299" s="115" t="s">
        <v>1784</v>
      </c>
      <c r="Q299" s="111" t="s">
        <v>1785</v>
      </c>
      <c r="R299" s="111" t="s">
        <v>1786</v>
      </c>
      <c r="S299" s="116" t="s">
        <v>1787</v>
      </c>
      <c r="T299" s="274">
        <v>30</v>
      </c>
      <c r="U299" s="139">
        <v>140</v>
      </c>
      <c r="V299" s="139">
        <v>170</v>
      </c>
      <c r="W299" s="267" t="s">
        <v>2702</v>
      </c>
      <c r="X299" s="267" t="s">
        <v>2701</v>
      </c>
      <c r="Y299" s="285">
        <v>340</v>
      </c>
      <c r="Z299" s="274">
        <v>0</v>
      </c>
      <c r="AA299" s="139">
        <v>0</v>
      </c>
      <c r="AB299" s="139">
        <v>0</v>
      </c>
      <c r="AC299" s="267"/>
      <c r="AD299" s="267"/>
      <c r="AE299" s="285">
        <v>0</v>
      </c>
      <c r="AF299" s="286">
        <v>340</v>
      </c>
      <c r="AG299" s="113" t="s">
        <v>199</v>
      </c>
      <c r="AH299" s="140"/>
    </row>
    <row r="300" spans="1:34" s="80" customFormat="1" ht="12" customHeight="1">
      <c r="A300" s="66">
        <v>2098</v>
      </c>
      <c r="B300" s="67" t="s">
        <v>2701</v>
      </c>
      <c r="C300" s="67" t="s">
        <v>2701</v>
      </c>
      <c r="D300" s="67" t="s">
        <v>2702</v>
      </c>
      <c r="E300" s="66">
        <v>2</v>
      </c>
      <c r="F300" s="110">
        <v>4</v>
      </c>
      <c r="G300" s="69">
        <v>298</v>
      </c>
      <c r="H300" s="111" t="s">
        <v>1788</v>
      </c>
      <c r="I300" s="112" t="s">
        <v>1788</v>
      </c>
      <c r="J300" s="113">
        <v>20500101998901</v>
      </c>
      <c r="K300" s="114" t="s">
        <v>148</v>
      </c>
      <c r="L300" s="114"/>
      <c r="M300" s="114">
        <v>60</v>
      </c>
      <c r="N300" s="115" t="s">
        <v>1164</v>
      </c>
      <c r="O300" s="111" t="s">
        <v>1789</v>
      </c>
      <c r="P300" s="115">
        <v>4273766</v>
      </c>
      <c r="Q300" s="111" t="s">
        <v>1790</v>
      </c>
      <c r="R300" s="111" t="s">
        <v>1791</v>
      </c>
      <c r="S300" s="116" t="s">
        <v>1792</v>
      </c>
      <c r="T300" s="274">
        <v>130</v>
      </c>
      <c r="U300" s="139">
        <v>70</v>
      </c>
      <c r="V300" s="139">
        <v>0</v>
      </c>
      <c r="W300" s="267" t="s">
        <v>2702</v>
      </c>
      <c r="X300" s="267" t="s">
        <v>2701</v>
      </c>
      <c r="Y300" s="285">
        <v>200</v>
      </c>
      <c r="Z300" s="274">
        <v>0</v>
      </c>
      <c r="AA300" s="139">
        <v>0</v>
      </c>
      <c r="AB300" s="139">
        <v>0</v>
      </c>
      <c r="AC300" s="267"/>
      <c r="AD300" s="267"/>
      <c r="AE300" s="285">
        <v>0</v>
      </c>
      <c r="AF300" s="286">
        <v>200</v>
      </c>
      <c r="AG300" s="113"/>
      <c r="AH300" s="140"/>
    </row>
    <row r="301" spans="1:34" s="80" customFormat="1" ht="12" customHeight="1">
      <c r="A301" s="66">
        <v>2099</v>
      </c>
      <c r="B301" s="67" t="s">
        <v>2701</v>
      </c>
      <c r="C301" s="67" t="s">
        <v>2701</v>
      </c>
      <c r="D301" s="67" t="s">
        <v>2702</v>
      </c>
      <c r="E301" s="66">
        <v>2</v>
      </c>
      <c r="F301" s="110">
        <v>4</v>
      </c>
      <c r="G301" s="69">
        <v>299</v>
      </c>
      <c r="H301" s="111" t="s">
        <v>1793</v>
      </c>
      <c r="I301" s="112" t="s">
        <v>1793</v>
      </c>
      <c r="J301" s="113">
        <v>20500101998902</v>
      </c>
      <c r="K301" s="114" t="s">
        <v>148</v>
      </c>
      <c r="L301" s="114"/>
      <c r="M301" s="114">
        <v>60</v>
      </c>
      <c r="N301" s="115" t="s">
        <v>1164</v>
      </c>
      <c r="O301" s="111" t="s">
        <v>1794</v>
      </c>
      <c r="P301" s="115">
        <v>4271840</v>
      </c>
      <c r="Q301" s="111" t="s">
        <v>1790</v>
      </c>
      <c r="R301" s="111" t="s">
        <v>1795</v>
      </c>
      <c r="S301" s="116" t="s">
        <v>1796</v>
      </c>
      <c r="T301" s="274">
        <v>57</v>
      </c>
      <c r="U301" s="139">
        <v>39</v>
      </c>
      <c r="V301" s="139">
        <v>0</v>
      </c>
      <c r="W301" s="267" t="s">
        <v>2702</v>
      </c>
      <c r="X301" s="267" t="s">
        <v>2701</v>
      </c>
      <c r="Y301" s="285">
        <v>96</v>
      </c>
      <c r="Z301" s="274">
        <v>0</v>
      </c>
      <c r="AA301" s="139">
        <v>0</v>
      </c>
      <c r="AB301" s="139">
        <v>0</v>
      </c>
      <c r="AC301" s="267"/>
      <c r="AD301" s="267"/>
      <c r="AE301" s="285">
        <v>0</v>
      </c>
      <c r="AF301" s="286">
        <v>96</v>
      </c>
      <c r="AG301" s="113"/>
      <c r="AH301" s="140"/>
    </row>
    <row r="302" spans="1:34" s="80" customFormat="1" ht="12" customHeight="1">
      <c r="A302" s="66">
        <v>2100</v>
      </c>
      <c r="B302" s="67" t="s">
        <v>2701</v>
      </c>
      <c r="C302" s="67" t="s">
        <v>2701</v>
      </c>
      <c r="D302" s="67" t="s">
        <v>2702</v>
      </c>
      <c r="E302" s="66">
        <v>2</v>
      </c>
      <c r="F302" s="110">
        <v>4</v>
      </c>
      <c r="G302" s="69">
        <v>300</v>
      </c>
      <c r="H302" s="111" t="s">
        <v>1797</v>
      </c>
      <c r="I302" s="112" t="s">
        <v>1797</v>
      </c>
      <c r="J302" s="113">
        <v>40500101391201</v>
      </c>
      <c r="K302" s="114" t="s">
        <v>226</v>
      </c>
      <c r="L302" s="114"/>
      <c r="M302" s="114">
        <v>60</v>
      </c>
      <c r="N302" s="115" t="s">
        <v>1177</v>
      </c>
      <c r="O302" s="111" t="s">
        <v>1798</v>
      </c>
      <c r="P302" s="115">
        <v>4260788</v>
      </c>
      <c r="Q302" s="111" t="s">
        <v>1799</v>
      </c>
      <c r="R302" s="111" t="s">
        <v>1800</v>
      </c>
      <c r="S302" s="116" t="s">
        <v>1801</v>
      </c>
      <c r="T302" s="274">
        <v>50</v>
      </c>
      <c r="U302" s="139">
        <v>15</v>
      </c>
      <c r="V302" s="139">
        <v>0</v>
      </c>
      <c r="W302" s="267" t="s">
        <v>2702</v>
      </c>
      <c r="X302" s="267" t="s">
        <v>2701</v>
      </c>
      <c r="Y302" s="285">
        <v>65</v>
      </c>
      <c r="Z302" s="274">
        <v>0</v>
      </c>
      <c r="AA302" s="139">
        <v>0</v>
      </c>
      <c r="AB302" s="139">
        <v>0</v>
      </c>
      <c r="AC302" s="267"/>
      <c r="AD302" s="267"/>
      <c r="AE302" s="285">
        <v>0</v>
      </c>
      <c r="AF302" s="286">
        <v>65</v>
      </c>
      <c r="AG302" s="147" t="s">
        <v>199</v>
      </c>
      <c r="AH302" s="140"/>
    </row>
    <row r="303" spans="1:34" s="80" customFormat="1" ht="12" customHeight="1">
      <c r="A303" s="66">
        <v>2101</v>
      </c>
      <c r="B303" s="67" t="s">
        <v>2701</v>
      </c>
      <c r="C303" s="67" t="s">
        <v>2701</v>
      </c>
      <c r="D303" s="67" t="s">
        <v>2702</v>
      </c>
      <c r="E303" s="66">
        <v>2</v>
      </c>
      <c r="F303" s="110">
        <v>4</v>
      </c>
      <c r="G303" s="69">
        <v>301</v>
      </c>
      <c r="H303" s="111" t="s">
        <v>1802</v>
      </c>
      <c r="I303" s="112" t="s">
        <v>1802</v>
      </c>
      <c r="J303" s="113">
        <v>20500102145201</v>
      </c>
      <c r="K303" s="114" t="s">
        <v>148</v>
      </c>
      <c r="L303" s="114"/>
      <c r="M303" s="114">
        <v>60</v>
      </c>
      <c r="N303" s="115" t="s">
        <v>1164</v>
      </c>
      <c r="O303" s="111" t="s">
        <v>1803</v>
      </c>
      <c r="P303" s="115">
        <v>4274457</v>
      </c>
      <c r="Q303" s="111" t="s">
        <v>1804</v>
      </c>
      <c r="R303" s="111" t="s">
        <v>1805</v>
      </c>
      <c r="S303" s="116" t="s">
        <v>1806</v>
      </c>
      <c r="T303" s="274">
        <v>48</v>
      </c>
      <c r="U303" s="139">
        <v>49</v>
      </c>
      <c r="V303" s="139">
        <v>0</v>
      </c>
      <c r="W303" s="267" t="s">
        <v>2702</v>
      </c>
      <c r="X303" s="267" t="s">
        <v>2701</v>
      </c>
      <c r="Y303" s="285">
        <v>97</v>
      </c>
      <c r="Z303" s="274">
        <v>0</v>
      </c>
      <c r="AA303" s="139">
        <v>0</v>
      </c>
      <c r="AB303" s="139">
        <v>0</v>
      </c>
      <c r="AC303" s="267"/>
      <c r="AD303" s="267"/>
      <c r="AE303" s="285">
        <v>0</v>
      </c>
      <c r="AF303" s="286">
        <v>97</v>
      </c>
      <c r="AG303" s="113"/>
      <c r="AH303" s="140"/>
    </row>
    <row r="304" spans="1:34" s="80" customFormat="1" ht="12" customHeight="1">
      <c r="A304" s="66">
        <v>2102</v>
      </c>
      <c r="B304" s="67" t="s">
        <v>2701</v>
      </c>
      <c r="C304" s="67" t="s">
        <v>2701</v>
      </c>
      <c r="D304" s="67" t="s">
        <v>2702</v>
      </c>
      <c r="E304" s="66">
        <v>2</v>
      </c>
      <c r="F304" s="151">
        <v>4</v>
      </c>
      <c r="G304" s="69">
        <v>302</v>
      </c>
      <c r="H304" s="111" t="s">
        <v>1807</v>
      </c>
      <c r="I304" s="303" t="s">
        <v>1807</v>
      </c>
      <c r="J304" s="153">
        <v>20500102145203</v>
      </c>
      <c r="K304" s="154" t="s">
        <v>148</v>
      </c>
      <c r="L304" s="114"/>
      <c r="M304" s="154">
        <v>60</v>
      </c>
      <c r="N304" s="152" t="s">
        <v>1164</v>
      </c>
      <c r="O304" s="155" t="s">
        <v>1808</v>
      </c>
      <c r="P304" s="152">
        <v>4262653</v>
      </c>
      <c r="Q304" s="155" t="s">
        <v>1804</v>
      </c>
      <c r="R304" s="155" t="s">
        <v>1809</v>
      </c>
      <c r="S304" s="156" t="s">
        <v>1810</v>
      </c>
      <c r="T304" s="304">
        <v>10</v>
      </c>
      <c r="U304" s="305">
        <v>14</v>
      </c>
      <c r="V304" s="305">
        <v>0</v>
      </c>
      <c r="W304" s="267" t="s">
        <v>2702</v>
      </c>
      <c r="X304" s="267" t="s">
        <v>2701</v>
      </c>
      <c r="Y304" s="306">
        <v>24</v>
      </c>
      <c r="Z304" s="304">
        <v>0</v>
      </c>
      <c r="AA304" s="305">
        <v>0</v>
      </c>
      <c r="AB304" s="305">
        <v>0</v>
      </c>
      <c r="AC304" s="267"/>
      <c r="AD304" s="267"/>
      <c r="AE304" s="306">
        <v>0</v>
      </c>
      <c r="AF304" s="307">
        <v>24</v>
      </c>
      <c r="AG304" s="153"/>
      <c r="AH304" s="161"/>
    </row>
    <row r="305" spans="1:34" s="80" customFormat="1" ht="12" customHeight="1">
      <c r="A305" s="66">
        <v>2103</v>
      </c>
      <c r="B305" s="67" t="s">
        <v>2701</v>
      </c>
      <c r="C305" s="67" t="s">
        <v>2701</v>
      </c>
      <c r="D305" s="67" t="s">
        <v>2702</v>
      </c>
      <c r="E305" s="66">
        <v>2</v>
      </c>
      <c r="F305" s="110">
        <v>4</v>
      </c>
      <c r="G305" s="69">
        <v>303</v>
      </c>
      <c r="H305" s="111" t="s">
        <v>1811</v>
      </c>
      <c r="I305" s="112" t="s">
        <v>1811</v>
      </c>
      <c r="J305" s="113">
        <v>20500102145204</v>
      </c>
      <c r="K305" s="114" t="s">
        <v>148</v>
      </c>
      <c r="L305" s="114"/>
      <c r="M305" s="114">
        <v>60</v>
      </c>
      <c r="N305" s="115" t="s">
        <v>1164</v>
      </c>
      <c r="O305" s="111" t="s">
        <v>1812</v>
      </c>
      <c r="P305" s="115">
        <v>4261632</v>
      </c>
      <c r="Q305" s="111" t="s">
        <v>1804</v>
      </c>
      <c r="R305" s="111" t="s">
        <v>1813</v>
      </c>
      <c r="S305" s="116" t="s">
        <v>1814</v>
      </c>
      <c r="T305" s="274">
        <v>67</v>
      </c>
      <c r="U305" s="139">
        <v>49</v>
      </c>
      <c r="V305" s="139">
        <v>0</v>
      </c>
      <c r="W305" s="267" t="s">
        <v>2702</v>
      </c>
      <c r="X305" s="267" t="s">
        <v>2701</v>
      </c>
      <c r="Y305" s="285">
        <v>116</v>
      </c>
      <c r="Z305" s="274">
        <v>0</v>
      </c>
      <c r="AA305" s="139">
        <v>0</v>
      </c>
      <c r="AB305" s="139">
        <v>0</v>
      </c>
      <c r="AC305" s="267"/>
      <c r="AD305" s="267"/>
      <c r="AE305" s="285">
        <v>0</v>
      </c>
      <c r="AF305" s="286">
        <v>116</v>
      </c>
      <c r="AG305" s="113"/>
      <c r="AH305" s="140"/>
    </row>
    <row r="306" spans="1:34" s="80" customFormat="1" ht="12" customHeight="1">
      <c r="A306" s="66">
        <v>2104</v>
      </c>
      <c r="B306" s="67" t="s">
        <v>2701</v>
      </c>
      <c r="C306" s="67" t="s">
        <v>2701</v>
      </c>
      <c r="D306" s="67" t="s">
        <v>2702</v>
      </c>
      <c r="E306" s="66">
        <v>2</v>
      </c>
      <c r="F306" s="110">
        <v>4</v>
      </c>
      <c r="G306" s="69">
        <v>304</v>
      </c>
      <c r="H306" s="111" t="s">
        <v>1815</v>
      </c>
      <c r="I306" s="112" t="s">
        <v>1815</v>
      </c>
      <c r="J306" s="113">
        <v>20500102145202</v>
      </c>
      <c r="K306" s="114" t="s">
        <v>148</v>
      </c>
      <c r="L306" s="114"/>
      <c r="M306" s="114">
        <v>60</v>
      </c>
      <c r="N306" s="115" t="s">
        <v>1164</v>
      </c>
      <c r="O306" s="111" t="s">
        <v>1816</v>
      </c>
      <c r="P306" s="115">
        <v>4261307</v>
      </c>
      <c r="Q306" s="111" t="s">
        <v>1804</v>
      </c>
      <c r="R306" s="111" t="s">
        <v>1817</v>
      </c>
      <c r="S306" s="116" t="s">
        <v>1818</v>
      </c>
      <c r="T306" s="274">
        <v>14</v>
      </c>
      <c r="U306" s="139">
        <v>9</v>
      </c>
      <c r="V306" s="139">
        <v>0</v>
      </c>
      <c r="W306" s="267" t="s">
        <v>2702</v>
      </c>
      <c r="X306" s="267" t="s">
        <v>2701</v>
      </c>
      <c r="Y306" s="285">
        <v>23</v>
      </c>
      <c r="Z306" s="274">
        <v>0</v>
      </c>
      <c r="AA306" s="139">
        <v>0</v>
      </c>
      <c r="AB306" s="139">
        <v>0</v>
      </c>
      <c r="AC306" s="267"/>
      <c r="AD306" s="267"/>
      <c r="AE306" s="285">
        <v>0</v>
      </c>
      <c r="AF306" s="286">
        <v>23</v>
      </c>
      <c r="AG306" s="113"/>
      <c r="AH306" s="140"/>
    </row>
    <row r="307" spans="1:34" s="80" customFormat="1" ht="12" customHeight="1">
      <c r="A307" s="66">
        <v>2105</v>
      </c>
      <c r="B307" s="67" t="s">
        <v>2701</v>
      </c>
      <c r="C307" s="67" t="s">
        <v>2701</v>
      </c>
      <c r="D307" s="67" t="s">
        <v>2702</v>
      </c>
      <c r="E307" s="66">
        <v>2</v>
      </c>
      <c r="F307" s="110">
        <v>4</v>
      </c>
      <c r="G307" s="69">
        <v>305</v>
      </c>
      <c r="H307" s="111" t="s">
        <v>1819</v>
      </c>
      <c r="I307" s="112" t="s">
        <v>1819</v>
      </c>
      <c r="J307" s="113">
        <v>10500102600002</v>
      </c>
      <c r="K307" s="114" t="s">
        <v>148</v>
      </c>
      <c r="L307" s="114"/>
      <c r="M307" s="114">
        <v>60</v>
      </c>
      <c r="N307" s="115" t="s">
        <v>1164</v>
      </c>
      <c r="O307" s="111" t="s">
        <v>1820</v>
      </c>
      <c r="P307" s="115">
        <v>4273044</v>
      </c>
      <c r="Q307" s="111" t="s">
        <v>1821</v>
      </c>
      <c r="R307" s="111" t="s">
        <v>1822</v>
      </c>
      <c r="S307" s="116" t="s">
        <v>1823</v>
      </c>
      <c r="T307" s="274">
        <v>200</v>
      </c>
      <c r="U307" s="139">
        <v>111</v>
      </c>
      <c r="V307" s="139">
        <v>0</v>
      </c>
      <c r="W307" s="267" t="s">
        <v>2702</v>
      </c>
      <c r="X307" s="267" t="s">
        <v>2701</v>
      </c>
      <c r="Y307" s="285">
        <v>311</v>
      </c>
      <c r="Z307" s="274">
        <v>0</v>
      </c>
      <c r="AA307" s="139">
        <v>0</v>
      </c>
      <c r="AB307" s="139">
        <v>0</v>
      </c>
      <c r="AC307" s="267"/>
      <c r="AD307" s="267"/>
      <c r="AE307" s="285">
        <v>0</v>
      </c>
      <c r="AF307" s="286">
        <v>311</v>
      </c>
      <c r="AG307" s="113"/>
      <c r="AH307" s="140"/>
    </row>
    <row r="308" spans="1:34" s="80" customFormat="1" ht="12" customHeight="1">
      <c r="A308" s="66">
        <v>2106</v>
      </c>
      <c r="B308" s="67" t="s">
        <v>2701</v>
      </c>
      <c r="C308" s="67" t="s">
        <v>2701</v>
      </c>
      <c r="D308" s="67" t="s">
        <v>2702</v>
      </c>
      <c r="E308" s="66">
        <v>2</v>
      </c>
      <c r="F308" s="110">
        <v>4</v>
      </c>
      <c r="G308" s="69">
        <v>306</v>
      </c>
      <c r="H308" s="111" t="s">
        <v>1824</v>
      </c>
      <c r="I308" s="112" t="s">
        <v>1824</v>
      </c>
      <c r="J308" s="113">
        <v>20500101430801</v>
      </c>
      <c r="K308" s="114" t="s">
        <v>148</v>
      </c>
      <c r="L308" s="114"/>
      <c r="M308" s="114">
        <v>60</v>
      </c>
      <c r="N308" s="115" t="s">
        <v>1164</v>
      </c>
      <c r="O308" s="111" t="s">
        <v>1825</v>
      </c>
      <c r="P308" s="115" t="s">
        <v>1826</v>
      </c>
      <c r="Q308" s="111" t="s">
        <v>1827</v>
      </c>
      <c r="R308" s="111" t="s">
        <v>1828</v>
      </c>
      <c r="S308" s="116" t="s">
        <v>1829</v>
      </c>
      <c r="T308" s="274">
        <v>58</v>
      </c>
      <c r="U308" s="139">
        <v>22</v>
      </c>
      <c r="V308" s="139">
        <v>0</v>
      </c>
      <c r="W308" s="267" t="s">
        <v>2702</v>
      </c>
      <c r="X308" s="267" t="s">
        <v>2701</v>
      </c>
      <c r="Y308" s="285">
        <v>80</v>
      </c>
      <c r="Z308" s="274">
        <v>0</v>
      </c>
      <c r="AA308" s="139">
        <v>0</v>
      </c>
      <c r="AB308" s="139">
        <v>0</v>
      </c>
      <c r="AC308" s="267"/>
      <c r="AD308" s="267"/>
      <c r="AE308" s="285">
        <v>0</v>
      </c>
      <c r="AF308" s="286">
        <v>80</v>
      </c>
      <c r="AG308" s="113"/>
      <c r="AH308" s="140"/>
    </row>
    <row r="309" spans="1:34" s="80" customFormat="1" ht="12" customHeight="1">
      <c r="A309" s="66">
        <v>2107</v>
      </c>
      <c r="B309" s="67" t="s">
        <v>2701</v>
      </c>
      <c r="C309" s="67" t="s">
        <v>2701</v>
      </c>
      <c r="D309" s="67" t="s">
        <v>2702</v>
      </c>
      <c r="E309" s="66">
        <v>2</v>
      </c>
      <c r="F309" s="110">
        <v>4</v>
      </c>
      <c r="G309" s="69">
        <v>307</v>
      </c>
      <c r="H309" s="111" t="s">
        <v>1830</v>
      </c>
      <c r="I309" s="112" t="s">
        <v>1830</v>
      </c>
      <c r="J309" s="113">
        <v>20500101430802</v>
      </c>
      <c r="K309" s="114" t="s">
        <v>148</v>
      </c>
      <c r="L309" s="114"/>
      <c r="M309" s="114">
        <v>60</v>
      </c>
      <c r="N309" s="115" t="s">
        <v>1164</v>
      </c>
      <c r="O309" s="111" t="s">
        <v>1831</v>
      </c>
      <c r="P309" s="115" t="s">
        <v>1832</v>
      </c>
      <c r="Q309" s="111" t="s">
        <v>1827</v>
      </c>
      <c r="R309" s="111" t="s">
        <v>1833</v>
      </c>
      <c r="S309" s="116" t="s">
        <v>1834</v>
      </c>
      <c r="T309" s="274">
        <v>29</v>
      </c>
      <c r="U309" s="139">
        <v>21</v>
      </c>
      <c r="V309" s="139">
        <v>0</v>
      </c>
      <c r="W309" s="267" t="s">
        <v>2702</v>
      </c>
      <c r="X309" s="267" t="s">
        <v>2701</v>
      </c>
      <c r="Y309" s="285">
        <v>50</v>
      </c>
      <c r="Z309" s="274">
        <v>0</v>
      </c>
      <c r="AA309" s="139">
        <v>0</v>
      </c>
      <c r="AB309" s="139">
        <v>0</v>
      </c>
      <c r="AC309" s="267"/>
      <c r="AD309" s="267"/>
      <c r="AE309" s="285">
        <v>0</v>
      </c>
      <c r="AF309" s="286">
        <v>50</v>
      </c>
      <c r="AG309" s="113"/>
      <c r="AH309" s="140"/>
    </row>
    <row r="310" spans="1:34" s="80" customFormat="1" ht="12" customHeight="1">
      <c r="A310" s="66">
        <v>2108</v>
      </c>
      <c r="B310" s="67" t="s">
        <v>2701</v>
      </c>
      <c r="C310" s="67" t="s">
        <v>2701</v>
      </c>
      <c r="D310" s="67" t="s">
        <v>2702</v>
      </c>
      <c r="E310" s="66">
        <v>2</v>
      </c>
      <c r="F310" s="110">
        <v>4</v>
      </c>
      <c r="G310" s="69">
        <v>308</v>
      </c>
      <c r="H310" s="111" t="s">
        <v>1835</v>
      </c>
      <c r="I310" s="112" t="s">
        <v>1835</v>
      </c>
      <c r="J310" s="113">
        <v>20500101430803</v>
      </c>
      <c r="K310" s="114" t="s">
        <v>148</v>
      </c>
      <c r="L310" s="114"/>
      <c r="M310" s="114">
        <v>60</v>
      </c>
      <c r="N310" s="115" t="s">
        <v>1164</v>
      </c>
      <c r="O310" s="111" t="s">
        <v>1836</v>
      </c>
      <c r="P310" s="115">
        <v>4272773</v>
      </c>
      <c r="Q310" s="111" t="s">
        <v>1827</v>
      </c>
      <c r="R310" s="111" t="s">
        <v>1837</v>
      </c>
      <c r="S310" s="116" t="s">
        <v>1838</v>
      </c>
      <c r="T310" s="274">
        <v>22</v>
      </c>
      <c r="U310" s="139">
        <v>13</v>
      </c>
      <c r="V310" s="139">
        <v>0</v>
      </c>
      <c r="W310" s="267" t="s">
        <v>2702</v>
      </c>
      <c r="X310" s="267" t="s">
        <v>2701</v>
      </c>
      <c r="Y310" s="285">
        <v>35</v>
      </c>
      <c r="Z310" s="274">
        <v>0</v>
      </c>
      <c r="AA310" s="139">
        <v>0</v>
      </c>
      <c r="AB310" s="139">
        <v>0</v>
      </c>
      <c r="AC310" s="267"/>
      <c r="AD310" s="267"/>
      <c r="AE310" s="285">
        <v>0</v>
      </c>
      <c r="AF310" s="286">
        <v>35</v>
      </c>
      <c r="AG310" s="113"/>
      <c r="AH310" s="140"/>
    </row>
    <row r="311" spans="1:34" s="80" customFormat="1" ht="12" customHeight="1">
      <c r="A311" s="66">
        <v>2109</v>
      </c>
      <c r="B311" s="67" t="s">
        <v>2701</v>
      </c>
      <c r="C311" s="67" t="s">
        <v>2701</v>
      </c>
      <c r="D311" s="67" t="s">
        <v>2702</v>
      </c>
      <c r="E311" s="66">
        <v>2</v>
      </c>
      <c r="F311" s="110">
        <v>4</v>
      </c>
      <c r="G311" s="69">
        <v>309</v>
      </c>
      <c r="H311" s="111" t="s">
        <v>1839</v>
      </c>
      <c r="I311" s="112" t="s">
        <v>1839</v>
      </c>
      <c r="J311" s="113">
        <v>20500100219901</v>
      </c>
      <c r="K311" s="114" t="s">
        <v>148</v>
      </c>
      <c r="L311" s="114"/>
      <c r="M311" s="114">
        <v>60</v>
      </c>
      <c r="N311" s="115" t="s">
        <v>1164</v>
      </c>
      <c r="O311" s="111" t="s">
        <v>1840</v>
      </c>
      <c r="P311" s="115">
        <v>4273235</v>
      </c>
      <c r="Q311" s="111" t="s">
        <v>1841</v>
      </c>
      <c r="R311" s="111" t="s">
        <v>1842</v>
      </c>
      <c r="S311" s="116" t="s">
        <v>1843</v>
      </c>
      <c r="T311" s="274">
        <v>32</v>
      </c>
      <c r="U311" s="139">
        <v>98</v>
      </c>
      <c r="V311" s="139">
        <v>80</v>
      </c>
      <c r="W311" s="267" t="s">
        <v>2702</v>
      </c>
      <c r="X311" s="267" t="s">
        <v>2701</v>
      </c>
      <c r="Y311" s="285">
        <v>210</v>
      </c>
      <c r="Z311" s="274">
        <v>0</v>
      </c>
      <c r="AA311" s="139">
        <v>0</v>
      </c>
      <c r="AB311" s="139">
        <v>0</v>
      </c>
      <c r="AC311" s="267"/>
      <c r="AD311" s="267"/>
      <c r="AE311" s="285">
        <v>0</v>
      </c>
      <c r="AF311" s="286">
        <v>210</v>
      </c>
      <c r="AG311" s="113"/>
      <c r="AH311" s="140"/>
    </row>
    <row r="312" spans="1:34" s="80" customFormat="1" ht="12" customHeight="1">
      <c r="A312" s="66">
        <v>2110</v>
      </c>
      <c r="B312" s="67" t="s">
        <v>2701</v>
      </c>
      <c r="C312" s="67" t="s">
        <v>2701</v>
      </c>
      <c r="D312" s="67" t="s">
        <v>2702</v>
      </c>
      <c r="E312" s="66">
        <v>2</v>
      </c>
      <c r="F312" s="110">
        <v>4</v>
      </c>
      <c r="G312" s="69">
        <v>310</v>
      </c>
      <c r="H312" s="111" t="s">
        <v>1844</v>
      </c>
      <c r="I312" s="112" t="s">
        <v>1844</v>
      </c>
      <c r="J312" s="113">
        <v>20500100991602</v>
      </c>
      <c r="K312" s="114" t="s">
        <v>148</v>
      </c>
      <c r="L312" s="114"/>
      <c r="M312" s="114">
        <v>70</v>
      </c>
      <c r="N312" s="115" t="s">
        <v>1845</v>
      </c>
      <c r="O312" s="111" t="s">
        <v>1846</v>
      </c>
      <c r="P312" s="115">
        <v>4911556</v>
      </c>
      <c r="Q312" s="111" t="s">
        <v>1847</v>
      </c>
      <c r="R312" s="111" t="s">
        <v>1848</v>
      </c>
      <c r="S312" s="116" t="s">
        <v>1849</v>
      </c>
      <c r="T312" s="274">
        <v>29</v>
      </c>
      <c r="U312" s="139">
        <v>4</v>
      </c>
      <c r="V312" s="139">
        <v>0</v>
      </c>
      <c r="W312" s="267" t="s">
        <v>2702</v>
      </c>
      <c r="X312" s="267" t="s">
        <v>2701</v>
      </c>
      <c r="Y312" s="285">
        <v>33</v>
      </c>
      <c r="Z312" s="274">
        <v>0</v>
      </c>
      <c r="AA312" s="139">
        <v>0</v>
      </c>
      <c r="AB312" s="139">
        <v>0</v>
      </c>
      <c r="AC312" s="267"/>
      <c r="AD312" s="267"/>
      <c r="AE312" s="285">
        <v>0</v>
      </c>
      <c r="AF312" s="286">
        <v>33</v>
      </c>
      <c r="AG312" s="113"/>
      <c r="AH312" s="140"/>
    </row>
    <row r="313" spans="1:34" s="80" customFormat="1" ht="12" customHeight="1">
      <c r="A313" s="66">
        <v>2111</v>
      </c>
      <c r="B313" s="67" t="s">
        <v>2701</v>
      </c>
      <c r="C313" s="67" t="s">
        <v>2701</v>
      </c>
      <c r="D313" s="67" t="s">
        <v>2702</v>
      </c>
      <c r="E313" s="66">
        <v>2</v>
      </c>
      <c r="F313" s="68">
        <v>6</v>
      </c>
      <c r="G313" s="69">
        <v>311</v>
      </c>
      <c r="H313" s="37" t="s">
        <v>1850</v>
      </c>
      <c r="I313" s="37" t="s">
        <v>1850</v>
      </c>
      <c r="J313" s="70">
        <v>10500100039601</v>
      </c>
      <c r="K313" s="38" t="s">
        <v>148</v>
      </c>
      <c r="L313" s="38" t="s">
        <v>120</v>
      </c>
      <c r="M313" s="38">
        <v>15</v>
      </c>
      <c r="N313" s="37" t="s">
        <v>1851</v>
      </c>
      <c r="O313" s="37" t="s">
        <v>1852</v>
      </c>
      <c r="P313" s="37" t="s">
        <v>1853</v>
      </c>
      <c r="Q313" s="37" t="s">
        <v>1854</v>
      </c>
      <c r="R313" s="37" t="s">
        <v>1855</v>
      </c>
      <c r="S313" s="72" t="s">
        <v>1856</v>
      </c>
      <c r="T313" s="272">
        <v>0</v>
      </c>
      <c r="U313" s="273">
        <v>160</v>
      </c>
      <c r="V313" s="273">
        <v>80</v>
      </c>
      <c r="W313" s="267" t="s">
        <v>2702</v>
      </c>
      <c r="X313" s="267" t="s">
        <v>2701</v>
      </c>
      <c r="Y313" s="268">
        <v>240</v>
      </c>
      <c r="Z313" s="272">
        <v>0</v>
      </c>
      <c r="AA313" s="273">
        <v>0</v>
      </c>
      <c r="AB313" s="273">
        <v>0</v>
      </c>
      <c r="AC313" s="267"/>
      <c r="AD313" s="267"/>
      <c r="AE313" s="268">
        <v>0</v>
      </c>
      <c r="AF313" s="269">
        <v>240</v>
      </c>
      <c r="AG313" s="78"/>
      <c r="AH313" s="79"/>
    </row>
    <row r="314" spans="1:34" s="80" customFormat="1" ht="12" customHeight="1">
      <c r="A314" s="66">
        <v>2112</v>
      </c>
      <c r="B314" s="67" t="s">
        <v>2701</v>
      </c>
      <c r="C314" s="67" t="s">
        <v>2701</v>
      </c>
      <c r="D314" s="67" t="s">
        <v>2702</v>
      </c>
      <c r="E314" s="66">
        <v>2</v>
      </c>
      <c r="F314" s="68">
        <v>6</v>
      </c>
      <c r="G314" s="69">
        <v>312</v>
      </c>
      <c r="H314" s="37" t="s">
        <v>1857</v>
      </c>
      <c r="I314" s="37" t="s">
        <v>1857</v>
      </c>
      <c r="J314" s="70">
        <v>10500100039604</v>
      </c>
      <c r="K314" s="38" t="s">
        <v>148</v>
      </c>
      <c r="L314" s="38" t="s">
        <v>120</v>
      </c>
      <c r="M314" s="38">
        <v>15</v>
      </c>
      <c r="N314" s="37" t="s">
        <v>1217</v>
      </c>
      <c r="O314" s="37" t="s">
        <v>1858</v>
      </c>
      <c r="P314" s="37" t="s">
        <v>1859</v>
      </c>
      <c r="Q314" s="37" t="s">
        <v>1860</v>
      </c>
      <c r="R314" s="37" t="s">
        <v>1860</v>
      </c>
      <c r="S314" s="72" t="s">
        <v>1861</v>
      </c>
      <c r="T314" s="272">
        <v>210</v>
      </c>
      <c r="U314" s="273">
        <v>120</v>
      </c>
      <c r="V314" s="273">
        <v>0</v>
      </c>
      <c r="W314" s="267" t="s">
        <v>2702</v>
      </c>
      <c r="X314" s="267" t="s">
        <v>2701</v>
      </c>
      <c r="Y314" s="268">
        <v>330</v>
      </c>
      <c r="Z314" s="272">
        <v>0</v>
      </c>
      <c r="AA314" s="273">
        <v>0</v>
      </c>
      <c r="AB314" s="273">
        <v>0</v>
      </c>
      <c r="AC314" s="267"/>
      <c r="AD314" s="267"/>
      <c r="AE314" s="268">
        <v>0</v>
      </c>
      <c r="AF314" s="269">
        <v>330</v>
      </c>
      <c r="AG314" s="78"/>
      <c r="AH314" s="79"/>
    </row>
    <row r="315" spans="1:34" s="80" customFormat="1" ht="12" customHeight="1">
      <c r="A315" s="66">
        <v>2113</v>
      </c>
      <c r="B315" s="67" t="s">
        <v>2701</v>
      </c>
      <c r="C315" s="67" t="s">
        <v>2701</v>
      </c>
      <c r="D315" s="67" t="s">
        <v>2703</v>
      </c>
      <c r="E315" s="66">
        <v>2</v>
      </c>
      <c r="F315" s="68">
        <v>6</v>
      </c>
      <c r="G315" s="69">
        <v>313</v>
      </c>
      <c r="H315" s="37" t="s">
        <v>1862</v>
      </c>
      <c r="I315" s="37" t="s">
        <v>1862</v>
      </c>
      <c r="J315" s="70">
        <v>10500100249601</v>
      </c>
      <c r="K315" s="38" t="s">
        <v>148</v>
      </c>
      <c r="L315" s="38" t="s">
        <v>120</v>
      </c>
      <c r="M315" s="38">
        <v>15</v>
      </c>
      <c r="N315" s="37" t="s">
        <v>1863</v>
      </c>
      <c r="O315" s="37" t="s">
        <v>1864</v>
      </c>
      <c r="P315" s="37" t="s">
        <v>1865</v>
      </c>
      <c r="Q315" s="37" t="s">
        <v>1866</v>
      </c>
      <c r="R315" s="37" t="s">
        <v>1867</v>
      </c>
      <c r="S315" s="72" t="s">
        <v>1868</v>
      </c>
      <c r="T315" s="272">
        <v>0</v>
      </c>
      <c r="U315" s="273">
        <v>50</v>
      </c>
      <c r="V315" s="273">
        <v>50</v>
      </c>
      <c r="W315" s="267" t="s">
        <v>2702</v>
      </c>
      <c r="X315" s="267" t="s">
        <v>2701</v>
      </c>
      <c r="Y315" s="268">
        <v>100</v>
      </c>
      <c r="Z315" s="272">
        <v>0</v>
      </c>
      <c r="AA315" s="273">
        <v>149</v>
      </c>
      <c r="AB315" s="273">
        <v>116</v>
      </c>
      <c r="AC315" s="267" t="s">
        <v>2700</v>
      </c>
      <c r="AD315" s="267" t="s">
        <v>2701</v>
      </c>
      <c r="AE315" s="268">
        <v>265</v>
      </c>
      <c r="AF315" s="269">
        <v>365</v>
      </c>
      <c r="AG315" s="69" t="s">
        <v>199</v>
      </c>
      <c r="AH315" s="308"/>
    </row>
    <row r="316" spans="1:34" s="80" customFormat="1" ht="12" customHeight="1">
      <c r="A316" s="66">
        <v>2114</v>
      </c>
      <c r="B316" s="67" t="s">
        <v>2701</v>
      </c>
      <c r="C316" s="67" t="s">
        <v>2701</v>
      </c>
      <c r="D316" s="67" t="s">
        <v>2703</v>
      </c>
      <c r="E316" s="66">
        <v>2</v>
      </c>
      <c r="F316" s="68">
        <v>6</v>
      </c>
      <c r="G316" s="69">
        <v>314</v>
      </c>
      <c r="H316" s="37" t="s">
        <v>1869</v>
      </c>
      <c r="I316" s="37" t="s">
        <v>1869</v>
      </c>
      <c r="J316" s="70">
        <v>10500100327101</v>
      </c>
      <c r="K316" s="38" t="s">
        <v>148</v>
      </c>
      <c r="L316" s="38" t="s">
        <v>120</v>
      </c>
      <c r="M316" s="38">
        <v>16</v>
      </c>
      <c r="N316" s="37" t="s">
        <v>1870</v>
      </c>
      <c r="O316" s="37" t="s">
        <v>1871</v>
      </c>
      <c r="P316" s="37" t="s">
        <v>1872</v>
      </c>
      <c r="Q316" s="37" t="s">
        <v>1873</v>
      </c>
      <c r="R316" s="37" t="s">
        <v>1874</v>
      </c>
      <c r="S316" s="72" t="s">
        <v>1875</v>
      </c>
      <c r="T316" s="272">
        <v>70</v>
      </c>
      <c r="U316" s="273">
        <v>80</v>
      </c>
      <c r="V316" s="273">
        <v>50</v>
      </c>
      <c r="W316" s="267" t="s">
        <v>2702</v>
      </c>
      <c r="X316" s="267" t="s">
        <v>2701</v>
      </c>
      <c r="Y316" s="268">
        <v>200</v>
      </c>
      <c r="Z316" s="272">
        <v>19</v>
      </c>
      <c r="AA316" s="273">
        <v>121</v>
      </c>
      <c r="AB316" s="273">
        <v>68</v>
      </c>
      <c r="AC316" s="267" t="s">
        <v>2700</v>
      </c>
      <c r="AD316" s="267" t="s">
        <v>2701</v>
      </c>
      <c r="AE316" s="268">
        <v>208</v>
      </c>
      <c r="AF316" s="269">
        <v>408</v>
      </c>
      <c r="AG316" s="199"/>
      <c r="AH316" s="150"/>
    </row>
    <row r="317" spans="1:34" s="80" customFormat="1" ht="12" customHeight="1">
      <c r="A317" s="66">
        <v>2115</v>
      </c>
      <c r="B317" s="67" t="s">
        <v>2701</v>
      </c>
      <c r="C317" s="67" t="s">
        <v>2701</v>
      </c>
      <c r="D317" s="67" t="s">
        <v>2702</v>
      </c>
      <c r="E317" s="66">
        <v>2</v>
      </c>
      <c r="F317" s="68">
        <v>6</v>
      </c>
      <c r="G317" s="69">
        <v>315</v>
      </c>
      <c r="H317" s="37" t="s">
        <v>1876</v>
      </c>
      <c r="I317" s="37" t="s">
        <v>1876</v>
      </c>
      <c r="J317" s="70">
        <v>10500100327103</v>
      </c>
      <c r="K317" s="38" t="s">
        <v>148</v>
      </c>
      <c r="L317" s="38" t="s">
        <v>120</v>
      </c>
      <c r="M317" s="38">
        <v>16</v>
      </c>
      <c r="N317" s="37" t="s">
        <v>1870</v>
      </c>
      <c r="O317" s="37" t="s">
        <v>1877</v>
      </c>
      <c r="P317" s="37" t="s">
        <v>1878</v>
      </c>
      <c r="Q317" s="37" t="s">
        <v>1873</v>
      </c>
      <c r="R317" s="37" t="s">
        <v>1873</v>
      </c>
      <c r="S317" s="72" t="s">
        <v>1875</v>
      </c>
      <c r="T317" s="272">
        <v>94</v>
      </c>
      <c r="U317" s="273">
        <v>86</v>
      </c>
      <c r="V317" s="273">
        <v>0</v>
      </c>
      <c r="W317" s="267" t="s">
        <v>2702</v>
      </c>
      <c r="X317" s="267" t="s">
        <v>2701</v>
      </c>
      <c r="Y317" s="268">
        <v>180</v>
      </c>
      <c r="Z317" s="272">
        <v>0</v>
      </c>
      <c r="AA317" s="273">
        <v>0</v>
      </c>
      <c r="AB317" s="273">
        <v>0</v>
      </c>
      <c r="AC317" s="267"/>
      <c r="AD317" s="267"/>
      <c r="AE317" s="268">
        <v>0</v>
      </c>
      <c r="AF317" s="269">
        <v>180</v>
      </c>
      <c r="AG317" s="69" t="s">
        <v>199</v>
      </c>
      <c r="AH317" s="150"/>
    </row>
    <row r="318" spans="1:34" s="80" customFormat="1" ht="12" customHeight="1">
      <c r="A318" s="66">
        <v>2116</v>
      </c>
      <c r="B318" s="67" t="s">
        <v>2701</v>
      </c>
      <c r="C318" s="67" t="s">
        <v>2701</v>
      </c>
      <c r="D318" s="67" t="s">
        <v>2703</v>
      </c>
      <c r="E318" s="66">
        <v>2</v>
      </c>
      <c r="F318" s="68">
        <v>6</v>
      </c>
      <c r="G318" s="69">
        <v>316</v>
      </c>
      <c r="H318" s="37" t="s">
        <v>1879</v>
      </c>
      <c r="I318" s="37" t="s">
        <v>1879</v>
      </c>
      <c r="J318" s="70">
        <v>10500100163501</v>
      </c>
      <c r="K318" s="38" t="s">
        <v>148</v>
      </c>
      <c r="L318" s="38" t="s">
        <v>120</v>
      </c>
      <c r="M318" s="38">
        <v>16</v>
      </c>
      <c r="N318" s="37" t="s">
        <v>1250</v>
      </c>
      <c r="O318" s="37" t="s">
        <v>1880</v>
      </c>
      <c r="P318" s="37">
        <v>3433187</v>
      </c>
      <c r="Q318" s="37" t="s">
        <v>1881</v>
      </c>
      <c r="R318" s="37" t="s">
        <v>1882</v>
      </c>
      <c r="S318" s="72" t="s">
        <v>1883</v>
      </c>
      <c r="T318" s="272">
        <v>0</v>
      </c>
      <c r="U318" s="273">
        <v>0</v>
      </c>
      <c r="V318" s="273">
        <v>252</v>
      </c>
      <c r="W318" s="267" t="s">
        <v>2702</v>
      </c>
      <c r="X318" s="267" t="s">
        <v>2701</v>
      </c>
      <c r="Y318" s="268">
        <v>252</v>
      </c>
      <c r="Z318" s="272">
        <v>0</v>
      </c>
      <c r="AA318" s="273">
        <v>188</v>
      </c>
      <c r="AB318" s="273">
        <v>30</v>
      </c>
      <c r="AC318" s="267" t="s">
        <v>2700</v>
      </c>
      <c r="AD318" s="267" t="s">
        <v>2701</v>
      </c>
      <c r="AE318" s="268">
        <v>218</v>
      </c>
      <c r="AF318" s="269">
        <v>470</v>
      </c>
      <c r="AG318" s="69"/>
      <c r="AH318" s="308"/>
    </row>
    <row r="319" spans="1:34" s="80" customFormat="1" ht="12" customHeight="1">
      <c r="A319" s="66">
        <v>2117</v>
      </c>
      <c r="B319" s="67" t="s">
        <v>2701</v>
      </c>
      <c r="C319" s="67" t="s">
        <v>2701</v>
      </c>
      <c r="D319" s="67" t="s">
        <v>2703</v>
      </c>
      <c r="E319" s="66">
        <v>2</v>
      </c>
      <c r="F319" s="68">
        <v>6</v>
      </c>
      <c r="G319" s="69">
        <v>317</v>
      </c>
      <c r="H319" s="37" t="s">
        <v>1884</v>
      </c>
      <c r="I319" s="37" t="s">
        <v>1884</v>
      </c>
      <c r="J319" s="70">
        <v>10500100345001</v>
      </c>
      <c r="K319" s="38" t="s">
        <v>148</v>
      </c>
      <c r="L319" s="79"/>
      <c r="M319" s="38">
        <v>16</v>
      </c>
      <c r="N319" s="37" t="s">
        <v>1250</v>
      </c>
      <c r="O319" s="37" t="s">
        <v>1885</v>
      </c>
      <c r="P319" s="37" t="s">
        <v>1886</v>
      </c>
      <c r="Q319" s="37" t="s">
        <v>1887</v>
      </c>
      <c r="R319" s="37" t="s">
        <v>1888</v>
      </c>
      <c r="S319" s="72" t="s">
        <v>1889</v>
      </c>
      <c r="T319" s="272">
        <v>40</v>
      </c>
      <c r="U319" s="273">
        <v>50</v>
      </c>
      <c r="V319" s="273">
        <v>0</v>
      </c>
      <c r="W319" s="267" t="s">
        <v>2702</v>
      </c>
      <c r="X319" s="267" t="s">
        <v>2701</v>
      </c>
      <c r="Y319" s="268">
        <v>90</v>
      </c>
      <c r="Z319" s="272">
        <v>340</v>
      </c>
      <c r="AA319" s="273">
        <v>150</v>
      </c>
      <c r="AB319" s="273">
        <v>0</v>
      </c>
      <c r="AC319" s="267" t="s">
        <v>2700</v>
      </c>
      <c r="AD319" s="267" t="s">
        <v>2701</v>
      </c>
      <c r="AE319" s="268">
        <v>490</v>
      </c>
      <c r="AF319" s="269">
        <v>580</v>
      </c>
      <c r="AG319" s="69" t="s">
        <v>199</v>
      </c>
      <c r="AH319" s="150"/>
    </row>
    <row r="320" spans="1:34" s="80" customFormat="1" ht="12" customHeight="1">
      <c r="A320" s="66">
        <v>2118</v>
      </c>
      <c r="B320" s="67" t="s">
        <v>2701</v>
      </c>
      <c r="C320" s="67" t="s">
        <v>2701</v>
      </c>
      <c r="D320" s="67" t="s">
        <v>2702</v>
      </c>
      <c r="E320" s="66">
        <v>2</v>
      </c>
      <c r="F320" s="68">
        <v>6</v>
      </c>
      <c r="G320" s="69">
        <v>318</v>
      </c>
      <c r="H320" s="37" t="s">
        <v>1890</v>
      </c>
      <c r="I320" s="37" t="s">
        <v>1890</v>
      </c>
      <c r="J320" s="70">
        <v>10500100312301</v>
      </c>
      <c r="K320" s="38" t="s">
        <v>148</v>
      </c>
      <c r="L320" s="38" t="s">
        <v>120</v>
      </c>
      <c r="M320" s="38">
        <v>16</v>
      </c>
      <c r="N320" s="37" t="s">
        <v>1891</v>
      </c>
      <c r="O320" s="37" t="s">
        <v>1892</v>
      </c>
      <c r="P320" s="37" t="s">
        <v>1893</v>
      </c>
      <c r="Q320" s="37" t="s">
        <v>1894</v>
      </c>
      <c r="R320" s="37" t="s">
        <v>1895</v>
      </c>
      <c r="S320" s="72" t="s">
        <v>1896</v>
      </c>
      <c r="T320" s="272">
        <v>116</v>
      </c>
      <c r="U320" s="273">
        <v>69</v>
      </c>
      <c r="V320" s="273">
        <v>0</v>
      </c>
      <c r="W320" s="267" t="s">
        <v>2702</v>
      </c>
      <c r="X320" s="267" t="s">
        <v>2701</v>
      </c>
      <c r="Y320" s="268">
        <v>185</v>
      </c>
      <c r="Z320" s="272">
        <v>0</v>
      </c>
      <c r="AA320" s="273">
        <v>0</v>
      </c>
      <c r="AB320" s="273">
        <v>0</v>
      </c>
      <c r="AC320" s="267"/>
      <c r="AD320" s="267"/>
      <c r="AE320" s="268">
        <v>0</v>
      </c>
      <c r="AF320" s="269">
        <v>185</v>
      </c>
      <c r="AG320" s="78"/>
      <c r="AH320" s="79"/>
    </row>
    <row r="321" spans="1:34" s="80" customFormat="1" ht="12" customHeight="1">
      <c r="A321" s="66">
        <v>2119</v>
      </c>
      <c r="B321" s="67" t="s">
        <v>2701</v>
      </c>
      <c r="C321" s="67" t="s">
        <v>2701</v>
      </c>
      <c r="D321" s="67" t="s">
        <v>2702</v>
      </c>
      <c r="E321" s="66">
        <v>2</v>
      </c>
      <c r="F321" s="68">
        <v>6</v>
      </c>
      <c r="G321" s="69">
        <v>319</v>
      </c>
      <c r="H321" s="37" t="s">
        <v>1897</v>
      </c>
      <c r="I321" s="37" t="s">
        <v>1897</v>
      </c>
      <c r="J321" s="70">
        <v>10500101210601</v>
      </c>
      <c r="K321" s="38" t="s">
        <v>148</v>
      </c>
      <c r="L321" s="38" t="s">
        <v>120</v>
      </c>
      <c r="M321" s="38">
        <v>16</v>
      </c>
      <c r="N321" s="37" t="s">
        <v>1898</v>
      </c>
      <c r="O321" s="37" t="s">
        <v>1899</v>
      </c>
      <c r="P321" s="37" t="s">
        <v>1900</v>
      </c>
      <c r="Q321" s="37" t="s">
        <v>1901</v>
      </c>
      <c r="R321" s="196" t="s">
        <v>1902</v>
      </c>
      <c r="S321" s="198" t="s">
        <v>1903</v>
      </c>
      <c r="T321" s="272">
        <v>100</v>
      </c>
      <c r="U321" s="273">
        <v>50</v>
      </c>
      <c r="V321" s="273">
        <v>50</v>
      </c>
      <c r="W321" s="267" t="s">
        <v>2702</v>
      </c>
      <c r="X321" s="267" t="s">
        <v>2701</v>
      </c>
      <c r="Y321" s="268">
        <v>200</v>
      </c>
      <c r="Z321" s="272">
        <v>0</v>
      </c>
      <c r="AA321" s="273">
        <v>0</v>
      </c>
      <c r="AB321" s="273">
        <v>0</v>
      </c>
      <c r="AC321" s="267"/>
      <c r="AD321" s="267"/>
      <c r="AE321" s="268">
        <v>0</v>
      </c>
      <c r="AF321" s="269">
        <v>200</v>
      </c>
      <c r="AG321" s="78"/>
      <c r="AH321" s="79"/>
    </row>
    <row r="322" spans="1:34" s="80" customFormat="1" ht="12" customHeight="1">
      <c r="A322" s="66">
        <v>2120</v>
      </c>
      <c r="B322" s="67" t="s">
        <v>2701</v>
      </c>
      <c r="C322" s="67" t="s">
        <v>2701</v>
      </c>
      <c r="D322" s="67" t="s">
        <v>2703</v>
      </c>
      <c r="E322" s="66">
        <v>2</v>
      </c>
      <c r="F322" s="68">
        <v>6</v>
      </c>
      <c r="G322" s="69">
        <v>320</v>
      </c>
      <c r="H322" s="37" t="s">
        <v>1904</v>
      </c>
      <c r="I322" s="37" t="s">
        <v>1904</v>
      </c>
      <c r="J322" s="70">
        <v>10500102576301</v>
      </c>
      <c r="K322" s="38" t="s">
        <v>148</v>
      </c>
      <c r="L322" s="38" t="s">
        <v>120</v>
      </c>
      <c r="M322" s="38">
        <v>70</v>
      </c>
      <c r="N322" s="37" t="s">
        <v>1845</v>
      </c>
      <c r="O322" s="37" t="s">
        <v>1905</v>
      </c>
      <c r="P322" s="196" t="s">
        <v>1906</v>
      </c>
      <c r="Q322" s="37" t="s">
        <v>1907</v>
      </c>
      <c r="R322" s="196" t="s">
        <v>1908</v>
      </c>
      <c r="S322" s="198" t="s">
        <v>1909</v>
      </c>
      <c r="T322" s="272">
        <v>97</v>
      </c>
      <c r="U322" s="273">
        <v>203</v>
      </c>
      <c r="V322" s="273">
        <v>120</v>
      </c>
      <c r="W322" s="267" t="s">
        <v>2702</v>
      </c>
      <c r="X322" s="267" t="s">
        <v>2701</v>
      </c>
      <c r="Y322" s="268">
        <v>420</v>
      </c>
      <c r="Z322" s="272">
        <v>69</v>
      </c>
      <c r="AA322" s="273">
        <v>261</v>
      </c>
      <c r="AB322" s="273">
        <v>0</v>
      </c>
      <c r="AC322" s="267" t="s">
        <v>2700</v>
      </c>
      <c r="AD322" s="267" t="s">
        <v>2701</v>
      </c>
      <c r="AE322" s="268">
        <v>330</v>
      </c>
      <c r="AF322" s="269">
        <v>750</v>
      </c>
      <c r="AG322" s="78"/>
      <c r="AH322" s="79"/>
    </row>
    <row r="323" spans="1:34" s="80" customFormat="1" ht="12" customHeight="1">
      <c r="A323" s="66">
        <v>2121</v>
      </c>
      <c r="B323" s="67" t="s">
        <v>2701</v>
      </c>
      <c r="C323" s="67" t="s">
        <v>2701</v>
      </c>
      <c r="D323" s="67" t="s">
        <v>2703</v>
      </c>
      <c r="E323" s="66">
        <v>2</v>
      </c>
      <c r="F323" s="68">
        <v>6</v>
      </c>
      <c r="G323" s="69">
        <v>321</v>
      </c>
      <c r="H323" s="37" t="s">
        <v>1910</v>
      </c>
      <c r="I323" s="37" t="s">
        <v>1910</v>
      </c>
      <c r="J323" s="70">
        <v>10500101160601</v>
      </c>
      <c r="K323" s="38" t="s">
        <v>148</v>
      </c>
      <c r="L323" s="38" t="s">
        <v>120</v>
      </c>
      <c r="M323" s="38">
        <v>70</v>
      </c>
      <c r="N323" s="37" t="s">
        <v>1911</v>
      </c>
      <c r="O323" s="37" t="s">
        <v>1912</v>
      </c>
      <c r="P323" s="196" t="s">
        <v>1913</v>
      </c>
      <c r="Q323" s="196" t="s">
        <v>1914</v>
      </c>
      <c r="R323" s="196" t="s">
        <v>1915</v>
      </c>
      <c r="S323" s="198" t="s">
        <v>1916</v>
      </c>
      <c r="T323" s="272">
        <v>150</v>
      </c>
      <c r="U323" s="273">
        <v>200</v>
      </c>
      <c r="V323" s="273">
        <v>100</v>
      </c>
      <c r="W323" s="267" t="s">
        <v>2702</v>
      </c>
      <c r="X323" s="267" t="s">
        <v>2701</v>
      </c>
      <c r="Y323" s="268">
        <v>450</v>
      </c>
      <c r="Z323" s="272">
        <v>57</v>
      </c>
      <c r="AA323" s="273">
        <v>220</v>
      </c>
      <c r="AB323" s="273">
        <v>173</v>
      </c>
      <c r="AC323" s="267" t="s">
        <v>2700</v>
      </c>
      <c r="AD323" s="267" t="s">
        <v>2701</v>
      </c>
      <c r="AE323" s="268">
        <v>450</v>
      </c>
      <c r="AF323" s="269">
        <v>900</v>
      </c>
      <c r="AG323" s="78"/>
      <c r="AH323" s="79"/>
    </row>
    <row r="324" spans="1:34" s="80" customFormat="1" ht="12" customHeight="1">
      <c r="A324" s="66">
        <v>2122</v>
      </c>
      <c r="B324" s="67" t="s">
        <v>2701</v>
      </c>
      <c r="C324" s="67" t="s">
        <v>2701</v>
      </c>
      <c r="D324" s="67" t="s">
        <v>2702</v>
      </c>
      <c r="E324" s="66">
        <v>2</v>
      </c>
      <c r="F324" s="68">
        <v>6</v>
      </c>
      <c r="G324" s="69">
        <v>322</v>
      </c>
      <c r="H324" s="37" t="s">
        <v>1917</v>
      </c>
      <c r="I324" s="37" t="s">
        <v>1917</v>
      </c>
      <c r="J324" s="70">
        <v>10500101160602</v>
      </c>
      <c r="K324" s="38" t="s">
        <v>148</v>
      </c>
      <c r="L324" s="38" t="s">
        <v>120</v>
      </c>
      <c r="M324" s="38">
        <v>70</v>
      </c>
      <c r="N324" s="37" t="s">
        <v>1918</v>
      </c>
      <c r="O324" s="37" t="s">
        <v>1919</v>
      </c>
      <c r="P324" s="196" t="s">
        <v>1920</v>
      </c>
      <c r="Q324" s="196" t="s">
        <v>1921</v>
      </c>
      <c r="R324" s="196" t="s">
        <v>1922</v>
      </c>
      <c r="S324" s="198" t="s">
        <v>1923</v>
      </c>
      <c r="T324" s="272">
        <v>120</v>
      </c>
      <c r="U324" s="273">
        <v>40</v>
      </c>
      <c r="V324" s="273">
        <v>0</v>
      </c>
      <c r="W324" s="267" t="s">
        <v>2702</v>
      </c>
      <c r="X324" s="267" t="s">
        <v>2701</v>
      </c>
      <c r="Y324" s="268">
        <v>160</v>
      </c>
      <c r="Z324" s="272">
        <v>0</v>
      </c>
      <c r="AA324" s="273">
        <v>0</v>
      </c>
      <c r="AB324" s="273">
        <v>0</v>
      </c>
      <c r="AC324" s="267"/>
      <c r="AD324" s="267"/>
      <c r="AE324" s="268">
        <v>0</v>
      </c>
      <c r="AF324" s="269">
        <v>160</v>
      </c>
      <c r="AG324" s="78"/>
      <c r="AH324" s="79"/>
    </row>
    <row r="325" spans="1:34" s="80" customFormat="1" ht="12" customHeight="1">
      <c r="A325" s="66">
        <v>2123</v>
      </c>
      <c r="B325" s="67" t="s">
        <v>2701</v>
      </c>
      <c r="C325" s="67" t="s">
        <v>2701</v>
      </c>
      <c r="D325" s="67" t="s">
        <v>2702</v>
      </c>
      <c r="E325" s="66">
        <v>2</v>
      </c>
      <c r="F325" s="68">
        <v>6</v>
      </c>
      <c r="G325" s="69">
        <v>323</v>
      </c>
      <c r="H325" s="309" t="s">
        <v>1924</v>
      </c>
      <c r="I325" s="37" t="s">
        <v>1924</v>
      </c>
      <c r="J325" s="70">
        <v>20500100652601</v>
      </c>
      <c r="K325" s="38" t="s">
        <v>148</v>
      </c>
      <c r="L325" s="310"/>
      <c r="M325" s="38">
        <v>70</v>
      </c>
      <c r="N325" s="37" t="s">
        <v>1918</v>
      </c>
      <c r="O325" s="37" t="s">
        <v>1925</v>
      </c>
      <c r="P325" s="196" t="s">
        <v>1926</v>
      </c>
      <c r="Q325" s="196" t="s">
        <v>1927</v>
      </c>
      <c r="R325" s="196" t="s">
        <v>1928</v>
      </c>
      <c r="S325" s="198" t="s">
        <v>1929</v>
      </c>
      <c r="T325" s="272">
        <v>63</v>
      </c>
      <c r="U325" s="273">
        <v>120</v>
      </c>
      <c r="V325" s="273">
        <v>23</v>
      </c>
      <c r="W325" s="267" t="s">
        <v>2702</v>
      </c>
      <c r="X325" s="267" t="s">
        <v>2701</v>
      </c>
      <c r="Y325" s="268">
        <v>206</v>
      </c>
      <c r="Z325" s="272">
        <v>0</v>
      </c>
      <c r="AA325" s="273">
        <v>0</v>
      </c>
      <c r="AB325" s="273">
        <v>0</v>
      </c>
      <c r="AC325" s="267"/>
      <c r="AD325" s="267"/>
      <c r="AE325" s="268">
        <v>0</v>
      </c>
      <c r="AF325" s="269">
        <v>206</v>
      </c>
      <c r="AG325" s="78"/>
      <c r="AH325" s="79"/>
    </row>
    <row r="326" spans="1:34" s="80" customFormat="1" ht="12" customHeight="1">
      <c r="A326" s="66">
        <v>2124</v>
      </c>
      <c r="B326" s="67" t="s">
        <v>2701</v>
      </c>
      <c r="C326" s="67" t="s">
        <v>2701</v>
      </c>
      <c r="D326" s="67" t="s">
        <v>2702</v>
      </c>
      <c r="E326" s="66">
        <v>2</v>
      </c>
      <c r="F326" s="68">
        <v>6</v>
      </c>
      <c r="G326" s="69">
        <v>324</v>
      </c>
      <c r="H326" s="37" t="s">
        <v>1930</v>
      </c>
      <c r="I326" s="37" t="s">
        <v>1930</v>
      </c>
      <c r="J326" s="70">
        <v>20500100652602</v>
      </c>
      <c r="K326" s="38" t="s">
        <v>148</v>
      </c>
      <c r="L326" s="79"/>
      <c r="M326" s="38">
        <v>70</v>
      </c>
      <c r="N326" s="37" t="s">
        <v>1931</v>
      </c>
      <c r="O326" s="37" t="s">
        <v>1925</v>
      </c>
      <c r="P326" s="196" t="s">
        <v>1932</v>
      </c>
      <c r="Q326" s="196" t="s">
        <v>1927</v>
      </c>
      <c r="R326" s="196" t="s">
        <v>1933</v>
      </c>
      <c r="S326" s="198" t="s">
        <v>1934</v>
      </c>
      <c r="T326" s="272">
        <v>24</v>
      </c>
      <c r="U326" s="273">
        <v>16</v>
      </c>
      <c r="V326" s="273">
        <v>0</v>
      </c>
      <c r="W326" s="267" t="s">
        <v>2702</v>
      </c>
      <c r="X326" s="267" t="s">
        <v>2701</v>
      </c>
      <c r="Y326" s="268">
        <v>40</v>
      </c>
      <c r="Z326" s="272">
        <v>0</v>
      </c>
      <c r="AA326" s="273">
        <v>0</v>
      </c>
      <c r="AB326" s="273">
        <v>0</v>
      </c>
      <c r="AC326" s="267"/>
      <c r="AD326" s="267"/>
      <c r="AE326" s="268">
        <v>0</v>
      </c>
      <c r="AF326" s="269">
        <v>40</v>
      </c>
      <c r="AG326" s="78"/>
      <c r="AH326" s="79"/>
    </row>
    <row r="327" spans="1:34" s="80" customFormat="1" ht="12" customHeight="1">
      <c r="A327" s="66">
        <v>2125</v>
      </c>
      <c r="B327" s="67" t="s">
        <v>2701</v>
      </c>
      <c r="C327" s="67" t="s">
        <v>2701</v>
      </c>
      <c r="D327" s="67" t="s">
        <v>2702</v>
      </c>
      <c r="E327" s="66">
        <v>2</v>
      </c>
      <c r="F327" s="68">
        <v>6</v>
      </c>
      <c r="G327" s="69">
        <v>325</v>
      </c>
      <c r="H327" s="37" t="s">
        <v>1935</v>
      </c>
      <c r="I327" s="37" t="s">
        <v>1935</v>
      </c>
      <c r="J327" s="70">
        <v>20500100991601</v>
      </c>
      <c r="K327" s="38" t="s">
        <v>148</v>
      </c>
      <c r="L327" s="79"/>
      <c r="M327" s="38">
        <v>70</v>
      </c>
      <c r="N327" s="37" t="s">
        <v>1936</v>
      </c>
      <c r="O327" s="37" t="s">
        <v>1937</v>
      </c>
      <c r="P327" s="196" t="s">
        <v>1938</v>
      </c>
      <c r="Q327" s="196" t="s">
        <v>1939</v>
      </c>
      <c r="R327" s="196" t="s">
        <v>1940</v>
      </c>
      <c r="S327" s="198" t="s">
        <v>1941</v>
      </c>
      <c r="T327" s="272">
        <v>110</v>
      </c>
      <c r="U327" s="273">
        <v>60</v>
      </c>
      <c r="V327" s="273">
        <v>0</v>
      </c>
      <c r="W327" s="267" t="s">
        <v>2702</v>
      </c>
      <c r="X327" s="267" t="s">
        <v>2701</v>
      </c>
      <c r="Y327" s="268">
        <v>170</v>
      </c>
      <c r="Z327" s="272">
        <v>0</v>
      </c>
      <c r="AA327" s="273">
        <v>0</v>
      </c>
      <c r="AB327" s="273">
        <v>0</v>
      </c>
      <c r="AC327" s="267"/>
      <c r="AD327" s="267"/>
      <c r="AE327" s="268">
        <v>0</v>
      </c>
      <c r="AF327" s="269">
        <v>170</v>
      </c>
      <c r="AG327" s="78"/>
      <c r="AH327" s="79"/>
    </row>
    <row r="328" spans="1:34" s="80" customFormat="1" ht="12" customHeight="1">
      <c r="A328" s="66">
        <v>2126</v>
      </c>
      <c r="B328" s="67" t="s">
        <v>2701</v>
      </c>
      <c r="C328" s="67" t="s">
        <v>2701</v>
      </c>
      <c r="D328" s="67" t="s">
        <v>2702</v>
      </c>
      <c r="E328" s="66">
        <v>2</v>
      </c>
      <c r="F328" s="68">
        <v>6</v>
      </c>
      <c r="G328" s="69">
        <v>326</v>
      </c>
      <c r="H328" s="37" t="s">
        <v>1942</v>
      </c>
      <c r="I328" s="37" t="s">
        <v>1942</v>
      </c>
      <c r="J328" s="70">
        <v>10500102660301</v>
      </c>
      <c r="K328" s="38" t="s">
        <v>148</v>
      </c>
      <c r="L328" s="38" t="s">
        <v>120</v>
      </c>
      <c r="M328" s="38">
        <v>70</v>
      </c>
      <c r="N328" s="37" t="s">
        <v>1943</v>
      </c>
      <c r="O328" s="37" t="s">
        <v>1925</v>
      </c>
      <c r="P328" s="196" t="s">
        <v>1944</v>
      </c>
      <c r="Q328" s="196" t="s">
        <v>1945</v>
      </c>
      <c r="R328" s="196" t="s">
        <v>1946</v>
      </c>
      <c r="S328" s="198" t="s">
        <v>1947</v>
      </c>
      <c r="T328" s="272">
        <v>110</v>
      </c>
      <c r="U328" s="273">
        <v>179</v>
      </c>
      <c r="V328" s="273">
        <v>81</v>
      </c>
      <c r="W328" s="267" t="s">
        <v>2702</v>
      </c>
      <c r="X328" s="267" t="s">
        <v>2701</v>
      </c>
      <c r="Y328" s="268">
        <v>370</v>
      </c>
      <c r="Z328" s="272">
        <v>0</v>
      </c>
      <c r="AA328" s="273">
        <v>0</v>
      </c>
      <c r="AB328" s="273">
        <v>0</v>
      </c>
      <c r="AC328" s="267"/>
      <c r="AD328" s="267"/>
      <c r="AE328" s="268">
        <v>0</v>
      </c>
      <c r="AF328" s="269">
        <v>370</v>
      </c>
      <c r="AG328" s="78"/>
      <c r="AH328" s="79"/>
    </row>
    <row r="329" spans="1:34" s="80" customFormat="1" ht="12" customHeight="1">
      <c r="A329" s="66">
        <v>2127</v>
      </c>
      <c r="B329" s="67" t="s">
        <v>2701</v>
      </c>
      <c r="C329" s="67" t="s">
        <v>2701</v>
      </c>
      <c r="D329" s="67" t="s">
        <v>2702</v>
      </c>
      <c r="E329" s="66">
        <v>2</v>
      </c>
      <c r="F329" s="68">
        <v>6</v>
      </c>
      <c r="G329" s="69">
        <v>327</v>
      </c>
      <c r="H329" s="37" t="s">
        <v>1948</v>
      </c>
      <c r="I329" s="37" t="s">
        <v>1948</v>
      </c>
      <c r="J329" s="70">
        <v>20500100991603</v>
      </c>
      <c r="K329" s="38" t="s">
        <v>148</v>
      </c>
      <c r="L329" s="79"/>
      <c r="M329" s="38">
        <v>70</v>
      </c>
      <c r="N329" s="37" t="s">
        <v>1949</v>
      </c>
      <c r="O329" s="37" t="s">
        <v>1925</v>
      </c>
      <c r="P329" s="196" t="s">
        <v>1950</v>
      </c>
      <c r="Q329" s="196" t="s">
        <v>1939</v>
      </c>
      <c r="R329" s="196" t="s">
        <v>1951</v>
      </c>
      <c r="S329" s="197" t="s">
        <v>1952</v>
      </c>
      <c r="T329" s="272">
        <v>13</v>
      </c>
      <c r="U329" s="273">
        <v>13</v>
      </c>
      <c r="V329" s="273">
        <v>0</v>
      </c>
      <c r="W329" s="267" t="s">
        <v>2702</v>
      </c>
      <c r="X329" s="267" t="s">
        <v>2701</v>
      </c>
      <c r="Y329" s="268">
        <v>26</v>
      </c>
      <c r="Z329" s="272">
        <v>0</v>
      </c>
      <c r="AA329" s="273">
        <v>0</v>
      </c>
      <c r="AB329" s="273">
        <v>0</v>
      </c>
      <c r="AC329" s="267"/>
      <c r="AD329" s="267"/>
      <c r="AE329" s="268">
        <v>0</v>
      </c>
      <c r="AF329" s="269">
        <v>26</v>
      </c>
      <c r="AG329" s="78"/>
      <c r="AH329" s="79"/>
    </row>
    <row r="330" spans="1:34" s="80" customFormat="1" ht="12" customHeight="1">
      <c r="A330" s="66">
        <v>2128</v>
      </c>
      <c r="B330" s="67" t="s">
        <v>2701</v>
      </c>
      <c r="C330" s="67" t="s">
        <v>2701</v>
      </c>
      <c r="D330" s="67" t="s">
        <v>2702</v>
      </c>
      <c r="E330" s="66">
        <v>2</v>
      </c>
      <c r="F330" s="68">
        <v>6</v>
      </c>
      <c r="G330" s="69">
        <v>328</v>
      </c>
      <c r="H330" s="37" t="s">
        <v>1953</v>
      </c>
      <c r="I330" s="37" t="s">
        <v>1953</v>
      </c>
      <c r="J330" s="70">
        <v>20500100276802</v>
      </c>
      <c r="K330" s="38" t="s">
        <v>148</v>
      </c>
      <c r="L330" s="79"/>
      <c r="M330" s="38">
        <v>80</v>
      </c>
      <c r="N330" s="37" t="s">
        <v>1954</v>
      </c>
      <c r="O330" s="37" t="s">
        <v>1955</v>
      </c>
      <c r="P330" s="37">
        <v>3224346</v>
      </c>
      <c r="Q330" s="37" t="s">
        <v>1956</v>
      </c>
      <c r="R330" s="37" t="s">
        <v>1957</v>
      </c>
      <c r="S330" s="72" t="s">
        <v>1958</v>
      </c>
      <c r="T330" s="272">
        <v>32</v>
      </c>
      <c r="U330" s="273">
        <v>16</v>
      </c>
      <c r="V330" s="273">
        <v>0</v>
      </c>
      <c r="W330" s="267" t="s">
        <v>2702</v>
      </c>
      <c r="X330" s="267" t="s">
        <v>2701</v>
      </c>
      <c r="Y330" s="268">
        <v>48</v>
      </c>
      <c r="Z330" s="272">
        <v>0</v>
      </c>
      <c r="AA330" s="273">
        <v>0</v>
      </c>
      <c r="AB330" s="273">
        <v>0</v>
      </c>
      <c r="AC330" s="267"/>
      <c r="AD330" s="267"/>
      <c r="AE330" s="268">
        <v>0</v>
      </c>
      <c r="AF330" s="269">
        <v>48</v>
      </c>
      <c r="AG330" s="78"/>
      <c r="AH330" s="79"/>
    </row>
    <row r="331" spans="1:34" s="80" customFormat="1" ht="12" customHeight="1">
      <c r="A331" s="66">
        <v>2129</v>
      </c>
      <c r="B331" s="67" t="s">
        <v>2701</v>
      </c>
      <c r="C331" s="67" t="s">
        <v>2701</v>
      </c>
      <c r="D331" s="67" t="s">
        <v>2702</v>
      </c>
      <c r="E331" s="66">
        <v>2</v>
      </c>
      <c r="F331" s="68">
        <v>6</v>
      </c>
      <c r="G331" s="69">
        <v>329</v>
      </c>
      <c r="H331" s="37" t="s">
        <v>1959</v>
      </c>
      <c r="I331" s="37" t="s">
        <v>1959</v>
      </c>
      <c r="J331" s="70">
        <v>20500100276806</v>
      </c>
      <c r="K331" s="38" t="s">
        <v>148</v>
      </c>
      <c r="L331" s="79"/>
      <c r="M331" s="38">
        <v>80</v>
      </c>
      <c r="N331" s="37" t="s">
        <v>1960</v>
      </c>
      <c r="O331" s="37" t="s">
        <v>1955</v>
      </c>
      <c r="P331" s="37">
        <v>3028518</v>
      </c>
      <c r="Q331" s="37" t="s">
        <v>1956</v>
      </c>
      <c r="R331" s="37" t="s">
        <v>1961</v>
      </c>
      <c r="S331" s="72" t="s">
        <v>1962</v>
      </c>
      <c r="T331" s="272">
        <v>22</v>
      </c>
      <c r="U331" s="273">
        <v>10</v>
      </c>
      <c r="V331" s="273">
        <v>0</v>
      </c>
      <c r="W331" s="267" t="s">
        <v>2702</v>
      </c>
      <c r="X331" s="267" t="s">
        <v>2701</v>
      </c>
      <c r="Y331" s="268">
        <v>32</v>
      </c>
      <c r="Z331" s="272">
        <v>0</v>
      </c>
      <c r="AA331" s="273">
        <v>0</v>
      </c>
      <c r="AB331" s="273">
        <v>0</v>
      </c>
      <c r="AC331" s="267"/>
      <c r="AD331" s="267"/>
      <c r="AE331" s="268">
        <v>0</v>
      </c>
      <c r="AF331" s="269">
        <v>32</v>
      </c>
      <c r="AG331" s="78"/>
      <c r="AH331" s="79"/>
    </row>
    <row r="332" spans="1:34" s="80" customFormat="1" ht="12" customHeight="1">
      <c r="A332" s="66">
        <v>2130</v>
      </c>
      <c r="B332" s="67" t="s">
        <v>2701</v>
      </c>
      <c r="C332" s="67" t="s">
        <v>2701</v>
      </c>
      <c r="D332" s="67" t="s">
        <v>2703</v>
      </c>
      <c r="E332" s="66">
        <v>2</v>
      </c>
      <c r="F332" s="68">
        <v>6</v>
      </c>
      <c r="G332" s="69">
        <v>330</v>
      </c>
      <c r="H332" s="37" t="s">
        <v>1963</v>
      </c>
      <c r="I332" s="37" t="s">
        <v>1963</v>
      </c>
      <c r="J332" s="70">
        <v>20500101253403</v>
      </c>
      <c r="K332" s="38" t="s">
        <v>148</v>
      </c>
      <c r="L332" s="79"/>
      <c r="M332" s="38">
        <v>80</v>
      </c>
      <c r="N332" s="37" t="s">
        <v>1964</v>
      </c>
      <c r="O332" s="37" t="s">
        <v>1965</v>
      </c>
      <c r="P332" s="37">
        <v>2860139</v>
      </c>
      <c r="Q332" s="37" t="s">
        <v>1966</v>
      </c>
      <c r="R332" s="37" t="s">
        <v>1967</v>
      </c>
      <c r="S332" s="72" t="s">
        <v>1968</v>
      </c>
      <c r="T332" s="272">
        <v>100</v>
      </c>
      <c r="U332" s="273">
        <v>70</v>
      </c>
      <c r="V332" s="273">
        <v>0</v>
      </c>
      <c r="W332" s="267" t="s">
        <v>2702</v>
      </c>
      <c r="X332" s="267" t="s">
        <v>2701</v>
      </c>
      <c r="Y332" s="268">
        <v>170</v>
      </c>
      <c r="Z332" s="272">
        <v>358</v>
      </c>
      <c r="AA332" s="273">
        <v>102</v>
      </c>
      <c r="AB332" s="273">
        <v>0</v>
      </c>
      <c r="AC332" s="267" t="s">
        <v>2700</v>
      </c>
      <c r="AD332" s="267" t="s">
        <v>2701</v>
      </c>
      <c r="AE332" s="268">
        <v>460</v>
      </c>
      <c r="AF332" s="269">
        <v>630</v>
      </c>
      <c r="AG332" s="78"/>
      <c r="AH332" s="79"/>
    </row>
    <row r="333" spans="1:34" s="80" customFormat="1" ht="12" customHeight="1">
      <c r="A333" s="66">
        <v>2131</v>
      </c>
      <c r="B333" s="67" t="s">
        <v>2701</v>
      </c>
      <c r="C333" s="67" t="s">
        <v>2701</v>
      </c>
      <c r="D333" s="67" t="s">
        <v>2702</v>
      </c>
      <c r="E333" s="66">
        <v>2</v>
      </c>
      <c r="F333" s="68">
        <v>6</v>
      </c>
      <c r="G333" s="69">
        <v>331</v>
      </c>
      <c r="H333" s="37" t="s">
        <v>1969</v>
      </c>
      <c r="I333" s="37" t="s">
        <v>1969</v>
      </c>
      <c r="J333" s="70">
        <v>20500100276805</v>
      </c>
      <c r="K333" s="38" t="s">
        <v>148</v>
      </c>
      <c r="L333" s="79"/>
      <c r="M333" s="38">
        <v>80</v>
      </c>
      <c r="N333" s="37" t="s">
        <v>1970</v>
      </c>
      <c r="O333" s="37" t="s">
        <v>1971</v>
      </c>
      <c r="P333" s="37">
        <v>2863725</v>
      </c>
      <c r="Q333" s="37" t="s">
        <v>1956</v>
      </c>
      <c r="R333" s="37" t="s">
        <v>1972</v>
      </c>
      <c r="S333" s="72" t="s">
        <v>1958</v>
      </c>
      <c r="T333" s="272">
        <v>25</v>
      </c>
      <c r="U333" s="273">
        <v>20</v>
      </c>
      <c r="V333" s="273">
        <v>0</v>
      </c>
      <c r="W333" s="267" t="s">
        <v>2702</v>
      </c>
      <c r="X333" s="267" t="s">
        <v>2701</v>
      </c>
      <c r="Y333" s="268">
        <v>45</v>
      </c>
      <c r="Z333" s="272">
        <v>0</v>
      </c>
      <c r="AA333" s="273">
        <v>0</v>
      </c>
      <c r="AB333" s="273">
        <v>0</v>
      </c>
      <c r="AC333" s="267"/>
      <c r="AD333" s="267"/>
      <c r="AE333" s="268">
        <v>0</v>
      </c>
      <c r="AF333" s="269">
        <v>45</v>
      </c>
      <c r="AG333" s="78"/>
      <c r="AH333" s="79"/>
    </row>
    <row r="334" spans="1:34" s="80" customFormat="1" ht="12" customHeight="1">
      <c r="A334" s="66">
        <v>2132</v>
      </c>
      <c r="B334" s="67" t="s">
        <v>2701</v>
      </c>
      <c r="C334" s="67" t="s">
        <v>2701</v>
      </c>
      <c r="D334" s="67" t="s">
        <v>2703</v>
      </c>
      <c r="E334" s="66">
        <v>2</v>
      </c>
      <c r="F334" s="68">
        <v>6</v>
      </c>
      <c r="G334" s="69">
        <v>332</v>
      </c>
      <c r="H334" s="37" t="s">
        <v>1973</v>
      </c>
      <c r="I334" s="37" t="s">
        <v>1973</v>
      </c>
      <c r="J334" s="70">
        <v>10500102579801</v>
      </c>
      <c r="K334" s="38" t="s">
        <v>148</v>
      </c>
      <c r="L334" s="38" t="s">
        <v>120</v>
      </c>
      <c r="M334" s="38">
        <v>80</v>
      </c>
      <c r="N334" s="37" t="s">
        <v>1974</v>
      </c>
      <c r="O334" s="37" t="s">
        <v>1975</v>
      </c>
      <c r="P334" s="37" t="s">
        <v>1976</v>
      </c>
      <c r="Q334" s="37" t="s">
        <v>1977</v>
      </c>
      <c r="R334" s="37" t="s">
        <v>1978</v>
      </c>
      <c r="S334" s="72" t="s">
        <v>1979</v>
      </c>
      <c r="T334" s="272">
        <v>132</v>
      </c>
      <c r="U334" s="273">
        <v>126</v>
      </c>
      <c r="V334" s="273">
        <v>117</v>
      </c>
      <c r="W334" s="267" t="s">
        <v>2702</v>
      </c>
      <c r="X334" s="267" t="s">
        <v>2701</v>
      </c>
      <c r="Y334" s="268">
        <v>375</v>
      </c>
      <c r="Z334" s="272">
        <v>86</v>
      </c>
      <c r="AA334" s="273">
        <v>404</v>
      </c>
      <c r="AB334" s="273">
        <v>110</v>
      </c>
      <c r="AC334" s="267" t="s">
        <v>2700</v>
      </c>
      <c r="AD334" s="267" t="s">
        <v>2701</v>
      </c>
      <c r="AE334" s="268">
        <v>600</v>
      </c>
      <c r="AF334" s="269">
        <v>975</v>
      </c>
      <c r="AG334" s="38"/>
      <c r="AH334" s="79"/>
    </row>
    <row r="335" spans="1:34" s="80" customFormat="1" ht="12" customHeight="1">
      <c r="A335" s="66">
        <v>2133</v>
      </c>
      <c r="B335" s="67" t="s">
        <v>2701</v>
      </c>
      <c r="C335" s="67" t="s">
        <v>2701</v>
      </c>
      <c r="D335" s="67" t="s">
        <v>2703</v>
      </c>
      <c r="E335" s="66">
        <v>2</v>
      </c>
      <c r="F335" s="68">
        <v>6</v>
      </c>
      <c r="G335" s="69">
        <v>333</v>
      </c>
      <c r="H335" s="37" t="s">
        <v>1980</v>
      </c>
      <c r="I335" s="37" t="s">
        <v>1980</v>
      </c>
      <c r="J335" s="70">
        <v>10500102579802</v>
      </c>
      <c r="K335" s="38" t="s">
        <v>148</v>
      </c>
      <c r="L335" s="38" t="s">
        <v>120</v>
      </c>
      <c r="M335" s="38">
        <v>80</v>
      </c>
      <c r="N335" s="37" t="s">
        <v>1981</v>
      </c>
      <c r="O335" s="37" t="s">
        <v>1982</v>
      </c>
      <c r="P335" s="37" t="s">
        <v>1983</v>
      </c>
      <c r="Q335" s="37" t="s">
        <v>1977</v>
      </c>
      <c r="R335" s="37" t="s">
        <v>1984</v>
      </c>
      <c r="S335" s="72" t="s">
        <v>1985</v>
      </c>
      <c r="T335" s="272">
        <v>149</v>
      </c>
      <c r="U335" s="273">
        <v>53</v>
      </c>
      <c r="V335" s="273">
        <v>0</v>
      </c>
      <c r="W335" s="267" t="s">
        <v>2702</v>
      </c>
      <c r="X335" s="267" t="s">
        <v>2701</v>
      </c>
      <c r="Y335" s="268">
        <v>202</v>
      </c>
      <c r="Z335" s="272">
        <v>88</v>
      </c>
      <c r="AA335" s="273">
        <v>91</v>
      </c>
      <c r="AB335" s="273">
        <v>0</v>
      </c>
      <c r="AC335" s="267" t="s">
        <v>2700</v>
      </c>
      <c r="AD335" s="267" t="s">
        <v>2701</v>
      </c>
      <c r="AE335" s="268">
        <v>179</v>
      </c>
      <c r="AF335" s="269">
        <v>381</v>
      </c>
      <c r="AG335" s="78"/>
      <c r="AH335" s="79"/>
    </row>
    <row r="336" spans="1:34" s="80" customFormat="1" ht="12" customHeight="1">
      <c r="A336" s="66">
        <v>2134</v>
      </c>
      <c r="B336" s="67" t="s">
        <v>2701</v>
      </c>
      <c r="C336" s="67" t="s">
        <v>2701</v>
      </c>
      <c r="D336" s="67" t="s">
        <v>2703</v>
      </c>
      <c r="E336" s="66">
        <v>2</v>
      </c>
      <c r="F336" s="68">
        <v>6</v>
      </c>
      <c r="G336" s="69">
        <v>334</v>
      </c>
      <c r="H336" s="37" t="s">
        <v>1986</v>
      </c>
      <c r="I336" s="37" t="s">
        <v>1986</v>
      </c>
      <c r="J336" s="70">
        <v>20500100167201</v>
      </c>
      <c r="K336" s="38" t="s">
        <v>148</v>
      </c>
      <c r="L336" s="79"/>
      <c r="M336" s="38">
        <v>80</v>
      </c>
      <c r="N336" s="37" t="s">
        <v>1987</v>
      </c>
      <c r="O336" s="37" t="s">
        <v>1988</v>
      </c>
      <c r="P336" s="37">
        <v>2860010</v>
      </c>
      <c r="Q336" s="37" t="s">
        <v>1989</v>
      </c>
      <c r="R336" s="37" t="s">
        <v>1990</v>
      </c>
      <c r="S336" s="72" t="s">
        <v>1991</v>
      </c>
      <c r="T336" s="272">
        <v>190</v>
      </c>
      <c r="U336" s="273">
        <v>170</v>
      </c>
      <c r="V336" s="273">
        <v>60</v>
      </c>
      <c r="W336" s="267" t="s">
        <v>2702</v>
      </c>
      <c r="X336" s="267" t="s">
        <v>2701</v>
      </c>
      <c r="Y336" s="268">
        <v>420</v>
      </c>
      <c r="Z336" s="272">
        <v>60</v>
      </c>
      <c r="AA336" s="273">
        <v>400</v>
      </c>
      <c r="AB336" s="273">
        <v>190</v>
      </c>
      <c r="AC336" s="267" t="s">
        <v>2700</v>
      </c>
      <c r="AD336" s="267" t="s">
        <v>2701</v>
      </c>
      <c r="AE336" s="268">
        <v>650</v>
      </c>
      <c r="AF336" s="269">
        <v>1070</v>
      </c>
      <c r="AG336" s="78"/>
      <c r="AH336" s="79"/>
    </row>
    <row r="337" spans="1:34" s="80" customFormat="1" ht="12" customHeight="1">
      <c r="A337" s="66">
        <v>2135</v>
      </c>
      <c r="B337" s="67" t="s">
        <v>2701</v>
      </c>
      <c r="C337" s="67" t="s">
        <v>2701</v>
      </c>
      <c r="D337" s="67" t="s">
        <v>2703</v>
      </c>
      <c r="E337" s="66">
        <v>2</v>
      </c>
      <c r="F337" s="68">
        <v>6</v>
      </c>
      <c r="G337" s="69">
        <v>335</v>
      </c>
      <c r="H337" s="37" t="s">
        <v>1992</v>
      </c>
      <c r="I337" s="37" t="s">
        <v>1992</v>
      </c>
      <c r="J337" s="70">
        <v>20500101931801</v>
      </c>
      <c r="K337" s="38" t="s">
        <v>148</v>
      </c>
      <c r="L337" s="38" t="s">
        <v>120</v>
      </c>
      <c r="M337" s="38">
        <v>80</v>
      </c>
      <c r="N337" s="37" t="s">
        <v>1993</v>
      </c>
      <c r="O337" s="37" t="s">
        <v>1994</v>
      </c>
      <c r="P337" s="37" t="s">
        <v>1995</v>
      </c>
      <c r="Q337" s="37" t="s">
        <v>1996</v>
      </c>
      <c r="R337" s="37" t="s">
        <v>1997</v>
      </c>
      <c r="S337" s="72" t="s">
        <v>1998</v>
      </c>
      <c r="T337" s="272">
        <v>202</v>
      </c>
      <c r="U337" s="273">
        <v>257</v>
      </c>
      <c r="V337" s="273">
        <v>100</v>
      </c>
      <c r="W337" s="267" t="s">
        <v>2702</v>
      </c>
      <c r="X337" s="267" t="s">
        <v>2701</v>
      </c>
      <c r="Y337" s="268">
        <v>559</v>
      </c>
      <c r="Z337" s="272">
        <v>22</v>
      </c>
      <c r="AA337" s="273">
        <v>203</v>
      </c>
      <c r="AB337" s="273">
        <v>170</v>
      </c>
      <c r="AC337" s="267" t="s">
        <v>2700</v>
      </c>
      <c r="AD337" s="267" t="s">
        <v>2701</v>
      </c>
      <c r="AE337" s="268">
        <v>395</v>
      </c>
      <c r="AF337" s="269">
        <v>954</v>
      </c>
      <c r="AG337" s="78"/>
      <c r="AH337" s="79"/>
    </row>
    <row r="338" spans="1:34" s="80" customFormat="1" ht="12" customHeight="1">
      <c r="A338" s="66">
        <v>2136</v>
      </c>
      <c r="B338" s="67" t="s">
        <v>2701</v>
      </c>
      <c r="C338" s="67" t="s">
        <v>2701</v>
      </c>
      <c r="D338" s="67" t="s">
        <v>2703</v>
      </c>
      <c r="E338" s="66">
        <v>2</v>
      </c>
      <c r="F338" s="68">
        <v>6</v>
      </c>
      <c r="G338" s="69">
        <v>336</v>
      </c>
      <c r="H338" s="37" t="s">
        <v>1999</v>
      </c>
      <c r="I338" s="37" t="s">
        <v>1999</v>
      </c>
      <c r="J338" s="70">
        <v>20500101931802</v>
      </c>
      <c r="K338" s="38" t="s">
        <v>148</v>
      </c>
      <c r="L338" s="38" t="s">
        <v>120</v>
      </c>
      <c r="M338" s="38">
        <v>80</v>
      </c>
      <c r="N338" s="37" t="s">
        <v>2000</v>
      </c>
      <c r="O338" s="37" t="s">
        <v>2001</v>
      </c>
      <c r="P338" s="37" t="s">
        <v>2002</v>
      </c>
      <c r="Q338" s="37" t="s">
        <v>2003</v>
      </c>
      <c r="R338" s="37" t="s">
        <v>2004</v>
      </c>
      <c r="S338" s="72" t="s">
        <v>561</v>
      </c>
      <c r="T338" s="272">
        <v>112</v>
      </c>
      <c r="U338" s="273">
        <v>70</v>
      </c>
      <c r="V338" s="273">
        <v>30</v>
      </c>
      <c r="W338" s="267" t="s">
        <v>2702</v>
      </c>
      <c r="X338" s="267" t="s">
        <v>2701</v>
      </c>
      <c r="Y338" s="268">
        <v>212</v>
      </c>
      <c r="Z338" s="272">
        <v>0</v>
      </c>
      <c r="AA338" s="273">
        <v>95</v>
      </c>
      <c r="AB338" s="273">
        <v>73</v>
      </c>
      <c r="AC338" s="267" t="s">
        <v>2700</v>
      </c>
      <c r="AD338" s="267" t="s">
        <v>2701</v>
      </c>
      <c r="AE338" s="268">
        <v>168</v>
      </c>
      <c r="AF338" s="269">
        <v>380</v>
      </c>
      <c r="AG338" s="78"/>
      <c r="AH338" s="79"/>
    </row>
    <row r="339" spans="1:34" s="80" customFormat="1" ht="12" customHeight="1">
      <c r="A339" s="66">
        <v>2137</v>
      </c>
      <c r="B339" s="67" t="s">
        <v>2701</v>
      </c>
      <c r="C339" s="67" t="s">
        <v>2701</v>
      </c>
      <c r="D339" s="67" t="s">
        <v>2702</v>
      </c>
      <c r="E339" s="66">
        <v>2</v>
      </c>
      <c r="F339" s="68">
        <v>6</v>
      </c>
      <c r="G339" s="69">
        <v>337</v>
      </c>
      <c r="H339" s="37" t="s">
        <v>2005</v>
      </c>
      <c r="I339" s="37" t="s">
        <v>2005</v>
      </c>
      <c r="J339" s="70">
        <v>20500101874501</v>
      </c>
      <c r="K339" s="38" t="s">
        <v>148</v>
      </c>
      <c r="L339" s="79"/>
      <c r="M339" s="38">
        <v>80</v>
      </c>
      <c r="N339" s="37" t="s">
        <v>2006</v>
      </c>
      <c r="O339" s="37" t="s">
        <v>2007</v>
      </c>
      <c r="P339" s="37">
        <v>2862293</v>
      </c>
      <c r="Q339" s="37" t="s">
        <v>2008</v>
      </c>
      <c r="R339" s="37" t="s">
        <v>2009</v>
      </c>
      <c r="S339" s="72" t="s">
        <v>2010</v>
      </c>
      <c r="T339" s="272">
        <v>100</v>
      </c>
      <c r="U339" s="273">
        <v>110</v>
      </c>
      <c r="V339" s="273">
        <v>0</v>
      </c>
      <c r="W339" s="267" t="s">
        <v>2702</v>
      </c>
      <c r="X339" s="267" t="s">
        <v>2701</v>
      </c>
      <c r="Y339" s="268">
        <v>210</v>
      </c>
      <c r="Z339" s="272">
        <v>0</v>
      </c>
      <c r="AA339" s="273">
        <v>0</v>
      </c>
      <c r="AB339" s="273">
        <v>0</v>
      </c>
      <c r="AC339" s="267"/>
      <c r="AD339" s="267"/>
      <c r="AE339" s="268">
        <v>0</v>
      </c>
      <c r="AF339" s="269">
        <v>210</v>
      </c>
      <c r="AG339" s="78"/>
      <c r="AH339" s="311"/>
    </row>
    <row r="340" spans="1:34" s="80" customFormat="1" ht="12" customHeight="1">
      <c r="A340" s="66">
        <v>2138</v>
      </c>
      <c r="B340" s="67" t="s">
        <v>2701</v>
      </c>
      <c r="C340" s="67" t="s">
        <v>2701</v>
      </c>
      <c r="D340" s="67" t="s">
        <v>2702</v>
      </c>
      <c r="E340" s="66">
        <v>2</v>
      </c>
      <c r="F340" s="68">
        <v>6</v>
      </c>
      <c r="G340" s="69">
        <v>338</v>
      </c>
      <c r="H340" s="37" t="s">
        <v>2011</v>
      </c>
      <c r="I340" s="37" t="s">
        <v>2011</v>
      </c>
      <c r="J340" s="70">
        <v>10500101875902</v>
      </c>
      <c r="K340" s="38" t="s">
        <v>148</v>
      </c>
      <c r="L340" s="79"/>
      <c r="M340" s="38">
        <v>80</v>
      </c>
      <c r="N340" s="37" t="s">
        <v>2012</v>
      </c>
      <c r="O340" s="37" t="s">
        <v>2013</v>
      </c>
      <c r="P340" s="37" t="s">
        <v>2014</v>
      </c>
      <c r="Q340" s="37" t="s">
        <v>2015</v>
      </c>
      <c r="R340" s="37" t="s">
        <v>2016</v>
      </c>
      <c r="S340" s="72" t="s">
        <v>2017</v>
      </c>
      <c r="T340" s="272">
        <v>251</v>
      </c>
      <c r="U340" s="273">
        <v>53</v>
      </c>
      <c r="V340" s="273">
        <v>0</v>
      </c>
      <c r="W340" s="267" t="s">
        <v>2702</v>
      </c>
      <c r="X340" s="267" t="s">
        <v>2701</v>
      </c>
      <c r="Y340" s="268">
        <v>304</v>
      </c>
      <c r="Z340" s="272">
        <v>0</v>
      </c>
      <c r="AA340" s="273">
        <v>0</v>
      </c>
      <c r="AB340" s="273">
        <v>0</v>
      </c>
      <c r="AC340" s="267"/>
      <c r="AD340" s="267"/>
      <c r="AE340" s="268">
        <v>0</v>
      </c>
      <c r="AF340" s="269">
        <v>304</v>
      </c>
      <c r="AG340" s="312"/>
      <c r="AH340" s="311"/>
    </row>
    <row r="341" spans="1:34" s="80" customFormat="1" ht="12" customHeight="1">
      <c r="A341" s="66">
        <v>2139</v>
      </c>
      <c r="B341" s="67" t="s">
        <v>2701</v>
      </c>
      <c r="C341" s="67" t="s">
        <v>2701</v>
      </c>
      <c r="D341" s="67" t="s">
        <v>2702</v>
      </c>
      <c r="E341" s="66">
        <v>2</v>
      </c>
      <c r="F341" s="68">
        <v>6</v>
      </c>
      <c r="G341" s="69">
        <v>339</v>
      </c>
      <c r="H341" s="37" t="s">
        <v>2018</v>
      </c>
      <c r="I341" s="37" t="s">
        <v>2018</v>
      </c>
      <c r="J341" s="70">
        <v>20500100276801</v>
      </c>
      <c r="K341" s="38" t="s">
        <v>148</v>
      </c>
      <c r="L341" s="79"/>
      <c r="M341" s="38">
        <v>80</v>
      </c>
      <c r="N341" s="37" t="s">
        <v>2019</v>
      </c>
      <c r="O341" s="37" t="s">
        <v>1971</v>
      </c>
      <c r="P341" s="37">
        <v>3373048</v>
      </c>
      <c r="Q341" s="37" t="s">
        <v>1956</v>
      </c>
      <c r="R341" s="37" t="s">
        <v>2020</v>
      </c>
      <c r="S341" s="72" t="s">
        <v>2021</v>
      </c>
      <c r="T341" s="272">
        <v>0</v>
      </c>
      <c r="U341" s="273">
        <v>30</v>
      </c>
      <c r="V341" s="273">
        <v>24</v>
      </c>
      <c r="W341" s="267" t="s">
        <v>2702</v>
      </c>
      <c r="X341" s="267" t="s">
        <v>2701</v>
      </c>
      <c r="Y341" s="268">
        <v>54</v>
      </c>
      <c r="Z341" s="272">
        <v>0</v>
      </c>
      <c r="AA341" s="273">
        <v>0</v>
      </c>
      <c r="AB341" s="273">
        <v>0</v>
      </c>
      <c r="AC341" s="267"/>
      <c r="AD341" s="267"/>
      <c r="AE341" s="268">
        <v>0</v>
      </c>
      <c r="AF341" s="269">
        <v>54</v>
      </c>
      <c r="AG341" s="313"/>
      <c r="AH341" s="311"/>
    </row>
    <row r="342" spans="1:34" s="80" customFormat="1" ht="12" customHeight="1">
      <c r="A342" s="66">
        <v>2140</v>
      </c>
      <c r="B342" s="67" t="s">
        <v>2701</v>
      </c>
      <c r="C342" s="67" t="s">
        <v>2701</v>
      </c>
      <c r="D342" s="67" t="s">
        <v>2702</v>
      </c>
      <c r="E342" s="66">
        <v>2</v>
      </c>
      <c r="F342" s="68">
        <v>6</v>
      </c>
      <c r="G342" s="69">
        <v>340</v>
      </c>
      <c r="H342" s="37" t="s">
        <v>2022</v>
      </c>
      <c r="I342" s="37" t="s">
        <v>2022</v>
      </c>
      <c r="J342" s="70">
        <v>20500100276804</v>
      </c>
      <c r="K342" s="38" t="s">
        <v>148</v>
      </c>
      <c r="L342" s="79"/>
      <c r="M342" s="38">
        <v>80</v>
      </c>
      <c r="N342" s="37" t="s">
        <v>2023</v>
      </c>
      <c r="O342" s="37" t="s">
        <v>1971</v>
      </c>
      <c r="P342" s="37" t="s">
        <v>2024</v>
      </c>
      <c r="Q342" s="37" t="s">
        <v>1956</v>
      </c>
      <c r="R342" s="37" t="s">
        <v>2025</v>
      </c>
      <c r="S342" s="72" t="s">
        <v>2021</v>
      </c>
      <c r="T342" s="272">
        <v>12</v>
      </c>
      <c r="U342" s="273">
        <v>14</v>
      </c>
      <c r="V342" s="273">
        <v>0</v>
      </c>
      <c r="W342" s="267" t="s">
        <v>2702</v>
      </c>
      <c r="X342" s="267" t="s">
        <v>2701</v>
      </c>
      <c r="Y342" s="268">
        <v>26</v>
      </c>
      <c r="Z342" s="272">
        <v>0</v>
      </c>
      <c r="AA342" s="273">
        <v>0</v>
      </c>
      <c r="AB342" s="273">
        <v>0</v>
      </c>
      <c r="AC342" s="267"/>
      <c r="AD342" s="267"/>
      <c r="AE342" s="268">
        <v>0</v>
      </c>
      <c r="AF342" s="269">
        <v>26</v>
      </c>
      <c r="AG342" s="78"/>
      <c r="AH342" s="311"/>
    </row>
    <row r="343" spans="1:34" s="80" customFormat="1" ht="12" customHeight="1">
      <c r="A343" s="66">
        <v>2141</v>
      </c>
      <c r="B343" s="67" t="s">
        <v>2701</v>
      </c>
      <c r="C343" s="67" t="s">
        <v>2701</v>
      </c>
      <c r="D343" s="67" t="s">
        <v>2702</v>
      </c>
      <c r="E343" s="66">
        <v>2</v>
      </c>
      <c r="F343" s="68">
        <v>6</v>
      </c>
      <c r="G343" s="69">
        <v>341</v>
      </c>
      <c r="H343" s="37" t="s">
        <v>2026</v>
      </c>
      <c r="I343" s="37" t="s">
        <v>2026</v>
      </c>
      <c r="J343" s="70">
        <v>20500102664101</v>
      </c>
      <c r="K343" s="38" t="s">
        <v>148</v>
      </c>
      <c r="L343" s="38" t="s">
        <v>120</v>
      </c>
      <c r="M343" s="38">
        <v>80</v>
      </c>
      <c r="N343" s="37" t="s">
        <v>1987</v>
      </c>
      <c r="O343" s="37" t="s">
        <v>2027</v>
      </c>
      <c r="P343" s="37">
        <v>2865071</v>
      </c>
      <c r="Q343" s="37" t="s">
        <v>2028</v>
      </c>
      <c r="R343" s="37" t="s">
        <v>2029</v>
      </c>
      <c r="S343" s="72" t="s">
        <v>2030</v>
      </c>
      <c r="T343" s="272">
        <v>125</v>
      </c>
      <c r="U343" s="273">
        <v>181</v>
      </c>
      <c r="V343" s="273">
        <v>84</v>
      </c>
      <c r="W343" s="267" t="s">
        <v>2702</v>
      </c>
      <c r="X343" s="267" t="s">
        <v>2701</v>
      </c>
      <c r="Y343" s="268">
        <v>390</v>
      </c>
      <c r="Z343" s="272">
        <v>0</v>
      </c>
      <c r="AA343" s="273">
        <v>0</v>
      </c>
      <c r="AB343" s="273">
        <v>0</v>
      </c>
      <c r="AC343" s="267"/>
      <c r="AD343" s="267"/>
      <c r="AE343" s="268">
        <v>0</v>
      </c>
      <c r="AF343" s="269">
        <v>390</v>
      </c>
      <c r="AG343" s="78"/>
      <c r="AH343" s="311"/>
    </row>
    <row r="344" spans="1:34" s="80" customFormat="1" ht="12" customHeight="1">
      <c r="A344" s="66">
        <v>2142</v>
      </c>
      <c r="B344" s="67" t="s">
        <v>2701</v>
      </c>
      <c r="C344" s="67" t="s">
        <v>2701</v>
      </c>
      <c r="D344" s="67" t="s">
        <v>2703</v>
      </c>
      <c r="E344" s="66">
        <v>2</v>
      </c>
      <c r="F344" s="68">
        <v>6</v>
      </c>
      <c r="G344" s="69">
        <v>342</v>
      </c>
      <c r="H344" s="37" t="s">
        <v>2031</v>
      </c>
      <c r="I344" s="37" t="s">
        <v>2032</v>
      </c>
      <c r="J344" s="70">
        <v>20500100979701</v>
      </c>
      <c r="K344" s="38" t="s">
        <v>148</v>
      </c>
      <c r="L344" s="79"/>
      <c r="M344" s="38">
        <v>80</v>
      </c>
      <c r="N344" s="37" t="s">
        <v>1964</v>
      </c>
      <c r="O344" s="37" t="s">
        <v>2033</v>
      </c>
      <c r="P344" s="37" t="s">
        <v>2034</v>
      </c>
      <c r="Q344" s="37" t="s">
        <v>2035</v>
      </c>
      <c r="R344" s="37" t="s">
        <v>2036</v>
      </c>
      <c r="S344" s="72" t="s">
        <v>2037</v>
      </c>
      <c r="T344" s="272">
        <v>0</v>
      </c>
      <c r="U344" s="273">
        <v>130</v>
      </c>
      <c r="V344" s="273">
        <v>120</v>
      </c>
      <c r="W344" s="267" t="s">
        <v>2702</v>
      </c>
      <c r="X344" s="267" t="s">
        <v>2701</v>
      </c>
      <c r="Y344" s="268">
        <v>250</v>
      </c>
      <c r="Z344" s="272">
        <v>0</v>
      </c>
      <c r="AA344" s="273">
        <v>0</v>
      </c>
      <c r="AB344" s="273">
        <v>250</v>
      </c>
      <c r="AC344" s="267" t="s">
        <v>2700</v>
      </c>
      <c r="AD344" s="267" t="s">
        <v>2701</v>
      </c>
      <c r="AE344" s="268">
        <v>250</v>
      </c>
      <c r="AF344" s="269">
        <v>500</v>
      </c>
      <c r="AG344" s="78"/>
      <c r="AH344" s="311"/>
    </row>
    <row r="345" spans="1:34" s="80" customFormat="1" ht="12" customHeight="1">
      <c r="A345" s="66">
        <v>2143</v>
      </c>
      <c r="B345" s="67" t="s">
        <v>2701</v>
      </c>
      <c r="C345" s="67" t="s">
        <v>2701</v>
      </c>
      <c r="D345" s="67" t="s">
        <v>2702</v>
      </c>
      <c r="E345" s="66">
        <v>2</v>
      </c>
      <c r="F345" s="68">
        <v>6</v>
      </c>
      <c r="G345" s="69">
        <v>343</v>
      </c>
      <c r="H345" s="37" t="s">
        <v>2038</v>
      </c>
      <c r="I345" s="37" t="s">
        <v>2038</v>
      </c>
      <c r="J345" s="70">
        <v>20500100979702</v>
      </c>
      <c r="K345" s="38" t="s">
        <v>148</v>
      </c>
      <c r="L345" s="79"/>
      <c r="M345" s="38">
        <v>80</v>
      </c>
      <c r="N345" s="37" t="s">
        <v>1964</v>
      </c>
      <c r="O345" s="37" t="s">
        <v>2039</v>
      </c>
      <c r="P345" s="37" t="s">
        <v>2040</v>
      </c>
      <c r="Q345" s="37" t="s">
        <v>2035</v>
      </c>
      <c r="R345" s="37" t="s">
        <v>2041</v>
      </c>
      <c r="S345" s="72" t="s">
        <v>2042</v>
      </c>
      <c r="T345" s="272">
        <v>202</v>
      </c>
      <c r="U345" s="273">
        <v>102</v>
      </c>
      <c r="V345" s="273">
        <v>0</v>
      </c>
      <c r="W345" s="267" t="s">
        <v>2702</v>
      </c>
      <c r="X345" s="267" t="s">
        <v>2701</v>
      </c>
      <c r="Y345" s="268">
        <v>304</v>
      </c>
      <c r="Z345" s="272">
        <v>0</v>
      </c>
      <c r="AA345" s="273">
        <v>0</v>
      </c>
      <c r="AB345" s="273">
        <v>0</v>
      </c>
      <c r="AC345" s="267"/>
      <c r="AD345" s="267"/>
      <c r="AE345" s="268">
        <v>0</v>
      </c>
      <c r="AF345" s="269">
        <v>304</v>
      </c>
      <c r="AG345" s="78"/>
      <c r="AH345" s="311"/>
    </row>
    <row r="346" spans="1:34" s="80" customFormat="1" ht="12" customHeight="1">
      <c r="A346" s="66">
        <v>2144</v>
      </c>
      <c r="B346" s="67" t="s">
        <v>2701</v>
      </c>
      <c r="C346" s="67" t="s">
        <v>2701</v>
      </c>
      <c r="D346" s="67" t="s">
        <v>2702</v>
      </c>
      <c r="E346" s="66">
        <v>2</v>
      </c>
      <c r="F346" s="68">
        <v>6</v>
      </c>
      <c r="G346" s="69">
        <v>344</v>
      </c>
      <c r="H346" s="37" t="s">
        <v>2043</v>
      </c>
      <c r="I346" s="37" t="s">
        <v>2043</v>
      </c>
      <c r="J346" s="70">
        <v>20500100276803</v>
      </c>
      <c r="K346" s="38" t="s">
        <v>148</v>
      </c>
      <c r="L346" s="79"/>
      <c r="M346" s="38">
        <v>80</v>
      </c>
      <c r="N346" s="37" t="s">
        <v>2044</v>
      </c>
      <c r="O346" s="37" t="s">
        <v>1971</v>
      </c>
      <c r="P346" s="37">
        <v>3240635</v>
      </c>
      <c r="Q346" s="37" t="s">
        <v>1956</v>
      </c>
      <c r="R346" s="37" t="s">
        <v>2045</v>
      </c>
      <c r="S346" s="72" t="s">
        <v>2046</v>
      </c>
      <c r="T346" s="272">
        <v>5</v>
      </c>
      <c r="U346" s="273">
        <v>5</v>
      </c>
      <c r="V346" s="273">
        <v>0</v>
      </c>
      <c r="W346" s="267" t="s">
        <v>2702</v>
      </c>
      <c r="X346" s="267" t="s">
        <v>2701</v>
      </c>
      <c r="Y346" s="268">
        <v>10</v>
      </c>
      <c r="Z346" s="272">
        <v>0</v>
      </c>
      <c r="AA346" s="273">
        <v>0</v>
      </c>
      <c r="AB346" s="273">
        <v>0</v>
      </c>
      <c r="AC346" s="267"/>
      <c r="AD346" s="267"/>
      <c r="AE346" s="268">
        <v>0</v>
      </c>
      <c r="AF346" s="269">
        <v>10</v>
      </c>
      <c r="AG346" s="38"/>
      <c r="AH346" s="311"/>
    </row>
    <row r="347" spans="1:34" s="80" customFormat="1" ht="12" customHeight="1">
      <c r="A347" s="200">
        <v>2145</v>
      </c>
      <c r="B347" s="219" t="s">
        <v>2701</v>
      </c>
      <c r="C347" s="219" t="s">
        <v>2701</v>
      </c>
      <c r="D347" s="219" t="s">
        <v>2702</v>
      </c>
      <c r="E347" s="200">
        <v>2</v>
      </c>
      <c r="F347" s="202">
        <v>3</v>
      </c>
      <c r="G347" s="69">
        <v>345</v>
      </c>
      <c r="H347" s="207" t="s">
        <v>962</v>
      </c>
      <c r="I347" s="207" t="s">
        <v>962</v>
      </c>
      <c r="J347" s="314">
        <v>10500100534701</v>
      </c>
      <c r="K347" s="205" t="s">
        <v>148</v>
      </c>
      <c r="L347" s="206"/>
      <c r="M347" s="205">
        <v>10</v>
      </c>
      <c r="N347" s="207" t="s">
        <v>963</v>
      </c>
      <c r="O347" s="207" t="s">
        <v>964</v>
      </c>
      <c r="P347" s="207" t="s">
        <v>965</v>
      </c>
      <c r="Q347" s="207" t="s">
        <v>966</v>
      </c>
      <c r="R347" s="207" t="s">
        <v>967</v>
      </c>
      <c r="S347" s="208" t="s">
        <v>968</v>
      </c>
      <c r="T347" s="209">
        <v>79</v>
      </c>
      <c r="U347" s="210">
        <v>153</v>
      </c>
      <c r="V347" s="210">
        <v>83</v>
      </c>
      <c r="W347" s="211" t="s">
        <v>2702</v>
      </c>
      <c r="X347" s="211" t="s">
        <v>2701</v>
      </c>
      <c r="Y347" s="213">
        <v>315</v>
      </c>
      <c r="Z347" s="209">
        <v>0</v>
      </c>
      <c r="AA347" s="210">
        <v>0</v>
      </c>
      <c r="AB347" s="210">
        <v>0</v>
      </c>
      <c r="AC347" s="214"/>
      <c r="AD347" s="211"/>
      <c r="AE347" s="213">
        <v>0</v>
      </c>
      <c r="AF347" s="215">
        <v>315</v>
      </c>
      <c r="AG347" s="206"/>
      <c r="AH347" s="315"/>
    </row>
    <row r="348" spans="1:34" s="80" customFormat="1" ht="12" customHeight="1">
      <c r="A348" s="200">
        <v>2146</v>
      </c>
      <c r="B348" s="219" t="s">
        <v>2701</v>
      </c>
      <c r="C348" s="219" t="s">
        <v>2701</v>
      </c>
      <c r="D348" s="219" t="s">
        <v>2703</v>
      </c>
      <c r="E348" s="200">
        <v>2</v>
      </c>
      <c r="F348" s="202">
        <v>1</v>
      </c>
      <c r="G348" s="69">
        <v>346</v>
      </c>
      <c r="H348" s="207" t="s">
        <v>347</v>
      </c>
      <c r="I348" s="207" t="s">
        <v>347</v>
      </c>
      <c r="J348" s="314">
        <v>10500100166001</v>
      </c>
      <c r="K348" s="205" t="s">
        <v>148</v>
      </c>
      <c r="L348" s="206"/>
      <c r="M348" s="205">
        <v>3</v>
      </c>
      <c r="N348" s="207" t="s">
        <v>341</v>
      </c>
      <c r="O348" s="207" t="s">
        <v>348</v>
      </c>
      <c r="P348" s="207">
        <v>2363000</v>
      </c>
      <c r="Q348" s="207" t="s">
        <v>349</v>
      </c>
      <c r="R348" s="207" t="s">
        <v>350</v>
      </c>
      <c r="S348" s="208" t="s">
        <v>351</v>
      </c>
      <c r="T348" s="209">
        <v>0</v>
      </c>
      <c r="U348" s="210">
        <v>84</v>
      </c>
      <c r="V348" s="210">
        <v>115</v>
      </c>
      <c r="W348" s="211" t="s">
        <v>2702</v>
      </c>
      <c r="X348" s="211" t="s">
        <v>2701</v>
      </c>
      <c r="Y348" s="213">
        <v>199</v>
      </c>
      <c r="Z348" s="209">
        <v>200</v>
      </c>
      <c r="AA348" s="210">
        <v>200</v>
      </c>
      <c r="AB348" s="210">
        <v>120</v>
      </c>
      <c r="AC348" s="214" t="s">
        <v>2700</v>
      </c>
      <c r="AD348" s="211" t="s">
        <v>2701</v>
      </c>
      <c r="AE348" s="213">
        <v>520</v>
      </c>
      <c r="AF348" s="215">
        <v>719</v>
      </c>
      <c r="AG348" s="206"/>
      <c r="AH348" s="315"/>
    </row>
    <row r="349" spans="1:34" s="80" customFormat="1" ht="12" customHeight="1">
      <c r="A349" s="217">
        <v>2147</v>
      </c>
      <c r="B349" s="219" t="s">
        <v>2701</v>
      </c>
      <c r="C349" s="219" t="s">
        <v>2701</v>
      </c>
      <c r="D349" s="218" t="s">
        <v>2700</v>
      </c>
      <c r="E349" s="217">
        <v>2</v>
      </c>
      <c r="F349" s="316">
        <v>1</v>
      </c>
      <c r="G349" s="69">
        <v>347</v>
      </c>
      <c r="H349" s="317" t="s">
        <v>332</v>
      </c>
      <c r="I349" s="317" t="s">
        <v>339</v>
      </c>
      <c r="J349" s="318">
        <v>10500101058802</v>
      </c>
      <c r="K349" s="319" t="s">
        <v>148</v>
      </c>
      <c r="L349" s="320"/>
      <c r="M349" s="319">
        <v>3</v>
      </c>
      <c r="N349" s="317" t="s">
        <v>333</v>
      </c>
      <c r="O349" s="317" t="s">
        <v>334</v>
      </c>
      <c r="P349" s="321">
        <v>2631727</v>
      </c>
      <c r="Q349" s="317" t="s">
        <v>335</v>
      </c>
      <c r="R349" s="317" t="s">
        <v>336</v>
      </c>
      <c r="S349" s="322" t="s">
        <v>337</v>
      </c>
      <c r="T349" s="323">
        <v>0</v>
      </c>
      <c r="U349" s="324">
        <v>0</v>
      </c>
      <c r="V349" s="324">
        <v>0</v>
      </c>
      <c r="W349" s="220" t="s">
        <v>2698</v>
      </c>
      <c r="X349" s="211" t="s">
        <v>2701</v>
      </c>
      <c r="Y349" s="261">
        <v>0</v>
      </c>
      <c r="Z349" s="323"/>
      <c r="AA349" s="324"/>
      <c r="AB349" s="324">
        <v>0</v>
      </c>
      <c r="AC349" s="220" t="s">
        <v>2700</v>
      </c>
      <c r="AD349" s="211" t="s">
        <v>2701</v>
      </c>
      <c r="AE349" s="261">
        <v>549</v>
      </c>
      <c r="AF349" s="215">
        <v>549</v>
      </c>
      <c r="AG349" s="325"/>
      <c r="AH349" s="326"/>
    </row>
    <row r="350" spans="1:34" s="80" customFormat="1" ht="12" customHeight="1">
      <c r="A350" s="217">
        <v>2148</v>
      </c>
      <c r="B350" s="219" t="s">
        <v>2701</v>
      </c>
      <c r="C350" s="219" t="s">
        <v>2701</v>
      </c>
      <c r="D350" s="218" t="s">
        <v>2702</v>
      </c>
      <c r="E350" s="217">
        <v>2</v>
      </c>
      <c r="F350" s="249">
        <v>6</v>
      </c>
      <c r="G350" s="69">
        <v>348</v>
      </c>
      <c r="H350" s="250" t="s">
        <v>2561</v>
      </c>
      <c r="I350" s="250" t="s">
        <v>2561</v>
      </c>
      <c r="J350" s="251">
        <v>10500100207102</v>
      </c>
      <c r="K350" s="252" t="s">
        <v>148</v>
      </c>
      <c r="L350" s="260"/>
      <c r="M350" s="252">
        <v>15</v>
      </c>
      <c r="N350" s="250" t="s">
        <v>2555</v>
      </c>
      <c r="O350" s="250" t="s">
        <v>2562</v>
      </c>
      <c r="P350" s="250" t="s">
        <v>2563</v>
      </c>
      <c r="Q350" s="250" t="s">
        <v>2564</v>
      </c>
      <c r="R350" s="250" t="s">
        <v>2565</v>
      </c>
      <c r="S350" s="254" t="s">
        <v>2566</v>
      </c>
      <c r="T350" s="255">
        <v>100</v>
      </c>
      <c r="U350" s="256">
        <v>129</v>
      </c>
      <c r="V350" s="256">
        <v>0</v>
      </c>
      <c r="W350" s="246" t="s">
        <v>2704</v>
      </c>
      <c r="X350" s="211" t="s">
        <v>2701</v>
      </c>
      <c r="Y350" s="257">
        <v>229</v>
      </c>
      <c r="Z350" s="255">
        <v>0</v>
      </c>
      <c r="AA350" s="256">
        <v>0</v>
      </c>
      <c r="AB350" s="256">
        <v>0</v>
      </c>
      <c r="AC350" s="220"/>
      <c r="AD350" s="211" t="s">
        <v>2701</v>
      </c>
      <c r="AE350" s="261">
        <v>0</v>
      </c>
      <c r="AF350" s="215">
        <v>229</v>
      </c>
      <c r="AG350" s="327"/>
      <c r="AH350" s="328"/>
    </row>
    <row r="351" spans="1:34" s="80" customFormat="1" ht="12" customHeight="1">
      <c r="A351" s="217">
        <v>2149</v>
      </c>
      <c r="B351" s="219" t="s">
        <v>2701</v>
      </c>
      <c r="C351" s="219" t="s">
        <v>2701</v>
      </c>
      <c r="D351" s="218" t="s">
        <v>2839</v>
      </c>
      <c r="E351" s="217">
        <v>2</v>
      </c>
      <c r="F351" s="329">
        <v>6</v>
      </c>
      <c r="G351" s="69">
        <v>349</v>
      </c>
      <c r="H351" s="250" t="s">
        <v>1210</v>
      </c>
      <c r="I351" s="250" t="s">
        <v>1210</v>
      </c>
      <c r="J351" s="251">
        <v>10500100039603</v>
      </c>
      <c r="K351" s="252" t="s">
        <v>148</v>
      </c>
      <c r="L351" s="260"/>
      <c r="M351" s="252">
        <v>15</v>
      </c>
      <c r="N351" s="250" t="s">
        <v>1211</v>
      </c>
      <c r="O351" s="250" t="s">
        <v>1212</v>
      </c>
      <c r="P351" s="250" t="s">
        <v>1213</v>
      </c>
      <c r="Q351" s="250" t="s">
        <v>1214</v>
      </c>
      <c r="R351" s="250" t="s">
        <v>1214</v>
      </c>
      <c r="S351" s="254" t="s">
        <v>1215</v>
      </c>
      <c r="T351" s="255"/>
      <c r="U351" s="256"/>
      <c r="V351" s="256">
        <v>0</v>
      </c>
      <c r="W351" s="220" t="s">
        <v>2839</v>
      </c>
      <c r="X351" s="211" t="s">
        <v>2701</v>
      </c>
      <c r="Y351" s="261">
        <v>160</v>
      </c>
      <c r="Z351" s="255"/>
      <c r="AA351" s="256"/>
      <c r="AB351" s="256">
        <v>0</v>
      </c>
      <c r="AC351" s="220" t="s">
        <v>2700</v>
      </c>
      <c r="AD351" s="211" t="s">
        <v>2701</v>
      </c>
      <c r="AE351" s="261">
        <v>60</v>
      </c>
      <c r="AF351" s="215">
        <v>220</v>
      </c>
      <c r="AG351" s="330"/>
      <c r="AH351" s="331"/>
    </row>
    <row r="352" spans="1:34" s="80" customFormat="1" ht="12" customHeight="1">
      <c r="A352" s="217">
        <v>2150</v>
      </c>
      <c r="B352" s="332" t="s">
        <v>2701</v>
      </c>
      <c r="C352" s="332" t="s">
        <v>2701</v>
      </c>
      <c r="D352" s="333" t="s">
        <v>2839</v>
      </c>
      <c r="E352" s="334">
        <v>2</v>
      </c>
      <c r="F352" s="335">
        <v>6</v>
      </c>
      <c r="G352" s="69">
        <v>350</v>
      </c>
      <c r="H352" s="336" t="s">
        <v>2614</v>
      </c>
      <c r="I352" s="336" t="s">
        <v>2614</v>
      </c>
      <c r="J352" s="337">
        <v>20500101253401</v>
      </c>
      <c r="K352" s="338" t="s">
        <v>148</v>
      </c>
      <c r="L352" s="339"/>
      <c r="M352" s="338">
        <v>80</v>
      </c>
      <c r="N352" s="336" t="s">
        <v>1964</v>
      </c>
      <c r="O352" s="336" t="s">
        <v>2615</v>
      </c>
      <c r="P352" s="336" t="s">
        <v>2616</v>
      </c>
      <c r="Q352" s="336" t="s">
        <v>2617</v>
      </c>
      <c r="R352" s="336" t="s">
        <v>2618</v>
      </c>
      <c r="S352" s="340" t="s">
        <v>2619</v>
      </c>
      <c r="T352" s="341">
        <v>0</v>
      </c>
      <c r="U352" s="342">
        <v>80</v>
      </c>
      <c r="V352" s="342">
        <v>120</v>
      </c>
      <c r="W352" s="343" t="s">
        <v>2704</v>
      </c>
      <c r="X352" s="344" t="s">
        <v>2701</v>
      </c>
      <c r="Y352" s="345">
        <v>200</v>
      </c>
      <c r="Z352" s="341">
        <v>0</v>
      </c>
      <c r="AA352" s="342">
        <v>330</v>
      </c>
      <c r="AB352" s="342">
        <v>265</v>
      </c>
      <c r="AC352" s="346" t="s">
        <v>2700</v>
      </c>
      <c r="AD352" s="344" t="s">
        <v>2701</v>
      </c>
      <c r="AE352" s="345">
        <v>595</v>
      </c>
      <c r="AF352" s="347">
        <v>795</v>
      </c>
      <c r="AG352" s="348"/>
      <c r="AH352" s="328"/>
    </row>
    <row r="353" spans="1:34" s="80" customFormat="1" ht="12" customHeight="1">
      <c r="A353" s="349">
        <v>2151</v>
      </c>
      <c r="B353" s="350" t="s">
        <v>2701</v>
      </c>
      <c r="C353" s="350" t="s">
        <v>2701</v>
      </c>
      <c r="D353" s="351" t="s">
        <v>2700</v>
      </c>
      <c r="E353" s="352">
        <v>2</v>
      </c>
      <c r="F353" s="249">
        <v>1</v>
      </c>
      <c r="G353" s="69">
        <v>351</v>
      </c>
      <c r="H353" s="250" t="s">
        <v>2166</v>
      </c>
      <c r="I353" s="250" t="s">
        <v>2167</v>
      </c>
      <c r="J353" s="251">
        <v>10500100123601</v>
      </c>
      <c r="K353" s="252" t="s">
        <v>148</v>
      </c>
      <c r="L353" s="252"/>
      <c r="M353" s="252">
        <v>3</v>
      </c>
      <c r="N353" s="250" t="s">
        <v>333</v>
      </c>
      <c r="O353" s="250" t="s">
        <v>1400</v>
      </c>
      <c r="P353" s="253" t="s">
        <v>2168</v>
      </c>
      <c r="Q353" s="250" t="s">
        <v>1401</v>
      </c>
      <c r="R353" s="250" t="s">
        <v>1402</v>
      </c>
      <c r="S353" s="254" t="s">
        <v>2169</v>
      </c>
      <c r="T353" s="255">
        <v>0</v>
      </c>
      <c r="U353" s="256">
        <v>0</v>
      </c>
      <c r="V353" s="256">
        <v>0</v>
      </c>
      <c r="W353" s="246"/>
      <c r="X353" s="246"/>
      <c r="Y353" s="261">
        <v>0</v>
      </c>
      <c r="Z353" s="255">
        <v>0</v>
      </c>
      <c r="AA353" s="256">
        <v>105</v>
      </c>
      <c r="AB353" s="256">
        <v>345</v>
      </c>
      <c r="AC353" s="220" t="s">
        <v>2700</v>
      </c>
      <c r="AD353" s="353" t="s">
        <v>2701</v>
      </c>
      <c r="AE353" s="261">
        <v>450</v>
      </c>
      <c r="AF353" s="215">
        <v>450</v>
      </c>
      <c r="AG353" s="260"/>
      <c r="AH353" s="354"/>
    </row>
    <row r="354" spans="1:34" s="80" customFormat="1" ht="12" customHeight="1">
      <c r="A354" s="355">
        <v>2152</v>
      </c>
      <c r="B354" s="219" t="s">
        <v>2701</v>
      </c>
      <c r="C354" s="219" t="s">
        <v>2701</v>
      </c>
      <c r="D354" s="219" t="s">
        <v>2702</v>
      </c>
      <c r="E354" s="355">
        <v>2</v>
      </c>
      <c r="F354" s="356">
        <v>1</v>
      </c>
      <c r="G354" s="69">
        <v>352</v>
      </c>
      <c r="H354" s="357" t="s">
        <v>332</v>
      </c>
      <c r="I354" s="357" t="s">
        <v>332</v>
      </c>
      <c r="J354" s="358">
        <v>10500101058801</v>
      </c>
      <c r="K354" s="359" t="s">
        <v>148</v>
      </c>
      <c r="L354" s="359"/>
      <c r="M354" s="359">
        <v>3</v>
      </c>
      <c r="N354" s="357" t="s">
        <v>333</v>
      </c>
      <c r="O354" s="357" t="s">
        <v>334</v>
      </c>
      <c r="P354" s="360">
        <v>2631727</v>
      </c>
      <c r="Q354" s="357" t="s">
        <v>335</v>
      </c>
      <c r="R354" s="357" t="s">
        <v>336</v>
      </c>
      <c r="S354" s="361" t="s">
        <v>337</v>
      </c>
      <c r="T354" s="362">
        <v>0</v>
      </c>
      <c r="U354" s="363">
        <v>139</v>
      </c>
      <c r="V354" s="363">
        <v>255</v>
      </c>
      <c r="W354" s="233" t="s">
        <v>2702</v>
      </c>
      <c r="X354" s="211" t="s">
        <v>2701</v>
      </c>
      <c r="Y354" s="364">
        <v>394</v>
      </c>
      <c r="Z354" s="362">
        <v>0</v>
      </c>
      <c r="AA354" s="363">
        <v>0</v>
      </c>
      <c r="AB354" s="363">
        <v>0</v>
      </c>
      <c r="AC354" s="365" t="s">
        <v>2700</v>
      </c>
      <c r="AD354" s="365"/>
      <c r="AE354" s="364"/>
      <c r="AF354" s="366">
        <v>394</v>
      </c>
      <c r="AG354" s="367"/>
      <c r="AH354" s="368" t="s">
        <v>338</v>
      </c>
    </row>
    <row r="355" spans="1:34" s="80" customFormat="1" ht="12" customHeight="1">
      <c r="A355" s="355">
        <v>2153</v>
      </c>
      <c r="B355" s="219" t="s">
        <v>2701</v>
      </c>
      <c r="C355" s="219" t="s">
        <v>2701</v>
      </c>
      <c r="D355" s="219" t="s">
        <v>2703</v>
      </c>
      <c r="E355" s="355">
        <v>2</v>
      </c>
      <c r="F355" s="356">
        <v>3</v>
      </c>
      <c r="G355" s="69">
        <v>353</v>
      </c>
      <c r="H355" s="357" t="s">
        <v>2396</v>
      </c>
      <c r="I355" s="357" t="s">
        <v>2396</v>
      </c>
      <c r="J355" s="358">
        <v>10500100278001</v>
      </c>
      <c r="K355" s="359" t="s">
        <v>148</v>
      </c>
      <c r="L355" s="359"/>
      <c r="M355" s="359">
        <v>8</v>
      </c>
      <c r="N355" s="357" t="s">
        <v>867</v>
      </c>
      <c r="O355" s="357" t="s">
        <v>2397</v>
      </c>
      <c r="P355" s="360">
        <v>2690520</v>
      </c>
      <c r="Q355" s="357" t="s">
        <v>2398</v>
      </c>
      <c r="R355" s="357" t="s">
        <v>2399</v>
      </c>
      <c r="S355" s="361" t="s">
        <v>2400</v>
      </c>
      <c r="T355" s="362">
        <v>0</v>
      </c>
      <c r="U355" s="363">
        <v>125</v>
      </c>
      <c r="V355" s="363">
        <v>125</v>
      </c>
      <c r="W355" s="233" t="s">
        <v>2702</v>
      </c>
      <c r="X355" s="211" t="s">
        <v>2701</v>
      </c>
      <c r="Y355" s="364">
        <v>250</v>
      </c>
      <c r="Z355" s="362">
        <v>179</v>
      </c>
      <c r="AA355" s="363">
        <v>219</v>
      </c>
      <c r="AB355" s="363">
        <v>45</v>
      </c>
      <c r="AC355" s="220" t="s">
        <v>2700</v>
      </c>
      <c r="AD355" s="353" t="s">
        <v>2701</v>
      </c>
      <c r="AE355" s="261">
        <v>443</v>
      </c>
      <c r="AF355" s="366">
        <v>693</v>
      </c>
      <c r="AG355" s="367"/>
      <c r="AH355" s="368"/>
    </row>
    <row r="356" spans="1:34" s="80" customFormat="1" ht="12" customHeight="1">
      <c r="A356" s="355">
        <v>2154</v>
      </c>
      <c r="B356" s="219" t="s">
        <v>2701</v>
      </c>
      <c r="C356" s="219" t="s">
        <v>2701</v>
      </c>
      <c r="D356" s="219" t="s">
        <v>2700</v>
      </c>
      <c r="E356" s="355">
        <v>3</v>
      </c>
      <c r="F356" s="356">
        <v>2</v>
      </c>
      <c r="G356" s="69">
        <v>354</v>
      </c>
      <c r="H356" s="357" t="s">
        <v>2255</v>
      </c>
      <c r="I356" s="357" t="s">
        <v>2255</v>
      </c>
      <c r="J356" s="358">
        <v>10500102598401</v>
      </c>
      <c r="K356" s="359" t="s">
        <v>148</v>
      </c>
      <c r="L356" s="359" t="s">
        <v>120</v>
      </c>
      <c r="M356" s="359">
        <v>5</v>
      </c>
      <c r="N356" s="357" t="s">
        <v>509</v>
      </c>
      <c r="O356" s="357" t="s">
        <v>2256</v>
      </c>
      <c r="P356" s="360">
        <v>4648274</v>
      </c>
      <c r="Q356" s="357" t="s">
        <v>2257</v>
      </c>
      <c r="R356" s="357" t="s">
        <v>2258</v>
      </c>
      <c r="S356" s="361" t="s">
        <v>2259</v>
      </c>
      <c r="T356" s="362">
        <v>0</v>
      </c>
      <c r="U356" s="363">
        <v>170</v>
      </c>
      <c r="V356" s="363">
        <v>105</v>
      </c>
      <c r="W356" s="233" t="s">
        <v>2700</v>
      </c>
      <c r="X356" s="211" t="s">
        <v>2701</v>
      </c>
      <c r="Y356" s="364">
        <v>275</v>
      </c>
      <c r="Z356" s="362">
        <v>0</v>
      </c>
      <c r="AA356" s="363">
        <v>65</v>
      </c>
      <c r="AB356" s="363">
        <v>30</v>
      </c>
      <c r="AC356" s="220" t="s">
        <v>2700</v>
      </c>
      <c r="AD356" s="353" t="s">
        <v>2701</v>
      </c>
      <c r="AE356" s="261">
        <v>95</v>
      </c>
      <c r="AF356" s="366">
        <v>370</v>
      </c>
      <c r="AG356" s="367"/>
      <c r="AH356" s="368"/>
    </row>
    <row r="357" spans="1:34" s="80" customFormat="1" ht="12" customHeight="1">
      <c r="A357" s="355">
        <v>2155</v>
      </c>
      <c r="B357" s="219" t="s">
        <v>2701</v>
      </c>
      <c r="C357" s="219" t="s">
        <v>2701</v>
      </c>
      <c r="D357" s="219" t="s">
        <v>2703</v>
      </c>
      <c r="E357" s="355">
        <v>2</v>
      </c>
      <c r="F357" s="356">
        <v>4</v>
      </c>
      <c r="G357" s="69">
        <v>355</v>
      </c>
      <c r="H357" s="222" t="s">
        <v>1176</v>
      </c>
      <c r="I357" s="369" t="s">
        <v>1176</v>
      </c>
      <c r="J357" s="224">
        <v>10500102657301</v>
      </c>
      <c r="K357" s="225" t="s">
        <v>148</v>
      </c>
      <c r="L357" s="225"/>
      <c r="M357" s="225">
        <v>60</v>
      </c>
      <c r="N357" s="223" t="s">
        <v>1177</v>
      </c>
      <c r="O357" s="222" t="s">
        <v>1178</v>
      </c>
      <c r="P357" s="223"/>
      <c r="Q357" s="222" t="s">
        <v>1179</v>
      </c>
      <c r="R357" s="222" t="s">
        <v>1180</v>
      </c>
      <c r="S357" s="226" t="s">
        <v>1181</v>
      </c>
      <c r="T357" s="227">
        <v>402</v>
      </c>
      <c r="U357" s="228">
        <v>475</v>
      </c>
      <c r="V357" s="228">
        <v>190</v>
      </c>
      <c r="W357" s="246" t="s">
        <v>2704</v>
      </c>
      <c r="X357" s="246" t="s">
        <v>2675</v>
      </c>
      <c r="Y357" s="229">
        <v>1067</v>
      </c>
      <c r="Z357" s="227">
        <v>0</v>
      </c>
      <c r="AA357" s="228">
        <v>0</v>
      </c>
      <c r="AB357" s="228">
        <v>0</v>
      </c>
      <c r="AC357" s="220"/>
      <c r="AD357" s="246"/>
      <c r="AE357" s="229">
        <v>0</v>
      </c>
      <c r="AF357" s="247">
        <v>1067</v>
      </c>
      <c r="AG357" s="370"/>
      <c r="AH357" s="371"/>
    </row>
    <row r="358" spans="1:34" s="80" customFormat="1" ht="12" customHeight="1">
      <c r="A358" s="355">
        <v>2156</v>
      </c>
      <c r="B358" s="219" t="s">
        <v>2701</v>
      </c>
      <c r="C358" s="219" t="s">
        <v>2701</v>
      </c>
      <c r="D358" s="219" t="s">
        <v>2702</v>
      </c>
      <c r="E358" s="355">
        <v>2</v>
      </c>
      <c r="F358" s="356">
        <v>6</v>
      </c>
      <c r="G358" s="69">
        <v>339</v>
      </c>
      <c r="H358" s="222" t="s">
        <v>2858</v>
      </c>
      <c r="I358" s="369" t="s">
        <v>2858</v>
      </c>
      <c r="J358" s="224">
        <v>20500100276801</v>
      </c>
      <c r="K358" s="225" t="s">
        <v>148</v>
      </c>
      <c r="L358" s="225"/>
      <c r="M358" s="225">
        <v>80</v>
      </c>
      <c r="N358" s="223" t="s">
        <v>2019</v>
      </c>
      <c r="O358" s="222" t="s">
        <v>1971</v>
      </c>
      <c r="P358" s="223">
        <v>3373048</v>
      </c>
      <c r="Q358" s="222" t="s">
        <v>1956</v>
      </c>
      <c r="R358" s="222" t="s">
        <v>2020</v>
      </c>
      <c r="S358" s="226" t="s">
        <v>2021</v>
      </c>
      <c r="T358" s="227">
        <v>0</v>
      </c>
      <c r="U358" s="228">
        <v>19</v>
      </c>
      <c r="V358" s="228">
        <v>7</v>
      </c>
      <c r="W358" s="246" t="s">
        <v>2702</v>
      </c>
      <c r="X358" s="246" t="s">
        <v>2701</v>
      </c>
      <c r="Y358" s="229">
        <v>26</v>
      </c>
      <c r="Z358" s="227">
        <v>0</v>
      </c>
      <c r="AA358" s="228">
        <v>0</v>
      </c>
      <c r="AB358" s="228">
        <v>0</v>
      </c>
      <c r="AC358" s="220"/>
      <c r="AD358" s="246"/>
      <c r="AE358" s="229">
        <v>0</v>
      </c>
      <c r="AF358" s="247">
        <v>26</v>
      </c>
      <c r="AG358" s="370"/>
      <c r="AH358" s="371"/>
    </row>
    <row r="359" spans="1:34" s="80" customFormat="1" ht="12" customHeight="1">
      <c r="A359" s="66">
        <v>3001</v>
      </c>
      <c r="B359" s="67" t="s">
        <v>2675</v>
      </c>
      <c r="C359" s="67" t="s">
        <v>2675</v>
      </c>
      <c r="D359" s="67" t="s">
        <v>2704</v>
      </c>
      <c r="E359" s="66">
        <v>3</v>
      </c>
      <c r="F359" s="372">
        <v>1</v>
      </c>
      <c r="G359" s="69">
        <v>356</v>
      </c>
      <c r="H359" s="37" t="s">
        <v>2047</v>
      </c>
      <c r="I359" s="37" t="s">
        <v>2048</v>
      </c>
      <c r="J359" s="70">
        <v>40500101694601</v>
      </c>
      <c r="K359" s="38" t="s">
        <v>226</v>
      </c>
      <c r="L359" s="38"/>
      <c r="M359" s="38">
        <v>1</v>
      </c>
      <c r="N359" s="37" t="s">
        <v>183</v>
      </c>
      <c r="O359" s="37" t="s">
        <v>2049</v>
      </c>
      <c r="P359" s="71" t="s">
        <v>2050</v>
      </c>
      <c r="Q359" s="37" t="s">
        <v>2051</v>
      </c>
      <c r="R359" s="37" t="s">
        <v>2052</v>
      </c>
      <c r="S359" s="72" t="s">
        <v>2053</v>
      </c>
      <c r="T359" s="98">
        <v>135</v>
      </c>
      <c r="U359" s="99">
        <v>60</v>
      </c>
      <c r="V359" s="99">
        <v>0</v>
      </c>
      <c r="W359" s="373" t="s">
        <v>2704</v>
      </c>
      <c r="X359" s="373" t="s">
        <v>2675</v>
      </c>
      <c r="Y359" s="76">
        <v>195</v>
      </c>
      <c r="Z359" s="73">
        <v>0</v>
      </c>
      <c r="AA359" s="74">
        <v>0</v>
      </c>
      <c r="AB359" s="74">
        <v>0</v>
      </c>
      <c r="AC359" s="75"/>
      <c r="AD359" s="373"/>
      <c r="AE359" s="76">
        <v>0</v>
      </c>
      <c r="AF359" s="77">
        <v>195</v>
      </c>
      <c r="AG359" s="79"/>
      <c r="AH359" s="374"/>
    </row>
    <row r="360" spans="1:34" s="80" customFormat="1" ht="12" customHeight="1">
      <c r="A360" s="66">
        <v>3002</v>
      </c>
      <c r="B360" s="67" t="s">
        <v>2675</v>
      </c>
      <c r="C360" s="67" t="s">
        <v>2675</v>
      </c>
      <c r="D360" s="67" t="s">
        <v>2704</v>
      </c>
      <c r="E360" s="66">
        <v>3</v>
      </c>
      <c r="F360" s="375">
        <v>1</v>
      </c>
      <c r="G360" s="69">
        <v>357</v>
      </c>
      <c r="H360" s="84" t="s">
        <v>1281</v>
      </c>
      <c r="I360" s="84" t="s">
        <v>1281</v>
      </c>
      <c r="J360" s="262">
        <v>10500102584401</v>
      </c>
      <c r="K360" s="88" t="s">
        <v>148</v>
      </c>
      <c r="L360" s="88" t="s">
        <v>120</v>
      </c>
      <c r="M360" s="88">
        <v>1</v>
      </c>
      <c r="N360" s="84" t="s">
        <v>156</v>
      </c>
      <c r="O360" s="84" t="s">
        <v>1282</v>
      </c>
      <c r="P360" s="263" t="s">
        <v>1283</v>
      </c>
      <c r="Q360" s="84" t="s">
        <v>159</v>
      </c>
      <c r="R360" s="84" t="s">
        <v>1284</v>
      </c>
      <c r="S360" s="264" t="s">
        <v>1285</v>
      </c>
      <c r="T360" s="376">
        <v>0</v>
      </c>
      <c r="U360" s="377">
        <v>212</v>
      </c>
      <c r="V360" s="377">
        <v>88</v>
      </c>
      <c r="W360" s="373" t="s">
        <v>2704</v>
      </c>
      <c r="X360" s="373" t="s">
        <v>2675</v>
      </c>
      <c r="Y360" s="76">
        <v>300</v>
      </c>
      <c r="Z360" s="376">
        <v>0</v>
      </c>
      <c r="AA360" s="377">
        <v>0</v>
      </c>
      <c r="AB360" s="377">
        <v>0</v>
      </c>
      <c r="AC360" s="75"/>
      <c r="AD360" s="373"/>
      <c r="AE360" s="76">
        <v>0</v>
      </c>
      <c r="AF360" s="77">
        <v>300</v>
      </c>
      <c r="AG360" s="271" t="s">
        <v>1286</v>
      </c>
      <c r="AH360" s="374"/>
    </row>
    <row r="361" spans="1:34" s="80" customFormat="1" ht="12" customHeight="1">
      <c r="A361" s="66">
        <v>3003</v>
      </c>
      <c r="B361" s="67" t="s">
        <v>2675</v>
      </c>
      <c r="C361" s="67" t="s">
        <v>2675</v>
      </c>
      <c r="D361" s="67" t="s">
        <v>2704</v>
      </c>
      <c r="E361" s="66">
        <v>3</v>
      </c>
      <c r="F361" s="375">
        <v>1</v>
      </c>
      <c r="G361" s="69">
        <v>358</v>
      </c>
      <c r="H361" s="84" t="s">
        <v>2054</v>
      </c>
      <c r="I361" s="84" t="s">
        <v>2054</v>
      </c>
      <c r="J361" s="262">
        <v>10500102584403</v>
      </c>
      <c r="K361" s="88" t="s">
        <v>148</v>
      </c>
      <c r="L361" s="88"/>
      <c r="M361" s="88">
        <v>1</v>
      </c>
      <c r="N361" s="84" t="s">
        <v>156</v>
      </c>
      <c r="O361" s="84" t="s">
        <v>2055</v>
      </c>
      <c r="P361" s="263">
        <v>5280020</v>
      </c>
      <c r="Q361" s="84" t="s">
        <v>159</v>
      </c>
      <c r="R361" s="84" t="s">
        <v>2056</v>
      </c>
      <c r="S361" s="264" t="s">
        <v>161</v>
      </c>
      <c r="T361" s="376">
        <v>0</v>
      </c>
      <c r="U361" s="377">
        <v>453</v>
      </c>
      <c r="V361" s="377">
        <v>47</v>
      </c>
      <c r="W361" s="373" t="s">
        <v>2704</v>
      </c>
      <c r="X361" s="373" t="s">
        <v>2675</v>
      </c>
      <c r="Y361" s="76">
        <v>500</v>
      </c>
      <c r="Z361" s="376">
        <v>0</v>
      </c>
      <c r="AA361" s="377">
        <v>0</v>
      </c>
      <c r="AB361" s="377">
        <v>0</v>
      </c>
      <c r="AC361" s="75"/>
      <c r="AD361" s="373"/>
      <c r="AE361" s="76">
        <v>0</v>
      </c>
      <c r="AF361" s="77">
        <v>500</v>
      </c>
      <c r="AG361" s="270"/>
      <c r="AH361" s="374"/>
    </row>
    <row r="362" spans="1:34" s="80" customFormat="1" ht="12" customHeight="1">
      <c r="A362" s="66">
        <v>3004</v>
      </c>
      <c r="B362" s="67" t="s">
        <v>2675</v>
      </c>
      <c r="C362" s="67" t="s">
        <v>2675</v>
      </c>
      <c r="D362" s="67" t="s">
        <v>2704</v>
      </c>
      <c r="E362" s="66">
        <v>3</v>
      </c>
      <c r="F362" s="375">
        <v>1</v>
      </c>
      <c r="G362" s="69">
        <v>359</v>
      </c>
      <c r="H362" s="84" t="s">
        <v>155</v>
      </c>
      <c r="I362" s="84" t="s">
        <v>155</v>
      </c>
      <c r="J362" s="262">
        <v>10500102584402</v>
      </c>
      <c r="K362" s="88" t="s">
        <v>148</v>
      </c>
      <c r="L362" s="88"/>
      <c r="M362" s="88">
        <v>1</v>
      </c>
      <c r="N362" s="84" t="s">
        <v>156</v>
      </c>
      <c r="O362" s="84" t="s">
        <v>157</v>
      </c>
      <c r="P362" s="263" t="s">
        <v>158</v>
      </c>
      <c r="Q362" s="84" t="s">
        <v>159</v>
      </c>
      <c r="R362" s="84" t="s">
        <v>160</v>
      </c>
      <c r="S362" s="264" t="s">
        <v>161</v>
      </c>
      <c r="T362" s="376">
        <v>309</v>
      </c>
      <c r="U362" s="377">
        <v>91</v>
      </c>
      <c r="V362" s="377">
        <v>0</v>
      </c>
      <c r="W362" s="373" t="s">
        <v>2704</v>
      </c>
      <c r="X362" s="373" t="s">
        <v>2675</v>
      </c>
      <c r="Y362" s="76">
        <v>400</v>
      </c>
      <c r="Z362" s="376">
        <v>0</v>
      </c>
      <c r="AA362" s="377">
        <v>0</v>
      </c>
      <c r="AB362" s="377">
        <v>0</v>
      </c>
      <c r="AC362" s="75"/>
      <c r="AD362" s="373"/>
      <c r="AE362" s="76">
        <v>0</v>
      </c>
      <c r="AF362" s="77">
        <v>400</v>
      </c>
      <c r="AG362" s="271" t="s">
        <v>162</v>
      </c>
      <c r="AH362" s="374"/>
    </row>
    <row r="363" spans="1:34" s="80" customFormat="1" ht="12" customHeight="1">
      <c r="A363" s="66">
        <v>3005</v>
      </c>
      <c r="B363" s="67" t="s">
        <v>2675</v>
      </c>
      <c r="C363" s="67" t="s">
        <v>2675</v>
      </c>
      <c r="D363" s="67" t="s">
        <v>2704</v>
      </c>
      <c r="E363" s="66">
        <v>3</v>
      </c>
      <c r="F363" s="372">
        <v>1</v>
      </c>
      <c r="G363" s="69">
        <v>360</v>
      </c>
      <c r="H363" s="37" t="s">
        <v>2057</v>
      </c>
      <c r="I363" s="37" t="s">
        <v>2057</v>
      </c>
      <c r="J363" s="70">
        <v>10500101270001</v>
      </c>
      <c r="K363" s="38" t="s">
        <v>148</v>
      </c>
      <c r="L363" s="38"/>
      <c r="M363" s="38">
        <v>1</v>
      </c>
      <c r="N363" s="37" t="s">
        <v>195</v>
      </c>
      <c r="O363" s="37" t="s">
        <v>2058</v>
      </c>
      <c r="P363" s="71" t="s">
        <v>2059</v>
      </c>
      <c r="Q363" s="37" t="s">
        <v>2060</v>
      </c>
      <c r="R363" s="37" t="s">
        <v>2061</v>
      </c>
      <c r="S363" s="72" t="s">
        <v>2062</v>
      </c>
      <c r="T363" s="98">
        <v>0</v>
      </c>
      <c r="U363" s="99">
        <v>577</v>
      </c>
      <c r="V363" s="99">
        <v>203</v>
      </c>
      <c r="W363" s="373" t="s">
        <v>2704</v>
      </c>
      <c r="X363" s="373" t="s">
        <v>2675</v>
      </c>
      <c r="Y363" s="76">
        <v>780</v>
      </c>
      <c r="Z363" s="73">
        <v>0</v>
      </c>
      <c r="AA363" s="74">
        <v>0</v>
      </c>
      <c r="AB363" s="74">
        <v>0</v>
      </c>
      <c r="AC363" s="75"/>
      <c r="AD363" s="373"/>
      <c r="AE363" s="76">
        <v>0</v>
      </c>
      <c r="AF363" s="77">
        <v>780</v>
      </c>
      <c r="AG363" s="79"/>
      <c r="AH363" s="374"/>
    </row>
    <row r="364" spans="1:34" s="80" customFormat="1" ht="12" customHeight="1">
      <c r="A364" s="66">
        <v>3006</v>
      </c>
      <c r="B364" s="67" t="s">
        <v>2675</v>
      </c>
      <c r="C364" s="67" t="s">
        <v>2675</v>
      </c>
      <c r="D364" s="67" t="s">
        <v>2704</v>
      </c>
      <c r="E364" s="66">
        <v>3</v>
      </c>
      <c r="F364" s="372">
        <v>1</v>
      </c>
      <c r="G364" s="69">
        <v>361</v>
      </c>
      <c r="H364" s="37" t="s">
        <v>2063</v>
      </c>
      <c r="I364" s="37" t="s">
        <v>2063</v>
      </c>
      <c r="J364" s="70">
        <v>10500101270003</v>
      </c>
      <c r="K364" s="38" t="s">
        <v>148</v>
      </c>
      <c r="L364" s="38"/>
      <c r="M364" s="38">
        <v>1</v>
      </c>
      <c r="N364" s="37" t="s">
        <v>195</v>
      </c>
      <c r="O364" s="37" t="s">
        <v>2064</v>
      </c>
      <c r="P364" s="71">
        <v>2586525</v>
      </c>
      <c r="Q364" s="37" t="s">
        <v>2065</v>
      </c>
      <c r="R364" s="37" t="s">
        <v>2066</v>
      </c>
      <c r="S364" s="72" t="s">
        <v>2067</v>
      </c>
      <c r="T364" s="73">
        <v>260</v>
      </c>
      <c r="U364" s="74">
        <v>0</v>
      </c>
      <c r="V364" s="74">
        <v>0</v>
      </c>
      <c r="W364" s="373" t="s">
        <v>2704</v>
      </c>
      <c r="X364" s="373" t="s">
        <v>2675</v>
      </c>
      <c r="Y364" s="76">
        <v>260</v>
      </c>
      <c r="Z364" s="73">
        <v>0</v>
      </c>
      <c r="AA364" s="74">
        <v>0</v>
      </c>
      <c r="AB364" s="74">
        <v>0</v>
      </c>
      <c r="AC364" s="75"/>
      <c r="AD364" s="373"/>
      <c r="AE364" s="76">
        <v>0</v>
      </c>
      <c r="AF364" s="77">
        <v>260</v>
      </c>
      <c r="AG364" s="79"/>
      <c r="AH364" s="374"/>
    </row>
    <row r="365" spans="1:34" s="80" customFormat="1" ht="12" customHeight="1">
      <c r="A365" s="66">
        <v>3007</v>
      </c>
      <c r="B365" s="67" t="s">
        <v>2675</v>
      </c>
      <c r="C365" s="67" t="s">
        <v>2675</v>
      </c>
      <c r="D365" s="67" t="s">
        <v>2704</v>
      </c>
      <c r="E365" s="66">
        <v>3</v>
      </c>
      <c r="F365" s="372">
        <v>1</v>
      </c>
      <c r="G365" s="69">
        <v>362</v>
      </c>
      <c r="H365" s="37" t="s">
        <v>1298</v>
      </c>
      <c r="I365" s="37" t="s">
        <v>1298</v>
      </c>
      <c r="J365" s="70">
        <v>10500100234801</v>
      </c>
      <c r="K365" s="38" t="s">
        <v>148</v>
      </c>
      <c r="L365" s="79"/>
      <c r="M365" s="38">
        <v>1</v>
      </c>
      <c r="N365" s="37" t="s">
        <v>177</v>
      </c>
      <c r="O365" s="37" t="s">
        <v>1299</v>
      </c>
      <c r="P365" s="71" t="s">
        <v>1300</v>
      </c>
      <c r="Q365" s="37" t="s">
        <v>1301</v>
      </c>
      <c r="R365" s="37" t="s">
        <v>1302</v>
      </c>
      <c r="S365" s="72" t="s">
        <v>1303</v>
      </c>
      <c r="T365" s="98">
        <v>13</v>
      </c>
      <c r="U365" s="99">
        <v>337</v>
      </c>
      <c r="V365" s="99">
        <v>0</v>
      </c>
      <c r="W365" s="373" t="s">
        <v>2704</v>
      </c>
      <c r="X365" s="373" t="s">
        <v>2675</v>
      </c>
      <c r="Y365" s="76">
        <v>350</v>
      </c>
      <c r="Z365" s="73">
        <v>0</v>
      </c>
      <c r="AA365" s="74">
        <v>0</v>
      </c>
      <c r="AB365" s="74">
        <v>0</v>
      </c>
      <c r="AC365" s="75"/>
      <c r="AD365" s="373"/>
      <c r="AE365" s="76">
        <v>0</v>
      </c>
      <c r="AF365" s="77">
        <v>350</v>
      </c>
      <c r="AG365" s="79"/>
      <c r="AH365" s="374"/>
    </row>
    <row r="366" spans="1:34" s="80" customFormat="1" ht="12" customHeight="1">
      <c r="A366" s="66">
        <v>3008</v>
      </c>
      <c r="B366" s="67" t="s">
        <v>2675</v>
      </c>
      <c r="C366" s="67" t="s">
        <v>2675</v>
      </c>
      <c r="D366" s="67" t="s">
        <v>2704</v>
      </c>
      <c r="E366" s="66">
        <v>3</v>
      </c>
      <c r="F366" s="372">
        <v>1</v>
      </c>
      <c r="G366" s="69">
        <v>363</v>
      </c>
      <c r="H366" s="37" t="s">
        <v>1304</v>
      </c>
      <c r="I366" s="37" t="s">
        <v>1304</v>
      </c>
      <c r="J366" s="70">
        <v>10500100234802</v>
      </c>
      <c r="K366" s="38" t="s">
        <v>148</v>
      </c>
      <c r="L366" s="38" t="s">
        <v>120</v>
      </c>
      <c r="M366" s="38">
        <v>1</v>
      </c>
      <c r="N366" s="37" t="s">
        <v>177</v>
      </c>
      <c r="O366" s="37" t="s">
        <v>1305</v>
      </c>
      <c r="P366" s="71" t="s">
        <v>1306</v>
      </c>
      <c r="Q366" s="37" t="s">
        <v>1301</v>
      </c>
      <c r="R366" s="37" t="s">
        <v>1307</v>
      </c>
      <c r="S366" s="72" t="s">
        <v>1308</v>
      </c>
      <c r="T366" s="98">
        <v>0</v>
      </c>
      <c r="U366" s="99">
        <v>200</v>
      </c>
      <c r="V366" s="99">
        <v>60</v>
      </c>
      <c r="W366" s="373" t="s">
        <v>2704</v>
      </c>
      <c r="X366" s="373" t="s">
        <v>2675</v>
      </c>
      <c r="Y366" s="76">
        <v>260</v>
      </c>
      <c r="Z366" s="73">
        <v>0</v>
      </c>
      <c r="AA366" s="74">
        <v>0</v>
      </c>
      <c r="AB366" s="74">
        <v>0</v>
      </c>
      <c r="AC366" s="75"/>
      <c r="AD366" s="373"/>
      <c r="AE366" s="76">
        <v>0</v>
      </c>
      <c r="AF366" s="77">
        <v>260</v>
      </c>
      <c r="AG366" s="275"/>
      <c r="AH366" s="374"/>
    </row>
    <row r="367" spans="1:34" s="80" customFormat="1" ht="12" customHeight="1">
      <c r="A367" s="66">
        <v>3009</v>
      </c>
      <c r="B367" s="67" t="s">
        <v>2675</v>
      </c>
      <c r="C367" s="67" t="s">
        <v>2675</v>
      </c>
      <c r="D367" s="67" t="s">
        <v>2704</v>
      </c>
      <c r="E367" s="66">
        <v>3</v>
      </c>
      <c r="F367" s="372">
        <v>1</v>
      </c>
      <c r="G367" s="69">
        <v>364</v>
      </c>
      <c r="H367" s="37" t="s">
        <v>189</v>
      </c>
      <c r="I367" s="37" t="s">
        <v>189</v>
      </c>
      <c r="J367" s="70">
        <v>10500101216501</v>
      </c>
      <c r="K367" s="38" t="s">
        <v>148</v>
      </c>
      <c r="L367" s="38"/>
      <c r="M367" s="38">
        <v>1</v>
      </c>
      <c r="N367" s="37" t="s">
        <v>149</v>
      </c>
      <c r="O367" s="37" t="s">
        <v>190</v>
      </c>
      <c r="P367" s="71">
        <v>5211353</v>
      </c>
      <c r="Q367" s="37" t="s">
        <v>191</v>
      </c>
      <c r="R367" s="37" t="s">
        <v>192</v>
      </c>
      <c r="S367" s="72" t="s">
        <v>193</v>
      </c>
      <c r="T367" s="98">
        <v>0</v>
      </c>
      <c r="U367" s="99">
        <v>91</v>
      </c>
      <c r="V367" s="99">
        <v>59</v>
      </c>
      <c r="W367" s="373" t="s">
        <v>2704</v>
      </c>
      <c r="X367" s="373" t="s">
        <v>2675</v>
      </c>
      <c r="Y367" s="76">
        <v>150</v>
      </c>
      <c r="Z367" s="73">
        <v>0</v>
      </c>
      <c r="AA367" s="74">
        <v>0</v>
      </c>
      <c r="AB367" s="74">
        <v>0</v>
      </c>
      <c r="AC367" s="75"/>
      <c r="AD367" s="373"/>
      <c r="AE367" s="76">
        <v>0</v>
      </c>
      <c r="AF367" s="77">
        <v>150</v>
      </c>
      <c r="AG367" s="79"/>
      <c r="AH367" s="374"/>
    </row>
    <row r="368" spans="1:34" s="80" customFormat="1" ht="12" customHeight="1">
      <c r="A368" s="66">
        <v>3010</v>
      </c>
      <c r="B368" s="67" t="s">
        <v>2675</v>
      </c>
      <c r="C368" s="67" t="s">
        <v>2675</v>
      </c>
      <c r="D368" s="67" t="s">
        <v>2704</v>
      </c>
      <c r="E368" s="66">
        <v>3</v>
      </c>
      <c r="F368" s="372">
        <v>1</v>
      </c>
      <c r="G368" s="69">
        <v>365</v>
      </c>
      <c r="H368" s="37" t="s">
        <v>2068</v>
      </c>
      <c r="I368" s="37" t="s">
        <v>2068</v>
      </c>
      <c r="J368" s="70">
        <v>10500101216502</v>
      </c>
      <c r="K368" s="38" t="s">
        <v>148</v>
      </c>
      <c r="L368" s="38"/>
      <c r="M368" s="38">
        <v>1</v>
      </c>
      <c r="N368" s="37" t="s">
        <v>149</v>
      </c>
      <c r="O368" s="37" t="s">
        <v>2069</v>
      </c>
      <c r="P368" s="71">
        <v>5211321</v>
      </c>
      <c r="Q368" s="37" t="s">
        <v>191</v>
      </c>
      <c r="R368" s="37" t="s">
        <v>2070</v>
      </c>
      <c r="S368" s="72" t="s">
        <v>2071</v>
      </c>
      <c r="T368" s="98">
        <v>200</v>
      </c>
      <c r="U368" s="99">
        <v>125</v>
      </c>
      <c r="V368" s="99">
        <v>0</v>
      </c>
      <c r="W368" s="373" t="s">
        <v>2704</v>
      </c>
      <c r="X368" s="373" t="s">
        <v>2675</v>
      </c>
      <c r="Y368" s="76">
        <v>325</v>
      </c>
      <c r="Z368" s="73">
        <v>0</v>
      </c>
      <c r="AA368" s="74">
        <v>0</v>
      </c>
      <c r="AB368" s="74">
        <v>0</v>
      </c>
      <c r="AC368" s="75"/>
      <c r="AD368" s="373"/>
      <c r="AE368" s="76">
        <v>0</v>
      </c>
      <c r="AF368" s="77">
        <v>325</v>
      </c>
      <c r="AG368" s="79"/>
      <c r="AH368" s="374"/>
    </row>
    <row r="369" spans="1:34" s="80" customFormat="1" ht="12" customHeight="1">
      <c r="A369" s="66">
        <v>3011</v>
      </c>
      <c r="B369" s="67" t="s">
        <v>2675</v>
      </c>
      <c r="C369" s="67" t="s">
        <v>2675</v>
      </c>
      <c r="D369" s="67" t="s">
        <v>2704</v>
      </c>
      <c r="E369" s="66">
        <v>3</v>
      </c>
      <c r="F369" s="372">
        <v>1</v>
      </c>
      <c r="G369" s="69">
        <v>366</v>
      </c>
      <c r="H369" s="37" t="s">
        <v>1327</v>
      </c>
      <c r="I369" s="37" t="s">
        <v>1327</v>
      </c>
      <c r="J369" s="70">
        <v>10500100721801</v>
      </c>
      <c r="K369" s="38" t="s">
        <v>148</v>
      </c>
      <c r="L369" s="38" t="s">
        <v>120</v>
      </c>
      <c r="M369" s="38">
        <v>1</v>
      </c>
      <c r="N369" s="37" t="s">
        <v>208</v>
      </c>
      <c r="O369" s="37" t="s">
        <v>1328</v>
      </c>
      <c r="P369" s="71" t="s">
        <v>1329</v>
      </c>
      <c r="Q369" s="37" t="s">
        <v>1330</v>
      </c>
      <c r="R369" s="37" t="s">
        <v>1331</v>
      </c>
      <c r="S369" s="72" t="s">
        <v>1332</v>
      </c>
      <c r="T369" s="73">
        <v>0</v>
      </c>
      <c r="U369" s="74">
        <v>720</v>
      </c>
      <c r="V369" s="74">
        <v>280</v>
      </c>
      <c r="W369" s="373" t="s">
        <v>2704</v>
      </c>
      <c r="X369" s="373" t="s">
        <v>2675</v>
      </c>
      <c r="Y369" s="76">
        <v>1000</v>
      </c>
      <c r="Z369" s="73">
        <v>0</v>
      </c>
      <c r="AA369" s="74">
        <v>0</v>
      </c>
      <c r="AB369" s="74">
        <v>0</v>
      </c>
      <c r="AC369" s="75"/>
      <c r="AD369" s="373"/>
      <c r="AE369" s="76">
        <v>0</v>
      </c>
      <c r="AF369" s="77">
        <v>1000</v>
      </c>
      <c r="AG369" s="79"/>
      <c r="AH369" s="374"/>
    </row>
    <row r="370" spans="1:34" s="80" customFormat="1" ht="12" customHeight="1">
      <c r="A370" s="66">
        <v>3012</v>
      </c>
      <c r="B370" s="67" t="s">
        <v>2675</v>
      </c>
      <c r="C370" s="67" t="s">
        <v>2675</v>
      </c>
      <c r="D370" s="67" t="s">
        <v>2704</v>
      </c>
      <c r="E370" s="66">
        <v>3</v>
      </c>
      <c r="F370" s="372">
        <v>1</v>
      </c>
      <c r="G370" s="69">
        <v>367</v>
      </c>
      <c r="H370" s="37" t="s">
        <v>2072</v>
      </c>
      <c r="I370" s="37" t="s">
        <v>2072</v>
      </c>
      <c r="J370" s="70">
        <v>30500101698401</v>
      </c>
      <c r="K370" s="38" t="s">
        <v>226</v>
      </c>
      <c r="L370" s="38"/>
      <c r="M370" s="38">
        <v>1</v>
      </c>
      <c r="N370" s="37" t="s">
        <v>183</v>
      </c>
      <c r="O370" s="37" t="s">
        <v>2073</v>
      </c>
      <c r="P370" s="71">
        <v>2366036</v>
      </c>
      <c r="Q370" s="37" t="s">
        <v>2074</v>
      </c>
      <c r="R370" s="37" t="s">
        <v>2075</v>
      </c>
      <c r="S370" s="72" t="s">
        <v>2076</v>
      </c>
      <c r="T370" s="98">
        <v>72</v>
      </c>
      <c r="U370" s="99">
        <v>113</v>
      </c>
      <c r="V370" s="99">
        <v>0</v>
      </c>
      <c r="W370" s="373" t="s">
        <v>2704</v>
      </c>
      <c r="X370" s="373" t="s">
        <v>2675</v>
      </c>
      <c r="Y370" s="76">
        <v>185</v>
      </c>
      <c r="Z370" s="73">
        <v>0</v>
      </c>
      <c r="AA370" s="74">
        <v>0</v>
      </c>
      <c r="AB370" s="74">
        <v>0</v>
      </c>
      <c r="AC370" s="75"/>
      <c r="AD370" s="373"/>
      <c r="AE370" s="76">
        <v>0</v>
      </c>
      <c r="AF370" s="77">
        <v>185</v>
      </c>
      <c r="AG370" s="79"/>
      <c r="AH370" s="374"/>
    </row>
    <row r="371" spans="1:34" s="80" customFormat="1" ht="12" customHeight="1">
      <c r="A371" s="66">
        <v>3013</v>
      </c>
      <c r="B371" s="67" t="s">
        <v>2675</v>
      </c>
      <c r="C371" s="67" t="s">
        <v>2675</v>
      </c>
      <c r="D371" s="67" t="s">
        <v>2704</v>
      </c>
      <c r="E371" s="66">
        <v>3</v>
      </c>
      <c r="F371" s="372">
        <v>1</v>
      </c>
      <c r="G371" s="69">
        <v>368</v>
      </c>
      <c r="H371" s="37" t="s">
        <v>1346</v>
      </c>
      <c r="I371" s="37" t="s">
        <v>1346</v>
      </c>
      <c r="J371" s="70">
        <v>30500102182101</v>
      </c>
      <c r="K371" s="38" t="s">
        <v>226</v>
      </c>
      <c r="L371" s="38"/>
      <c r="M371" s="38">
        <v>1</v>
      </c>
      <c r="N371" s="37" t="s">
        <v>1288</v>
      </c>
      <c r="O371" s="37" t="s">
        <v>1347</v>
      </c>
      <c r="P371" s="71">
        <v>5285471</v>
      </c>
      <c r="Q371" s="37" t="s">
        <v>1348</v>
      </c>
      <c r="R371" s="37" t="s">
        <v>1349</v>
      </c>
      <c r="S371" s="72" t="s">
        <v>1350</v>
      </c>
      <c r="T371" s="73">
        <v>7</v>
      </c>
      <c r="U371" s="74">
        <v>160</v>
      </c>
      <c r="V371" s="74">
        <v>103</v>
      </c>
      <c r="W371" s="373" t="s">
        <v>2704</v>
      </c>
      <c r="X371" s="373" t="s">
        <v>2675</v>
      </c>
      <c r="Y371" s="76">
        <v>270</v>
      </c>
      <c r="Z371" s="73">
        <v>0</v>
      </c>
      <c r="AA371" s="74">
        <v>0</v>
      </c>
      <c r="AB371" s="74">
        <v>0</v>
      </c>
      <c r="AC371" s="75"/>
      <c r="AD371" s="373"/>
      <c r="AE371" s="76">
        <v>0</v>
      </c>
      <c r="AF371" s="77">
        <v>270</v>
      </c>
      <c r="AG371" s="276"/>
      <c r="AH371" s="374"/>
    </row>
    <row r="372" spans="1:34" s="80" customFormat="1" ht="12" customHeight="1">
      <c r="A372" s="66">
        <v>3014</v>
      </c>
      <c r="B372" s="67" t="s">
        <v>2675</v>
      </c>
      <c r="C372" s="67" t="s">
        <v>2675</v>
      </c>
      <c r="D372" s="67" t="s">
        <v>2704</v>
      </c>
      <c r="E372" s="66">
        <v>3</v>
      </c>
      <c r="F372" s="372">
        <v>1</v>
      </c>
      <c r="G372" s="69">
        <v>369</v>
      </c>
      <c r="H372" s="37" t="s">
        <v>2077</v>
      </c>
      <c r="I372" s="37" t="s">
        <v>2077</v>
      </c>
      <c r="J372" s="70">
        <v>30500102249601</v>
      </c>
      <c r="K372" s="38" t="s">
        <v>226</v>
      </c>
      <c r="L372" s="38"/>
      <c r="M372" s="38">
        <v>1</v>
      </c>
      <c r="N372" s="37" t="s">
        <v>1288</v>
      </c>
      <c r="O372" s="37" t="s">
        <v>2078</v>
      </c>
      <c r="P372" s="71" t="s">
        <v>2079</v>
      </c>
      <c r="Q372" s="37" t="s">
        <v>2080</v>
      </c>
      <c r="R372" s="37" t="s">
        <v>2081</v>
      </c>
      <c r="S372" s="72" t="s">
        <v>2082</v>
      </c>
      <c r="T372" s="73">
        <v>520</v>
      </c>
      <c r="U372" s="74">
        <v>719</v>
      </c>
      <c r="V372" s="74">
        <v>91</v>
      </c>
      <c r="W372" s="373" t="s">
        <v>2704</v>
      </c>
      <c r="X372" s="373" t="s">
        <v>2675</v>
      </c>
      <c r="Y372" s="76">
        <v>1330</v>
      </c>
      <c r="Z372" s="73">
        <v>0</v>
      </c>
      <c r="AA372" s="74">
        <v>0</v>
      </c>
      <c r="AB372" s="74">
        <v>0</v>
      </c>
      <c r="AC372" s="75"/>
      <c r="AD372" s="373"/>
      <c r="AE372" s="76">
        <v>0</v>
      </c>
      <c r="AF372" s="77">
        <v>1330</v>
      </c>
      <c r="AG372" s="79"/>
      <c r="AH372" s="374"/>
    </row>
    <row r="373" spans="1:34" s="80" customFormat="1" ht="12" customHeight="1">
      <c r="A373" s="66">
        <v>3015</v>
      </c>
      <c r="B373" s="67" t="s">
        <v>2675</v>
      </c>
      <c r="C373" s="67" t="s">
        <v>2675</v>
      </c>
      <c r="D373" s="67" t="s">
        <v>2704</v>
      </c>
      <c r="E373" s="66">
        <v>3</v>
      </c>
      <c r="F373" s="372">
        <v>1</v>
      </c>
      <c r="G373" s="69">
        <v>370</v>
      </c>
      <c r="H373" s="37" t="s">
        <v>2083</v>
      </c>
      <c r="I373" s="37" t="s">
        <v>2083</v>
      </c>
      <c r="J373" s="70">
        <v>10500102665401</v>
      </c>
      <c r="K373" s="38" t="s">
        <v>148</v>
      </c>
      <c r="L373" s="38"/>
      <c r="M373" s="38">
        <v>2</v>
      </c>
      <c r="N373" s="37" t="s">
        <v>2084</v>
      </c>
      <c r="O373" s="37" t="s">
        <v>2085</v>
      </c>
      <c r="P373" s="71" t="s">
        <v>2086</v>
      </c>
      <c r="Q373" s="37" t="s">
        <v>2087</v>
      </c>
      <c r="R373" s="37" t="s">
        <v>2088</v>
      </c>
      <c r="S373" s="72" t="s">
        <v>2089</v>
      </c>
      <c r="T373" s="73">
        <v>137</v>
      </c>
      <c r="U373" s="74">
        <v>252</v>
      </c>
      <c r="V373" s="74">
        <v>111</v>
      </c>
      <c r="W373" s="373" t="s">
        <v>2704</v>
      </c>
      <c r="X373" s="373" t="s">
        <v>2675</v>
      </c>
      <c r="Y373" s="76">
        <v>500</v>
      </c>
      <c r="Z373" s="73">
        <v>0</v>
      </c>
      <c r="AA373" s="74">
        <v>0</v>
      </c>
      <c r="AB373" s="74">
        <v>0</v>
      </c>
      <c r="AC373" s="75"/>
      <c r="AD373" s="373"/>
      <c r="AE373" s="76">
        <v>0</v>
      </c>
      <c r="AF373" s="77">
        <v>500</v>
      </c>
      <c r="AG373" s="79"/>
      <c r="AH373" s="374"/>
    </row>
    <row r="374" spans="1:34" s="80" customFormat="1" ht="12" customHeight="1">
      <c r="A374" s="66">
        <v>3016</v>
      </c>
      <c r="B374" s="67" t="s">
        <v>2675</v>
      </c>
      <c r="C374" s="67" t="s">
        <v>2675</v>
      </c>
      <c r="D374" s="67" t="s">
        <v>2704</v>
      </c>
      <c r="E374" s="66">
        <v>3</v>
      </c>
      <c r="F374" s="83">
        <v>1</v>
      </c>
      <c r="G374" s="69">
        <v>371</v>
      </c>
      <c r="H374" s="85" t="s">
        <v>232</v>
      </c>
      <c r="I374" s="85" t="s">
        <v>232</v>
      </c>
      <c r="J374" s="86">
        <v>10500100671801</v>
      </c>
      <c r="K374" s="87" t="s">
        <v>148</v>
      </c>
      <c r="L374" s="87"/>
      <c r="M374" s="87">
        <v>2</v>
      </c>
      <c r="N374" s="85" t="s">
        <v>233</v>
      </c>
      <c r="O374" s="85" t="s">
        <v>234</v>
      </c>
      <c r="P374" s="89" t="s">
        <v>235</v>
      </c>
      <c r="Q374" s="85" t="s">
        <v>236</v>
      </c>
      <c r="R374" s="85" t="s">
        <v>237</v>
      </c>
      <c r="S374" s="90" t="s">
        <v>238</v>
      </c>
      <c r="T374" s="91">
        <v>0</v>
      </c>
      <c r="U374" s="92">
        <v>0</v>
      </c>
      <c r="V374" s="92">
        <v>86</v>
      </c>
      <c r="W374" s="373" t="s">
        <v>2704</v>
      </c>
      <c r="X374" s="373" t="s">
        <v>2675</v>
      </c>
      <c r="Y374" s="76">
        <v>86</v>
      </c>
      <c r="Z374" s="91">
        <v>0</v>
      </c>
      <c r="AA374" s="92">
        <v>0</v>
      </c>
      <c r="AB374" s="92">
        <v>0</v>
      </c>
      <c r="AC374" s="75"/>
      <c r="AD374" s="373"/>
      <c r="AE374" s="76">
        <v>0</v>
      </c>
      <c r="AF374" s="77">
        <v>86</v>
      </c>
      <c r="AG374" s="95" t="s">
        <v>2090</v>
      </c>
      <c r="AH374" s="374"/>
    </row>
    <row r="375" spans="1:34" s="80" customFormat="1" ht="12" customHeight="1">
      <c r="A375" s="66">
        <v>3017</v>
      </c>
      <c r="B375" s="67" t="s">
        <v>2675</v>
      </c>
      <c r="C375" s="67" t="s">
        <v>2675</v>
      </c>
      <c r="D375" s="67" t="s">
        <v>2704</v>
      </c>
      <c r="E375" s="66">
        <v>3</v>
      </c>
      <c r="F375" s="83">
        <v>1</v>
      </c>
      <c r="G375" s="69">
        <v>372</v>
      </c>
      <c r="H375" s="85" t="s">
        <v>232</v>
      </c>
      <c r="I375" s="85" t="s">
        <v>2091</v>
      </c>
      <c r="J375" s="86">
        <v>10500100671804</v>
      </c>
      <c r="K375" s="87" t="s">
        <v>148</v>
      </c>
      <c r="L375" s="87"/>
      <c r="M375" s="87">
        <v>2</v>
      </c>
      <c r="N375" s="85" t="s">
        <v>233</v>
      </c>
      <c r="O375" s="85" t="s">
        <v>234</v>
      </c>
      <c r="P375" s="89" t="s">
        <v>235</v>
      </c>
      <c r="Q375" s="85" t="s">
        <v>236</v>
      </c>
      <c r="R375" s="85" t="s">
        <v>237</v>
      </c>
      <c r="S375" s="90" t="s">
        <v>238</v>
      </c>
      <c r="T375" s="91">
        <v>57</v>
      </c>
      <c r="U375" s="92">
        <v>0</v>
      </c>
      <c r="V375" s="92">
        <v>0</v>
      </c>
      <c r="W375" s="373" t="s">
        <v>2704</v>
      </c>
      <c r="X375" s="373" t="s">
        <v>2675</v>
      </c>
      <c r="Y375" s="76">
        <v>57</v>
      </c>
      <c r="Z375" s="91">
        <v>0</v>
      </c>
      <c r="AA375" s="92">
        <v>0</v>
      </c>
      <c r="AB375" s="92">
        <v>0</v>
      </c>
      <c r="AC375" s="75"/>
      <c r="AD375" s="373"/>
      <c r="AE375" s="76">
        <v>0</v>
      </c>
      <c r="AF375" s="77">
        <v>57</v>
      </c>
      <c r="AG375" s="95" t="s">
        <v>2090</v>
      </c>
      <c r="AH375" s="374"/>
    </row>
    <row r="376" spans="1:34" s="80" customFormat="1" ht="12" customHeight="1">
      <c r="A376" s="66">
        <v>3018</v>
      </c>
      <c r="B376" s="67" t="s">
        <v>2675</v>
      </c>
      <c r="C376" s="67" t="s">
        <v>2675</v>
      </c>
      <c r="D376" s="67" t="s">
        <v>2704</v>
      </c>
      <c r="E376" s="66">
        <v>3</v>
      </c>
      <c r="F376" s="102">
        <v>1</v>
      </c>
      <c r="G376" s="69">
        <v>373</v>
      </c>
      <c r="H376" s="85" t="s">
        <v>232</v>
      </c>
      <c r="I376" s="85" t="s">
        <v>240</v>
      </c>
      <c r="J376" s="86">
        <v>10500100671803</v>
      </c>
      <c r="K376" s="87" t="s">
        <v>148</v>
      </c>
      <c r="L376" s="95"/>
      <c r="M376" s="87">
        <v>2</v>
      </c>
      <c r="N376" s="85" t="s">
        <v>233</v>
      </c>
      <c r="O376" s="85" t="s">
        <v>234</v>
      </c>
      <c r="P376" s="89" t="s">
        <v>235</v>
      </c>
      <c r="Q376" s="85" t="s">
        <v>236</v>
      </c>
      <c r="R376" s="85" t="s">
        <v>237</v>
      </c>
      <c r="S376" s="90" t="s">
        <v>238</v>
      </c>
      <c r="T376" s="91">
        <v>60</v>
      </c>
      <c r="U376" s="92">
        <v>200</v>
      </c>
      <c r="V376" s="92">
        <v>0</v>
      </c>
      <c r="W376" s="373" t="s">
        <v>2704</v>
      </c>
      <c r="X376" s="373" t="s">
        <v>2675</v>
      </c>
      <c r="Y376" s="76">
        <v>260</v>
      </c>
      <c r="Z376" s="91">
        <v>0</v>
      </c>
      <c r="AA376" s="92">
        <v>0</v>
      </c>
      <c r="AB376" s="92">
        <v>0</v>
      </c>
      <c r="AC376" s="75"/>
      <c r="AD376" s="373"/>
      <c r="AE376" s="76">
        <v>0</v>
      </c>
      <c r="AF376" s="77">
        <v>260</v>
      </c>
      <c r="AG376" s="95" t="s">
        <v>2090</v>
      </c>
      <c r="AH376" s="374"/>
    </row>
    <row r="377" spans="1:34" s="80" customFormat="1" ht="12" customHeight="1">
      <c r="A377" s="66">
        <v>3019</v>
      </c>
      <c r="B377" s="67" t="s">
        <v>2675</v>
      </c>
      <c r="C377" s="67" t="s">
        <v>2675</v>
      </c>
      <c r="D377" s="67" t="s">
        <v>2704</v>
      </c>
      <c r="E377" s="66">
        <v>3</v>
      </c>
      <c r="F377" s="372">
        <v>1</v>
      </c>
      <c r="G377" s="69">
        <v>374</v>
      </c>
      <c r="H377" s="37" t="s">
        <v>2092</v>
      </c>
      <c r="I377" s="37" t="s">
        <v>2092</v>
      </c>
      <c r="J377" s="70">
        <v>10500101945301</v>
      </c>
      <c r="K377" s="38" t="s">
        <v>148</v>
      </c>
      <c r="L377" s="38"/>
      <c r="M377" s="38">
        <v>2</v>
      </c>
      <c r="N377" s="37" t="s">
        <v>245</v>
      </c>
      <c r="O377" s="37" t="s">
        <v>2093</v>
      </c>
      <c r="P377" s="71">
        <v>5218673</v>
      </c>
      <c r="Q377" s="37" t="s">
        <v>248</v>
      </c>
      <c r="R377" s="37" t="s">
        <v>2094</v>
      </c>
      <c r="S377" s="72" t="s">
        <v>2095</v>
      </c>
      <c r="T377" s="98">
        <v>0</v>
      </c>
      <c r="U377" s="99">
        <v>408</v>
      </c>
      <c r="V377" s="99">
        <v>442</v>
      </c>
      <c r="W377" s="373" t="s">
        <v>2704</v>
      </c>
      <c r="X377" s="373" t="s">
        <v>2675</v>
      </c>
      <c r="Y377" s="76">
        <v>850</v>
      </c>
      <c r="Z377" s="73">
        <v>0</v>
      </c>
      <c r="AA377" s="74">
        <v>0</v>
      </c>
      <c r="AB377" s="74">
        <v>0</v>
      </c>
      <c r="AC377" s="75"/>
      <c r="AD377" s="373"/>
      <c r="AE377" s="76">
        <v>0</v>
      </c>
      <c r="AF377" s="77">
        <v>850</v>
      </c>
      <c r="AG377" s="79"/>
      <c r="AH377" s="374"/>
    </row>
    <row r="378" spans="1:34" s="80" customFormat="1" ht="12" customHeight="1">
      <c r="A378" s="66">
        <v>3020</v>
      </c>
      <c r="B378" s="67" t="s">
        <v>2675</v>
      </c>
      <c r="C378" s="67" t="s">
        <v>2675</v>
      </c>
      <c r="D378" s="67" t="s">
        <v>2704</v>
      </c>
      <c r="E378" s="66">
        <v>3</v>
      </c>
      <c r="F378" s="372">
        <v>1</v>
      </c>
      <c r="G378" s="69">
        <v>375</v>
      </c>
      <c r="H378" s="37" t="s">
        <v>2096</v>
      </c>
      <c r="I378" s="37" t="s">
        <v>2096</v>
      </c>
      <c r="J378" s="70">
        <v>10500100127903</v>
      </c>
      <c r="K378" s="38" t="s">
        <v>148</v>
      </c>
      <c r="L378" s="38"/>
      <c r="M378" s="38">
        <v>2</v>
      </c>
      <c r="N378" s="37" t="s">
        <v>259</v>
      </c>
      <c r="O378" s="37" t="s">
        <v>2097</v>
      </c>
      <c r="P378" s="71">
        <v>2360755</v>
      </c>
      <c r="Q378" s="37" t="s">
        <v>262</v>
      </c>
      <c r="R378" s="37" t="s">
        <v>2098</v>
      </c>
      <c r="S378" s="72" t="s">
        <v>2099</v>
      </c>
      <c r="T378" s="98">
        <v>375</v>
      </c>
      <c r="U378" s="99">
        <v>260</v>
      </c>
      <c r="V378" s="99">
        <v>0</v>
      </c>
      <c r="W378" s="373" t="s">
        <v>2704</v>
      </c>
      <c r="X378" s="373" t="s">
        <v>2675</v>
      </c>
      <c r="Y378" s="76">
        <v>635</v>
      </c>
      <c r="Z378" s="73">
        <v>0</v>
      </c>
      <c r="AA378" s="74">
        <v>0</v>
      </c>
      <c r="AB378" s="74">
        <v>0</v>
      </c>
      <c r="AC378" s="75"/>
      <c r="AD378" s="373"/>
      <c r="AE378" s="76">
        <v>0</v>
      </c>
      <c r="AF378" s="77">
        <v>635</v>
      </c>
      <c r="AG378" s="79"/>
      <c r="AH378" s="374"/>
    </row>
    <row r="379" spans="1:34" s="80" customFormat="1" ht="12" customHeight="1">
      <c r="A379" s="66">
        <v>3021</v>
      </c>
      <c r="B379" s="67" t="s">
        <v>2675</v>
      </c>
      <c r="C379" s="67" t="s">
        <v>2675</v>
      </c>
      <c r="D379" s="67" t="s">
        <v>2704</v>
      </c>
      <c r="E379" s="66">
        <v>3</v>
      </c>
      <c r="F379" s="372">
        <v>1</v>
      </c>
      <c r="G379" s="69">
        <v>376</v>
      </c>
      <c r="H379" s="37" t="s">
        <v>2100</v>
      </c>
      <c r="I379" s="37" t="s">
        <v>2100</v>
      </c>
      <c r="J379" s="70">
        <v>10500100116301</v>
      </c>
      <c r="K379" s="38" t="s">
        <v>148</v>
      </c>
      <c r="L379" s="38"/>
      <c r="M379" s="38">
        <v>2</v>
      </c>
      <c r="N379" s="37" t="s">
        <v>259</v>
      </c>
      <c r="O379" s="37" t="s">
        <v>2101</v>
      </c>
      <c r="P379" s="71">
        <v>5217466</v>
      </c>
      <c r="Q379" s="37" t="s">
        <v>2102</v>
      </c>
      <c r="R379" s="37" t="s">
        <v>2103</v>
      </c>
      <c r="S379" s="72" t="s">
        <v>2104</v>
      </c>
      <c r="T379" s="98">
        <v>216</v>
      </c>
      <c r="U379" s="99">
        <v>189</v>
      </c>
      <c r="V379" s="99">
        <v>130</v>
      </c>
      <c r="W379" s="373" t="s">
        <v>2704</v>
      </c>
      <c r="X379" s="373" t="s">
        <v>2675</v>
      </c>
      <c r="Y379" s="76">
        <v>535</v>
      </c>
      <c r="Z379" s="73">
        <v>0</v>
      </c>
      <c r="AA379" s="74">
        <v>0</v>
      </c>
      <c r="AB379" s="74">
        <v>0</v>
      </c>
      <c r="AC379" s="75"/>
      <c r="AD379" s="373"/>
      <c r="AE379" s="76">
        <v>0</v>
      </c>
      <c r="AF379" s="77">
        <v>535</v>
      </c>
      <c r="AG379" s="79"/>
      <c r="AH379" s="374"/>
    </row>
    <row r="380" spans="1:34" s="80" customFormat="1" ht="12" customHeight="1">
      <c r="A380" s="66">
        <v>3022</v>
      </c>
      <c r="B380" s="67" t="s">
        <v>2675</v>
      </c>
      <c r="C380" s="67" t="s">
        <v>2675</v>
      </c>
      <c r="D380" s="67" t="s">
        <v>2704</v>
      </c>
      <c r="E380" s="66">
        <v>3</v>
      </c>
      <c r="F380" s="372">
        <v>1</v>
      </c>
      <c r="G380" s="69">
        <v>377</v>
      </c>
      <c r="H380" s="37" t="s">
        <v>277</v>
      </c>
      <c r="I380" s="37" t="s">
        <v>277</v>
      </c>
      <c r="J380" s="70">
        <v>10500100004301</v>
      </c>
      <c r="K380" s="38" t="s">
        <v>148</v>
      </c>
      <c r="L380" s="38"/>
      <c r="M380" s="38">
        <v>2</v>
      </c>
      <c r="N380" s="37" t="s">
        <v>278</v>
      </c>
      <c r="O380" s="37" t="s">
        <v>279</v>
      </c>
      <c r="P380" s="71">
        <v>5294058</v>
      </c>
      <c r="Q380" s="37" t="s">
        <v>280</v>
      </c>
      <c r="R380" s="37" t="s">
        <v>281</v>
      </c>
      <c r="S380" s="72" t="s">
        <v>282</v>
      </c>
      <c r="T380" s="73">
        <v>304</v>
      </c>
      <c r="U380" s="74">
        <v>196</v>
      </c>
      <c r="V380" s="74">
        <v>0</v>
      </c>
      <c r="W380" s="373" t="s">
        <v>2704</v>
      </c>
      <c r="X380" s="373" t="s">
        <v>2675</v>
      </c>
      <c r="Y380" s="76">
        <v>500</v>
      </c>
      <c r="Z380" s="73">
        <v>0</v>
      </c>
      <c r="AA380" s="74">
        <v>0</v>
      </c>
      <c r="AB380" s="74">
        <v>0</v>
      </c>
      <c r="AC380" s="75"/>
      <c r="AD380" s="373"/>
      <c r="AE380" s="76">
        <v>0</v>
      </c>
      <c r="AF380" s="77">
        <v>500</v>
      </c>
      <c r="AG380" s="79"/>
      <c r="AH380" s="374"/>
    </row>
    <row r="381" spans="1:34" s="80" customFormat="1" ht="12" customHeight="1">
      <c r="A381" s="66">
        <v>3023</v>
      </c>
      <c r="B381" s="67" t="s">
        <v>2675</v>
      </c>
      <c r="C381" s="67" t="s">
        <v>2675</v>
      </c>
      <c r="D381" s="67" t="s">
        <v>2704</v>
      </c>
      <c r="E381" s="66">
        <v>3</v>
      </c>
      <c r="F381" s="372">
        <v>1</v>
      </c>
      <c r="G381" s="69">
        <v>378</v>
      </c>
      <c r="H381" s="37" t="s">
        <v>2105</v>
      </c>
      <c r="I381" s="37" t="s">
        <v>2105</v>
      </c>
      <c r="J381" s="70">
        <v>10500100000101</v>
      </c>
      <c r="K381" s="38" t="s">
        <v>148</v>
      </c>
      <c r="L381" s="38"/>
      <c r="M381" s="38">
        <v>2</v>
      </c>
      <c r="N381" s="37" t="s">
        <v>1369</v>
      </c>
      <c r="O381" s="37" t="s">
        <v>2106</v>
      </c>
      <c r="P381" s="71" t="s">
        <v>2107</v>
      </c>
      <c r="Q381" s="37" t="s">
        <v>2108</v>
      </c>
      <c r="R381" s="37" t="s">
        <v>2109</v>
      </c>
      <c r="S381" s="72" t="s">
        <v>2110</v>
      </c>
      <c r="T381" s="73">
        <v>301</v>
      </c>
      <c r="U381" s="74">
        <v>484</v>
      </c>
      <c r="V381" s="74">
        <v>135</v>
      </c>
      <c r="W381" s="373" t="s">
        <v>2704</v>
      </c>
      <c r="X381" s="373" t="s">
        <v>2675</v>
      </c>
      <c r="Y381" s="76">
        <v>920</v>
      </c>
      <c r="Z381" s="73">
        <v>0</v>
      </c>
      <c r="AA381" s="74">
        <v>0</v>
      </c>
      <c r="AB381" s="74">
        <v>0</v>
      </c>
      <c r="AC381" s="75"/>
      <c r="AD381" s="373"/>
      <c r="AE381" s="76">
        <v>0</v>
      </c>
      <c r="AF381" s="77">
        <v>920</v>
      </c>
      <c r="AG381" s="79"/>
      <c r="AH381" s="374"/>
    </row>
    <row r="382" spans="1:34" s="80" customFormat="1" ht="12" customHeight="1">
      <c r="A382" s="66">
        <v>3024</v>
      </c>
      <c r="B382" s="67" t="s">
        <v>2675</v>
      </c>
      <c r="C382" s="67" t="s">
        <v>2675</v>
      </c>
      <c r="D382" s="67" t="s">
        <v>2704</v>
      </c>
      <c r="E382" s="66">
        <v>3</v>
      </c>
      <c r="F382" s="372">
        <v>1</v>
      </c>
      <c r="G382" s="69">
        <v>379</v>
      </c>
      <c r="H382" s="37" t="s">
        <v>1362</v>
      </c>
      <c r="I382" s="37" t="s">
        <v>1362</v>
      </c>
      <c r="J382" s="70">
        <v>10500102396501</v>
      </c>
      <c r="K382" s="38" t="s">
        <v>148</v>
      </c>
      <c r="L382" s="38" t="s">
        <v>120</v>
      </c>
      <c r="M382" s="38">
        <v>2</v>
      </c>
      <c r="N382" s="37" t="s">
        <v>233</v>
      </c>
      <c r="O382" s="37" t="s">
        <v>1363</v>
      </c>
      <c r="P382" s="71" t="s">
        <v>1364</v>
      </c>
      <c r="Q382" s="37" t="s">
        <v>1365</v>
      </c>
      <c r="R382" s="37" t="s">
        <v>1366</v>
      </c>
      <c r="S382" s="72" t="s">
        <v>1367</v>
      </c>
      <c r="T382" s="73">
        <v>0</v>
      </c>
      <c r="U382" s="74">
        <v>630</v>
      </c>
      <c r="V382" s="74">
        <v>370</v>
      </c>
      <c r="W382" s="373" t="s">
        <v>2704</v>
      </c>
      <c r="X382" s="373" t="s">
        <v>2675</v>
      </c>
      <c r="Y382" s="76">
        <v>1000</v>
      </c>
      <c r="Z382" s="73">
        <v>0</v>
      </c>
      <c r="AA382" s="74">
        <v>0</v>
      </c>
      <c r="AB382" s="74">
        <v>0</v>
      </c>
      <c r="AC382" s="75"/>
      <c r="AD382" s="373"/>
      <c r="AE382" s="76">
        <v>0</v>
      </c>
      <c r="AF382" s="77">
        <v>1000</v>
      </c>
      <c r="AG382" s="275"/>
      <c r="AH382" s="374"/>
    </row>
    <row r="383" spans="1:34" s="80" customFormat="1" ht="12" customHeight="1">
      <c r="A383" s="66">
        <v>3025</v>
      </c>
      <c r="B383" s="67" t="s">
        <v>2675</v>
      </c>
      <c r="C383" s="67" t="s">
        <v>2675</v>
      </c>
      <c r="D383" s="67" t="s">
        <v>2704</v>
      </c>
      <c r="E383" s="66">
        <v>3</v>
      </c>
      <c r="F383" s="372">
        <v>1</v>
      </c>
      <c r="G383" s="69">
        <v>380</v>
      </c>
      <c r="H383" s="37" t="s">
        <v>283</v>
      </c>
      <c r="I383" s="37" t="s">
        <v>283</v>
      </c>
      <c r="J383" s="70">
        <v>10500102396502</v>
      </c>
      <c r="K383" s="38" t="s">
        <v>148</v>
      </c>
      <c r="L383" s="38"/>
      <c r="M383" s="38">
        <v>2</v>
      </c>
      <c r="N383" s="37" t="s">
        <v>284</v>
      </c>
      <c r="O383" s="37" t="s">
        <v>285</v>
      </c>
      <c r="P383" s="71">
        <v>2369693</v>
      </c>
      <c r="Q383" s="37" t="s">
        <v>286</v>
      </c>
      <c r="R383" s="37" t="s">
        <v>287</v>
      </c>
      <c r="S383" s="72" t="s">
        <v>288</v>
      </c>
      <c r="T383" s="73">
        <v>130</v>
      </c>
      <c r="U383" s="74">
        <v>30</v>
      </c>
      <c r="V383" s="74">
        <v>0</v>
      </c>
      <c r="W383" s="373" t="s">
        <v>2704</v>
      </c>
      <c r="X383" s="373" t="s">
        <v>2675</v>
      </c>
      <c r="Y383" s="76">
        <v>160</v>
      </c>
      <c r="Z383" s="73">
        <v>0</v>
      </c>
      <c r="AA383" s="74">
        <v>0</v>
      </c>
      <c r="AB383" s="74">
        <v>0</v>
      </c>
      <c r="AC383" s="75"/>
      <c r="AD383" s="373"/>
      <c r="AE383" s="76">
        <v>0</v>
      </c>
      <c r="AF383" s="77">
        <v>160</v>
      </c>
      <c r="AG383" s="79"/>
      <c r="AH383" s="374"/>
    </row>
    <row r="384" spans="1:34" s="80" customFormat="1" ht="12" customHeight="1">
      <c r="A384" s="66">
        <v>3026</v>
      </c>
      <c r="B384" s="67" t="s">
        <v>2675</v>
      </c>
      <c r="C384" s="67" t="s">
        <v>2675</v>
      </c>
      <c r="D384" s="67" t="s">
        <v>2704</v>
      </c>
      <c r="E384" s="66">
        <v>3</v>
      </c>
      <c r="F384" s="372">
        <v>1</v>
      </c>
      <c r="G384" s="69">
        <v>381</v>
      </c>
      <c r="H384" s="37" t="s">
        <v>2111</v>
      </c>
      <c r="I384" s="37" t="s">
        <v>2111</v>
      </c>
      <c r="J384" s="70">
        <v>10500102396504</v>
      </c>
      <c r="K384" s="38" t="s">
        <v>148</v>
      </c>
      <c r="L384" s="38"/>
      <c r="M384" s="38">
        <v>2</v>
      </c>
      <c r="N384" s="37" t="s">
        <v>2112</v>
      </c>
      <c r="O384" s="37" t="s">
        <v>2113</v>
      </c>
      <c r="P384" s="71">
        <v>5217992</v>
      </c>
      <c r="Q384" s="37" t="s">
        <v>1371</v>
      </c>
      <c r="R384" s="37" t="s">
        <v>2114</v>
      </c>
      <c r="S384" s="72" t="s">
        <v>2115</v>
      </c>
      <c r="T384" s="73">
        <v>328</v>
      </c>
      <c r="U384" s="74">
        <v>97</v>
      </c>
      <c r="V384" s="74">
        <v>0</v>
      </c>
      <c r="W384" s="373" t="s">
        <v>2704</v>
      </c>
      <c r="X384" s="373" t="s">
        <v>2675</v>
      </c>
      <c r="Y384" s="76">
        <v>425</v>
      </c>
      <c r="Z384" s="73">
        <v>0</v>
      </c>
      <c r="AA384" s="74">
        <v>0</v>
      </c>
      <c r="AB384" s="74">
        <v>0</v>
      </c>
      <c r="AC384" s="75"/>
      <c r="AD384" s="373"/>
      <c r="AE384" s="76">
        <v>0</v>
      </c>
      <c r="AF384" s="77">
        <v>425</v>
      </c>
      <c r="AG384" s="79"/>
      <c r="AH384" s="374"/>
    </row>
    <row r="385" spans="1:34" s="80" customFormat="1" ht="12" customHeight="1">
      <c r="A385" s="66">
        <v>3027</v>
      </c>
      <c r="B385" s="67" t="s">
        <v>2675</v>
      </c>
      <c r="C385" s="67" t="s">
        <v>2675</v>
      </c>
      <c r="D385" s="67" t="s">
        <v>2704</v>
      </c>
      <c r="E385" s="66">
        <v>3</v>
      </c>
      <c r="F385" s="372">
        <v>1</v>
      </c>
      <c r="G385" s="69">
        <v>382</v>
      </c>
      <c r="H385" s="37" t="s">
        <v>289</v>
      </c>
      <c r="I385" s="37" t="s">
        <v>289</v>
      </c>
      <c r="J385" s="70">
        <v>10500100538001</v>
      </c>
      <c r="K385" s="38" t="s">
        <v>148</v>
      </c>
      <c r="L385" s="38"/>
      <c r="M385" s="38">
        <v>2</v>
      </c>
      <c r="N385" s="37" t="s">
        <v>290</v>
      </c>
      <c r="O385" s="37" t="s">
        <v>291</v>
      </c>
      <c r="P385" s="71">
        <v>2581854</v>
      </c>
      <c r="Q385" s="37" t="s">
        <v>292</v>
      </c>
      <c r="R385" s="37" t="s">
        <v>293</v>
      </c>
      <c r="S385" s="72" t="s">
        <v>294</v>
      </c>
      <c r="T385" s="98">
        <v>6</v>
      </c>
      <c r="U385" s="99">
        <v>290</v>
      </c>
      <c r="V385" s="99">
        <v>244</v>
      </c>
      <c r="W385" s="373" t="s">
        <v>2704</v>
      </c>
      <c r="X385" s="373" t="s">
        <v>2675</v>
      </c>
      <c r="Y385" s="76">
        <v>540</v>
      </c>
      <c r="Z385" s="73">
        <v>0</v>
      </c>
      <c r="AA385" s="74">
        <v>0</v>
      </c>
      <c r="AB385" s="74">
        <v>0</v>
      </c>
      <c r="AC385" s="75"/>
      <c r="AD385" s="373"/>
      <c r="AE385" s="76">
        <v>0</v>
      </c>
      <c r="AF385" s="77">
        <v>540</v>
      </c>
      <c r="AG385" s="79"/>
      <c r="AH385" s="374"/>
    </row>
    <row r="386" spans="1:34" s="80" customFormat="1" ht="12" customHeight="1">
      <c r="A386" s="66">
        <v>3028</v>
      </c>
      <c r="B386" s="67" t="s">
        <v>2675</v>
      </c>
      <c r="C386" s="67" t="s">
        <v>2675</v>
      </c>
      <c r="D386" s="67" t="s">
        <v>2704</v>
      </c>
      <c r="E386" s="66">
        <v>3</v>
      </c>
      <c r="F386" s="372">
        <v>1</v>
      </c>
      <c r="G386" s="69">
        <v>383</v>
      </c>
      <c r="H386" s="37" t="s">
        <v>295</v>
      </c>
      <c r="I386" s="37" t="s">
        <v>295</v>
      </c>
      <c r="J386" s="70">
        <v>10500100538002</v>
      </c>
      <c r="K386" s="38" t="s">
        <v>148</v>
      </c>
      <c r="L386" s="38"/>
      <c r="M386" s="38">
        <v>2</v>
      </c>
      <c r="N386" s="37" t="s">
        <v>284</v>
      </c>
      <c r="O386" s="37" t="s">
        <v>296</v>
      </c>
      <c r="P386" s="71">
        <v>5213916</v>
      </c>
      <c r="Q386" s="37" t="s">
        <v>297</v>
      </c>
      <c r="R386" s="37" t="s">
        <v>298</v>
      </c>
      <c r="S386" s="72" t="s">
        <v>299</v>
      </c>
      <c r="T386" s="98">
        <v>56</v>
      </c>
      <c r="U386" s="99">
        <v>104</v>
      </c>
      <c r="V386" s="99">
        <v>0</v>
      </c>
      <c r="W386" s="373" t="s">
        <v>2704</v>
      </c>
      <c r="X386" s="373" t="s">
        <v>2675</v>
      </c>
      <c r="Y386" s="76">
        <v>160</v>
      </c>
      <c r="Z386" s="73">
        <v>0</v>
      </c>
      <c r="AA386" s="74">
        <v>0</v>
      </c>
      <c r="AB386" s="74">
        <v>0</v>
      </c>
      <c r="AC386" s="75"/>
      <c r="AD386" s="373"/>
      <c r="AE386" s="76">
        <v>0</v>
      </c>
      <c r="AF386" s="77">
        <v>160</v>
      </c>
      <c r="AG386" s="79"/>
      <c r="AH386" s="374"/>
    </row>
    <row r="387" spans="1:34" s="80" customFormat="1" ht="12" customHeight="1">
      <c r="A387" s="66">
        <v>3029</v>
      </c>
      <c r="B387" s="67" t="s">
        <v>2675</v>
      </c>
      <c r="C387" s="67" t="s">
        <v>2675</v>
      </c>
      <c r="D387" s="67" t="s">
        <v>2704</v>
      </c>
      <c r="E387" s="66">
        <v>3</v>
      </c>
      <c r="F387" s="372">
        <v>1</v>
      </c>
      <c r="G387" s="69">
        <v>384</v>
      </c>
      <c r="H387" s="37" t="s">
        <v>300</v>
      </c>
      <c r="I387" s="37" t="s">
        <v>2116</v>
      </c>
      <c r="J387" s="70">
        <v>10500102654901</v>
      </c>
      <c r="K387" s="38" t="s">
        <v>148</v>
      </c>
      <c r="L387" s="38"/>
      <c r="M387" s="38">
        <v>3</v>
      </c>
      <c r="N387" s="37" t="s">
        <v>301</v>
      </c>
      <c r="O387" s="37" t="s">
        <v>2117</v>
      </c>
      <c r="P387" s="71">
        <v>5288234</v>
      </c>
      <c r="Q387" s="37" t="s">
        <v>2118</v>
      </c>
      <c r="R387" s="37" t="s">
        <v>2119</v>
      </c>
      <c r="S387" s="72" t="s">
        <v>2120</v>
      </c>
      <c r="T387" s="98">
        <v>276</v>
      </c>
      <c r="U387" s="99">
        <v>495</v>
      </c>
      <c r="V387" s="99">
        <v>129</v>
      </c>
      <c r="W387" s="373" t="s">
        <v>2704</v>
      </c>
      <c r="X387" s="373" t="s">
        <v>2675</v>
      </c>
      <c r="Y387" s="76">
        <v>900</v>
      </c>
      <c r="Z387" s="73">
        <v>0</v>
      </c>
      <c r="AA387" s="74">
        <v>0</v>
      </c>
      <c r="AB387" s="74">
        <v>0</v>
      </c>
      <c r="AC387" s="75"/>
      <c r="AD387" s="373"/>
      <c r="AE387" s="76">
        <v>0</v>
      </c>
      <c r="AF387" s="77">
        <v>900</v>
      </c>
      <c r="AG387" s="79"/>
      <c r="AH387" s="374"/>
    </row>
    <row r="388" spans="1:34" s="80" customFormat="1" ht="12" customHeight="1">
      <c r="A388" s="66">
        <v>3030</v>
      </c>
      <c r="B388" s="67" t="s">
        <v>2675</v>
      </c>
      <c r="C388" s="67" t="s">
        <v>2675</v>
      </c>
      <c r="D388" s="67" t="s">
        <v>2704</v>
      </c>
      <c r="E388" s="66">
        <v>3</v>
      </c>
      <c r="F388" s="372">
        <v>1</v>
      </c>
      <c r="G388" s="69">
        <v>385</v>
      </c>
      <c r="H388" s="37" t="s">
        <v>2121</v>
      </c>
      <c r="I388" s="37" t="s">
        <v>2121</v>
      </c>
      <c r="J388" s="70">
        <v>30500102562201</v>
      </c>
      <c r="K388" s="38" t="s">
        <v>226</v>
      </c>
      <c r="L388" s="38"/>
      <c r="M388" s="38">
        <v>3</v>
      </c>
      <c r="N388" s="37" t="s">
        <v>164</v>
      </c>
      <c r="O388" s="37" t="s">
        <v>2122</v>
      </c>
      <c r="P388" s="71" t="s">
        <v>2123</v>
      </c>
      <c r="Q388" s="37" t="s">
        <v>2124</v>
      </c>
      <c r="R388" s="37" t="s">
        <v>2125</v>
      </c>
      <c r="S388" s="72" t="s">
        <v>2126</v>
      </c>
      <c r="T388" s="98">
        <v>175</v>
      </c>
      <c r="U388" s="99">
        <v>95</v>
      </c>
      <c r="V388" s="99">
        <v>0</v>
      </c>
      <c r="W388" s="373" t="s">
        <v>2704</v>
      </c>
      <c r="X388" s="373" t="s">
        <v>2675</v>
      </c>
      <c r="Y388" s="76">
        <v>270</v>
      </c>
      <c r="Z388" s="73">
        <v>0</v>
      </c>
      <c r="AA388" s="74">
        <v>0</v>
      </c>
      <c r="AB388" s="74">
        <v>0</v>
      </c>
      <c r="AC388" s="75"/>
      <c r="AD388" s="373"/>
      <c r="AE388" s="76">
        <v>0</v>
      </c>
      <c r="AF388" s="77">
        <v>270</v>
      </c>
      <c r="AG388" s="79"/>
      <c r="AH388" s="374"/>
    </row>
    <row r="389" spans="1:34" s="80" customFormat="1" ht="12" customHeight="1">
      <c r="A389" s="66">
        <v>3031</v>
      </c>
      <c r="B389" s="67" t="s">
        <v>2675</v>
      </c>
      <c r="C389" s="67" t="s">
        <v>2675</v>
      </c>
      <c r="D389" s="67" t="s">
        <v>2704</v>
      </c>
      <c r="E389" s="66">
        <v>3</v>
      </c>
      <c r="F389" s="372">
        <v>1</v>
      </c>
      <c r="G389" s="69">
        <v>386</v>
      </c>
      <c r="H389" s="37" t="s">
        <v>306</v>
      </c>
      <c r="I389" s="37" t="s">
        <v>306</v>
      </c>
      <c r="J389" s="70">
        <v>10500100147301</v>
      </c>
      <c r="K389" s="38" t="s">
        <v>148</v>
      </c>
      <c r="L389" s="38"/>
      <c r="M389" s="38">
        <v>3</v>
      </c>
      <c r="N389" s="37" t="s">
        <v>307</v>
      </c>
      <c r="O389" s="37" t="s">
        <v>308</v>
      </c>
      <c r="P389" s="71" t="s">
        <v>309</v>
      </c>
      <c r="Q389" s="37" t="s">
        <v>310</v>
      </c>
      <c r="R389" s="37" t="s">
        <v>311</v>
      </c>
      <c r="S389" s="72" t="s">
        <v>312</v>
      </c>
      <c r="T389" s="73">
        <v>0</v>
      </c>
      <c r="U389" s="74">
        <v>400</v>
      </c>
      <c r="V389" s="74">
        <v>100</v>
      </c>
      <c r="W389" s="373" t="s">
        <v>2704</v>
      </c>
      <c r="X389" s="373" t="s">
        <v>2675</v>
      </c>
      <c r="Y389" s="76">
        <v>500</v>
      </c>
      <c r="Z389" s="73">
        <v>0</v>
      </c>
      <c r="AA389" s="74">
        <v>0</v>
      </c>
      <c r="AB389" s="74">
        <v>0</v>
      </c>
      <c r="AC389" s="75"/>
      <c r="AD389" s="373"/>
      <c r="AE389" s="76">
        <v>0</v>
      </c>
      <c r="AF389" s="77">
        <v>500</v>
      </c>
      <c r="AG389" s="79"/>
      <c r="AH389" s="374"/>
    </row>
    <row r="390" spans="1:34" s="80" customFormat="1" ht="12" customHeight="1">
      <c r="A390" s="66">
        <v>3032</v>
      </c>
      <c r="B390" s="67" t="s">
        <v>2675</v>
      </c>
      <c r="C390" s="67" t="s">
        <v>2675</v>
      </c>
      <c r="D390" s="67" t="s">
        <v>2704</v>
      </c>
      <c r="E390" s="66">
        <v>3</v>
      </c>
      <c r="F390" s="372">
        <v>1</v>
      </c>
      <c r="G390" s="69">
        <v>387</v>
      </c>
      <c r="H390" s="37" t="s">
        <v>1999</v>
      </c>
      <c r="I390" s="37" t="s">
        <v>1999</v>
      </c>
      <c r="J390" s="70">
        <v>10500100147302</v>
      </c>
      <c r="K390" s="38" t="s">
        <v>148</v>
      </c>
      <c r="L390" s="38"/>
      <c r="M390" s="38">
        <v>3</v>
      </c>
      <c r="N390" s="37" t="s">
        <v>314</v>
      </c>
      <c r="O390" s="37" t="s">
        <v>2127</v>
      </c>
      <c r="P390" s="71">
        <v>2841206</v>
      </c>
      <c r="Q390" s="37" t="s">
        <v>2128</v>
      </c>
      <c r="R390" s="37" t="s">
        <v>2129</v>
      </c>
      <c r="S390" s="72" t="s">
        <v>2130</v>
      </c>
      <c r="T390" s="73">
        <v>320</v>
      </c>
      <c r="U390" s="74">
        <v>0</v>
      </c>
      <c r="V390" s="74">
        <v>0</v>
      </c>
      <c r="W390" s="373" t="s">
        <v>2704</v>
      </c>
      <c r="X390" s="373" t="s">
        <v>2675</v>
      </c>
      <c r="Y390" s="76">
        <v>320</v>
      </c>
      <c r="Z390" s="73">
        <v>0</v>
      </c>
      <c r="AA390" s="74">
        <v>0</v>
      </c>
      <c r="AB390" s="74">
        <v>0</v>
      </c>
      <c r="AC390" s="75"/>
      <c r="AD390" s="373"/>
      <c r="AE390" s="76">
        <v>0</v>
      </c>
      <c r="AF390" s="77">
        <v>320</v>
      </c>
      <c r="AG390" s="79"/>
      <c r="AH390" s="374"/>
    </row>
    <row r="391" spans="1:34" s="80" customFormat="1" ht="12" customHeight="1">
      <c r="A391" s="66">
        <v>3033</v>
      </c>
      <c r="B391" s="67" t="s">
        <v>2675</v>
      </c>
      <c r="C391" s="67" t="s">
        <v>2675</v>
      </c>
      <c r="D391" s="67" t="s">
        <v>2704</v>
      </c>
      <c r="E391" s="66">
        <v>3</v>
      </c>
      <c r="F391" s="372">
        <v>1</v>
      </c>
      <c r="G391" s="69">
        <v>388</v>
      </c>
      <c r="H391" s="37" t="s">
        <v>2131</v>
      </c>
      <c r="I391" s="37" t="s">
        <v>2131</v>
      </c>
      <c r="J391" s="70">
        <v>10500100248801</v>
      </c>
      <c r="K391" s="38" t="s">
        <v>148</v>
      </c>
      <c r="L391" s="38"/>
      <c r="M391" s="38">
        <v>3</v>
      </c>
      <c r="N391" s="37" t="s">
        <v>2132</v>
      </c>
      <c r="O391" s="37" t="s">
        <v>2133</v>
      </c>
      <c r="P391" s="71" t="s">
        <v>2134</v>
      </c>
      <c r="Q391" s="37" t="s">
        <v>2135</v>
      </c>
      <c r="R391" s="37" t="s">
        <v>2136</v>
      </c>
      <c r="S391" s="72" t="s">
        <v>2137</v>
      </c>
      <c r="T391" s="73">
        <v>128</v>
      </c>
      <c r="U391" s="74">
        <v>492</v>
      </c>
      <c r="V391" s="74">
        <v>180</v>
      </c>
      <c r="W391" s="373" t="s">
        <v>2704</v>
      </c>
      <c r="X391" s="373" t="s">
        <v>2675</v>
      </c>
      <c r="Y391" s="76">
        <v>800</v>
      </c>
      <c r="Z391" s="73">
        <v>0</v>
      </c>
      <c r="AA391" s="74">
        <v>0</v>
      </c>
      <c r="AB391" s="74">
        <v>0</v>
      </c>
      <c r="AC391" s="75"/>
      <c r="AD391" s="373"/>
      <c r="AE391" s="76">
        <v>0</v>
      </c>
      <c r="AF391" s="77">
        <v>800</v>
      </c>
      <c r="AG391" s="79"/>
      <c r="AH391" s="374"/>
    </row>
    <row r="392" spans="1:34" s="80" customFormat="1" ht="12" customHeight="1">
      <c r="A392" s="66">
        <v>3034</v>
      </c>
      <c r="B392" s="67" t="s">
        <v>2675</v>
      </c>
      <c r="C392" s="67" t="s">
        <v>2675</v>
      </c>
      <c r="D392" s="67" t="s">
        <v>2704</v>
      </c>
      <c r="E392" s="66">
        <v>3</v>
      </c>
      <c r="F392" s="372">
        <v>1</v>
      </c>
      <c r="G392" s="69">
        <v>389</v>
      </c>
      <c r="H392" s="37" t="s">
        <v>2063</v>
      </c>
      <c r="I392" s="37" t="s">
        <v>2063</v>
      </c>
      <c r="J392" s="70">
        <v>10500100248802</v>
      </c>
      <c r="K392" s="38" t="s">
        <v>148</v>
      </c>
      <c r="L392" s="38"/>
      <c r="M392" s="38">
        <v>3</v>
      </c>
      <c r="N392" s="37" t="s">
        <v>2132</v>
      </c>
      <c r="O392" s="37" t="s">
        <v>2138</v>
      </c>
      <c r="P392" s="71">
        <v>2331640</v>
      </c>
      <c r="Q392" s="37" t="s">
        <v>316</v>
      </c>
      <c r="R392" s="37" t="s">
        <v>2139</v>
      </c>
      <c r="S392" s="72" t="s">
        <v>2140</v>
      </c>
      <c r="T392" s="73">
        <v>200</v>
      </c>
      <c r="U392" s="74">
        <v>100</v>
      </c>
      <c r="V392" s="74">
        <v>0</v>
      </c>
      <c r="W392" s="373" t="s">
        <v>2704</v>
      </c>
      <c r="X392" s="373" t="s">
        <v>2675</v>
      </c>
      <c r="Y392" s="76">
        <v>300</v>
      </c>
      <c r="Z392" s="73">
        <v>0</v>
      </c>
      <c r="AA392" s="74">
        <v>0</v>
      </c>
      <c r="AB392" s="74">
        <v>0</v>
      </c>
      <c r="AC392" s="75"/>
      <c r="AD392" s="373"/>
      <c r="AE392" s="76">
        <v>0</v>
      </c>
      <c r="AF392" s="77">
        <v>300</v>
      </c>
      <c r="AG392" s="79"/>
      <c r="AH392" s="374"/>
    </row>
    <row r="393" spans="1:34" s="80" customFormat="1" ht="12" customHeight="1">
      <c r="A393" s="66">
        <v>3035</v>
      </c>
      <c r="B393" s="67" t="s">
        <v>2675</v>
      </c>
      <c r="C393" s="67" t="s">
        <v>2675</v>
      </c>
      <c r="D393" s="67" t="s">
        <v>2704</v>
      </c>
      <c r="E393" s="66">
        <v>3</v>
      </c>
      <c r="F393" s="372">
        <v>1</v>
      </c>
      <c r="G393" s="69">
        <v>390</v>
      </c>
      <c r="H393" s="37" t="s">
        <v>2141</v>
      </c>
      <c r="I393" s="37" t="s">
        <v>2141</v>
      </c>
      <c r="J393" s="70">
        <v>10500100112102</v>
      </c>
      <c r="K393" s="38" t="s">
        <v>148</v>
      </c>
      <c r="L393" s="38"/>
      <c r="M393" s="38">
        <v>3</v>
      </c>
      <c r="N393" s="37" t="s">
        <v>364</v>
      </c>
      <c r="O393" s="37" t="s">
        <v>2142</v>
      </c>
      <c r="P393" s="71" t="s">
        <v>2143</v>
      </c>
      <c r="Q393" s="37" t="s">
        <v>2144</v>
      </c>
      <c r="R393" s="37" t="s">
        <v>2145</v>
      </c>
      <c r="S393" s="72" t="s">
        <v>2146</v>
      </c>
      <c r="T393" s="98">
        <v>220</v>
      </c>
      <c r="U393" s="99">
        <v>160</v>
      </c>
      <c r="V393" s="99">
        <v>0</v>
      </c>
      <c r="W393" s="373" t="s">
        <v>2704</v>
      </c>
      <c r="X393" s="373" t="s">
        <v>2675</v>
      </c>
      <c r="Y393" s="76">
        <v>380</v>
      </c>
      <c r="Z393" s="73">
        <v>0</v>
      </c>
      <c r="AA393" s="74">
        <v>0</v>
      </c>
      <c r="AB393" s="74">
        <v>0</v>
      </c>
      <c r="AC393" s="75"/>
      <c r="AD393" s="373"/>
      <c r="AE393" s="76">
        <v>0</v>
      </c>
      <c r="AF393" s="77">
        <v>380</v>
      </c>
      <c r="AG393" s="79"/>
      <c r="AH393" s="374"/>
    </row>
    <row r="394" spans="1:34" s="80" customFormat="1" ht="12" customHeight="1">
      <c r="A394" s="66">
        <v>3036</v>
      </c>
      <c r="B394" s="67" t="s">
        <v>2675</v>
      </c>
      <c r="C394" s="67" t="s">
        <v>2675</v>
      </c>
      <c r="D394" s="67" t="s">
        <v>2704</v>
      </c>
      <c r="E394" s="66">
        <v>3</v>
      </c>
      <c r="F394" s="372">
        <v>1</v>
      </c>
      <c r="G394" s="69">
        <v>391</v>
      </c>
      <c r="H394" s="37" t="s">
        <v>2147</v>
      </c>
      <c r="I394" s="37" t="s">
        <v>2147</v>
      </c>
      <c r="J394" s="70">
        <v>10500100112103</v>
      </c>
      <c r="K394" s="38" t="s">
        <v>148</v>
      </c>
      <c r="L394" s="38"/>
      <c r="M394" s="38">
        <v>3</v>
      </c>
      <c r="N394" s="37" t="s">
        <v>353</v>
      </c>
      <c r="O394" s="37" t="s">
        <v>2148</v>
      </c>
      <c r="P394" s="71" t="s">
        <v>2149</v>
      </c>
      <c r="Q394" s="37" t="s">
        <v>2150</v>
      </c>
      <c r="R394" s="37" t="s">
        <v>2151</v>
      </c>
      <c r="S394" s="72" t="s">
        <v>2152</v>
      </c>
      <c r="T394" s="98">
        <v>249</v>
      </c>
      <c r="U394" s="99">
        <v>146</v>
      </c>
      <c r="V394" s="99">
        <v>0</v>
      </c>
      <c r="W394" s="373" t="s">
        <v>2704</v>
      </c>
      <c r="X394" s="373" t="s">
        <v>2675</v>
      </c>
      <c r="Y394" s="76">
        <v>395</v>
      </c>
      <c r="Z394" s="73">
        <v>0</v>
      </c>
      <c r="AA394" s="74">
        <v>0</v>
      </c>
      <c r="AB394" s="74">
        <v>0</v>
      </c>
      <c r="AC394" s="75"/>
      <c r="AD394" s="373"/>
      <c r="AE394" s="76">
        <v>0</v>
      </c>
      <c r="AF394" s="77">
        <v>395</v>
      </c>
      <c r="AG394" s="79"/>
      <c r="AH394" s="374"/>
    </row>
    <row r="395" spans="1:34" s="80" customFormat="1" ht="12" customHeight="1">
      <c r="A395" s="66">
        <v>3037</v>
      </c>
      <c r="B395" s="67" t="s">
        <v>2675</v>
      </c>
      <c r="C395" s="67" t="s">
        <v>2675</v>
      </c>
      <c r="D395" s="67" t="s">
        <v>2704</v>
      </c>
      <c r="E395" s="66">
        <v>3</v>
      </c>
      <c r="F395" s="372">
        <v>1</v>
      </c>
      <c r="G395" s="69">
        <v>392</v>
      </c>
      <c r="H395" s="37" t="s">
        <v>340</v>
      </c>
      <c r="I395" s="37" t="s">
        <v>340</v>
      </c>
      <c r="J395" s="70">
        <v>10500100115501</v>
      </c>
      <c r="K395" s="38" t="s">
        <v>148</v>
      </c>
      <c r="L395" s="38"/>
      <c r="M395" s="38">
        <v>3</v>
      </c>
      <c r="N395" s="37" t="s">
        <v>341</v>
      </c>
      <c r="O395" s="37" t="s">
        <v>342</v>
      </c>
      <c r="P395" s="71" t="s">
        <v>343</v>
      </c>
      <c r="Q395" s="37" t="s">
        <v>344</v>
      </c>
      <c r="R395" s="37" t="s">
        <v>345</v>
      </c>
      <c r="S395" s="72" t="s">
        <v>346</v>
      </c>
      <c r="T395" s="73">
        <v>270</v>
      </c>
      <c r="U395" s="74">
        <v>350</v>
      </c>
      <c r="V395" s="74">
        <v>0</v>
      </c>
      <c r="W395" s="373" t="s">
        <v>2704</v>
      </c>
      <c r="X395" s="373" t="s">
        <v>2675</v>
      </c>
      <c r="Y395" s="76">
        <v>620</v>
      </c>
      <c r="Z395" s="73">
        <v>0</v>
      </c>
      <c r="AA395" s="74">
        <v>0</v>
      </c>
      <c r="AB395" s="74">
        <v>0</v>
      </c>
      <c r="AC395" s="75"/>
      <c r="AD395" s="373"/>
      <c r="AE395" s="76">
        <v>0</v>
      </c>
      <c r="AF395" s="77">
        <v>620</v>
      </c>
      <c r="AG395" s="79"/>
      <c r="AH395" s="374"/>
    </row>
    <row r="396" spans="1:34" s="80" customFormat="1" ht="12" customHeight="1">
      <c r="A396" s="66">
        <v>3038</v>
      </c>
      <c r="B396" s="67" t="s">
        <v>2675</v>
      </c>
      <c r="C396" s="67" t="s">
        <v>2675</v>
      </c>
      <c r="D396" s="67" t="s">
        <v>2704</v>
      </c>
      <c r="E396" s="66">
        <v>3</v>
      </c>
      <c r="F396" s="372">
        <v>1</v>
      </c>
      <c r="G396" s="69">
        <v>393</v>
      </c>
      <c r="H396" s="37" t="s">
        <v>2153</v>
      </c>
      <c r="I396" s="37" t="s">
        <v>2153</v>
      </c>
      <c r="J396" s="70">
        <v>10500100136801</v>
      </c>
      <c r="K396" s="38" t="s">
        <v>148</v>
      </c>
      <c r="L396" s="38"/>
      <c r="M396" s="38">
        <v>3</v>
      </c>
      <c r="N396" s="37" t="s">
        <v>353</v>
      </c>
      <c r="O396" s="37" t="s">
        <v>2154</v>
      </c>
      <c r="P396" s="71">
        <v>2118264</v>
      </c>
      <c r="Q396" s="378" t="s">
        <v>2155</v>
      </c>
      <c r="R396" s="37" t="s">
        <v>2156</v>
      </c>
      <c r="S396" s="72" t="s">
        <v>2157</v>
      </c>
      <c r="T396" s="73">
        <v>104</v>
      </c>
      <c r="U396" s="74">
        <v>426</v>
      </c>
      <c r="V396" s="74">
        <v>50</v>
      </c>
      <c r="W396" s="373" t="s">
        <v>2704</v>
      </c>
      <c r="X396" s="373" t="s">
        <v>2675</v>
      </c>
      <c r="Y396" s="76">
        <v>580</v>
      </c>
      <c r="Z396" s="73">
        <v>0</v>
      </c>
      <c r="AA396" s="74">
        <v>0</v>
      </c>
      <c r="AB396" s="74">
        <v>0</v>
      </c>
      <c r="AC396" s="75"/>
      <c r="AD396" s="373"/>
      <c r="AE396" s="76">
        <v>0</v>
      </c>
      <c r="AF396" s="77">
        <v>580</v>
      </c>
      <c r="AG396" s="79"/>
      <c r="AH396" s="374"/>
    </row>
    <row r="397" spans="1:34" s="80" customFormat="1" ht="12" customHeight="1">
      <c r="A397" s="66">
        <v>3039</v>
      </c>
      <c r="B397" s="67" t="s">
        <v>2675</v>
      </c>
      <c r="C397" s="67" t="s">
        <v>2675</v>
      </c>
      <c r="D397" s="67" t="s">
        <v>2704</v>
      </c>
      <c r="E397" s="66">
        <v>3</v>
      </c>
      <c r="F397" s="372">
        <v>1</v>
      </c>
      <c r="G397" s="69">
        <v>394</v>
      </c>
      <c r="H397" s="37" t="s">
        <v>352</v>
      </c>
      <c r="I397" s="37" t="s">
        <v>352</v>
      </c>
      <c r="J397" s="70">
        <v>10500100986501</v>
      </c>
      <c r="K397" s="38" t="s">
        <v>148</v>
      </c>
      <c r="L397" s="38"/>
      <c r="M397" s="38">
        <v>3</v>
      </c>
      <c r="N397" s="37" t="s">
        <v>353</v>
      </c>
      <c r="O397" s="37" t="s">
        <v>354</v>
      </c>
      <c r="P397" s="71"/>
      <c r="Q397" s="37" t="s">
        <v>355</v>
      </c>
      <c r="R397" s="37" t="s">
        <v>356</v>
      </c>
      <c r="S397" s="72" t="s">
        <v>357</v>
      </c>
      <c r="T397" s="73">
        <v>0</v>
      </c>
      <c r="U397" s="74">
        <v>215</v>
      </c>
      <c r="V397" s="74">
        <v>115</v>
      </c>
      <c r="W397" s="373" t="s">
        <v>2704</v>
      </c>
      <c r="X397" s="373" t="s">
        <v>2675</v>
      </c>
      <c r="Y397" s="76">
        <v>330</v>
      </c>
      <c r="Z397" s="379">
        <v>0</v>
      </c>
      <c r="AA397" s="74">
        <v>0</v>
      </c>
      <c r="AB397" s="74">
        <v>0</v>
      </c>
      <c r="AC397" s="75"/>
      <c r="AD397" s="373"/>
      <c r="AE397" s="76">
        <v>0</v>
      </c>
      <c r="AF397" s="77">
        <v>330</v>
      </c>
      <c r="AG397" s="79"/>
      <c r="AH397" s="374"/>
    </row>
    <row r="398" spans="1:34" s="80" customFormat="1" ht="12" customHeight="1">
      <c r="A398" s="66">
        <v>3040</v>
      </c>
      <c r="B398" s="67" t="s">
        <v>2675</v>
      </c>
      <c r="C398" s="67" t="s">
        <v>2675</v>
      </c>
      <c r="D398" s="67" t="s">
        <v>2704</v>
      </c>
      <c r="E398" s="66">
        <v>3</v>
      </c>
      <c r="F398" s="83">
        <v>1</v>
      </c>
      <c r="G398" s="69">
        <v>395</v>
      </c>
      <c r="H398" s="85" t="s">
        <v>2158</v>
      </c>
      <c r="I398" s="85" t="s">
        <v>2158</v>
      </c>
      <c r="J398" s="86">
        <v>10500100986502</v>
      </c>
      <c r="K398" s="87" t="s">
        <v>148</v>
      </c>
      <c r="L398" s="87"/>
      <c r="M398" s="87">
        <v>3</v>
      </c>
      <c r="N398" s="85" t="s">
        <v>2159</v>
      </c>
      <c r="O398" s="85" t="s">
        <v>2160</v>
      </c>
      <c r="P398" s="89">
        <v>2118250</v>
      </c>
      <c r="Q398" s="85" t="s">
        <v>355</v>
      </c>
      <c r="R398" s="85" t="s">
        <v>2161</v>
      </c>
      <c r="S398" s="90" t="s">
        <v>2162</v>
      </c>
      <c r="T398" s="91">
        <v>170</v>
      </c>
      <c r="U398" s="92">
        <v>0</v>
      </c>
      <c r="V398" s="92">
        <v>0</v>
      </c>
      <c r="W398" s="373" t="s">
        <v>2704</v>
      </c>
      <c r="X398" s="373" t="s">
        <v>2675</v>
      </c>
      <c r="Y398" s="76">
        <v>170</v>
      </c>
      <c r="Z398" s="91">
        <v>0</v>
      </c>
      <c r="AA398" s="92">
        <v>0</v>
      </c>
      <c r="AB398" s="92">
        <v>0</v>
      </c>
      <c r="AC398" s="75"/>
      <c r="AD398" s="373"/>
      <c r="AE398" s="76">
        <v>0</v>
      </c>
      <c r="AF398" s="77">
        <v>170</v>
      </c>
      <c r="AG398" s="95" t="s">
        <v>2163</v>
      </c>
      <c r="AH398" s="374"/>
    </row>
    <row r="399" spans="1:34" s="80" customFormat="1" ht="12" customHeight="1">
      <c r="A399" s="66">
        <v>3041</v>
      </c>
      <c r="B399" s="67" t="s">
        <v>2675</v>
      </c>
      <c r="C399" s="67" t="s">
        <v>2675</v>
      </c>
      <c r="D399" s="67" t="s">
        <v>2704</v>
      </c>
      <c r="E399" s="66">
        <v>3</v>
      </c>
      <c r="F399" s="102">
        <v>1</v>
      </c>
      <c r="G399" s="69">
        <v>396</v>
      </c>
      <c r="H399" s="85" t="s">
        <v>2158</v>
      </c>
      <c r="I399" s="85" t="s">
        <v>2164</v>
      </c>
      <c r="J399" s="86">
        <v>10500100986503</v>
      </c>
      <c r="K399" s="87" t="s">
        <v>148</v>
      </c>
      <c r="L399" s="95"/>
      <c r="M399" s="87">
        <v>3</v>
      </c>
      <c r="N399" s="85" t="s">
        <v>2159</v>
      </c>
      <c r="O399" s="85" t="s">
        <v>2160</v>
      </c>
      <c r="P399" s="89">
        <v>2118250</v>
      </c>
      <c r="Q399" s="85" t="s">
        <v>355</v>
      </c>
      <c r="R399" s="85" t="s">
        <v>2161</v>
      </c>
      <c r="S399" s="90" t="s">
        <v>2165</v>
      </c>
      <c r="T399" s="91">
        <v>91</v>
      </c>
      <c r="U399" s="92">
        <v>9</v>
      </c>
      <c r="V399" s="92">
        <v>0</v>
      </c>
      <c r="W399" s="373" t="s">
        <v>2704</v>
      </c>
      <c r="X399" s="373" t="s">
        <v>2675</v>
      </c>
      <c r="Y399" s="76">
        <v>100</v>
      </c>
      <c r="Z399" s="91">
        <v>0</v>
      </c>
      <c r="AA399" s="92">
        <v>0</v>
      </c>
      <c r="AB399" s="92">
        <v>0</v>
      </c>
      <c r="AC399" s="75"/>
      <c r="AD399" s="373"/>
      <c r="AE399" s="76">
        <v>0</v>
      </c>
      <c r="AF399" s="77">
        <v>100</v>
      </c>
      <c r="AG399" s="95" t="s">
        <v>2163</v>
      </c>
      <c r="AH399" s="374"/>
    </row>
    <row r="400" spans="1:34" s="80" customFormat="1" ht="12" customHeight="1">
      <c r="A400" s="66">
        <v>3042</v>
      </c>
      <c r="B400" s="67" t="s">
        <v>2675</v>
      </c>
      <c r="C400" s="67" t="s">
        <v>2675</v>
      </c>
      <c r="D400" s="67" t="s">
        <v>2700</v>
      </c>
      <c r="E400" s="66">
        <v>3</v>
      </c>
      <c r="F400" s="372">
        <v>1</v>
      </c>
      <c r="G400" s="69">
        <v>397</v>
      </c>
      <c r="H400" s="37" t="s">
        <v>2166</v>
      </c>
      <c r="I400" s="37" t="s">
        <v>2167</v>
      </c>
      <c r="J400" s="70">
        <v>10500100123601</v>
      </c>
      <c r="K400" s="38" t="s">
        <v>148</v>
      </c>
      <c r="L400" s="38"/>
      <c r="M400" s="38">
        <v>3</v>
      </c>
      <c r="N400" s="37" t="s">
        <v>333</v>
      </c>
      <c r="O400" s="37" t="s">
        <v>1400</v>
      </c>
      <c r="P400" s="71" t="s">
        <v>2168</v>
      </c>
      <c r="Q400" s="37" t="s">
        <v>1401</v>
      </c>
      <c r="R400" s="37" t="s">
        <v>1402</v>
      </c>
      <c r="S400" s="72" t="s">
        <v>2169</v>
      </c>
      <c r="T400" s="73">
        <v>0</v>
      </c>
      <c r="U400" s="74">
        <v>0</v>
      </c>
      <c r="V400" s="74">
        <v>0</v>
      </c>
      <c r="W400" s="373"/>
      <c r="X400" s="373"/>
      <c r="Y400" s="76">
        <v>0</v>
      </c>
      <c r="Z400" s="73">
        <v>0</v>
      </c>
      <c r="AA400" s="74">
        <v>230</v>
      </c>
      <c r="AB400" s="74">
        <v>220</v>
      </c>
      <c r="AC400" s="75" t="s">
        <v>2700</v>
      </c>
      <c r="AD400" s="373" t="s">
        <v>2675</v>
      </c>
      <c r="AE400" s="76">
        <v>450</v>
      </c>
      <c r="AF400" s="77">
        <v>450</v>
      </c>
      <c r="AG400" s="79"/>
      <c r="AH400" s="374"/>
    </row>
    <row r="401" spans="1:34" s="80" customFormat="1" ht="12" customHeight="1">
      <c r="A401" s="66">
        <v>3043</v>
      </c>
      <c r="B401" s="67" t="s">
        <v>2675</v>
      </c>
      <c r="C401" s="67" t="s">
        <v>2675</v>
      </c>
      <c r="D401" s="67" t="s">
        <v>2704</v>
      </c>
      <c r="E401" s="66">
        <v>3</v>
      </c>
      <c r="F401" s="372">
        <v>1</v>
      </c>
      <c r="G401" s="69">
        <v>398</v>
      </c>
      <c r="H401" s="37" t="s">
        <v>2170</v>
      </c>
      <c r="I401" s="37" t="s">
        <v>2171</v>
      </c>
      <c r="J401" s="70">
        <v>10500101953401</v>
      </c>
      <c r="K401" s="38" t="s">
        <v>148</v>
      </c>
      <c r="L401" s="38"/>
      <c r="M401" s="38">
        <v>3</v>
      </c>
      <c r="N401" s="37" t="s">
        <v>307</v>
      </c>
      <c r="O401" s="37" t="s">
        <v>2172</v>
      </c>
      <c r="P401" s="71" t="s">
        <v>2173</v>
      </c>
      <c r="Q401" s="37" t="s">
        <v>1408</v>
      </c>
      <c r="R401" s="37" t="s">
        <v>2174</v>
      </c>
      <c r="S401" s="72" t="s">
        <v>2175</v>
      </c>
      <c r="T401" s="73">
        <v>0</v>
      </c>
      <c r="U401" s="74">
        <v>318</v>
      </c>
      <c r="V401" s="74">
        <v>182</v>
      </c>
      <c r="W401" s="373" t="s">
        <v>2704</v>
      </c>
      <c r="X401" s="373" t="s">
        <v>2675</v>
      </c>
      <c r="Y401" s="76">
        <v>500</v>
      </c>
      <c r="Z401" s="73">
        <v>0</v>
      </c>
      <c r="AA401" s="74">
        <v>0</v>
      </c>
      <c r="AB401" s="74">
        <v>0</v>
      </c>
      <c r="AC401" s="75"/>
      <c r="AD401" s="373"/>
      <c r="AE401" s="76">
        <v>0</v>
      </c>
      <c r="AF401" s="77">
        <v>500</v>
      </c>
      <c r="AG401" s="79"/>
      <c r="AH401" s="374"/>
    </row>
    <row r="402" spans="1:34" s="80" customFormat="1" ht="12" customHeight="1">
      <c r="A402" s="66">
        <v>3044</v>
      </c>
      <c r="B402" s="67" t="s">
        <v>2675</v>
      </c>
      <c r="C402" s="67" t="s">
        <v>2675</v>
      </c>
      <c r="D402" s="67" t="s">
        <v>2704</v>
      </c>
      <c r="E402" s="66">
        <v>3</v>
      </c>
      <c r="F402" s="372">
        <v>1</v>
      </c>
      <c r="G402" s="69">
        <v>399</v>
      </c>
      <c r="H402" s="37" t="s">
        <v>1417</v>
      </c>
      <c r="I402" s="37" t="s">
        <v>1417</v>
      </c>
      <c r="J402" s="70">
        <v>30500102246101</v>
      </c>
      <c r="K402" s="38" t="s">
        <v>226</v>
      </c>
      <c r="L402" s="38"/>
      <c r="M402" s="38">
        <v>3</v>
      </c>
      <c r="N402" s="37" t="s">
        <v>369</v>
      </c>
      <c r="O402" s="37" t="s">
        <v>1418</v>
      </c>
      <c r="P402" s="71" t="s">
        <v>1419</v>
      </c>
      <c r="Q402" s="37" t="s">
        <v>1420</v>
      </c>
      <c r="R402" s="37" t="s">
        <v>1421</v>
      </c>
      <c r="S402" s="72" t="s">
        <v>1422</v>
      </c>
      <c r="T402" s="73">
        <v>0</v>
      </c>
      <c r="U402" s="74">
        <v>0</v>
      </c>
      <c r="V402" s="74">
        <v>200</v>
      </c>
      <c r="W402" s="373" t="s">
        <v>2704</v>
      </c>
      <c r="X402" s="373" t="s">
        <v>2675</v>
      </c>
      <c r="Y402" s="76">
        <v>200</v>
      </c>
      <c r="Z402" s="73">
        <v>0</v>
      </c>
      <c r="AA402" s="74">
        <v>0</v>
      </c>
      <c r="AB402" s="74">
        <v>0</v>
      </c>
      <c r="AC402" s="75"/>
      <c r="AD402" s="373"/>
      <c r="AE402" s="76">
        <v>0</v>
      </c>
      <c r="AF402" s="77">
        <v>200</v>
      </c>
      <c r="AG402" s="276"/>
      <c r="AH402" s="374"/>
    </row>
    <row r="403" spans="1:34" s="80" customFormat="1" ht="12" customHeight="1">
      <c r="A403" s="66">
        <v>3045</v>
      </c>
      <c r="B403" s="67" t="s">
        <v>2675</v>
      </c>
      <c r="C403" s="67" t="s">
        <v>2675</v>
      </c>
      <c r="D403" s="67" t="s">
        <v>2704</v>
      </c>
      <c r="E403" s="66">
        <v>3</v>
      </c>
      <c r="F403" s="372">
        <v>1</v>
      </c>
      <c r="G403" s="69">
        <v>400</v>
      </c>
      <c r="H403" s="37" t="s">
        <v>2176</v>
      </c>
      <c r="I403" s="37" t="s">
        <v>2176</v>
      </c>
      <c r="J403" s="70">
        <v>30500102245301</v>
      </c>
      <c r="K403" s="38" t="s">
        <v>226</v>
      </c>
      <c r="L403" s="38"/>
      <c r="M403" s="38">
        <v>3</v>
      </c>
      <c r="N403" s="37" t="s">
        <v>314</v>
      </c>
      <c r="O403" s="37" t="s">
        <v>2177</v>
      </c>
      <c r="P403" s="71" t="s">
        <v>2178</v>
      </c>
      <c r="Q403" s="37" t="s">
        <v>2179</v>
      </c>
      <c r="R403" s="37" t="s">
        <v>2180</v>
      </c>
      <c r="S403" s="72" t="s">
        <v>2181</v>
      </c>
      <c r="T403" s="98">
        <v>117</v>
      </c>
      <c r="U403" s="99">
        <v>53</v>
      </c>
      <c r="V403" s="99">
        <v>0</v>
      </c>
      <c r="W403" s="373" t="s">
        <v>2704</v>
      </c>
      <c r="X403" s="373" t="s">
        <v>2675</v>
      </c>
      <c r="Y403" s="76">
        <v>170</v>
      </c>
      <c r="Z403" s="73">
        <v>0</v>
      </c>
      <c r="AA403" s="74">
        <v>0</v>
      </c>
      <c r="AB403" s="74">
        <v>0</v>
      </c>
      <c r="AC403" s="75"/>
      <c r="AD403" s="373"/>
      <c r="AE403" s="76">
        <v>0</v>
      </c>
      <c r="AF403" s="380">
        <v>170</v>
      </c>
      <c r="AG403" s="79"/>
      <c r="AH403" s="374"/>
    </row>
    <row r="404" spans="1:34" s="80" customFormat="1" ht="12" customHeight="1" thickBot="1">
      <c r="A404" s="66">
        <v>3046</v>
      </c>
      <c r="B404" s="67" t="s">
        <v>2675</v>
      </c>
      <c r="C404" s="67" t="s">
        <v>2675</v>
      </c>
      <c r="D404" s="67" t="s">
        <v>2704</v>
      </c>
      <c r="E404" s="66">
        <v>3</v>
      </c>
      <c r="F404" s="381">
        <v>1</v>
      </c>
      <c r="G404" s="69">
        <v>401</v>
      </c>
      <c r="H404" s="37" t="s">
        <v>2182</v>
      </c>
      <c r="I404" s="382" t="s">
        <v>2182</v>
      </c>
      <c r="J404" s="383">
        <v>10500100342501</v>
      </c>
      <c r="K404" s="384" t="s">
        <v>148</v>
      </c>
      <c r="L404" s="38"/>
      <c r="M404" s="384">
        <v>4</v>
      </c>
      <c r="N404" s="382" t="s">
        <v>389</v>
      </c>
      <c r="O404" s="382" t="s">
        <v>2183</v>
      </c>
      <c r="P404" s="385" t="s">
        <v>2184</v>
      </c>
      <c r="Q404" s="382" t="s">
        <v>2185</v>
      </c>
      <c r="R404" s="382" t="s">
        <v>2186</v>
      </c>
      <c r="S404" s="386" t="s">
        <v>2187</v>
      </c>
      <c r="T404" s="387">
        <v>0</v>
      </c>
      <c r="U404" s="388">
        <v>531</v>
      </c>
      <c r="V404" s="388">
        <v>234</v>
      </c>
      <c r="W404" s="373" t="s">
        <v>2704</v>
      </c>
      <c r="X404" s="373" t="s">
        <v>2675</v>
      </c>
      <c r="Y404" s="389">
        <v>765</v>
      </c>
      <c r="Z404" s="387">
        <v>0</v>
      </c>
      <c r="AA404" s="388">
        <v>0</v>
      </c>
      <c r="AB404" s="388">
        <v>0</v>
      </c>
      <c r="AC404" s="75"/>
      <c r="AD404" s="373"/>
      <c r="AE404" s="390">
        <v>0</v>
      </c>
      <c r="AF404" s="391">
        <v>765</v>
      </c>
      <c r="AG404" s="79"/>
      <c r="AH404" s="374"/>
    </row>
    <row r="405" spans="1:34" s="80" customFormat="1" ht="12" customHeight="1">
      <c r="A405" s="66">
        <v>3047</v>
      </c>
      <c r="B405" s="67" t="s">
        <v>2675</v>
      </c>
      <c r="C405" s="67" t="s">
        <v>2675</v>
      </c>
      <c r="D405" s="67" t="s">
        <v>2704</v>
      </c>
      <c r="E405" s="66">
        <v>3</v>
      </c>
      <c r="F405" s="392">
        <v>1</v>
      </c>
      <c r="G405" s="69">
        <v>402</v>
      </c>
      <c r="H405" s="37" t="s">
        <v>2188</v>
      </c>
      <c r="I405" s="37" t="s">
        <v>2188</v>
      </c>
      <c r="J405" s="70">
        <v>10500100342503</v>
      </c>
      <c r="K405" s="38" t="s">
        <v>148</v>
      </c>
      <c r="L405" s="38"/>
      <c r="M405" s="38">
        <v>4</v>
      </c>
      <c r="N405" s="37" t="s">
        <v>389</v>
      </c>
      <c r="O405" s="37" t="s">
        <v>2189</v>
      </c>
      <c r="P405" s="71" t="s">
        <v>2190</v>
      </c>
      <c r="Q405" s="37" t="s">
        <v>2185</v>
      </c>
      <c r="R405" s="37" t="s">
        <v>2191</v>
      </c>
      <c r="S405" s="72" t="s">
        <v>2192</v>
      </c>
      <c r="T405" s="73">
        <v>354</v>
      </c>
      <c r="U405" s="74">
        <v>261</v>
      </c>
      <c r="V405" s="74">
        <v>0</v>
      </c>
      <c r="W405" s="373" t="s">
        <v>2704</v>
      </c>
      <c r="X405" s="373" t="s">
        <v>2675</v>
      </c>
      <c r="Y405" s="389">
        <v>615</v>
      </c>
      <c r="Z405" s="73">
        <v>0</v>
      </c>
      <c r="AA405" s="74">
        <v>0</v>
      </c>
      <c r="AB405" s="74">
        <v>0</v>
      </c>
      <c r="AC405" s="75"/>
      <c r="AD405" s="373"/>
      <c r="AE405" s="76">
        <v>0</v>
      </c>
      <c r="AF405" s="380">
        <v>615</v>
      </c>
      <c r="AG405" s="79"/>
      <c r="AH405" s="374"/>
    </row>
    <row r="406" spans="1:34" s="80" customFormat="1" ht="12" customHeight="1">
      <c r="A406" s="66">
        <v>3048</v>
      </c>
      <c r="B406" s="67" t="s">
        <v>2675</v>
      </c>
      <c r="C406" s="67" t="s">
        <v>2675</v>
      </c>
      <c r="D406" s="67" t="s">
        <v>2704</v>
      </c>
      <c r="E406" s="66">
        <v>3</v>
      </c>
      <c r="F406" s="372">
        <v>1</v>
      </c>
      <c r="G406" s="69">
        <v>403</v>
      </c>
      <c r="H406" s="37" t="s">
        <v>393</v>
      </c>
      <c r="I406" s="37" t="s">
        <v>393</v>
      </c>
      <c r="J406" s="70">
        <v>10500100529101</v>
      </c>
      <c r="K406" s="38" t="s">
        <v>148</v>
      </c>
      <c r="L406" s="38"/>
      <c r="M406" s="38">
        <v>4</v>
      </c>
      <c r="N406" s="37" t="s">
        <v>382</v>
      </c>
      <c r="O406" s="37" t="s">
        <v>394</v>
      </c>
      <c r="P406" s="71" t="s">
        <v>395</v>
      </c>
      <c r="Q406" s="37" t="s">
        <v>396</v>
      </c>
      <c r="R406" s="37" t="s">
        <v>397</v>
      </c>
      <c r="S406" s="72" t="s">
        <v>398</v>
      </c>
      <c r="T406" s="98">
        <v>111</v>
      </c>
      <c r="U406" s="99">
        <v>212</v>
      </c>
      <c r="V406" s="99">
        <v>67</v>
      </c>
      <c r="W406" s="373" t="s">
        <v>2704</v>
      </c>
      <c r="X406" s="373" t="s">
        <v>2675</v>
      </c>
      <c r="Y406" s="76">
        <v>390</v>
      </c>
      <c r="Z406" s="73">
        <v>0</v>
      </c>
      <c r="AA406" s="74">
        <v>0</v>
      </c>
      <c r="AB406" s="74">
        <v>0</v>
      </c>
      <c r="AC406" s="75"/>
      <c r="AD406" s="373"/>
      <c r="AE406" s="76">
        <v>0</v>
      </c>
      <c r="AF406" s="380">
        <v>390</v>
      </c>
      <c r="AG406" s="79"/>
      <c r="AH406" s="374"/>
    </row>
    <row r="407" spans="1:34" s="80" customFormat="1" ht="12" customHeight="1">
      <c r="A407" s="66">
        <v>3049</v>
      </c>
      <c r="B407" s="67" t="s">
        <v>2675</v>
      </c>
      <c r="C407" s="67" t="s">
        <v>2675</v>
      </c>
      <c r="D407" s="67" t="s">
        <v>2704</v>
      </c>
      <c r="E407" s="66">
        <v>3</v>
      </c>
      <c r="F407" s="372">
        <v>1</v>
      </c>
      <c r="G407" s="69">
        <v>404</v>
      </c>
      <c r="H407" s="37" t="s">
        <v>410</v>
      </c>
      <c r="I407" s="37" t="s">
        <v>410</v>
      </c>
      <c r="J407" s="70">
        <v>10500100210101</v>
      </c>
      <c r="K407" s="38" t="s">
        <v>148</v>
      </c>
      <c r="L407" s="38"/>
      <c r="M407" s="38">
        <v>4</v>
      </c>
      <c r="N407" s="37" t="s">
        <v>411</v>
      </c>
      <c r="O407" s="37" t="s">
        <v>412</v>
      </c>
      <c r="P407" s="71" t="s">
        <v>413</v>
      </c>
      <c r="Q407" s="37" t="s">
        <v>414</v>
      </c>
      <c r="R407" s="37" t="s">
        <v>415</v>
      </c>
      <c r="S407" s="72" t="s">
        <v>416</v>
      </c>
      <c r="T407" s="73">
        <v>293</v>
      </c>
      <c r="U407" s="74">
        <v>207</v>
      </c>
      <c r="V407" s="74">
        <v>100</v>
      </c>
      <c r="W407" s="373" t="s">
        <v>2704</v>
      </c>
      <c r="X407" s="373" t="s">
        <v>2675</v>
      </c>
      <c r="Y407" s="76">
        <v>600</v>
      </c>
      <c r="Z407" s="73">
        <v>0</v>
      </c>
      <c r="AA407" s="74">
        <v>0</v>
      </c>
      <c r="AB407" s="74">
        <v>0</v>
      </c>
      <c r="AC407" s="75"/>
      <c r="AD407" s="373"/>
      <c r="AE407" s="76">
        <v>0</v>
      </c>
      <c r="AF407" s="380">
        <v>600</v>
      </c>
      <c r="AG407" s="79"/>
      <c r="AH407" s="374"/>
    </row>
    <row r="408" spans="1:34" s="80" customFormat="1" ht="12" customHeight="1">
      <c r="A408" s="66">
        <v>3050</v>
      </c>
      <c r="B408" s="67" t="s">
        <v>2675</v>
      </c>
      <c r="C408" s="67" t="s">
        <v>2675</v>
      </c>
      <c r="D408" s="67" t="s">
        <v>2704</v>
      </c>
      <c r="E408" s="66">
        <v>3</v>
      </c>
      <c r="F408" s="372">
        <v>1</v>
      </c>
      <c r="G408" s="69">
        <v>405</v>
      </c>
      <c r="H408" s="37" t="s">
        <v>2193</v>
      </c>
      <c r="I408" s="37" t="s">
        <v>2193</v>
      </c>
      <c r="J408" s="70">
        <v>10500100969501</v>
      </c>
      <c r="K408" s="38" t="s">
        <v>148</v>
      </c>
      <c r="L408" s="38"/>
      <c r="M408" s="38">
        <v>4</v>
      </c>
      <c r="N408" s="37" t="s">
        <v>400</v>
      </c>
      <c r="O408" s="37" t="s">
        <v>2194</v>
      </c>
      <c r="P408" s="71" t="s">
        <v>2195</v>
      </c>
      <c r="Q408" s="37" t="s">
        <v>2196</v>
      </c>
      <c r="R408" s="37" t="s">
        <v>2197</v>
      </c>
      <c r="S408" s="72" t="s">
        <v>2198</v>
      </c>
      <c r="T408" s="73">
        <v>168</v>
      </c>
      <c r="U408" s="74">
        <v>151</v>
      </c>
      <c r="V408" s="74">
        <v>81</v>
      </c>
      <c r="W408" s="373" t="s">
        <v>2704</v>
      </c>
      <c r="X408" s="373" t="s">
        <v>2675</v>
      </c>
      <c r="Y408" s="76">
        <v>400</v>
      </c>
      <c r="Z408" s="73">
        <v>0</v>
      </c>
      <c r="AA408" s="74">
        <v>0</v>
      </c>
      <c r="AB408" s="74">
        <v>0</v>
      </c>
      <c r="AC408" s="75"/>
      <c r="AD408" s="373"/>
      <c r="AE408" s="76">
        <v>0</v>
      </c>
      <c r="AF408" s="380">
        <v>400</v>
      </c>
      <c r="AG408" s="79"/>
      <c r="AH408" s="374"/>
    </row>
    <row r="409" spans="1:34" s="80" customFormat="1" ht="12" customHeight="1">
      <c r="A409" s="66">
        <v>3051</v>
      </c>
      <c r="B409" s="67" t="s">
        <v>2675</v>
      </c>
      <c r="C409" s="67" t="s">
        <v>2675</v>
      </c>
      <c r="D409" s="67" t="s">
        <v>2704</v>
      </c>
      <c r="E409" s="66">
        <v>3</v>
      </c>
      <c r="F409" s="372">
        <v>1</v>
      </c>
      <c r="G409" s="69">
        <v>406</v>
      </c>
      <c r="H409" s="37" t="s">
        <v>2199</v>
      </c>
      <c r="I409" s="37" t="s">
        <v>2199</v>
      </c>
      <c r="J409" s="70">
        <v>30500100485401</v>
      </c>
      <c r="K409" s="38" t="s">
        <v>148</v>
      </c>
      <c r="L409" s="38"/>
      <c r="M409" s="38">
        <v>4</v>
      </c>
      <c r="N409" s="37" t="s">
        <v>2200</v>
      </c>
      <c r="O409" s="37" t="s">
        <v>2201</v>
      </c>
      <c r="P409" s="71" t="s">
        <v>2202</v>
      </c>
      <c r="Q409" s="37" t="s">
        <v>2203</v>
      </c>
      <c r="R409" s="37" t="s">
        <v>2204</v>
      </c>
      <c r="S409" s="72" t="s">
        <v>2205</v>
      </c>
      <c r="T409" s="73">
        <v>217</v>
      </c>
      <c r="U409" s="74">
        <v>174</v>
      </c>
      <c r="V409" s="74">
        <v>109</v>
      </c>
      <c r="W409" s="373" t="s">
        <v>2704</v>
      </c>
      <c r="X409" s="373" t="s">
        <v>2675</v>
      </c>
      <c r="Y409" s="76">
        <v>500</v>
      </c>
      <c r="Z409" s="73">
        <v>0</v>
      </c>
      <c r="AA409" s="74">
        <v>0</v>
      </c>
      <c r="AB409" s="74">
        <v>0</v>
      </c>
      <c r="AC409" s="75"/>
      <c r="AD409" s="373"/>
      <c r="AE409" s="76">
        <v>0</v>
      </c>
      <c r="AF409" s="380">
        <v>500</v>
      </c>
      <c r="AG409" s="79"/>
      <c r="AH409" s="374"/>
    </row>
    <row r="410" spans="1:34" s="80" customFormat="1" ht="12" customHeight="1">
      <c r="A410" s="66">
        <v>3052</v>
      </c>
      <c r="B410" s="67" t="s">
        <v>2675</v>
      </c>
      <c r="C410" s="67" t="s">
        <v>2675</v>
      </c>
      <c r="D410" s="67" t="s">
        <v>2704</v>
      </c>
      <c r="E410" s="66">
        <v>3</v>
      </c>
      <c r="F410" s="372">
        <v>1</v>
      </c>
      <c r="G410" s="69">
        <v>407</v>
      </c>
      <c r="H410" s="37" t="s">
        <v>417</v>
      </c>
      <c r="I410" s="37" t="s">
        <v>417</v>
      </c>
      <c r="J410" s="70">
        <v>10500100014101</v>
      </c>
      <c r="K410" s="38" t="s">
        <v>148</v>
      </c>
      <c r="L410" s="38"/>
      <c r="M410" s="38">
        <v>4</v>
      </c>
      <c r="N410" s="37" t="s">
        <v>382</v>
      </c>
      <c r="O410" s="37" t="s">
        <v>418</v>
      </c>
      <c r="P410" s="71">
        <v>2338044</v>
      </c>
      <c r="Q410" s="37" t="s">
        <v>419</v>
      </c>
      <c r="R410" s="37" t="s">
        <v>420</v>
      </c>
      <c r="S410" s="72" t="s">
        <v>421</v>
      </c>
      <c r="T410" s="98">
        <v>43</v>
      </c>
      <c r="U410" s="99">
        <v>90</v>
      </c>
      <c r="V410" s="99">
        <v>47</v>
      </c>
      <c r="W410" s="373" t="s">
        <v>2704</v>
      </c>
      <c r="X410" s="373" t="s">
        <v>2675</v>
      </c>
      <c r="Y410" s="76">
        <v>180</v>
      </c>
      <c r="Z410" s="73">
        <v>0</v>
      </c>
      <c r="AA410" s="74">
        <v>0</v>
      </c>
      <c r="AB410" s="74">
        <v>0</v>
      </c>
      <c r="AC410" s="75"/>
      <c r="AD410" s="373"/>
      <c r="AE410" s="76">
        <v>0</v>
      </c>
      <c r="AF410" s="380">
        <v>180</v>
      </c>
      <c r="AG410" s="79"/>
      <c r="AH410" s="374"/>
    </row>
    <row r="411" spans="1:34" s="80" customFormat="1" ht="12" customHeight="1">
      <c r="A411" s="66">
        <v>3053</v>
      </c>
      <c r="B411" s="67" t="s">
        <v>2675</v>
      </c>
      <c r="C411" s="67" t="s">
        <v>2675</v>
      </c>
      <c r="D411" s="67" t="s">
        <v>2704</v>
      </c>
      <c r="E411" s="66">
        <v>3</v>
      </c>
      <c r="F411" s="372">
        <v>1</v>
      </c>
      <c r="G411" s="69">
        <v>408</v>
      </c>
      <c r="H411" s="37" t="s">
        <v>2206</v>
      </c>
      <c r="I411" s="37" t="s">
        <v>2206</v>
      </c>
      <c r="J411" s="70">
        <v>30500102264001</v>
      </c>
      <c r="K411" s="38" t="s">
        <v>148</v>
      </c>
      <c r="L411" s="38"/>
      <c r="M411" s="38">
        <v>4</v>
      </c>
      <c r="N411" s="37" t="s">
        <v>2207</v>
      </c>
      <c r="O411" s="37" t="s">
        <v>2208</v>
      </c>
      <c r="P411" s="71" t="s">
        <v>2209</v>
      </c>
      <c r="Q411" s="37" t="s">
        <v>2210</v>
      </c>
      <c r="R411" s="37" t="s">
        <v>2211</v>
      </c>
      <c r="S411" s="72" t="s">
        <v>2212</v>
      </c>
      <c r="T411" s="73">
        <v>419</v>
      </c>
      <c r="U411" s="74">
        <v>430</v>
      </c>
      <c r="V411" s="74">
        <v>51</v>
      </c>
      <c r="W411" s="373" t="s">
        <v>2704</v>
      </c>
      <c r="X411" s="373" t="s">
        <v>2675</v>
      </c>
      <c r="Y411" s="76">
        <v>900</v>
      </c>
      <c r="Z411" s="73">
        <v>0</v>
      </c>
      <c r="AA411" s="74">
        <v>0</v>
      </c>
      <c r="AB411" s="74">
        <v>0</v>
      </c>
      <c r="AC411" s="75"/>
      <c r="AD411" s="373"/>
      <c r="AE411" s="76">
        <v>0</v>
      </c>
      <c r="AF411" s="380">
        <v>900</v>
      </c>
      <c r="AG411" s="79"/>
      <c r="AH411" s="374"/>
    </row>
    <row r="412" spans="1:34" s="80" customFormat="1" ht="12" customHeight="1">
      <c r="A412" s="66">
        <v>3054</v>
      </c>
      <c r="B412" s="67" t="s">
        <v>2675</v>
      </c>
      <c r="C412" s="67" t="s">
        <v>2675</v>
      </c>
      <c r="D412" s="67" t="s">
        <v>2704</v>
      </c>
      <c r="E412" s="66">
        <v>3</v>
      </c>
      <c r="F412" s="372">
        <v>1</v>
      </c>
      <c r="G412" s="69">
        <v>409</v>
      </c>
      <c r="H412" s="279" t="s">
        <v>1428</v>
      </c>
      <c r="I412" s="37" t="s">
        <v>1428</v>
      </c>
      <c r="J412" s="70">
        <v>10500100098101</v>
      </c>
      <c r="K412" s="38" t="s">
        <v>148</v>
      </c>
      <c r="L412" s="280"/>
      <c r="M412" s="38">
        <v>4</v>
      </c>
      <c r="N412" s="37" t="s">
        <v>436</v>
      </c>
      <c r="O412" s="37" t="s">
        <v>1429</v>
      </c>
      <c r="P412" s="71" t="s">
        <v>1430</v>
      </c>
      <c r="Q412" s="37" t="s">
        <v>432</v>
      </c>
      <c r="R412" s="37" t="s">
        <v>1431</v>
      </c>
      <c r="S412" s="72" t="s">
        <v>1432</v>
      </c>
      <c r="T412" s="98">
        <v>0</v>
      </c>
      <c r="U412" s="288">
        <v>766</v>
      </c>
      <c r="V412" s="131">
        <v>184</v>
      </c>
      <c r="W412" s="373" t="s">
        <v>2704</v>
      </c>
      <c r="X412" s="373" t="s">
        <v>2675</v>
      </c>
      <c r="Y412" s="76">
        <v>950</v>
      </c>
      <c r="Z412" s="73">
        <v>0</v>
      </c>
      <c r="AA412" s="74">
        <v>0</v>
      </c>
      <c r="AB412" s="74">
        <v>0</v>
      </c>
      <c r="AC412" s="75"/>
      <c r="AD412" s="373"/>
      <c r="AE412" s="76">
        <v>0</v>
      </c>
      <c r="AF412" s="380">
        <v>950</v>
      </c>
      <c r="AG412" s="79"/>
      <c r="AH412" s="374"/>
    </row>
    <row r="413" spans="1:34" s="80" customFormat="1" ht="12" customHeight="1">
      <c r="A413" s="66">
        <v>3055</v>
      </c>
      <c r="B413" s="67" t="s">
        <v>2675</v>
      </c>
      <c r="C413" s="67" t="s">
        <v>2675</v>
      </c>
      <c r="D413" s="67" t="s">
        <v>2704</v>
      </c>
      <c r="E413" s="66">
        <v>3</v>
      </c>
      <c r="F413" s="372">
        <v>1</v>
      </c>
      <c r="G413" s="69">
        <v>410</v>
      </c>
      <c r="H413" s="37" t="s">
        <v>429</v>
      </c>
      <c r="I413" s="37" t="s">
        <v>429</v>
      </c>
      <c r="J413" s="70">
        <v>10500100098105</v>
      </c>
      <c r="K413" s="38" t="s">
        <v>148</v>
      </c>
      <c r="L413" s="38"/>
      <c r="M413" s="38">
        <v>4</v>
      </c>
      <c r="N413" s="37" t="s">
        <v>430</v>
      </c>
      <c r="O413" s="37" t="s">
        <v>431</v>
      </c>
      <c r="P413" s="71">
        <v>3668358</v>
      </c>
      <c r="Q413" s="37" t="s">
        <v>432</v>
      </c>
      <c r="R413" s="37" t="s">
        <v>433</v>
      </c>
      <c r="S413" s="72" t="s">
        <v>434</v>
      </c>
      <c r="T413" s="98">
        <v>250</v>
      </c>
      <c r="U413" s="99">
        <v>0</v>
      </c>
      <c r="V413" s="99">
        <v>0</v>
      </c>
      <c r="W413" s="373" t="s">
        <v>2704</v>
      </c>
      <c r="X413" s="373" t="s">
        <v>2675</v>
      </c>
      <c r="Y413" s="76">
        <v>250</v>
      </c>
      <c r="Z413" s="73">
        <v>0</v>
      </c>
      <c r="AA413" s="74">
        <v>0</v>
      </c>
      <c r="AB413" s="74">
        <v>0</v>
      </c>
      <c r="AC413" s="75"/>
      <c r="AD413" s="373"/>
      <c r="AE413" s="76">
        <v>0</v>
      </c>
      <c r="AF413" s="380">
        <v>250</v>
      </c>
      <c r="AG413" s="79"/>
      <c r="AH413" s="374"/>
    </row>
    <row r="414" spans="1:34" s="80" customFormat="1" ht="12" customHeight="1">
      <c r="A414" s="66">
        <v>3056</v>
      </c>
      <c r="B414" s="67" t="s">
        <v>2675</v>
      </c>
      <c r="C414" s="67" t="s">
        <v>2675</v>
      </c>
      <c r="D414" s="67" t="s">
        <v>2704</v>
      </c>
      <c r="E414" s="66">
        <v>3</v>
      </c>
      <c r="F414" s="68">
        <v>1</v>
      </c>
      <c r="G414" s="69">
        <v>411</v>
      </c>
      <c r="H414" s="279" t="s">
        <v>2213</v>
      </c>
      <c r="I414" s="393" t="s">
        <v>2213</v>
      </c>
      <c r="J414" s="70">
        <v>10500100098102</v>
      </c>
      <c r="K414" s="38" t="s">
        <v>148</v>
      </c>
      <c r="L414" s="38"/>
      <c r="M414" s="38">
        <v>4</v>
      </c>
      <c r="N414" s="37" t="s">
        <v>436</v>
      </c>
      <c r="O414" s="79"/>
      <c r="P414" s="71" t="s">
        <v>2214</v>
      </c>
      <c r="Q414" s="37" t="s">
        <v>432</v>
      </c>
      <c r="R414" s="37" t="s">
        <v>438</v>
      </c>
      <c r="S414" s="72" t="s">
        <v>2215</v>
      </c>
      <c r="T414" s="272">
        <v>0</v>
      </c>
      <c r="U414" s="106">
        <v>230</v>
      </c>
      <c r="V414" s="273">
        <v>0</v>
      </c>
      <c r="W414" s="373" t="s">
        <v>2704</v>
      </c>
      <c r="X414" s="373" t="s">
        <v>2675</v>
      </c>
      <c r="Y414" s="268">
        <v>230</v>
      </c>
      <c r="Z414" s="394">
        <v>0</v>
      </c>
      <c r="AA414" s="74">
        <v>0</v>
      </c>
      <c r="AB414" s="74">
        <v>0</v>
      </c>
      <c r="AC414" s="75"/>
      <c r="AD414" s="373"/>
      <c r="AE414" s="76">
        <v>0</v>
      </c>
      <c r="AF414" s="380">
        <v>230</v>
      </c>
      <c r="AG414" s="79"/>
      <c r="AH414" s="374"/>
    </row>
    <row r="415" spans="1:34" s="80" customFormat="1" ht="12" customHeight="1">
      <c r="A415" s="66">
        <v>3057</v>
      </c>
      <c r="B415" s="67" t="s">
        <v>2675</v>
      </c>
      <c r="C415" s="67" t="s">
        <v>2675</v>
      </c>
      <c r="D415" s="67" t="s">
        <v>2704</v>
      </c>
      <c r="E415" s="66">
        <v>3</v>
      </c>
      <c r="F415" s="372">
        <v>1</v>
      </c>
      <c r="G415" s="69">
        <v>412</v>
      </c>
      <c r="H415" s="37" t="s">
        <v>2216</v>
      </c>
      <c r="I415" s="37" t="s">
        <v>2216</v>
      </c>
      <c r="J415" s="70">
        <v>10500100098104</v>
      </c>
      <c r="K415" s="38" t="s">
        <v>148</v>
      </c>
      <c r="L415" s="38"/>
      <c r="M415" s="38">
        <v>4</v>
      </c>
      <c r="N415" s="37" t="s">
        <v>2217</v>
      </c>
      <c r="O415" s="37" t="s">
        <v>2218</v>
      </c>
      <c r="P415" s="71">
        <v>2637256</v>
      </c>
      <c r="Q415" s="37" t="s">
        <v>432</v>
      </c>
      <c r="R415" s="37" t="s">
        <v>2219</v>
      </c>
      <c r="S415" s="72" t="s">
        <v>2220</v>
      </c>
      <c r="T415" s="98">
        <v>299</v>
      </c>
      <c r="U415" s="99">
        <v>46</v>
      </c>
      <c r="V415" s="99">
        <v>0</v>
      </c>
      <c r="W415" s="373" t="s">
        <v>2704</v>
      </c>
      <c r="X415" s="373" t="s">
        <v>2675</v>
      </c>
      <c r="Y415" s="76">
        <v>345</v>
      </c>
      <c r="Z415" s="73">
        <v>0</v>
      </c>
      <c r="AA415" s="74">
        <v>0</v>
      </c>
      <c r="AB415" s="74">
        <v>0</v>
      </c>
      <c r="AC415" s="75"/>
      <c r="AD415" s="373"/>
      <c r="AE415" s="76">
        <v>0</v>
      </c>
      <c r="AF415" s="380">
        <v>345</v>
      </c>
      <c r="AG415" s="79"/>
      <c r="AH415" s="374"/>
    </row>
    <row r="416" spans="1:34" s="80" customFormat="1" ht="12" customHeight="1">
      <c r="A416" s="66">
        <v>3058</v>
      </c>
      <c r="B416" s="67" t="s">
        <v>2675</v>
      </c>
      <c r="C416" s="67" t="s">
        <v>2675</v>
      </c>
      <c r="D416" s="67" t="s">
        <v>2704</v>
      </c>
      <c r="E416" s="66">
        <v>3</v>
      </c>
      <c r="F416" s="372">
        <v>1</v>
      </c>
      <c r="G416" s="69">
        <v>413</v>
      </c>
      <c r="H416" s="37" t="s">
        <v>2221</v>
      </c>
      <c r="I416" s="37" t="s">
        <v>2221</v>
      </c>
      <c r="J416" s="70">
        <v>10500100329801</v>
      </c>
      <c r="K416" s="38" t="s">
        <v>148</v>
      </c>
      <c r="L416" s="38"/>
      <c r="M416" s="38">
        <v>4</v>
      </c>
      <c r="N416" s="37" t="s">
        <v>423</v>
      </c>
      <c r="O416" s="37" t="s">
        <v>2222</v>
      </c>
      <c r="P416" s="71" t="s">
        <v>2223</v>
      </c>
      <c r="Q416" s="37" t="s">
        <v>448</v>
      </c>
      <c r="R416" s="37" t="s">
        <v>2224</v>
      </c>
      <c r="S416" s="72" t="s">
        <v>2225</v>
      </c>
      <c r="T416" s="98">
        <v>0</v>
      </c>
      <c r="U416" s="99">
        <v>260</v>
      </c>
      <c r="V416" s="99">
        <v>290</v>
      </c>
      <c r="W416" s="373" t="s">
        <v>2704</v>
      </c>
      <c r="X416" s="373" t="s">
        <v>2675</v>
      </c>
      <c r="Y416" s="76">
        <v>550</v>
      </c>
      <c r="Z416" s="73">
        <v>0</v>
      </c>
      <c r="AA416" s="74">
        <v>0</v>
      </c>
      <c r="AB416" s="74">
        <v>0</v>
      </c>
      <c r="AC416" s="75"/>
      <c r="AD416" s="373"/>
      <c r="AE416" s="76">
        <v>0</v>
      </c>
      <c r="AF416" s="380">
        <v>550</v>
      </c>
      <c r="AG416" s="79"/>
      <c r="AH416" s="374"/>
    </row>
    <row r="417" spans="1:34" s="80" customFormat="1" ht="12" customHeight="1">
      <c r="A417" s="66">
        <v>3059</v>
      </c>
      <c r="B417" s="67" t="s">
        <v>2675</v>
      </c>
      <c r="C417" s="67" t="s">
        <v>2675</v>
      </c>
      <c r="D417" s="67" t="s">
        <v>2704</v>
      </c>
      <c r="E417" s="66">
        <v>3</v>
      </c>
      <c r="F417" s="372">
        <v>1</v>
      </c>
      <c r="G417" s="69">
        <v>414</v>
      </c>
      <c r="H417" s="37" t="s">
        <v>2226</v>
      </c>
      <c r="I417" s="37" t="s">
        <v>2226</v>
      </c>
      <c r="J417" s="70">
        <v>10500100533902</v>
      </c>
      <c r="K417" s="38" t="s">
        <v>148</v>
      </c>
      <c r="L417" s="38"/>
      <c r="M417" s="38">
        <v>4</v>
      </c>
      <c r="N417" s="37" t="s">
        <v>423</v>
      </c>
      <c r="O417" s="37" t="s">
        <v>2227</v>
      </c>
      <c r="P417" s="71">
        <v>2362053</v>
      </c>
      <c r="Q417" s="37" t="s">
        <v>457</v>
      </c>
      <c r="R417" s="37" t="s">
        <v>2228</v>
      </c>
      <c r="S417" s="72" t="s">
        <v>2229</v>
      </c>
      <c r="T417" s="98">
        <v>320</v>
      </c>
      <c r="U417" s="99">
        <v>0</v>
      </c>
      <c r="V417" s="99">
        <v>0</v>
      </c>
      <c r="W417" s="373" t="s">
        <v>2704</v>
      </c>
      <c r="X417" s="373" t="s">
        <v>2675</v>
      </c>
      <c r="Y417" s="76">
        <v>320</v>
      </c>
      <c r="Z417" s="73">
        <v>0</v>
      </c>
      <c r="AA417" s="74">
        <v>0</v>
      </c>
      <c r="AB417" s="74">
        <v>0</v>
      </c>
      <c r="AC417" s="75"/>
      <c r="AD417" s="373"/>
      <c r="AE417" s="76">
        <v>0</v>
      </c>
      <c r="AF417" s="380">
        <v>320</v>
      </c>
      <c r="AG417" s="79"/>
      <c r="AH417" s="374"/>
    </row>
    <row r="418" spans="1:34" s="80" customFormat="1" ht="12" customHeight="1">
      <c r="A418" s="66">
        <v>3060</v>
      </c>
      <c r="B418" s="67" t="s">
        <v>2675</v>
      </c>
      <c r="C418" s="67" t="s">
        <v>2675</v>
      </c>
      <c r="D418" s="67" t="s">
        <v>2704</v>
      </c>
      <c r="E418" s="66">
        <v>3</v>
      </c>
      <c r="F418" s="372">
        <v>1</v>
      </c>
      <c r="G418" s="69">
        <v>415</v>
      </c>
      <c r="H418" s="37" t="s">
        <v>2230</v>
      </c>
      <c r="I418" s="37" t="s">
        <v>2230</v>
      </c>
      <c r="J418" s="70">
        <v>10500100533903</v>
      </c>
      <c r="K418" s="38" t="s">
        <v>148</v>
      </c>
      <c r="L418" s="38"/>
      <c r="M418" s="38">
        <v>4</v>
      </c>
      <c r="N418" s="37" t="s">
        <v>423</v>
      </c>
      <c r="O418" s="37" t="s">
        <v>2231</v>
      </c>
      <c r="P418" s="71">
        <v>2366368</v>
      </c>
      <c r="Q418" s="37" t="s">
        <v>457</v>
      </c>
      <c r="R418" s="37" t="s">
        <v>2232</v>
      </c>
      <c r="S418" s="72" t="s">
        <v>2233</v>
      </c>
      <c r="T418" s="98">
        <v>110</v>
      </c>
      <c r="U418" s="99">
        <v>190</v>
      </c>
      <c r="V418" s="99">
        <v>0</v>
      </c>
      <c r="W418" s="373" t="s">
        <v>2704</v>
      </c>
      <c r="X418" s="373" t="s">
        <v>2675</v>
      </c>
      <c r="Y418" s="76">
        <v>300</v>
      </c>
      <c r="Z418" s="73">
        <v>0</v>
      </c>
      <c r="AA418" s="74">
        <v>0</v>
      </c>
      <c r="AB418" s="74">
        <v>0</v>
      </c>
      <c r="AC418" s="75"/>
      <c r="AD418" s="373"/>
      <c r="AE418" s="76">
        <v>0</v>
      </c>
      <c r="AF418" s="380">
        <v>300</v>
      </c>
      <c r="AG418" s="79"/>
      <c r="AH418" s="374"/>
    </row>
    <row r="419" spans="1:34" s="80" customFormat="1" ht="12" customHeight="1">
      <c r="A419" s="66">
        <v>3061</v>
      </c>
      <c r="B419" s="67" t="s">
        <v>2675</v>
      </c>
      <c r="C419" s="67" t="s">
        <v>2675</v>
      </c>
      <c r="D419" s="67" t="s">
        <v>2704</v>
      </c>
      <c r="E419" s="66">
        <v>3</v>
      </c>
      <c r="F419" s="372">
        <v>1</v>
      </c>
      <c r="G419" s="69">
        <v>416</v>
      </c>
      <c r="H419" s="37" t="s">
        <v>2234</v>
      </c>
      <c r="I419" s="37" t="s">
        <v>2234</v>
      </c>
      <c r="J419" s="70">
        <v>30500101802201</v>
      </c>
      <c r="K419" s="38" t="s">
        <v>148</v>
      </c>
      <c r="L419" s="38"/>
      <c r="M419" s="38">
        <v>4</v>
      </c>
      <c r="N419" s="37" t="s">
        <v>2207</v>
      </c>
      <c r="O419" s="37" t="s">
        <v>2235</v>
      </c>
      <c r="P419" s="71">
        <v>2634812</v>
      </c>
      <c r="Q419" s="37" t="s">
        <v>2236</v>
      </c>
      <c r="R419" s="37" t="s">
        <v>2237</v>
      </c>
      <c r="S419" s="72" t="s">
        <v>2238</v>
      </c>
      <c r="T419" s="73">
        <v>255</v>
      </c>
      <c r="U419" s="74">
        <v>357</v>
      </c>
      <c r="V419" s="74">
        <v>188</v>
      </c>
      <c r="W419" s="373" t="s">
        <v>2704</v>
      </c>
      <c r="X419" s="373" t="s">
        <v>2675</v>
      </c>
      <c r="Y419" s="76">
        <v>800</v>
      </c>
      <c r="Z419" s="73">
        <v>0</v>
      </c>
      <c r="AA419" s="74">
        <v>0</v>
      </c>
      <c r="AB419" s="74">
        <v>0</v>
      </c>
      <c r="AC419" s="75"/>
      <c r="AD419" s="373"/>
      <c r="AE419" s="76">
        <v>0</v>
      </c>
      <c r="AF419" s="380">
        <v>800</v>
      </c>
      <c r="AG419" s="79"/>
      <c r="AH419" s="374"/>
    </row>
    <row r="420" spans="1:34" s="80" customFormat="1" ht="12" customHeight="1">
      <c r="A420" s="66">
        <v>3062</v>
      </c>
      <c r="B420" s="67" t="s">
        <v>2675</v>
      </c>
      <c r="C420" s="67" t="s">
        <v>2675</v>
      </c>
      <c r="D420" s="67" t="s">
        <v>2704</v>
      </c>
      <c r="E420" s="66">
        <v>3</v>
      </c>
      <c r="F420" s="372">
        <v>1</v>
      </c>
      <c r="G420" s="69">
        <v>417</v>
      </c>
      <c r="H420" s="37" t="s">
        <v>2239</v>
      </c>
      <c r="I420" s="37" t="s">
        <v>2239</v>
      </c>
      <c r="J420" s="70">
        <v>30500102126101</v>
      </c>
      <c r="K420" s="38" t="s">
        <v>226</v>
      </c>
      <c r="L420" s="38"/>
      <c r="M420" s="38">
        <v>4</v>
      </c>
      <c r="N420" s="37" t="s">
        <v>2207</v>
      </c>
      <c r="O420" s="37" t="s">
        <v>2240</v>
      </c>
      <c r="P420" s="71" t="s">
        <v>2241</v>
      </c>
      <c r="Q420" s="37" t="s">
        <v>2242</v>
      </c>
      <c r="R420" s="37" t="s">
        <v>2243</v>
      </c>
      <c r="S420" s="72" t="s">
        <v>2244</v>
      </c>
      <c r="T420" s="73">
        <v>0</v>
      </c>
      <c r="U420" s="74">
        <v>100</v>
      </c>
      <c r="V420" s="74">
        <v>0</v>
      </c>
      <c r="W420" s="373" t="s">
        <v>2704</v>
      </c>
      <c r="X420" s="373" t="s">
        <v>2675</v>
      </c>
      <c r="Y420" s="76">
        <v>100</v>
      </c>
      <c r="Z420" s="73">
        <v>0</v>
      </c>
      <c r="AA420" s="74">
        <v>0</v>
      </c>
      <c r="AB420" s="74">
        <v>0</v>
      </c>
      <c r="AC420" s="75"/>
      <c r="AD420" s="373"/>
      <c r="AE420" s="76">
        <v>0</v>
      </c>
      <c r="AF420" s="380">
        <v>100</v>
      </c>
      <c r="AG420" s="276"/>
      <c r="AH420" s="374"/>
    </row>
    <row r="421" spans="1:34" s="80" customFormat="1" ht="12" customHeight="1">
      <c r="A421" s="66">
        <v>3063</v>
      </c>
      <c r="B421" s="67" t="s">
        <v>2675</v>
      </c>
      <c r="C421" s="67" t="s">
        <v>2675</v>
      </c>
      <c r="D421" s="67" t="s">
        <v>2704</v>
      </c>
      <c r="E421" s="66">
        <v>3</v>
      </c>
      <c r="F421" s="372">
        <v>1</v>
      </c>
      <c r="G421" s="69">
        <v>418</v>
      </c>
      <c r="H421" s="37" t="s">
        <v>2245</v>
      </c>
      <c r="I421" s="37" t="s">
        <v>2245</v>
      </c>
      <c r="J421" s="70">
        <v>30500100421801</v>
      </c>
      <c r="K421" s="38" t="s">
        <v>226</v>
      </c>
      <c r="L421" s="38"/>
      <c r="M421" s="38">
        <v>4</v>
      </c>
      <c r="N421" s="37" t="s">
        <v>423</v>
      </c>
      <c r="O421" s="37" t="s">
        <v>2246</v>
      </c>
      <c r="P421" s="71">
        <v>2120728</v>
      </c>
      <c r="Q421" s="37" t="s">
        <v>2247</v>
      </c>
      <c r="R421" s="37" t="s">
        <v>2248</v>
      </c>
      <c r="S421" s="72" t="s">
        <v>2249</v>
      </c>
      <c r="T421" s="73">
        <v>209</v>
      </c>
      <c r="U421" s="74">
        <v>216</v>
      </c>
      <c r="V421" s="74">
        <v>135</v>
      </c>
      <c r="W421" s="373" t="s">
        <v>2704</v>
      </c>
      <c r="X421" s="373" t="s">
        <v>2675</v>
      </c>
      <c r="Y421" s="76">
        <v>560</v>
      </c>
      <c r="Z421" s="73">
        <v>0</v>
      </c>
      <c r="AA421" s="74">
        <v>0</v>
      </c>
      <c r="AB421" s="74">
        <v>0</v>
      </c>
      <c r="AC421" s="75"/>
      <c r="AD421" s="373"/>
      <c r="AE421" s="76">
        <v>0</v>
      </c>
      <c r="AF421" s="380">
        <v>560</v>
      </c>
      <c r="AG421" s="79"/>
      <c r="AH421" s="374"/>
    </row>
    <row r="422" spans="1:34" s="80" customFormat="1" ht="12" customHeight="1">
      <c r="A422" s="66">
        <v>3064</v>
      </c>
      <c r="B422" s="67" t="s">
        <v>2675</v>
      </c>
      <c r="C422" s="67" t="s">
        <v>2675</v>
      </c>
      <c r="D422" s="67" t="s">
        <v>2704</v>
      </c>
      <c r="E422" s="66">
        <v>3</v>
      </c>
      <c r="F422" s="395">
        <v>2</v>
      </c>
      <c r="G422" s="69">
        <v>419</v>
      </c>
      <c r="H422" s="111" t="s">
        <v>2250</v>
      </c>
      <c r="I422" s="112" t="s">
        <v>2250</v>
      </c>
      <c r="J422" s="113">
        <v>10500100328002</v>
      </c>
      <c r="K422" s="114" t="s">
        <v>148</v>
      </c>
      <c r="L422" s="114"/>
      <c r="M422" s="114">
        <v>5</v>
      </c>
      <c r="N422" s="115" t="s">
        <v>533</v>
      </c>
      <c r="O422" s="111" t="s">
        <v>2251</v>
      </c>
      <c r="P422" s="115">
        <v>2378038</v>
      </c>
      <c r="Q422" s="111" t="s">
        <v>2252</v>
      </c>
      <c r="R422" s="111" t="s">
        <v>2253</v>
      </c>
      <c r="S422" s="116" t="s">
        <v>2254</v>
      </c>
      <c r="T422" s="98">
        <v>180</v>
      </c>
      <c r="U422" s="99">
        <v>130</v>
      </c>
      <c r="V422" s="99">
        <v>0</v>
      </c>
      <c r="W422" s="373" t="s">
        <v>2704</v>
      </c>
      <c r="X422" s="373" t="s">
        <v>2675</v>
      </c>
      <c r="Y422" s="109">
        <v>310</v>
      </c>
      <c r="Z422" s="98">
        <v>0</v>
      </c>
      <c r="AA422" s="99">
        <v>0</v>
      </c>
      <c r="AB422" s="99">
        <v>0</v>
      </c>
      <c r="AC422" s="75"/>
      <c r="AD422" s="373"/>
      <c r="AE422" s="109">
        <v>0</v>
      </c>
      <c r="AF422" s="396">
        <v>310</v>
      </c>
      <c r="AG422" s="119"/>
      <c r="AH422" s="374"/>
    </row>
    <row r="423" spans="1:34" s="80" customFormat="1" ht="12" customHeight="1">
      <c r="A423" s="66">
        <v>3065</v>
      </c>
      <c r="B423" s="67" t="s">
        <v>2675</v>
      </c>
      <c r="C423" s="67" t="s">
        <v>2675</v>
      </c>
      <c r="D423" s="67" t="s">
        <v>2705</v>
      </c>
      <c r="E423" s="66">
        <v>3</v>
      </c>
      <c r="F423" s="397">
        <v>2</v>
      </c>
      <c r="G423" s="69">
        <v>420</v>
      </c>
      <c r="H423" s="111" t="s">
        <v>2255</v>
      </c>
      <c r="I423" s="112" t="s">
        <v>2255</v>
      </c>
      <c r="J423" s="113">
        <v>10500102598401</v>
      </c>
      <c r="K423" s="114" t="s">
        <v>148</v>
      </c>
      <c r="L423" s="114" t="s">
        <v>120</v>
      </c>
      <c r="M423" s="114">
        <v>5</v>
      </c>
      <c r="N423" s="115" t="s">
        <v>509</v>
      </c>
      <c r="O423" s="111" t="s">
        <v>2256</v>
      </c>
      <c r="P423" s="115">
        <v>4648274</v>
      </c>
      <c r="Q423" s="111" t="s">
        <v>2257</v>
      </c>
      <c r="R423" s="111" t="s">
        <v>2258</v>
      </c>
      <c r="S423" s="116" t="s">
        <v>2259</v>
      </c>
      <c r="T423" s="98">
        <v>0</v>
      </c>
      <c r="U423" s="99">
        <v>170</v>
      </c>
      <c r="V423" s="99">
        <v>105</v>
      </c>
      <c r="W423" s="373" t="s">
        <v>2704</v>
      </c>
      <c r="X423" s="373" t="s">
        <v>2675</v>
      </c>
      <c r="Y423" s="109">
        <v>275</v>
      </c>
      <c r="Z423" s="98">
        <v>0</v>
      </c>
      <c r="AA423" s="99">
        <v>65</v>
      </c>
      <c r="AB423" s="99">
        <v>30</v>
      </c>
      <c r="AC423" s="75" t="s">
        <v>2700</v>
      </c>
      <c r="AD423" s="373" t="s">
        <v>2675</v>
      </c>
      <c r="AE423" s="109">
        <v>95</v>
      </c>
      <c r="AF423" s="396">
        <v>370</v>
      </c>
      <c r="AG423" s="119"/>
      <c r="AH423" s="374"/>
    </row>
    <row r="424" spans="1:34" s="80" customFormat="1" ht="12" customHeight="1">
      <c r="A424" s="66">
        <v>3066</v>
      </c>
      <c r="B424" s="67" t="s">
        <v>2675</v>
      </c>
      <c r="C424" s="67" t="s">
        <v>2675</v>
      </c>
      <c r="D424" s="67" t="s">
        <v>2700</v>
      </c>
      <c r="E424" s="66">
        <v>3</v>
      </c>
      <c r="F424" s="120">
        <v>2</v>
      </c>
      <c r="G424" s="69">
        <v>421</v>
      </c>
      <c r="H424" s="121" t="s">
        <v>479</v>
      </c>
      <c r="I424" s="122" t="s">
        <v>2260</v>
      </c>
      <c r="J424" s="123">
        <v>10500101979803</v>
      </c>
      <c r="K424" s="124" t="s">
        <v>148</v>
      </c>
      <c r="L424" s="124"/>
      <c r="M424" s="124">
        <v>5</v>
      </c>
      <c r="N424" s="125" t="s">
        <v>480</v>
      </c>
      <c r="O424" s="121" t="s">
        <v>2261</v>
      </c>
      <c r="P424" s="125" t="s">
        <v>2262</v>
      </c>
      <c r="Q424" s="121" t="s">
        <v>483</v>
      </c>
      <c r="R424" s="121" t="s">
        <v>484</v>
      </c>
      <c r="S424" s="126" t="s">
        <v>485</v>
      </c>
      <c r="T424" s="127">
        <v>0</v>
      </c>
      <c r="U424" s="128">
        <v>0</v>
      </c>
      <c r="V424" s="128">
        <v>0</v>
      </c>
      <c r="W424" s="373"/>
      <c r="X424" s="373"/>
      <c r="Y424" s="109">
        <v>0</v>
      </c>
      <c r="Z424" s="127">
        <v>0</v>
      </c>
      <c r="AA424" s="128">
        <v>30</v>
      </c>
      <c r="AB424" s="128">
        <v>60</v>
      </c>
      <c r="AC424" s="75" t="s">
        <v>2700</v>
      </c>
      <c r="AD424" s="373" t="s">
        <v>2675</v>
      </c>
      <c r="AE424" s="109">
        <v>90</v>
      </c>
      <c r="AF424" s="396">
        <v>90</v>
      </c>
      <c r="AG424" s="119"/>
      <c r="AH424" s="374"/>
    </row>
    <row r="425" spans="1:34" s="80" customFormat="1" ht="12" customHeight="1">
      <c r="A425" s="66">
        <v>3067</v>
      </c>
      <c r="B425" s="67" t="s">
        <v>2675</v>
      </c>
      <c r="C425" s="67" t="s">
        <v>2675</v>
      </c>
      <c r="D425" s="67" t="s">
        <v>2705</v>
      </c>
      <c r="E425" s="66">
        <v>3</v>
      </c>
      <c r="F425" s="397">
        <v>2</v>
      </c>
      <c r="G425" s="69">
        <v>422</v>
      </c>
      <c r="H425" s="111" t="s">
        <v>2263</v>
      </c>
      <c r="I425" s="112" t="s">
        <v>2263</v>
      </c>
      <c r="J425" s="113">
        <v>10500101343901</v>
      </c>
      <c r="K425" s="114" t="s">
        <v>148</v>
      </c>
      <c r="L425" s="114"/>
      <c r="M425" s="114">
        <v>5</v>
      </c>
      <c r="N425" s="115" t="s">
        <v>474</v>
      </c>
      <c r="O425" s="111" t="s">
        <v>2264</v>
      </c>
      <c r="P425" s="115" t="s">
        <v>2265</v>
      </c>
      <c r="Q425" s="111" t="s">
        <v>2266</v>
      </c>
      <c r="R425" s="111" t="s">
        <v>2267</v>
      </c>
      <c r="S425" s="116" t="s">
        <v>2268</v>
      </c>
      <c r="T425" s="98">
        <v>115</v>
      </c>
      <c r="U425" s="99">
        <v>110</v>
      </c>
      <c r="V425" s="99">
        <v>70</v>
      </c>
      <c r="W425" s="373" t="s">
        <v>2704</v>
      </c>
      <c r="X425" s="373" t="s">
        <v>2675</v>
      </c>
      <c r="Y425" s="109">
        <v>295</v>
      </c>
      <c r="Z425" s="98">
        <v>75</v>
      </c>
      <c r="AA425" s="99">
        <v>195</v>
      </c>
      <c r="AB425" s="99">
        <v>90</v>
      </c>
      <c r="AC425" s="75" t="s">
        <v>2700</v>
      </c>
      <c r="AD425" s="373" t="s">
        <v>2675</v>
      </c>
      <c r="AE425" s="109">
        <v>360</v>
      </c>
      <c r="AF425" s="396">
        <v>655</v>
      </c>
      <c r="AG425" s="119"/>
      <c r="AH425" s="374"/>
    </row>
    <row r="426" spans="1:34" s="80" customFormat="1" ht="12" customHeight="1">
      <c r="A426" s="66">
        <v>3068</v>
      </c>
      <c r="B426" s="67" t="s">
        <v>2675</v>
      </c>
      <c r="C426" s="67" t="s">
        <v>2675</v>
      </c>
      <c r="D426" s="67" t="s">
        <v>2705</v>
      </c>
      <c r="E426" s="66">
        <v>3</v>
      </c>
      <c r="F426" s="397">
        <v>2</v>
      </c>
      <c r="G426" s="69">
        <v>423</v>
      </c>
      <c r="H426" s="111" t="s">
        <v>2269</v>
      </c>
      <c r="I426" s="112" t="s">
        <v>2269</v>
      </c>
      <c r="J426" s="113">
        <v>10500100711101</v>
      </c>
      <c r="K426" s="114" t="s">
        <v>148</v>
      </c>
      <c r="L426" s="114"/>
      <c r="M426" s="114">
        <v>5</v>
      </c>
      <c r="N426" s="115" t="s">
        <v>2270</v>
      </c>
      <c r="O426" s="111" t="s">
        <v>2271</v>
      </c>
      <c r="P426" s="115" t="s">
        <v>2272</v>
      </c>
      <c r="Q426" s="111" t="s">
        <v>2273</v>
      </c>
      <c r="R426" s="111" t="s">
        <v>2274</v>
      </c>
      <c r="S426" s="116" t="s">
        <v>2275</v>
      </c>
      <c r="T426" s="98">
        <v>112</v>
      </c>
      <c r="U426" s="99">
        <v>130</v>
      </c>
      <c r="V426" s="99">
        <v>58</v>
      </c>
      <c r="W426" s="373" t="s">
        <v>2704</v>
      </c>
      <c r="X426" s="373" t="s">
        <v>2675</v>
      </c>
      <c r="Y426" s="109">
        <v>300</v>
      </c>
      <c r="Z426" s="98">
        <v>39</v>
      </c>
      <c r="AA426" s="99">
        <v>118</v>
      </c>
      <c r="AB426" s="99">
        <v>43</v>
      </c>
      <c r="AC426" s="75" t="s">
        <v>2700</v>
      </c>
      <c r="AD426" s="373" t="s">
        <v>2675</v>
      </c>
      <c r="AE426" s="109">
        <v>200</v>
      </c>
      <c r="AF426" s="396">
        <v>500</v>
      </c>
      <c r="AG426" s="119"/>
      <c r="AH426" s="374"/>
    </row>
    <row r="427" spans="1:34" s="80" customFormat="1" ht="12" customHeight="1">
      <c r="A427" s="66">
        <v>3069</v>
      </c>
      <c r="B427" s="67" t="s">
        <v>2675</v>
      </c>
      <c r="C427" s="67" t="s">
        <v>2675</v>
      </c>
      <c r="D427" s="67" t="s">
        <v>2705</v>
      </c>
      <c r="E427" s="66">
        <v>3</v>
      </c>
      <c r="F427" s="397">
        <v>2</v>
      </c>
      <c r="G427" s="69">
        <v>424</v>
      </c>
      <c r="H427" s="111" t="s">
        <v>2276</v>
      </c>
      <c r="I427" s="112" t="s">
        <v>2276</v>
      </c>
      <c r="J427" s="113">
        <v>10500100743901</v>
      </c>
      <c r="K427" s="114" t="s">
        <v>148</v>
      </c>
      <c r="L427" s="114"/>
      <c r="M427" s="114">
        <v>5</v>
      </c>
      <c r="N427" s="115" t="s">
        <v>533</v>
      </c>
      <c r="O427" s="111" t="s">
        <v>2277</v>
      </c>
      <c r="P427" s="115">
        <v>2372482</v>
      </c>
      <c r="Q427" s="111" t="s">
        <v>2278</v>
      </c>
      <c r="R427" s="111" t="s">
        <v>2279</v>
      </c>
      <c r="S427" s="116" t="s">
        <v>2280</v>
      </c>
      <c r="T427" s="98">
        <v>120</v>
      </c>
      <c r="U427" s="99">
        <v>140</v>
      </c>
      <c r="V427" s="99">
        <v>0</v>
      </c>
      <c r="W427" s="373" t="s">
        <v>2704</v>
      </c>
      <c r="X427" s="373" t="s">
        <v>2675</v>
      </c>
      <c r="Y427" s="109">
        <v>260</v>
      </c>
      <c r="Z427" s="98">
        <v>0</v>
      </c>
      <c r="AA427" s="99">
        <v>110</v>
      </c>
      <c r="AB427" s="99">
        <v>130</v>
      </c>
      <c r="AC427" s="75" t="s">
        <v>2700</v>
      </c>
      <c r="AD427" s="373" t="s">
        <v>2675</v>
      </c>
      <c r="AE427" s="109">
        <v>240</v>
      </c>
      <c r="AF427" s="396">
        <v>500</v>
      </c>
      <c r="AG427" s="119"/>
      <c r="AH427" s="374"/>
    </row>
    <row r="428" spans="1:34" s="80" customFormat="1" ht="12" customHeight="1">
      <c r="A428" s="66">
        <v>3070</v>
      </c>
      <c r="B428" s="67" t="s">
        <v>2675</v>
      </c>
      <c r="C428" s="67" t="s">
        <v>2675</v>
      </c>
      <c r="D428" s="67" t="s">
        <v>2705</v>
      </c>
      <c r="E428" s="66">
        <v>3</v>
      </c>
      <c r="F428" s="397">
        <v>2</v>
      </c>
      <c r="G428" s="69">
        <v>425</v>
      </c>
      <c r="H428" s="111" t="s">
        <v>2281</v>
      </c>
      <c r="I428" s="112" t="s">
        <v>2281</v>
      </c>
      <c r="J428" s="113">
        <v>10500100549501</v>
      </c>
      <c r="K428" s="114" t="s">
        <v>148</v>
      </c>
      <c r="L428" s="114"/>
      <c r="M428" s="114">
        <v>5</v>
      </c>
      <c r="N428" s="115" t="s">
        <v>480</v>
      </c>
      <c r="O428" s="111" t="s">
        <v>2282</v>
      </c>
      <c r="P428" s="115" t="s">
        <v>2283</v>
      </c>
      <c r="Q428" s="111" t="s">
        <v>2284</v>
      </c>
      <c r="R428" s="111" t="s">
        <v>2285</v>
      </c>
      <c r="S428" s="116" t="s">
        <v>2286</v>
      </c>
      <c r="T428" s="98">
        <v>160</v>
      </c>
      <c r="U428" s="99">
        <v>160</v>
      </c>
      <c r="V428" s="99">
        <v>40</v>
      </c>
      <c r="W428" s="373" t="s">
        <v>2704</v>
      </c>
      <c r="X428" s="373" t="s">
        <v>2675</v>
      </c>
      <c r="Y428" s="109">
        <v>360</v>
      </c>
      <c r="Z428" s="130">
        <v>130</v>
      </c>
      <c r="AA428" s="131">
        <v>280</v>
      </c>
      <c r="AB428" s="131">
        <v>190</v>
      </c>
      <c r="AC428" s="75" t="s">
        <v>2700</v>
      </c>
      <c r="AD428" s="373" t="s">
        <v>2675</v>
      </c>
      <c r="AE428" s="109">
        <v>600</v>
      </c>
      <c r="AF428" s="396">
        <v>960</v>
      </c>
      <c r="AG428" s="119"/>
      <c r="AH428" s="374"/>
    </row>
    <row r="429" spans="1:34" s="80" customFormat="1" ht="12" customHeight="1">
      <c r="A429" s="66">
        <v>3071</v>
      </c>
      <c r="B429" s="67" t="s">
        <v>2675</v>
      </c>
      <c r="C429" s="67" t="s">
        <v>2675</v>
      </c>
      <c r="D429" s="67" t="s">
        <v>2705</v>
      </c>
      <c r="E429" s="66">
        <v>3</v>
      </c>
      <c r="F429" s="397">
        <v>2</v>
      </c>
      <c r="G429" s="69">
        <v>426</v>
      </c>
      <c r="H429" s="111" t="s">
        <v>2287</v>
      </c>
      <c r="I429" s="112" t="s">
        <v>2287</v>
      </c>
      <c r="J429" s="113">
        <v>10500101106101</v>
      </c>
      <c r="K429" s="114" t="s">
        <v>148</v>
      </c>
      <c r="L429" s="114"/>
      <c r="M429" s="114">
        <v>5</v>
      </c>
      <c r="N429" s="115" t="s">
        <v>556</v>
      </c>
      <c r="O429" s="111" t="s">
        <v>2288</v>
      </c>
      <c r="P429" s="115">
        <v>2739576</v>
      </c>
      <c r="Q429" s="111" t="s">
        <v>2289</v>
      </c>
      <c r="R429" s="111" t="s">
        <v>2290</v>
      </c>
      <c r="S429" s="116" t="s">
        <v>2291</v>
      </c>
      <c r="T429" s="98">
        <v>80</v>
      </c>
      <c r="U429" s="99">
        <v>160</v>
      </c>
      <c r="V429" s="99">
        <v>40</v>
      </c>
      <c r="W429" s="373" t="s">
        <v>2704</v>
      </c>
      <c r="X429" s="373" t="s">
        <v>2675</v>
      </c>
      <c r="Y429" s="109">
        <v>280</v>
      </c>
      <c r="Z429" s="130">
        <v>83</v>
      </c>
      <c r="AA429" s="131">
        <v>151</v>
      </c>
      <c r="AB429" s="131">
        <v>46</v>
      </c>
      <c r="AC429" s="75" t="s">
        <v>2700</v>
      </c>
      <c r="AD429" s="373" t="s">
        <v>2675</v>
      </c>
      <c r="AE429" s="109">
        <v>280</v>
      </c>
      <c r="AF429" s="396">
        <v>560</v>
      </c>
      <c r="AG429" s="119"/>
      <c r="AH429" s="374"/>
    </row>
    <row r="430" spans="1:34" s="80" customFormat="1" ht="12" customHeight="1">
      <c r="A430" s="66">
        <v>3072</v>
      </c>
      <c r="B430" s="67" t="s">
        <v>2675</v>
      </c>
      <c r="C430" s="67" t="s">
        <v>2675</v>
      </c>
      <c r="D430" s="67" t="s">
        <v>2705</v>
      </c>
      <c r="E430" s="66">
        <v>3</v>
      </c>
      <c r="F430" s="397">
        <v>2</v>
      </c>
      <c r="G430" s="69">
        <v>427</v>
      </c>
      <c r="H430" s="111" t="s">
        <v>2292</v>
      </c>
      <c r="I430" s="112" t="s">
        <v>2292</v>
      </c>
      <c r="J430" s="113">
        <v>10500101796501</v>
      </c>
      <c r="K430" s="114" t="s">
        <v>148</v>
      </c>
      <c r="L430" s="114"/>
      <c r="M430" s="114">
        <v>5</v>
      </c>
      <c r="N430" s="115" t="s">
        <v>533</v>
      </c>
      <c r="O430" s="111" t="s">
        <v>2293</v>
      </c>
      <c r="P430" s="115" t="s">
        <v>2294</v>
      </c>
      <c r="Q430" s="111" t="s">
        <v>2295</v>
      </c>
      <c r="R430" s="111" t="s">
        <v>2296</v>
      </c>
      <c r="S430" s="116" t="s">
        <v>2297</v>
      </c>
      <c r="T430" s="98">
        <v>0</v>
      </c>
      <c r="U430" s="99">
        <v>180</v>
      </c>
      <c r="V430" s="99">
        <v>120</v>
      </c>
      <c r="W430" s="373" t="s">
        <v>2704</v>
      </c>
      <c r="X430" s="373" t="s">
        <v>2675</v>
      </c>
      <c r="Y430" s="109">
        <v>300</v>
      </c>
      <c r="Z430" s="98">
        <v>0</v>
      </c>
      <c r="AA430" s="99">
        <v>60</v>
      </c>
      <c r="AB430" s="99">
        <v>90</v>
      </c>
      <c r="AC430" s="75" t="s">
        <v>2700</v>
      </c>
      <c r="AD430" s="373" t="s">
        <v>2675</v>
      </c>
      <c r="AE430" s="109">
        <v>150</v>
      </c>
      <c r="AF430" s="396">
        <v>450</v>
      </c>
      <c r="AG430" s="119"/>
      <c r="AH430" s="374"/>
    </row>
    <row r="431" spans="1:34" s="80" customFormat="1" ht="12" customHeight="1">
      <c r="A431" s="66">
        <v>3073</v>
      </c>
      <c r="B431" s="67" t="s">
        <v>2675</v>
      </c>
      <c r="C431" s="67" t="s">
        <v>2675</v>
      </c>
      <c r="D431" s="67" t="s">
        <v>2704</v>
      </c>
      <c r="E431" s="66">
        <v>3</v>
      </c>
      <c r="F431" s="397">
        <v>2</v>
      </c>
      <c r="G431" s="69">
        <v>428</v>
      </c>
      <c r="H431" s="111" t="s">
        <v>2298</v>
      </c>
      <c r="I431" s="112" t="s">
        <v>2298</v>
      </c>
      <c r="J431" s="113">
        <v>10500100184801</v>
      </c>
      <c r="K431" s="114" t="s">
        <v>148</v>
      </c>
      <c r="L431" s="114"/>
      <c r="M431" s="114">
        <v>5</v>
      </c>
      <c r="N431" s="115" t="s">
        <v>2299</v>
      </c>
      <c r="O431" s="111" t="s">
        <v>2300</v>
      </c>
      <c r="P431" s="115" t="s">
        <v>2301</v>
      </c>
      <c r="Q431" s="111" t="s">
        <v>2302</v>
      </c>
      <c r="R431" s="111"/>
      <c r="S431" s="116" t="s">
        <v>2303</v>
      </c>
      <c r="T431" s="98">
        <v>100</v>
      </c>
      <c r="U431" s="99">
        <v>220</v>
      </c>
      <c r="V431" s="99">
        <v>180</v>
      </c>
      <c r="W431" s="373" t="s">
        <v>2704</v>
      </c>
      <c r="X431" s="373" t="s">
        <v>2675</v>
      </c>
      <c r="Y431" s="109">
        <v>500</v>
      </c>
      <c r="Z431" s="98">
        <v>0</v>
      </c>
      <c r="AA431" s="99">
        <v>0</v>
      </c>
      <c r="AB431" s="99">
        <v>0</v>
      </c>
      <c r="AC431" s="75"/>
      <c r="AD431" s="373"/>
      <c r="AE431" s="109">
        <v>0</v>
      </c>
      <c r="AF431" s="396">
        <v>500</v>
      </c>
      <c r="AG431" s="119"/>
      <c r="AH431" s="374"/>
    </row>
    <row r="432" spans="1:34" s="80" customFormat="1" ht="12" customHeight="1">
      <c r="A432" s="66">
        <v>3074</v>
      </c>
      <c r="B432" s="67" t="s">
        <v>2675</v>
      </c>
      <c r="C432" s="67" t="s">
        <v>2675</v>
      </c>
      <c r="D432" s="67" t="s">
        <v>2704</v>
      </c>
      <c r="E432" s="66">
        <v>3</v>
      </c>
      <c r="F432" s="397">
        <v>2</v>
      </c>
      <c r="G432" s="69">
        <v>429</v>
      </c>
      <c r="H432" s="111" t="s">
        <v>2304</v>
      </c>
      <c r="I432" s="112" t="s">
        <v>2304</v>
      </c>
      <c r="J432" s="113">
        <v>10500100184802</v>
      </c>
      <c r="K432" s="114" t="s">
        <v>148</v>
      </c>
      <c r="L432" s="114"/>
      <c r="M432" s="114">
        <v>5</v>
      </c>
      <c r="N432" s="115" t="s">
        <v>2299</v>
      </c>
      <c r="O432" s="111" t="s">
        <v>2859</v>
      </c>
      <c r="P432" s="115" t="s">
        <v>2860</v>
      </c>
      <c r="Q432" s="111"/>
      <c r="R432" s="111"/>
      <c r="S432" s="116"/>
      <c r="T432" s="98">
        <v>110</v>
      </c>
      <c r="U432" s="99">
        <v>0</v>
      </c>
      <c r="V432" s="99">
        <v>0</v>
      </c>
      <c r="W432" s="373" t="s">
        <v>2704</v>
      </c>
      <c r="X432" s="373" t="s">
        <v>2675</v>
      </c>
      <c r="Y432" s="109">
        <v>110</v>
      </c>
      <c r="Z432" s="98">
        <v>0</v>
      </c>
      <c r="AA432" s="99">
        <v>0</v>
      </c>
      <c r="AB432" s="99">
        <v>0</v>
      </c>
      <c r="AC432" s="75"/>
      <c r="AD432" s="373"/>
      <c r="AE432" s="109">
        <v>0</v>
      </c>
      <c r="AF432" s="396">
        <v>110</v>
      </c>
      <c r="AG432" s="119"/>
      <c r="AH432" s="374"/>
    </row>
    <row r="433" spans="1:34" s="80" customFormat="1" ht="12" customHeight="1">
      <c r="A433" s="66">
        <v>3075</v>
      </c>
      <c r="B433" s="67" t="s">
        <v>2675</v>
      </c>
      <c r="C433" s="67" t="s">
        <v>2675</v>
      </c>
      <c r="D433" s="67" t="s">
        <v>2704</v>
      </c>
      <c r="E433" s="66">
        <v>3</v>
      </c>
      <c r="F433" s="397">
        <v>2</v>
      </c>
      <c r="G433" s="69">
        <v>430</v>
      </c>
      <c r="H433" s="111" t="s">
        <v>2305</v>
      </c>
      <c r="I433" s="112" t="s">
        <v>2305</v>
      </c>
      <c r="J433" s="113">
        <v>30500101842101</v>
      </c>
      <c r="K433" s="114" t="s">
        <v>226</v>
      </c>
      <c r="L433" s="114"/>
      <c r="M433" s="114">
        <v>6</v>
      </c>
      <c r="N433" s="115" t="s">
        <v>570</v>
      </c>
      <c r="O433" s="111" t="s">
        <v>2306</v>
      </c>
      <c r="P433" s="115">
        <v>2673204</v>
      </c>
      <c r="Q433" s="111" t="s">
        <v>2307</v>
      </c>
      <c r="R433" s="111" t="s">
        <v>2308</v>
      </c>
      <c r="S433" s="116" t="s">
        <v>2309</v>
      </c>
      <c r="T433" s="98">
        <v>25</v>
      </c>
      <c r="U433" s="99">
        <v>255</v>
      </c>
      <c r="V433" s="99">
        <v>0</v>
      </c>
      <c r="W433" s="373" t="s">
        <v>2704</v>
      </c>
      <c r="X433" s="373" t="s">
        <v>2675</v>
      </c>
      <c r="Y433" s="109">
        <v>280</v>
      </c>
      <c r="Z433" s="98">
        <v>0</v>
      </c>
      <c r="AA433" s="99">
        <v>0</v>
      </c>
      <c r="AB433" s="99">
        <v>0</v>
      </c>
      <c r="AC433" s="75"/>
      <c r="AD433" s="373"/>
      <c r="AE433" s="109">
        <v>0</v>
      </c>
      <c r="AF433" s="396">
        <v>280</v>
      </c>
      <c r="AG433" s="119"/>
      <c r="AH433" s="374"/>
    </row>
    <row r="434" spans="1:34" s="80" customFormat="1" ht="12" customHeight="1">
      <c r="A434" s="66">
        <v>3076</v>
      </c>
      <c r="B434" s="67" t="s">
        <v>2675</v>
      </c>
      <c r="C434" s="67" t="s">
        <v>2675</v>
      </c>
      <c r="D434" s="67" t="s">
        <v>2704</v>
      </c>
      <c r="E434" s="66">
        <v>3</v>
      </c>
      <c r="F434" s="397">
        <v>2</v>
      </c>
      <c r="G434" s="69">
        <v>431</v>
      </c>
      <c r="H434" s="111" t="s">
        <v>2310</v>
      </c>
      <c r="I434" s="112" t="s">
        <v>2310</v>
      </c>
      <c r="J434" s="113">
        <v>10500100230502</v>
      </c>
      <c r="K434" s="114" t="s">
        <v>148</v>
      </c>
      <c r="L434" s="114"/>
      <c r="M434" s="114">
        <v>7</v>
      </c>
      <c r="N434" s="115" t="s">
        <v>724</v>
      </c>
      <c r="O434" s="111" t="s">
        <v>2311</v>
      </c>
      <c r="P434" s="115" t="s">
        <v>2312</v>
      </c>
      <c r="Q434" s="111" t="s">
        <v>740</v>
      </c>
      <c r="R434" s="111" t="s">
        <v>2313</v>
      </c>
      <c r="S434" s="116" t="s">
        <v>2314</v>
      </c>
      <c r="T434" s="98">
        <v>247</v>
      </c>
      <c r="U434" s="99">
        <v>373</v>
      </c>
      <c r="V434" s="99">
        <v>0</v>
      </c>
      <c r="W434" s="373" t="s">
        <v>2704</v>
      </c>
      <c r="X434" s="373" t="s">
        <v>2675</v>
      </c>
      <c r="Y434" s="109">
        <v>620</v>
      </c>
      <c r="Z434" s="98">
        <v>0</v>
      </c>
      <c r="AA434" s="99">
        <v>0</v>
      </c>
      <c r="AB434" s="99">
        <v>0</v>
      </c>
      <c r="AC434" s="75"/>
      <c r="AD434" s="373"/>
      <c r="AE434" s="109">
        <v>0</v>
      </c>
      <c r="AF434" s="396">
        <v>620</v>
      </c>
      <c r="AG434" s="119"/>
      <c r="AH434" s="374"/>
    </row>
    <row r="435" spans="1:34" s="80" customFormat="1" ht="12" customHeight="1">
      <c r="A435" s="66">
        <v>3077</v>
      </c>
      <c r="B435" s="67" t="s">
        <v>2675</v>
      </c>
      <c r="C435" s="67" t="s">
        <v>2675</v>
      </c>
      <c r="D435" s="67" t="s">
        <v>2705</v>
      </c>
      <c r="E435" s="66">
        <v>3</v>
      </c>
      <c r="F435" s="397">
        <v>2</v>
      </c>
      <c r="G435" s="69">
        <v>432</v>
      </c>
      <c r="H435" s="111" t="s">
        <v>2315</v>
      </c>
      <c r="I435" s="112" t="s">
        <v>2315</v>
      </c>
      <c r="J435" s="113">
        <v>10500101439701</v>
      </c>
      <c r="K435" s="114" t="s">
        <v>148</v>
      </c>
      <c r="L435" s="114"/>
      <c r="M435" s="114">
        <v>7</v>
      </c>
      <c r="N435" s="115" t="s">
        <v>2316</v>
      </c>
      <c r="O435" s="111" t="s">
        <v>2317</v>
      </c>
      <c r="P435" s="115">
        <v>4417456</v>
      </c>
      <c r="Q435" s="111" t="s">
        <v>2318</v>
      </c>
      <c r="R435" s="111" t="s">
        <v>2319</v>
      </c>
      <c r="S435" s="116" t="s">
        <v>2320</v>
      </c>
      <c r="T435" s="98">
        <v>231</v>
      </c>
      <c r="U435" s="99">
        <v>219</v>
      </c>
      <c r="V435" s="99">
        <v>100</v>
      </c>
      <c r="W435" s="373" t="s">
        <v>2704</v>
      </c>
      <c r="X435" s="373" t="s">
        <v>2675</v>
      </c>
      <c r="Y435" s="109">
        <v>550</v>
      </c>
      <c r="Z435" s="98">
        <v>0</v>
      </c>
      <c r="AA435" s="99">
        <v>260</v>
      </c>
      <c r="AB435" s="99">
        <v>190</v>
      </c>
      <c r="AC435" s="75" t="s">
        <v>2700</v>
      </c>
      <c r="AD435" s="373" t="s">
        <v>2675</v>
      </c>
      <c r="AE435" s="109">
        <v>450</v>
      </c>
      <c r="AF435" s="396">
        <v>1000</v>
      </c>
      <c r="AG435" s="119"/>
      <c r="AH435" s="374"/>
    </row>
    <row r="436" spans="1:34" s="80" customFormat="1" ht="12" customHeight="1">
      <c r="A436" s="66">
        <v>3078</v>
      </c>
      <c r="B436" s="67" t="s">
        <v>2675</v>
      </c>
      <c r="C436" s="67" t="s">
        <v>2675</v>
      </c>
      <c r="D436" s="67" t="s">
        <v>2704</v>
      </c>
      <c r="E436" s="66">
        <v>3</v>
      </c>
      <c r="F436" s="397">
        <v>2</v>
      </c>
      <c r="G436" s="69">
        <v>433</v>
      </c>
      <c r="H436" s="111" t="s">
        <v>2321</v>
      </c>
      <c r="I436" s="112" t="s">
        <v>2321</v>
      </c>
      <c r="J436" s="113">
        <v>10500100247002</v>
      </c>
      <c r="K436" s="114" t="s">
        <v>148</v>
      </c>
      <c r="L436" s="114"/>
      <c r="M436" s="114">
        <v>7</v>
      </c>
      <c r="N436" s="115" t="s">
        <v>792</v>
      </c>
      <c r="O436" s="111" t="s">
        <v>2322</v>
      </c>
      <c r="P436" s="115">
        <v>2571207</v>
      </c>
      <c r="Q436" s="111" t="s">
        <v>2323</v>
      </c>
      <c r="R436" s="111" t="s">
        <v>2324</v>
      </c>
      <c r="S436" s="116" t="s">
        <v>2325</v>
      </c>
      <c r="T436" s="98">
        <v>238</v>
      </c>
      <c r="U436" s="99">
        <v>122</v>
      </c>
      <c r="V436" s="99">
        <v>0</v>
      </c>
      <c r="W436" s="373" t="s">
        <v>2704</v>
      </c>
      <c r="X436" s="373" t="s">
        <v>2675</v>
      </c>
      <c r="Y436" s="109">
        <v>360</v>
      </c>
      <c r="Z436" s="98">
        <v>0</v>
      </c>
      <c r="AA436" s="99">
        <v>0</v>
      </c>
      <c r="AB436" s="99">
        <v>0</v>
      </c>
      <c r="AC436" s="75"/>
      <c r="AD436" s="373"/>
      <c r="AE436" s="109">
        <v>0</v>
      </c>
      <c r="AF436" s="396">
        <v>360</v>
      </c>
      <c r="AG436" s="119"/>
      <c r="AH436" s="374"/>
    </row>
    <row r="437" spans="1:34" s="80" customFormat="1" ht="12" customHeight="1">
      <c r="A437" s="66">
        <v>3079</v>
      </c>
      <c r="B437" s="67" t="s">
        <v>2675</v>
      </c>
      <c r="C437" s="67" t="s">
        <v>2675</v>
      </c>
      <c r="D437" s="67" t="s">
        <v>2704</v>
      </c>
      <c r="E437" s="66">
        <v>3</v>
      </c>
      <c r="F437" s="397">
        <v>2</v>
      </c>
      <c r="G437" s="69">
        <v>434</v>
      </c>
      <c r="H437" s="111" t="s">
        <v>2326</v>
      </c>
      <c r="I437" s="112" t="s">
        <v>2326</v>
      </c>
      <c r="J437" s="113">
        <v>10500100179101</v>
      </c>
      <c r="K437" s="114" t="s">
        <v>148</v>
      </c>
      <c r="L437" s="114"/>
      <c r="M437" s="114">
        <v>7</v>
      </c>
      <c r="N437" s="115" t="s">
        <v>2327</v>
      </c>
      <c r="O437" s="111" t="s">
        <v>2328</v>
      </c>
      <c r="P437" s="115">
        <v>2300313</v>
      </c>
      <c r="Q437" s="111" t="s">
        <v>2329</v>
      </c>
      <c r="R437" s="111" t="s">
        <v>2330</v>
      </c>
      <c r="S437" s="116" t="s">
        <v>2331</v>
      </c>
      <c r="T437" s="98">
        <v>190</v>
      </c>
      <c r="U437" s="99">
        <v>240</v>
      </c>
      <c r="V437" s="99">
        <v>130</v>
      </c>
      <c r="W437" s="373" t="s">
        <v>2704</v>
      </c>
      <c r="X437" s="373" t="s">
        <v>2675</v>
      </c>
      <c r="Y437" s="109">
        <v>560</v>
      </c>
      <c r="Z437" s="98">
        <v>0</v>
      </c>
      <c r="AA437" s="99">
        <v>0</v>
      </c>
      <c r="AB437" s="99">
        <v>0</v>
      </c>
      <c r="AC437" s="75"/>
      <c r="AD437" s="373"/>
      <c r="AE437" s="109">
        <v>0</v>
      </c>
      <c r="AF437" s="396">
        <v>560</v>
      </c>
      <c r="AG437" s="119"/>
      <c r="AH437" s="374"/>
    </row>
    <row r="438" spans="1:34" s="80" customFormat="1" ht="12" customHeight="1">
      <c r="A438" s="66">
        <v>3080</v>
      </c>
      <c r="B438" s="67" t="s">
        <v>2675</v>
      </c>
      <c r="C438" s="67" t="s">
        <v>2675</v>
      </c>
      <c r="D438" s="67" t="s">
        <v>2705</v>
      </c>
      <c r="E438" s="66">
        <v>3</v>
      </c>
      <c r="F438" s="397">
        <v>2</v>
      </c>
      <c r="G438" s="69">
        <v>435</v>
      </c>
      <c r="H438" s="111" t="s">
        <v>2332</v>
      </c>
      <c r="I438" s="112" t="s">
        <v>2332</v>
      </c>
      <c r="J438" s="113">
        <v>10500102671901</v>
      </c>
      <c r="K438" s="114" t="s">
        <v>148</v>
      </c>
      <c r="L438" s="114"/>
      <c r="M438" s="114">
        <v>7</v>
      </c>
      <c r="N438" s="115" t="s">
        <v>763</v>
      </c>
      <c r="O438" s="111" t="s">
        <v>2333</v>
      </c>
      <c r="P438" s="115">
        <v>4422199</v>
      </c>
      <c r="Q438" s="111" t="s">
        <v>2334</v>
      </c>
      <c r="R438" s="111" t="s">
        <v>2335</v>
      </c>
      <c r="S438" s="116" t="s">
        <v>2336</v>
      </c>
      <c r="T438" s="130">
        <v>224</v>
      </c>
      <c r="U438" s="131">
        <v>206</v>
      </c>
      <c r="V438" s="99">
        <v>170</v>
      </c>
      <c r="W438" s="373" t="s">
        <v>2704</v>
      </c>
      <c r="X438" s="373" t="s">
        <v>2675</v>
      </c>
      <c r="Y438" s="109">
        <v>600</v>
      </c>
      <c r="Z438" s="98">
        <v>0</v>
      </c>
      <c r="AA438" s="99">
        <v>160</v>
      </c>
      <c r="AB438" s="99">
        <v>40</v>
      </c>
      <c r="AC438" s="75" t="s">
        <v>2700</v>
      </c>
      <c r="AD438" s="373" t="s">
        <v>2675</v>
      </c>
      <c r="AE438" s="109">
        <v>200</v>
      </c>
      <c r="AF438" s="117">
        <v>800</v>
      </c>
      <c r="AG438" s="398"/>
      <c r="AH438" s="374"/>
    </row>
    <row r="439" spans="1:34" s="80" customFormat="1" ht="12" customHeight="1">
      <c r="A439" s="66">
        <v>3081</v>
      </c>
      <c r="B439" s="67" t="s">
        <v>2675</v>
      </c>
      <c r="C439" s="67" t="s">
        <v>2675</v>
      </c>
      <c r="D439" s="67" t="s">
        <v>2705</v>
      </c>
      <c r="E439" s="66">
        <v>3</v>
      </c>
      <c r="F439" s="397">
        <v>2</v>
      </c>
      <c r="G439" s="69">
        <v>436</v>
      </c>
      <c r="H439" s="111" t="s">
        <v>2337</v>
      </c>
      <c r="I439" s="112" t="s">
        <v>2338</v>
      </c>
      <c r="J439" s="113">
        <v>10500101485101</v>
      </c>
      <c r="K439" s="114" t="s">
        <v>148</v>
      </c>
      <c r="L439" s="114"/>
      <c r="M439" s="114">
        <v>7</v>
      </c>
      <c r="N439" s="115" t="s">
        <v>1505</v>
      </c>
      <c r="O439" s="111" t="s">
        <v>2339</v>
      </c>
      <c r="P439" s="115">
        <v>4219747</v>
      </c>
      <c r="Q439" s="111" t="s">
        <v>2340</v>
      </c>
      <c r="R439" s="111" t="s">
        <v>2341</v>
      </c>
      <c r="S439" s="116" t="s">
        <v>2342</v>
      </c>
      <c r="T439" s="130">
        <v>190</v>
      </c>
      <c r="U439" s="131">
        <v>160</v>
      </c>
      <c r="V439" s="99">
        <v>0</v>
      </c>
      <c r="W439" s="373" t="s">
        <v>2704</v>
      </c>
      <c r="X439" s="373" t="s">
        <v>2675</v>
      </c>
      <c r="Y439" s="109">
        <v>350</v>
      </c>
      <c r="Z439" s="98">
        <v>0</v>
      </c>
      <c r="AA439" s="99">
        <v>100</v>
      </c>
      <c r="AB439" s="99">
        <v>380</v>
      </c>
      <c r="AC439" s="75" t="s">
        <v>2700</v>
      </c>
      <c r="AD439" s="373" t="s">
        <v>2675</v>
      </c>
      <c r="AE439" s="109">
        <v>480</v>
      </c>
      <c r="AF439" s="117">
        <v>830</v>
      </c>
      <c r="AG439" s="119"/>
      <c r="AH439" s="374"/>
    </row>
    <row r="440" spans="1:34" s="80" customFormat="1" ht="12" customHeight="1">
      <c r="A440" s="66">
        <v>3082</v>
      </c>
      <c r="B440" s="67" t="s">
        <v>2675</v>
      </c>
      <c r="C440" s="67" t="s">
        <v>2675</v>
      </c>
      <c r="D440" s="67" t="s">
        <v>2704</v>
      </c>
      <c r="E440" s="66">
        <v>3</v>
      </c>
      <c r="F440" s="397">
        <v>2</v>
      </c>
      <c r="G440" s="69">
        <v>437</v>
      </c>
      <c r="H440" s="111" t="s">
        <v>2343</v>
      </c>
      <c r="I440" s="112" t="s">
        <v>2344</v>
      </c>
      <c r="J440" s="113">
        <v>10500101485101</v>
      </c>
      <c r="K440" s="114" t="s">
        <v>148</v>
      </c>
      <c r="L440" s="114"/>
      <c r="M440" s="114">
        <v>7</v>
      </c>
      <c r="N440" s="115" t="s">
        <v>1505</v>
      </c>
      <c r="O440" s="111" t="s">
        <v>2345</v>
      </c>
      <c r="P440" s="115">
        <v>4214667</v>
      </c>
      <c r="Q440" s="111" t="s">
        <v>2340</v>
      </c>
      <c r="R440" s="111" t="s">
        <v>2346</v>
      </c>
      <c r="S440" s="116" t="s">
        <v>2347</v>
      </c>
      <c r="T440" s="130">
        <v>150</v>
      </c>
      <c r="U440" s="131">
        <v>110</v>
      </c>
      <c r="V440" s="99">
        <v>0</v>
      </c>
      <c r="W440" s="373" t="s">
        <v>2704</v>
      </c>
      <c r="X440" s="373" t="s">
        <v>2675</v>
      </c>
      <c r="Y440" s="109">
        <v>260</v>
      </c>
      <c r="Z440" s="98">
        <v>0</v>
      </c>
      <c r="AA440" s="99">
        <v>0</v>
      </c>
      <c r="AB440" s="99">
        <v>0</v>
      </c>
      <c r="AC440" s="75"/>
      <c r="AD440" s="373"/>
      <c r="AE440" s="109">
        <v>0</v>
      </c>
      <c r="AF440" s="117">
        <v>260</v>
      </c>
      <c r="AG440" s="119"/>
      <c r="AH440" s="374"/>
    </row>
    <row r="441" spans="1:34" s="80" customFormat="1" ht="12" customHeight="1">
      <c r="A441" s="66">
        <v>3083</v>
      </c>
      <c r="B441" s="67" t="s">
        <v>2675</v>
      </c>
      <c r="C441" s="67" t="s">
        <v>2675</v>
      </c>
      <c r="D441" s="67" t="s">
        <v>2704</v>
      </c>
      <c r="E441" s="66">
        <v>3</v>
      </c>
      <c r="F441" s="397">
        <v>2</v>
      </c>
      <c r="G441" s="69">
        <v>438</v>
      </c>
      <c r="H441" s="111" t="s">
        <v>2348</v>
      </c>
      <c r="I441" s="112" t="s">
        <v>2348</v>
      </c>
      <c r="J441" s="113">
        <v>30500100786101</v>
      </c>
      <c r="K441" s="114" t="s">
        <v>226</v>
      </c>
      <c r="L441" s="114"/>
      <c r="M441" s="114">
        <v>7</v>
      </c>
      <c r="N441" s="115" t="s">
        <v>1505</v>
      </c>
      <c r="O441" s="111" t="s">
        <v>2349</v>
      </c>
      <c r="P441" s="115" t="s">
        <v>2350</v>
      </c>
      <c r="Q441" s="111" t="s">
        <v>2351</v>
      </c>
      <c r="R441" s="111" t="s">
        <v>2352</v>
      </c>
      <c r="S441" s="116" t="s">
        <v>2353</v>
      </c>
      <c r="T441" s="130">
        <v>30</v>
      </c>
      <c r="U441" s="131">
        <v>140</v>
      </c>
      <c r="V441" s="99">
        <v>90</v>
      </c>
      <c r="W441" s="373" t="s">
        <v>2704</v>
      </c>
      <c r="X441" s="373" t="s">
        <v>2675</v>
      </c>
      <c r="Y441" s="109">
        <v>260</v>
      </c>
      <c r="Z441" s="98">
        <v>0</v>
      </c>
      <c r="AA441" s="99">
        <v>0</v>
      </c>
      <c r="AB441" s="99">
        <v>0</v>
      </c>
      <c r="AC441" s="75"/>
      <c r="AD441" s="373"/>
      <c r="AE441" s="109">
        <v>0</v>
      </c>
      <c r="AF441" s="117">
        <v>260</v>
      </c>
      <c r="AG441" s="119"/>
      <c r="AH441" s="374"/>
    </row>
    <row r="442" spans="1:34" s="80" customFormat="1" ht="12" customHeight="1">
      <c r="A442" s="66">
        <v>3084</v>
      </c>
      <c r="B442" s="67" t="s">
        <v>2675</v>
      </c>
      <c r="C442" s="67" t="s">
        <v>2675</v>
      </c>
      <c r="D442" s="67" t="s">
        <v>2705</v>
      </c>
      <c r="E442" s="66">
        <v>3</v>
      </c>
      <c r="F442" s="397">
        <v>2</v>
      </c>
      <c r="G442" s="69">
        <v>439</v>
      </c>
      <c r="H442" s="111" t="s">
        <v>2354</v>
      </c>
      <c r="I442" s="112" t="s">
        <v>2354</v>
      </c>
      <c r="J442" s="113">
        <v>10500100344101</v>
      </c>
      <c r="K442" s="114" t="s">
        <v>148</v>
      </c>
      <c r="L442" s="114"/>
      <c r="M442" s="114">
        <v>7</v>
      </c>
      <c r="N442" s="115" t="s">
        <v>2355</v>
      </c>
      <c r="O442" s="111" t="s">
        <v>2356</v>
      </c>
      <c r="P442" s="115" t="s">
        <v>2357</v>
      </c>
      <c r="Q442" s="111" t="s">
        <v>2358</v>
      </c>
      <c r="R442" s="111" t="s">
        <v>2359</v>
      </c>
      <c r="S442" s="116" t="s">
        <v>2360</v>
      </c>
      <c r="T442" s="130">
        <v>0</v>
      </c>
      <c r="U442" s="131">
        <v>400</v>
      </c>
      <c r="V442" s="99">
        <v>100</v>
      </c>
      <c r="W442" s="373" t="s">
        <v>2704</v>
      </c>
      <c r="X442" s="373" t="s">
        <v>2675</v>
      </c>
      <c r="Y442" s="109">
        <v>500</v>
      </c>
      <c r="Z442" s="98">
        <v>0</v>
      </c>
      <c r="AA442" s="99">
        <v>340</v>
      </c>
      <c r="AB442" s="99">
        <v>410</v>
      </c>
      <c r="AC442" s="75" t="s">
        <v>2700</v>
      </c>
      <c r="AD442" s="373" t="s">
        <v>2675</v>
      </c>
      <c r="AE442" s="109">
        <v>750</v>
      </c>
      <c r="AF442" s="117">
        <v>1250</v>
      </c>
      <c r="AG442" s="119"/>
      <c r="AH442" s="374"/>
    </row>
    <row r="443" spans="1:34" s="80" customFormat="1" ht="12" customHeight="1">
      <c r="A443" s="66">
        <v>3085</v>
      </c>
      <c r="B443" s="67" t="s">
        <v>2675</v>
      </c>
      <c r="C443" s="67" t="s">
        <v>2675</v>
      </c>
      <c r="D443" s="67" t="s">
        <v>2704</v>
      </c>
      <c r="E443" s="66">
        <v>3</v>
      </c>
      <c r="F443" s="397">
        <v>2</v>
      </c>
      <c r="G443" s="69">
        <v>440</v>
      </c>
      <c r="H443" s="111" t="s">
        <v>2361</v>
      </c>
      <c r="I443" s="112" t="s">
        <v>2361</v>
      </c>
      <c r="J443" s="113">
        <v>30500101218101</v>
      </c>
      <c r="K443" s="114" t="s">
        <v>226</v>
      </c>
      <c r="L443" s="114"/>
      <c r="M443" s="114">
        <v>7</v>
      </c>
      <c r="N443" s="115" t="s">
        <v>2362</v>
      </c>
      <c r="O443" s="111" t="s">
        <v>2363</v>
      </c>
      <c r="P443" s="115" t="s">
        <v>2364</v>
      </c>
      <c r="Q443" s="111" t="s">
        <v>2365</v>
      </c>
      <c r="R443" s="111" t="s">
        <v>2366</v>
      </c>
      <c r="S443" s="116" t="s">
        <v>2367</v>
      </c>
      <c r="T443" s="98">
        <v>120</v>
      </c>
      <c r="U443" s="99">
        <v>170</v>
      </c>
      <c r="V443" s="99">
        <v>80</v>
      </c>
      <c r="W443" s="373" t="s">
        <v>2704</v>
      </c>
      <c r="X443" s="373" t="s">
        <v>2675</v>
      </c>
      <c r="Y443" s="109">
        <v>370</v>
      </c>
      <c r="Z443" s="98">
        <v>0</v>
      </c>
      <c r="AA443" s="99">
        <v>0</v>
      </c>
      <c r="AB443" s="99">
        <v>0</v>
      </c>
      <c r="AC443" s="75"/>
      <c r="AD443" s="373"/>
      <c r="AE443" s="109">
        <v>0</v>
      </c>
      <c r="AF443" s="117">
        <v>370</v>
      </c>
      <c r="AG443" s="119"/>
      <c r="AH443" s="374"/>
    </row>
    <row r="444" spans="1:34" s="80" customFormat="1" ht="12" customHeight="1">
      <c r="A444" s="66">
        <v>3086</v>
      </c>
      <c r="B444" s="67" t="s">
        <v>2675</v>
      </c>
      <c r="C444" s="67" t="s">
        <v>2675</v>
      </c>
      <c r="D444" s="67" t="s">
        <v>2704</v>
      </c>
      <c r="E444" s="66">
        <v>3</v>
      </c>
      <c r="F444" s="397">
        <v>3</v>
      </c>
      <c r="G444" s="69">
        <v>441</v>
      </c>
      <c r="H444" s="111" t="s">
        <v>2368</v>
      </c>
      <c r="I444" s="115" t="s">
        <v>2368</v>
      </c>
      <c r="J444" s="113">
        <v>10500101942902</v>
      </c>
      <c r="K444" s="114" t="s">
        <v>148</v>
      </c>
      <c r="L444" s="114"/>
      <c r="M444" s="114">
        <v>8</v>
      </c>
      <c r="N444" s="115" t="s">
        <v>817</v>
      </c>
      <c r="O444" s="111" t="s">
        <v>2369</v>
      </c>
      <c r="P444" s="115">
        <v>2842112</v>
      </c>
      <c r="Q444" s="111" t="s">
        <v>819</v>
      </c>
      <c r="R444" s="111" t="s">
        <v>2370</v>
      </c>
      <c r="S444" s="116" t="s">
        <v>2371</v>
      </c>
      <c r="T444" s="98">
        <v>300</v>
      </c>
      <c r="U444" s="99">
        <v>120</v>
      </c>
      <c r="V444" s="99">
        <v>0</v>
      </c>
      <c r="W444" s="373" t="s">
        <v>2704</v>
      </c>
      <c r="X444" s="373" t="s">
        <v>2675</v>
      </c>
      <c r="Y444" s="109">
        <v>420</v>
      </c>
      <c r="Z444" s="98">
        <v>0</v>
      </c>
      <c r="AA444" s="99">
        <v>0</v>
      </c>
      <c r="AB444" s="99">
        <v>0</v>
      </c>
      <c r="AC444" s="75"/>
      <c r="AD444" s="373"/>
      <c r="AE444" s="109">
        <v>0</v>
      </c>
      <c r="AF444" s="117">
        <v>420</v>
      </c>
      <c r="AG444" s="141"/>
      <c r="AH444" s="374"/>
    </row>
    <row r="445" spans="1:34" s="80" customFormat="1" ht="12" customHeight="1">
      <c r="A445" s="66">
        <v>3087</v>
      </c>
      <c r="B445" s="67" t="s">
        <v>2675</v>
      </c>
      <c r="C445" s="67" t="s">
        <v>2675</v>
      </c>
      <c r="D445" s="67" t="s">
        <v>2704</v>
      </c>
      <c r="E445" s="66">
        <v>3</v>
      </c>
      <c r="F445" s="397">
        <v>3</v>
      </c>
      <c r="G445" s="69">
        <v>442</v>
      </c>
      <c r="H445" s="111" t="s">
        <v>2372</v>
      </c>
      <c r="I445" s="115" t="s">
        <v>2372</v>
      </c>
      <c r="J445" s="113">
        <v>10500102613102</v>
      </c>
      <c r="K445" s="114" t="s">
        <v>148</v>
      </c>
      <c r="L445" s="114"/>
      <c r="M445" s="114">
        <v>8</v>
      </c>
      <c r="N445" s="115" t="s">
        <v>827</v>
      </c>
      <c r="O445" s="111" t="s">
        <v>2373</v>
      </c>
      <c r="P445" s="115">
        <v>2210099</v>
      </c>
      <c r="Q445" s="111" t="s">
        <v>829</v>
      </c>
      <c r="R445" s="111" t="s">
        <v>2374</v>
      </c>
      <c r="S445" s="116" t="s">
        <v>2375</v>
      </c>
      <c r="T445" s="98">
        <v>213</v>
      </c>
      <c r="U445" s="99">
        <v>63</v>
      </c>
      <c r="V445" s="99">
        <v>0</v>
      </c>
      <c r="W445" s="373" t="s">
        <v>2704</v>
      </c>
      <c r="X445" s="373" t="s">
        <v>2675</v>
      </c>
      <c r="Y445" s="109">
        <v>276</v>
      </c>
      <c r="Z445" s="98">
        <v>0</v>
      </c>
      <c r="AA445" s="99">
        <v>0</v>
      </c>
      <c r="AB445" s="99">
        <v>0</v>
      </c>
      <c r="AC445" s="75"/>
      <c r="AD445" s="373"/>
      <c r="AE445" s="109">
        <v>0</v>
      </c>
      <c r="AF445" s="117">
        <v>276</v>
      </c>
      <c r="AG445" s="141"/>
      <c r="AH445" s="374"/>
    </row>
    <row r="446" spans="1:34" s="80" customFormat="1" ht="12" customHeight="1">
      <c r="A446" s="66">
        <v>3088</v>
      </c>
      <c r="B446" s="67" t="s">
        <v>2675</v>
      </c>
      <c r="C446" s="67" t="s">
        <v>2675</v>
      </c>
      <c r="D446" s="67" t="s">
        <v>2704</v>
      </c>
      <c r="E446" s="66">
        <v>3</v>
      </c>
      <c r="F446" s="397">
        <v>3</v>
      </c>
      <c r="G446" s="69">
        <v>443</v>
      </c>
      <c r="H446" s="111" t="s">
        <v>2376</v>
      </c>
      <c r="I446" s="115" t="s">
        <v>2376</v>
      </c>
      <c r="J446" s="113">
        <v>10500101269601</v>
      </c>
      <c r="K446" s="114" t="s">
        <v>148</v>
      </c>
      <c r="L446" s="114"/>
      <c r="M446" s="114">
        <v>8</v>
      </c>
      <c r="N446" s="115" t="s">
        <v>951</v>
      </c>
      <c r="O446" s="111" t="s">
        <v>2377</v>
      </c>
      <c r="P446" s="115">
        <v>3200510</v>
      </c>
      <c r="Q446" s="111" t="s">
        <v>835</v>
      </c>
      <c r="R446" s="111" t="s">
        <v>2378</v>
      </c>
      <c r="S446" s="116" t="s">
        <v>2379</v>
      </c>
      <c r="T446" s="98">
        <v>0</v>
      </c>
      <c r="U446" s="99">
        <v>296</v>
      </c>
      <c r="V446" s="99">
        <v>154</v>
      </c>
      <c r="W446" s="373" t="s">
        <v>2704</v>
      </c>
      <c r="X446" s="373" t="s">
        <v>2675</v>
      </c>
      <c r="Y446" s="109">
        <v>450</v>
      </c>
      <c r="Z446" s="98">
        <v>0</v>
      </c>
      <c r="AA446" s="99">
        <v>0</v>
      </c>
      <c r="AB446" s="99">
        <v>0</v>
      </c>
      <c r="AC446" s="75"/>
      <c r="AD446" s="373"/>
      <c r="AE446" s="109">
        <v>0</v>
      </c>
      <c r="AF446" s="117">
        <v>450</v>
      </c>
      <c r="AG446" s="141"/>
      <c r="AH446" s="374"/>
    </row>
    <row r="447" spans="1:34" s="80" customFormat="1" ht="12" customHeight="1">
      <c r="A447" s="66">
        <v>3089</v>
      </c>
      <c r="B447" s="67" t="s">
        <v>2675</v>
      </c>
      <c r="C447" s="67" t="s">
        <v>2675</v>
      </c>
      <c r="D447" s="67" t="s">
        <v>2705</v>
      </c>
      <c r="E447" s="66">
        <v>3</v>
      </c>
      <c r="F447" s="397">
        <v>3</v>
      </c>
      <c r="G447" s="69">
        <v>444</v>
      </c>
      <c r="H447" s="111" t="s">
        <v>2380</v>
      </c>
      <c r="I447" s="115" t="s">
        <v>2380</v>
      </c>
      <c r="J447" s="113">
        <v>10500100035303</v>
      </c>
      <c r="K447" s="114" t="s">
        <v>148</v>
      </c>
      <c r="L447" s="114"/>
      <c r="M447" s="114">
        <v>8</v>
      </c>
      <c r="N447" s="115" t="s">
        <v>2381</v>
      </c>
      <c r="O447" s="111" t="s">
        <v>2382</v>
      </c>
      <c r="P447" s="115" t="s">
        <v>2383</v>
      </c>
      <c r="Q447" s="111" t="s">
        <v>973</v>
      </c>
      <c r="R447" s="111" t="s">
        <v>2384</v>
      </c>
      <c r="S447" s="116" t="s">
        <v>2385</v>
      </c>
      <c r="T447" s="98">
        <v>91</v>
      </c>
      <c r="U447" s="99">
        <v>49</v>
      </c>
      <c r="V447" s="99">
        <v>0</v>
      </c>
      <c r="W447" s="373" t="s">
        <v>2704</v>
      </c>
      <c r="X447" s="373" t="s">
        <v>2675</v>
      </c>
      <c r="Y447" s="109">
        <v>140</v>
      </c>
      <c r="Z447" s="98">
        <v>45</v>
      </c>
      <c r="AA447" s="99">
        <v>27</v>
      </c>
      <c r="AB447" s="99">
        <v>0</v>
      </c>
      <c r="AC447" s="399" t="s">
        <v>2700</v>
      </c>
      <c r="AD447" s="400" t="s">
        <v>2675</v>
      </c>
      <c r="AE447" s="159">
        <v>72</v>
      </c>
      <c r="AF447" s="117">
        <v>212</v>
      </c>
      <c r="AG447" s="141"/>
      <c r="AH447" s="374"/>
    </row>
    <row r="448" spans="1:34" s="80" customFormat="1" ht="12" customHeight="1">
      <c r="A448" s="66">
        <v>3090</v>
      </c>
      <c r="B448" s="67" t="s">
        <v>2675</v>
      </c>
      <c r="C448" s="67" t="s">
        <v>2675</v>
      </c>
      <c r="D448" s="67" t="s">
        <v>2705</v>
      </c>
      <c r="E448" s="66">
        <v>3</v>
      </c>
      <c r="F448" s="397">
        <v>3</v>
      </c>
      <c r="G448" s="69">
        <v>445</v>
      </c>
      <c r="H448" s="111" t="s">
        <v>2386</v>
      </c>
      <c r="I448" s="115" t="s">
        <v>2386</v>
      </c>
      <c r="J448" s="113">
        <v>10500100056601</v>
      </c>
      <c r="K448" s="114" t="s">
        <v>148</v>
      </c>
      <c r="L448" s="114"/>
      <c r="M448" s="114">
        <v>8</v>
      </c>
      <c r="N448" s="115" t="s">
        <v>850</v>
      </c>
      <c r="O448" s="111" t="s">
        <v>2387</v>
      </c>
      <c r="P448" s="115">
        <v>2168993</v>
      </c>
      <c r="Q448" s="111" t="s">
        <v>852</v>
      </c>
      <c r="R448" s="111" t="s">
        <v>2388</v>
      </c>
      <c r="S448" s="116" t="s">
        <v>2389</v>
      </c>
      <c r="T448" s="98">
        <v>82</v>
      </c>
      <c r="U448" s="99">
        <v>120</v>
      </c>
      <c r="V448" s="99">
        <v>34</v>
      </c>
      <c r="W448" s="373" t="s">
        <v>2704</v>
      </c>
      <c r="X448" s="373" t="s">
        <v>2675</v>
      </c>
      <c r="Y448" s="109">
        <v>236</v>
      </c>
      <c r="Z448" s="98">
        <v>100</v>
      </c>
      <c r="AA448" s="99">
        <v>111</v>
      </c>
      <c r="AB448" s="99">
        <v>53</v>
      </c>
      <c r="AC448" s="75" t="s">
        <v>2700</v>
      </c>
      <c r="AD448" s="373" t="s">
        <v>2675</v>
      </c>
      <c r="AE448" s="109">
        <v>264</v>
      </c>
      <c r="AF448" s="117">
        <v>500</v>
      </c>
      <c r="AG448" s="141"/>
      <c r="AH448" s="374"/>
    </row>
    <row r="449" spans="1:34" s="80" customFormat="1" ht="12" customHeight="1">
      <c r="A449" s="66">
        <v>3091</v>
      </c>
      <c r="B449" s="67" t="s">
        <v>2675</v>
      </c>
      <c r="C449" s="67" t="s">
        <v>2675</v>
      </c>
      <c r="D449" s="67" t="s">
        <v>2705</v>
      </c>
      <c r="E449" s="66">
        <v>3</v>
      </c>
      <c r="F449" s="397">
        <v>3</v>
      </c>
      <c r="G449" s="69">
        <v>446</v>
      </c>
      <c r="H449" s="111" t="s">
        <v>2390</v>
      </c>
      <c r="I449" s="115" t="s">
        <v>2390</v>
      </c>
      <c r="J449" s="113">
        <v>10500100165101</v>
      </c>
      <c r="K449" s="114" t="s">
        <v>148</v>
      </c>
      <c r="L449" s="114"/>
      <c r="M449" s="114">
        <v>8</v>
      </c>
      <c r="N449" s="115" t="s">
        <v>2391</v>
      </c>
      <c r="O449" s="111" t="s">
        <v>2392</v>
      </c>
      <c r="P449" s="115">
        <v>2540988</v>
      </c>
      <c r="Q449" s="111" t="s">
        <v>2393</v>
      </c>
      <c r="R449" s="111" t="s">
        <v>2394</v>
      </c>
      <c r="S449" s="116" t="s">
        <v>2395</v>
      </c>
      <c r="T449" s="98">
        <v>200</v>
      </c>
      <c r="U449" s="99">
        <v>190</v>
      </c>
      <c r="V449" s="99">
        <v>10</v>
      </c>
      <c r="W449" s="373" t="s">
        <v>2704</v>
      </c>
      <c r="X449" s="373" t="s">
        <v>2675</v>
      </c>
      <c r="Y449" s="109">
        <v>400</v>
      </c>
      <c r="Z449" s="98">
        <v>0</v>
      </c>
      <c r="AA449" s="99">
        <v>52</v>
      </c>
      <c r="AB449" s="99">
        <v>98</v>
      </c>
      <c r="AC449" s="75" t="s">
        <v>2700</v>
      </c>
      <c r="AD449" s="373" t="s">
        <v>2675</v>
      </c>
      <c r="AE449" s="109">
        <v>150</v>
      </c>
      <c r="AF449" s="117">
        <v>550</v>
      </c>
      <c r="AG449" s="141"/>
      <c r="AH449" s="374"/>
    </row>
    <row r="450" spans="1:34" s="80" customFormat="1" ht="12" customHeight="1">
      <c r="A450" s="66">
        <v>3092</v>
      </c>
      <c r="B450" s="67" t="s">
        <v>2675</v>
      </c>
      <c r="C450" s="67" t="s">
        <v>2675</v>
      </c>
      <c r="D450" s="67" t="s">
        <v>2704</v>
      </c>
      <c r="E450" s="66">
        <v>3</v>
      </c>
      <c r="F450" s="397">
        <v>3</v>
      </c>
      <c r="G450" s="69">
        <v>447</v>
      </c>
      <c r="H450" s="111" t="s">
        <v>2396</v>
      </c>
      <c r="I450" s="115" t="s">
        <v>2396</v>
      </c>
      <c r="J450" s="113">
        <v>10500100278001</v>
      </c>
      <c r="K450" s="114" t="s">
        <v>148</v>
      </c>
      <c r="L450" s="114"/>
      <c r="M450" s="114">
        <v>8</v>
      </c>
      <c r="N450" s="115" t="s">
        <v>867</v>
      </c>
      <c r="O450" s="111" t="s">
        <v>2397</v>
      </c>
      <c r="P450" s="115">
        <v>2690520</v>
      </c>
      <c r="Q450" s="111" t="s">
        <v>2398</v>
      </c>
      <c r="R450" s="111" t="s">
        <v>2399</v>
      </c>
      <c r="S450" s="116" t="s">
        <v>2400</v>
      </c>
      <c r="T450" s="98">
        <v>329</v>
      </c>
      <c r="U450" s="99">
        <v>246</v>
      </c>
      <c r="V450" s="99">
        <v>53</v>
      </c>
      <c r="W450" s="373" t="s">
        <v>2704</v>
      </c>
      <c r="X450" s="373" t="s">
        <v>2675</v>
      </c>
      <c r="Y450" s="109">
        <v>628</v>
      </c>
      <c r="Z450" s="98">
        <v>0</v>
      </c>
      <c r="AA450" s="99">
        <v>0</v>
      </c>
      <c r="AB450" s="99">
        <v>0</v>
      </c>
      <c r="AC450" s="75"/>
      <c r="AD450" s="373"/>
      <c r="AE450" s="109">
        <v>0</v>
      </c>
      <c r="AF450" s="117">
        <v>628</v>
      </c>
      <c r="AG450" s="141"/>
      <c r="AH450" s="374"/>
    </row>
    <row r="451" spans="1:34" s="80" customFormat="1" ht="12" customHeight="1">
      <c r="A451" s="66">
        <v>3093</v>
      </c>
      <c r="B451" s="67" t="s">
        <v>2675</v>
      </c>
      <c r="C451" s="67" t="s">
        <v>2675</v>
      </c>
      <c r="D451" s="67" t="s">
        <v>2705</v>
      </c>
      <c r="E451" s="66">
        <v>3</v>
      </c>
      <c r="F451" s="397">
        <v>3</v>
      </c>
      <c r="G451" s="69">
        <v>448</v>
      </c>
      <c r="H451" s="111" t="s">
        <v>2401</v>
      </c>
      <c r="I451" s="115" t="s">
        <v>2401</v>
      </c>
      <c r="J451" s="113">
        <v>10500100541001</v>
      </c>
      <c r="K451" s="114" t="s">
        <v>148</v>
      </c>
      <c r="L451" s="114"/>
      <c r="M451" s="114">
        <v>8</v>
      </c>
      <c r="N451" s="115" t="s">
        <v>2381</v>
      </c>
      <c r="O451" s="111" t="s">
        <v>2402</v>
      </c>
      <c r="P451" s="115" t="s">
        <v>2403</v>
      </c>
      <c r="Q451" s="111" t="s">
        <v>2404</v>
      </c>
      <c r="R451" s="111" t="s">
        <v>2405</v>
      </c>
      <c r="S451" s="116" t="s">
        <v>2406</v>
      </c>
      <c r="T451" s="98">
        <v>221</v>
      </c>
      <c r="U451" s="99">
        <v>170</v>
      </c>
      <c r="V451" s="99">
        <v>29</v>
      </c>
      <c r="W451" s="373" t="s">
        <v>2704</v>
      </c>
      <c r="X451" s="373" t="s">
        <v>2675</v>
      </c>
      <c r="Y451" s="109">
        <v>420</v>
      </c>
      <c r="Z451" s="98">
        <v>0</v>
      </c>
      <c r="AA451" s="99">
        <v>56</v>
      </c>
      <c r="AB451" s="99">
        <v>64</v>
      </c>
      <c r="AC451" s="75" t="s">
        <v>2700</v>
      </c>
      <c r="AD451" s="373" t="s">
        <v>2675</v>
      </c>
      <c r="AE451" s="109">
        <v>120</v>
      </c>
      <c r="AF451" s="117">
        <v>540</v>
      </c>
      <c r="AG451" s="141"/>
      <c r="AH451" s="374"/>
    </row>
    <row r="452" spans="1:34" s="80" customFormat="1" ht="12" customHeight="1">
      <c r="A452" s="66">
        <v>3094</v>
      </c>
      <c r="B452" s="67" t="s">
        <v>2675</v>
      </c>
      <c r="C452" s="67" t="s">
        <v>2675</v>
      </c>
      <c r="D452" s="67" t="s">
        <v>2704</v>
      </c>
      <c r="E452" s="66">
        <v>3</v>
      </c>
      <c r="F452" s="397">
        <v>3</v>
      </c>
      <c r="G452" s="69">
        <v>449</v>
      </c>
      <c r="H452" s="111" t="s">
        <v>2407</v>
      </c>
      <c r="I452" s="115" t="s">
        <v>2407</v>
      </c>
      <c r="J452" s="113">
        <v>10500100541002</v>
      </c>
      <c r="K452" s="114" t="s">
        <v>148</v>
      </c>
      <c r="L452" s="114"/>
      <c r="M452" s="114">
        <v>8</v>
      </c>
      <c r="N452" s="115" t="s">
        <v>2381</v>
      </c>
      <c r="O452" s="111" t="s">
        <v>2408</v>
      </c>
      <c r="P452" s="115">
        <v>2546018</v>
      </c>
      <c r="Q452" s="111" t="s">
        <v>2404</v>
      </c>
      <c r="R452" s="111" t="s">
        <v>2409</v>
      </c>
      <c r="S452" s="116" t="s">
        <v>2410</v>
      </c>
      <c r="T452" s="98">
        <v>0</v>
      </c>
      <c r="U452" s="99">
        <v>230</v>
      </c>
      <c r="V452" s="99">
        <v>0</v>
      </c>
      <c r="W452" s="373" t="s">
        <v>2704</v>
      </c>
      <c r="X452" s="373" t="s">
        <v>2675</v>
      </c>
      <c r="Y452" s="109">
        <v>230</v>
      </c>
      <c r="Z452" s="98">
        <v>0</v>
      </c>
      <c r="AA452" s="99">
        <v>0</v>
      </c>
      <c r="AB452" s="99">
        <v>0</v>
      </c>
      <c r="AC452" s="75"/>
      <c r="AD452" s="373"/>
      <c r="AE452" s="109">
        <v>0</v>
      </c>
      <c r="AF452" s="117">
        <v>230</v>
      </c>
      <c r="AG452" s="141"/>
      <c r="AH452" s="374"/>
    </row>
    <row r="453" spans="1:34" s="80" customFormat="1" ht="12" customHeight="1">
      <c r="A453" s="66">
        <v>3095</v>
      </c>
      <c r="B453" s="67" t="s">
        <v>2675</v>
      </c>
      <c r="C453" s="67" t="s">
        <v>2675</v>
      </c>
      <c r="D453" s="67" t="s">
        <v>2704</v>
      </c>
      <c r="E453" s="66">
        <v>3</v>
      </c>
      <c r="F453" s="397">
        <v>3</v>
      </c>
      <c r="G453" s="69">
        <v>450</v>
      </c>
      <c r="H453" s="111" t="s">
        <v>2411</v>
      </c>
      <c r="I453" s="115" t="s">
        <v>2411</v>
      </c>
      <c r="J453" s="113">
        <v>10500102577103</v>
      </c>
      <c r="K453" s="114" t="s">
        <v>148</v>
      </c>
      <c r="L453" s="114"/>
      <c r="M453" s="114">
        <v>8</v>
      </c>
      <c r="N453" s="115" t="s">
        <v>878</v>
      </c>
      <c r="O453" s="111" t="s">
        <v>2412</v>
      </c>
      <c r="P453" s="115">
        <v>2545311</v>
      </c>
      <c r="Q453" s="111" t="s">
        <v>880</v>
      </c>
      <c r="R453" s="111" t="s">
        <v>2413</v>
      </c>
      <c r="S453" s="116" t="s">
        <v>2414</v>
      </c>
      <c r="T453" s="98">
        <v>185</v>
      </c>
      <c r="U453" s="99">
        <v>120</v>
      </c>
      <c r="V453" s="99">
        <v>0</v>
      </c>
      <c r="W453" s="373" t="s">
        <v>2704</v>
      </c>
      <c r="X453" s="373" t="s">
        <v>2675</v>
      </c>
      <c r="Y453" s="109">
        <v>305</v>
      </c>
      <c r="Z453" s="98">
        <v>0</v>
      </c>
      <c r="AA453" s="99">
        <v>0</v>
      </c>
      <c r="AB453" s="99">
        <v>0</v>
      </c>
      <c r="AC453" s="75"/>
      <c r="AD453" s="373"/>
      <c r="AE453" s="109">
        <v>0</v>
      </c>
      <c r="AF453" s="117">
        <v>305</v>
      </c>
      <c r="AG453" s="141"/>
      <c r="AH453" s="374"/>
    </row>
    <row r="454" spans="1:34" s="80" customFormat="1" ht="12" customHeight="1">
      <c r="A454" s="66">
        <v>3096</v>
      </c>
      <c r="B454" s="67" t="s">
        <v>2675</v>
      </c>
      <c r="C454" s="67" t="s">
        <v>2675</v>
      </c>
      <c r="D454" s="67" t="s">
        <v>2704</v>
      </c>
      <c r="E454" s="66">
        <v>3</v>
      </c>
      <c r="F454" s="397">
        <v>3</v>
      </c>
      <c r="G454" s="69">
        <v>451</v>
      </c>
      <c r="H454" s="111" t="s">
        <v>2415</v>
      </c>
      <c r="I454" s="115" t="s">
        <v>2415</v>
      </c>
      <c r="J454" s="113">
        <v>30500101969002</v>
      </c>
      <c r="K454" s="114" t="s">
        <v>148</v>
      </c>
      <c r="L454" s="114"/>
      <c r="M454" s="114">
        <v>8</v>
      </c>
      <c r="N454" s="115" t="s">
        <v>1551</v>
      </c>
      <c r="O454" s="111" t="s">
        <v>2416</v>
      </c>
      <c r="P454" s="115">
        <v>2261590</v>
      </c>
      <c r="Q454" s="111" t="s">
        <v>2417</v>
      </c>
      <c r="R454" s="111" t="s">
        <v>2418</v>
      </c>
      <c r="S454" s="116" t="s">
        <v>975</v>
      </c>
      <c r="T454" s="98">
        <v>190</v>
      </c>
      <c r="U454" s="99">
        <v>70</v>
      </c>
      <c r="V454" s="99">
        <v>0</v>
      </c>
      <c r="W454" s="373" t="s">
        <v>2704</v>
      </c>
      <c r="X454" s="373" t="s">
        <v>2675</v>
      </c>
      <c r="Y454" s="109">
        <v>260</v>
      </c>
      <c r="Z454" s="98">
        <v>0</v>
      </c>
      <c r="AA454" s="99">
        <v>0</v>
      </c>
      <c r="AB454" s="99">
        <v>0</v>
      </c>
      <c r="AC454" s="75"/>
      <c r="AD454" s="373"/>
      <c r="AE454" s="109">
        <v>0</v>
      </c>
      <c r="AF454" s="117">
        <v>260</v>
      </c>
      <c r="AG454" s="140"/>
      <c r="AH454" s="374"/>
    </row>
    <row r="455" spans="1:34" s="80" customFormat="1" ht="12" customHeight="1">
      <c r="A455" s="66">
        <v>3097</v>
      </c>
      <c r="B455" s="67" t="s">
        <v>2675</v>
      </c>
      <c r="C455" s="67" t="s">
        <v>2675</v>
      </c>
      <c r="D455" s="67" t="s">
        <v>2705</v>
      </c>
      <c r="E455" s="66">
        <v>3</v>
      </c>
      <c r="F455" s="397">
        <v>3</v>
      </c>
      <c r="G455" s="69">
        <v>452</v>
      </c>
      <c r="H455" s="111" t="s">
        <v>2419</v>
      </c>
      <c r="I455" s="115" t="s">
        <v>2419</v>
      </c>
      <c r="J455" s="113">
        <v>10500101107001</v>
      </c>
      <c r="K455" s="114" t="s">
        <v>148</v>
      </c>
      <c r="L455" s="114"/>
      <c r="M455" s="114">
        <v>9</v>
      </c>
      <c r="N455" s="115" t="s">
        <v>884</v>
      </c>
      <c r="O455" s="111" t="s">
        <v>2420</v>
      </c>
      <c r="P455" s="115">
        <v>2692880</v>
      </c>
      <c r="Q455" s="111" t="s">
        <v>886</v>
      </c>
      <c r="R455" s="111" t="s">
        <v>2421</v>
      </c>
      <c r="S455" s="116" t="s">
        <v>2422</v>
      </c>
      <c r="T455" s="98">
        <v>88</v>
      </c>
      <c r="U455" s="99">
        <v>212</v>
      </c>
      <c r="V455" s="99">
        <v>90</v>
      </c>
      <c r="W455" s="373" t="s">
        <v>2704</v>
      </c>
      <c r="X455" s="373" t="s">
        <v>2675</v>
      </c>
      <c r="Y455" s="109">
        <v>390</v>
      </c>
      <c r="Z455" s="98">
        <v>76</v>
      </c>
      <c r="AA455" s="99">
        <v>324</v>
      </c>
      <c r="AB455" s="99">
        <v>130</v>
      </c>
      <c r="AC455" s="75" t="s">
        <v>2700</v>
      </c>
      <c r="AD455" s="373" t="s">
        <v>2675</v>
      </c>
      <c r="AE455" s="109">
        <v>530</v>
      </c>
      <c r="AF455" s="117">
        <v>920</v>
      </c>
      <c r="AG455" s="141"/>
      <c r="AH455" s="374"/>
    </row>
    <row r="456" spans="1:34" s="80" customFormat="1" ht="12" customHeight="1">
      <c r="A456" s="66">
        <v>3098</v>
      </c>
      <c r="B456" s="67" t="s">
        <v>2675</v>
      </c>
      <c r="C456" s="67" t="s">
        <v>2675</v>
      </c>
      <c r="D456" s="67" t="s">
        <v>2704</v>
      </c>
      <c r="E456" s="66">
        <v>3</v>
      </c>
      <c r="F456" s="397">
        <v>3</v>
      </c>
      <c r="G456" s="69">
        <v>453</v>
      </c>
      <c r="H456" s="111" t="s">
        <v>2423</v>
      </c>
      <c r="I456" s="115" t="s">
        <v>2423</v>
      </c>
      <c r="J456" s="113">
        <v>10500101107003</v>
      </c>
      <c r="K456" s="114" t="s">
        <v>148</v>
      </c>
      <c r="L456" s="114"/>
      <c r="M456" s="114">
        <v>9</v>
      </c>
      <c r="N456" s="115" t="s">
        <v>2424</v>
      </c>
      <c r="O456" s="111" t="s">
        <v>2425</v>
      </c>
      <c r="P456" s="115">
        <v>2167445</v>
      </c>
      <c r="Q456" s="111" t="s">
        <v>886</v>
      </c>
      <c r="R456" s="111" t="s">
        <v>2426</v>
      </c>
      <c r="S456" s="116" t="s">
        <v>2427</v>
      </c>
      <c r="T456" s="98">
        <v>94</v>
      </c>
      <c r="U456" s="99">
        <v>72</v>
      </c>
      <c r="V456" s="99">
        <v>0</v>
      </c>
      <c r="W456" s="373" t="s">
        <v>2704</v>
      </c>
      <c r="X456" s="373" t="s">
        <v>2675</v>
      </c>
      <c r="Y456" s="109">
        <v>166</v>
      </c>
      <c r="Z456" s="98">
        <v>0</v>
      </c>
      <c r="AA456" s="99">
        <v>0</v>
      </c>
      <c r="AB456" s="99">
        <v>0</v>
      </c>
      <c r="AC456" s="75"/>
      <c r="AD456" s="373"/>
      <c r="AE456" s="109">
        <v>0</v>
      </c>
      <c r="AF456" s="117">
        <v>166</v>
      </c>
      <c r="AG456" s="141"/>
      <c r="AH456" s="374"/>
    </row>
    <row r="457" spans="1:34" s="80" customFormat="1" ht="12" customHeight="1">
      <c r="A457" s="66">
        <v>3099</v>
      </c>
      <c r="B457" s="67" t="s">
        <v>2675</v>
      </c>
      <c r="C457" s="67" t="s">
        <v>2675</v>
      </c>
      <c r="D457" s="67" t="s">
        <v>2704</v>
      </c>
      <c r="E457" s="66">
        <v>3</v>
      </c>
      <c r="F457" s="397">
        <v>3</v>
      </c>
      <c r="G457" s="69">
        <v>454</v>
      </c>
      <c r="H457" s="111" t="s">
        <v>2428</v>
      </c>
      <c r="I457" s="115" t="s">
        <v>2428</v>
      </c>
      <c r="J457" s="113">
        <v>10500101107004</v>
      </c>
      <c r="K457" s="114" t="s">
        <v>148</v>
      </c>
      <c r="L457" s="114"/>
      <c r="M457" s="114">
        <v>9</v>
      </c>
      <c r="N457" s="115" t="s">
        <v>916</v>
      </c>
      <c r="O457" s="111" t="s">
        <v>2429</v>
      </c>
      <c r="P457" s="115">
        <v>2936127</v>
      </c>
      <c r="Q457" s="111" t="s">
        <v>886</v>
      </c>
      <c r="R457" s="111" t="s">
        <v>2426</v>
      </c>
      <c r="S457" s="116" t="s">
        <v>2427</v>
      </c>
      <c r="T457" s="98">
        <v>75</v>
      </c>
      <c r="U457" s="99">
        <v>70</v>
      </c>
      <c r="V457" s="99">
        <v>0</v>
      </c>
      <c r="W457" s="373" t="s">
        <v>2704</v>
      </c>
      <c r="X457" s="373" t="s">
        <v>2675</v>
      </c>
      <c r="Y457" s="109">
        <v>145</v>
      </c>
      <c r="Z457" s="98">
        <v>0</v>
      </c>
      <c r="AA457" s="99">
        <v>0</v>
      </c>
      <c r="AB457" s="99">
        <v>0</v>
      </c>
      <c r="AC457" s="75"/>
      <c r="AD457" s="373"/>
      <c r="AE457" s="109">
        <v>0</v>
      </c>
      <c r="AF457" s="117">
        <v>145</v>
      </c>
      <c r="AG457" s="141"/>
      <c r="AH457" s="374"/>
    </row>
    <row r="458" spans="1:34" s="80" customFormat="1" ht="12" customHeight="1">
      <c r="A458" s="66">
        <v>3100</v>
      </c>
      <c r="B458" s="67" t="s">
        <v>2675</v>
      </c>
      <c r="C458" s="67" t="s">
        <v>2675</v>
      </c>
      <c r="D458" s="67" t="s">
        <v>2705</v>
      </c>
      <c r="E458" s="66">
        <v>3</v>
      </c>
      <c r="F458" s="397">
        <v>3</v>
      </c>
      <c r="G458" s="69">
        <v>455</v>
      </c>
      <c r="H458" s="111" t="s">
        <v>2430</v>
      </c>
      <c r="I458" s="115" t="s">
        <v>2430</v>
      </c>
      <c r="J458" s="113">
        <v>10500101085501</v>
      </c>
      <c r="K458" s="114" t="s">
        <v>148</v>
      </c>
      <c r="L458" s="114"/>
      <c r="M458" s="114">
        <v>9</v>
      </c>
      <c r="N458" s="115" t="s">
        <v>910</v>
      </c>
      <c r="O458" s="111" t="s">
        <v>2431</v>
      </c>
      <c r="P458" s="115">
        <v>2178032</v>
      </c>
      <c r="Q458" s="111" t="s">
        <v>1603</v>
      </c>
      <c r="R458" s="111" t="s">
        <v>2432</v>
      </c>
      <c r="S458" s="116" t="s">
        <v>2433</v>
      </c>
      <c r="T458" s="98">
        <v>0</v>
      </c>
      <c r="U458" s="99">
        <v>121</v>
      </c>
      <c r="V458" s="99">
        <v>69</v>
      </c>
      <c r="W458" s="373" t="s">
        <v>2704</v>
      </c>
      <c r="X458" s="373" t="s">
        <v>2675</v>
      </c>
      <c r="Y458" s="109">
        <v>190</v>
      </c>
      <c r="Z458" s="98">
        <v>0</v>
      </c>
      <c r="AA458" s="99">
        <v>98</v>
      </c>
      <c r="AB458" s="99">
        <v>72</v>
      </c>
      <c r="AC458" s="75" t="s">
        <v>2700</v>
      </c>
      <c r="AD458" s="373" t="s">
        <v>2675</v>
      </c>
      <c r="AE458" s="109">
        <v>170</v>
      </c>
      <c r="AF458" s="117">
        <v>360</v>
      </c>
      <c r="AG458" s="141"/>
      <c r="AH458" s="374"/>
    </row>
    <row r="459" spans="1:34" s="80" customFormat="1" ht="12" customHeight="1">
      <c r="A459" s="66">
        <v>3101</v>
      </c>
      <c r="B459" s="67" t="s">
        <v>2675</v>
      </c>
      <c r="C459" s="67" t="s">
        <v>2675</v>
      </c>
      <c r="D459" s="67" t="s">
        <v>2704</v>
      </c>
      <c r="E459" s="66">
        <v>3</v>
      </c>
      <c r="F459" s="397">
        <v>3</v>
      </c>
      <c r="G459" s="69">
        <v>456</v>
      </c>
      <c r="H459" s="111" t="s">
        <v>2434</v>
      </c>
      <c r="I459" s="115" t="s">
        <v>2434</v>
      </c>
      <c r="J459" s="113">
        <v>10500100838902</v>
      </c>
      <c r="K459" s="114" t="s">
        <v>148</v>
      </c>
      <c r="L459" s="114"/>
      <c r="M459" s="114">
        <v>9</v>
      </c>
      <c r="N459" s="115" t="s">
        <v>1606</v>
      </c>
      <c r="O459" s="111" t="s">
        <v>2435</v>
      </c>
      <c r="P459" s="115" t="s">
        <v>2436</v>
      </c>
      <c r="Q459" s="111" t="s">
        <v>2437</v>
      </c>
      <c r="R459" s="111" t="s">
        <v>1610</v>
      </c>
      <c r="S459" s="116" t="s">
        <v>2438</v>
      </c>
      <c r="T459" s="98">
        <v>245</v>
      </c>
      <c r="U459" s="99">
        <v>0</v>
      </c>
      <c r="V459" s="99">
        <v>0</v>
      </c>
      <c r="W459" s="373" t="s">
        <v>2704</v>
      </c>
      <c r="X459" s="373" t="s">
        <v>2675</v>
      </c>
      <c r="Y459" s="109">
        <v>245</v>
      </c>
      <c r="Z459" s="98">
        <v>0</v>
      </c>
      <c r="AA459" s="99">
        <v>0</v>
      </c>
      <c r="AB459" s="99">
        <v>0</v>
      </c>
      <c r="AC459" s="75"/>
      <c r="AD459" s="373"/>
      <c r="AE459" s="109">
        <v>0</v>
      </c>
      <c r="AF459" s="117">
        <v>245</v>
      </c>
      <c r="AG459" s="141"/>
      <c r="AH459" s="374"/>
    </row>
    <row r="460" spans="1:34" s="80" customFormat="1" ht="12" customHeight="1">
      <c r="A460" s="66">
        <v>3102</v>
      </c>
      <c r="B460" s="67" t="s">
        <v>2675</v>
      </c>
      <c r="C460" s="67" t="s">
        <v>2675</v>
      </c>
      <c r="D460" s="67" t="s">
        <v>2705</v>
      </c>
      <c r="E460" s="66">
        <v>3</v>
      </c>
      <c r="F460" s="397">
        <v>3</v>
      </c>
      <c r="G460" s="69">
        <v>457</v>
      </c>
      <c r="H460" s="111" t="s">
        <v>2439</v>
      </c>
      <c r="I460" s="115" t="s">
        <v>2439</v>
      </c>
      <c r="J460" s="113">
        <v>10500101163102</v>
      </c>
      <c r="K460" s="114" t="s">
        <v>148</v>
      </c>
      <c r="L460" s="114"/>
      <c r="M460" s="114">
        <v>9</v>
      </c>
      <c r="N460" s="115" t="s">
        <v>2440</v>
      </c>
      <c r="O460" s="111" t="s">
        <v>2441</v>
      </c>
      <c r="P460" s="115" t="s">
        <v>2442</v>
      </c>
      <c r="Q460" s="111" t="s">
        <v>2443</v>
      </c>
      <c r="R460" s="111" t="s">
        <v>2444</v>
      </c>
      <c r="S460" s="116" t="s">
        <v>2445</v>
      </c>
      <c r="T460" s="98">
        <v>95</v>
      </c>
      <c r="U460" s="99">
        <v>106</v>
      </c>
      <c r="V460" s="99">
        <v>0</v>
      </c>
      <c r="W460" s="373" t="s">
        <v>2704</v>
      </c>
      <c r="X460" s="373" t="s">
        <v>2675</v>
      </c>
      <c r="Y460" s="109">
        <v>201</v>
      </c>
      <c r="Z460" s="98">
        <v>113</v>
      </c>
      <c r="AA460" s="99">
        <v>17</v>
      </c>
      <c r="AB460" s="99">
        <v>0</v>
      </c>
      <c r="AC460" s="75" t="s">
        <v>2700</v>
      </c>
      <c r="AD460" s="373" t="s">
        <v>2675</v>
      </c>
      <c r="AE460" s="109">
        <v>130</v>
      </c>
      <c r="AF460" s="117">
        <v>331</v>
      </c>
      <c r="AG460" s="141"/>
      <c r="AH460" s="374"/>
    </row>
    <row r="461" spans="1:34" s="80" customFormat="1" ht="12" customHeight="1">
      <c r="A461" s="66">
        <v>3103</v>
      </c>
      <c r="B461" s="67" t="s">
        <v>2675</v>
      </c>
      <c r="C461" s="67" t="s">
        <v>2675</v>
      </c>
      <c r="D461" s="67" t="s">
        <v>2705</v>
      </c>
      <c r="E461" s="66">
        <v>3</v>
      </c>
      <c r="F461" s="397">
        <v>3</v>
      </c>
      <c r="G461" s="69">
        <v>458</v>
      </c>
      <c r="H461" s="111" t="s">
        <v>2446</v>
      </c>
      <c r="I461" s="115" t="s">
        <v>2446</v>
      </c>
      <c r="J461" s="113">
        <v>30500101883901</v>
      </c>
      <c r="K461" s="114" t="s">
        <v>148</v>
      </c>
      <c r="L461" s="114"/>
      <c r="M461" s="114">
        <v>9</v>
      </c>
      <c r="N461" s="115" t="s">
        <v>2447</v>
      </c>
      <c r="O461" s="111" t="s">
        <v>2448</v>
      </c>
      <c r="P461" s="115">
        <v>2690627</v>
      </c>
      <c r="Q461" s="111" t="s">
        <v>2449</v>
      </c>
      <c r="R461" s="111" t="s">
        <v>2450</v>
      </c>
      <c r="S461" s="116" t="s">
        <v>2451</v>
      </c>
      <c r="T461" s="98">
        <v>117</v>
      </c>
      <c r="U461" s="99">
        <v>38</v>
      </c>
      <c r="V461" s="99">
        <v>0</v>
      </c>
      <c r="W461" s="373" t="s">
        <v>2704</v>
      </c>
      <c r="X461" s="373" t="s">
        <v>2675</v>
      </c>
      <c r="Y461" s="109">
        <v>155</v>
      </c>
      <c r="Z461" s="98">
        <v>0</v>
      </c>
      <c r="AA461" s="99">
        <v>99</v>
      </c>
      <c r="AB461" s="99">
        <v>89</v>
      </c>
      <c r="AC461" s="75" t="s">
        <v>2700</v>
      </c>
      <c r="AD461" s="373" t="s">
        <v>2675</v>
      </c>
      <c r="AE461" s="109">
        <v>188</v>
      </c>
      <c r="AF461" s="117">
        <v>343</v>
      </c>
      <c r="AG461" s="141"/>
      <c r="AH461" s="374"/>
    </row>
    <row r="462" spans="1:34" s="80" customFormat="1" ht="12" customHeight="1">
      <c r="A462" s="66">
        <v>3104</v>
      </c>
      <c r="B462" s="67" t="s">
        <v>2675</v>
      </c>
      <c r="C462" s="67" t="s">
        <v>2675</v>
      </c>
      <c r="D462" s="67" t="s">
        <v>2705</v>
      </c>
      <c r="E462" s="66">
        <v>3</v>
      </c>
      <c r="F462" s="397">
        <v>3</v>
      </c>
      <c r="G462" s="69">
        <v>459</v>
      </c>
      <c r="H462" s="111" t="s">
        <v>2452</v>
      </c>
      <c r="I462" s="115" t="s">
        <v>2452</v>
      </c>
      <c r="J462" s="113">
        <v>10500100131701</v>
      </c>
      <c r="K462" s="114" t="s">
        <v>148</v>
      </c>
      <c r="L462" s="114"/>
      <c r="M462" s="114">
        <v>9</v>
      </c>
      <c r="N462" s="115" t="s">
        <v>916</v>
      </c>
      <c r="O462" s="111" t="s">
        <v>2453</v>
      </c>
      <c r="P462" s="115" t="s">
        <v>2454</v>
      </c>
      <c r="Q462" s="111" t="s">
        <v>2455</v>
      </c>
      <c r="R462" s="111" t="s">
        <v>2456</v>
      </c>
      <c r="S462" s="116" t="s">
        <v>2457</v>
      </c>
      <c r="T462" s="98">
        <v>70</v>
      </c>
      <c r="U462" s="99">
        <v>73</v>
      </c>
      <c r="V462" s="99">
        <v>39</v>
      </c>
      <c r="W462" s="373" t="s">
        <v>2704</v>
      </c>
      <c r="X462" s="373" t="s">
        <v>2675</v>
      </c>
      <c r="Y462" s="109">
        <v>182</v>
      </c>
      <c r="Z462" s="98">
        <v>29</v>
      </c>
      <c r="AA462" s="99">
        <v>65</v>
      </c>
      <c r="AB462" s="99">
        <v>21</v>
      </c>
      <c r="AC462" s="75" t="s">
        <v>2700</v>
      </c>
      <c r="AD462" s="373" t="s">
        <v>2675</v>
      </c>
      <c r="AE462" s="109">
        <v>115</v>
      </c>
      <c r="AF462" s="117">
        <v>297</v>
      </c>
      <c r="AG462" s="141"/>
      <c r="AH462" s="374"/>
    </row>
    <row r="463" spans="1:34" s="80" customFormat="1" ht="12" customHeight="1">
      <c r="A463" s="66">
        <v>3105</v>
      </c>
      <c r="B463" s="67" t="s">
        <v>2675</v>
      </c>
      <c r="C463" s="67" t="s">
        <v>2675</v>
      </c>
      <c r="D463" s="67" t="s">
        <v>2704</v>
      </c>
      <c r="E463" s="66">
        <v>3</v>
      </c>
      <c r="F463" s="397">
        <v>3</v>
      </c>
      <c r="G463" s="69">
        <v>460</v>
      </c>
      <c r="H463" s="111" t="s">
        <v>2458</v>
      </c>
      <c r="I463" s="115" t="s">
        <v>2458</v>
      </c>
      <c r="J463" s="113">
        <v>30500100454401</v>
      </c>
      <c r="K463" s="114" t="s">
        <v>226</v>
      </c>
      <c r="L463" s="114"/>
      <c r="M463" s="114">
        <v>9</v>
      </c>
      <c r="N463" s="115" t="s">
        <v>910</v>
      </c>
      <c r="O463" s="111" t="s">
        <v>2459</v>
      </c>
      <c r="P463" s="115">
        <v>2162583</v>
      </c>
      <c r="Q463" s="111" t="s">
        <v>2460</v>
      </c>
      <c r="R463" s="111" t="s">
        <v>2460</v>
      </c>
      <c r="S463" s="116" t="s">
        <v>2461</v>
      </c>
      <c r="T463" s="98">
        <v>18</v>
      </c>
      <c r="U463" s="99">
        <v>142</v>
      </c>
      <c r="V463" s="99">
        <v>69</v>
      </c>
      <c r="W463" s="373" t="s">
        <v>2704</v>
      </c>
      <c r="X463" s="373" t="s">
        <v>2675</v>
      </c>
      <c r="Y463" s="109">
        <v>229</v>
      </c>
      <c r="Z463" s="98">
        <v>0</v>
      </c>
      <c r="AA463" s="99">
        <v>0</v>
      </c>
      <c r="AB463" s="99">
        <v>0</v>
      </c>
      <c r="AC463" s="75"/>
      <c r="AD463" s="373"/>
      <c r="AE463" s="109">
        <v>0</v>
      </c>
      <c r="AF463" s="117">
        <v>229</v>
      </c>
      <c r="AG463" s="139"/>
      <c r="AH463" s="374"/>
    </row>
    <row r="464" spans="1:34" s="80" customFormat="1" ht="12" customHeight="1" thickBot="1">
      <c r="A464" s="66">
        <v>3106</v>
      </c>
      <c r="B464" s="67" t="s">
        <v>2675</v>
      </c>
      <c r="C464" s="67" t="s">
        <v>2675</v>
      </c>
      <c r="D464" s="67" t="s">
        <v>2704</v>
      </c>
      <c r="E464" s="66">
        <v>3</v>
      </c>
      <c r="F464" s="397">
        <v>4</v>
      </c>
      <c r="G464" s="69">
        <v>461</v>
      </c>
      <c r="H464" s="143" t="s">
        <v>976</v>
      </c>
      <c r="I464" s="112" t="s">
        <v>976</v>
      </c>
      <c r="J464" s="113">
        <v>10500100211904</v>
      </c>
      <c r="K464" s="114" t="s">
        <v>148</v>
      </c>
      <c r="L464" s="144"/>
      <c r="M464" s="114">
        <v>11</v>
      </c>
      <c r="N464" s="115" t="s">
        <v>977</v>
      </c>
      <c r="O464" s="111" t="s">
        <v>978</v>
      </c>
      <c r="P464" s="115">
        <v>2606802</v>
      </c>
      <c r="Q464" s="111" t="s">
        <v>979</v>
      </c>
      <c r="R464" s="111" t="s">
        <v>980</v>
      </c>
      <c r="S464" s="116" t="s">
        <v>981</v>
      </c>
      <c r="T464" s="98">
        <v>50</v>
      </c>
      <c r="U464" s="99">
        <v>50</v>
      </c>
      <c r="V464" s="99">
        <v>0</v>
      </c>
      <c r="W464" s="373" t="s">
        <v>2704</v>
      </c>
      <c r="X464" s="373" t="s">
        <v>2675</v>
      </c>
      <c r="Y464" s="109">
        <v>100</v>
      </c>
      <c r="Z464" s="98">
        <v>0</v>
      </c>
      <c r="AA464" s="99">
        <v>0</v>
      </c>
      <c r="AB464" s="99">
        <v>0</v>
      </c>
      <c r="AC464" s="75"/>
      <c r="AD464" s="373"/>
      <c r="AE464" s="109">
        <v>0</v>
      </c>
      <c r="AF464" s="117">
        <v>100</v>
      </c>
      <c r="AG464" s="140"/>
      <c r="AH464" s="374"/>
    </row>
    <row r="465" spans="1:34" s="80" customFormat="1" ht="12" customHeight="1">
      <c r="A465" s="66">
        <v>3107</v>
      </c>
      <c r="B465" s="67" t="s">
        <v>2675</v>
      </c>
      <c r="C465" s="67" t="s">
        <v>2675</v>
      </c>
      <c r="D465" s="67" t="s">
        <v>2704</v>
      </c>
      <c r="E465" s="66">
        <v>3</v>
      </c>
      <c r="F465" s="397">
        <v>4</v>
      </c>
      <c r="G465" s="69">
        <v>462</v>
      </c>
      <c r="H465" s="111" t="s">
        <v>2462</v>
      </c>
      <c r="I465" s="112" t="s">
        <v>2462</v>
      </c>
      <c r="J465" s="113">
        <v>10500100279801</v>
      </c>
      <c r="K465" s="114" t="s">
        <v>148</v>
      </c>
      <c r="L465" s="114"/>
      <c r="M465" s="114">
        <v>11</v>
      </c>
      <c r="N465" s="115" t="s">
        <v>990</v>
      </c>
      <c r="O465" s="111" t="s">
        <v>2463</v>
      </c>
      <c r="P465" s="115">
        <v>4361257</v>
      </c>
      <c r="Q465" s="111" t="s">
        <v>2464</v>
      </c>
      <c r="R465" s="111" t="s">
        <v>2465</v>
      </c>
      <c r="S465" s="116" t="s">
        <v>2466</v>
      </c>
      <c r="T465" s="98">
        <v>35</v>
      </c>
      <c r="U465" s="99">
        <v>38</v>
      </c>
      <c r="V465" s="99">
        <v>27</v>
      </c>
      <c r="W465" s="373" t="s">
        <v>2704</v>
      </c>
      <c r="X465" s="373" t="s">
        <v>2675</v>
      </c>
      <c r="Y465" s="109">
        <v>100</v>
      </c>
      <c r="Z465" s="98">
        <v>0</v>
      </c>
      <c r="AA465" s="99">
        <v>0</v>
      </c>
      <c r="AB465" s="99">
        <v>0</v>
      </c>
      <c r="AC465" s="75"/>
      <c r="AD465" s="373"/>
      <c r="AE465" s="109">
        <v>0</v>
      </c>
      <c r="AF465" s="117">
        <v>100</v>
      </c>
      <c r="AG465" s="140"/>
      <c r="AH465" s="374"/>
    </row>
    <row r="466" spans="1:34" s="80" customFormat="1" ht="12" customHeight="1">
      <c r="A466" s="66">
        <v>3108</v>
      </c>
      <c r="B466" s="67" t="s">
        <v>2675</v>
      </c>
      <c r="C466" s="67" t="s">
        <v>2675</v>
      </c>
      <c r="D466" s="67" t="s">
        <v>2704</v>
      </c>
      <c r="E466" s="66">
        <v>3</v>
      </c>
      <c r="F466" s="397">
        <v>4</v>
      </c>
      <c r="G466" s="69">
        <v>463</v>
      </c>
      <c r="H466" s="111" t="s">
        <v>2467</v>
      </c>
      <c r="I466" s="112" t="s">
        <v>2467</v>
      </c>
      <c r="J466" s="113">
        <v>10500100246102</v>
      </c>
      <c r="K466" s="114" t="s">
        <v>148</v>
      </c>
      <c r="L466" s="114"/>
      <c r="M466" s="114">
        <v>11</v>
      </c>
      <c r="N466" s="115" t="s">
        <v>2468</v>
      </c>
      <c r="O466" s="111" t="s">
        <v>2469</v>
      </c>
      <c r="P466" s="115">
        <v>4119222</v>
      </c>
      <c r="Q466" s="111" t="s">
        <v>2470</v>
      </c>
      <c r="R466" s="111" t="s">
        <v>2471</v>
      </c>
      <c r="S466" s="116" t="s">
        <v>2472</v>
      </c>
      <c r="T466" s="98">
        <v>55</v>
      </c>
      <c r="U466" s="99">
        <v>35</v>
      </c>
      <c r="V466" s="99">
        <v>0</v>
      </c>
      <c r="W466" s="373" t="s">
        <v>2704</v>
      </c>
      <c r="X466" s="373" t="s">
        <v>2675</v>
      </c>
      <c r="Y466" s="109">
        <v>90</v>
      </c>
      <c r="Z466" s="98">
        <v>0</v>
      </c>
      <c r="AA466" s="99">
        <v>0</v>
      </c>
      <c r="AB466" s="99">
        <v>0</v>
      </c>
      <c r="AC466" s="75"/>
      <c r="AD466" s="373"/>
      <c r="AE466" s="109">
        <v>0</v>
      </c>
      <c r="AF466" s="117">
        <v>90</v>
      </c>
      <c r="AG466" s="140"/>
      <c r="AH466" s="374"/>
    </row>
    <row r="467" spans="1:34" s="80" customFormat="1" ht="12" customHeight="1">
      <c r="A467" s="66">
        <v>3109</v>
      </c>
      <c r="B467" s="67" t="s">
        <v>2675</v>
      </c>
      <c r="C467" s="67" t="s">
        <v>2675</v>
      </c>
      <c r="D467" s="67" t="s">
        <v>2704</v>
      </c>
      <c r="E467" s="66">
        <v>3</v>
      </c>
      <c r="F467" s="397">
        <v>4</v>
      </c>
      <c r="G467" s="69">
        <v>464</v>
      </c>
      <c r="H467" s="111" t="s">
        <v>2473</v>
      </c>
      <c r="I467" s="112" t="s">
        <v>2473</v>
      </c>
      <c r="J467" s="113">
        <v>10500100202001</v>
      </c>
      <c r="K467" s="114" t="s">
        <v>148</v>
      </c>
      <c r="L467" s="114"/>
      <c r="M467" s="114">
        <v>12</v>
      </c>
      <c r="N467" s="115" t="s">
        <v>1003</v>
      </c>
      <c r="O467" s="111" t="s">
        <v>2474</v>
      </c>
      <c r="P467" s="115" t="s">
        <v>2475</v>
      </c>
      <c r="Q467" s="111" t="s">
        <v>2476</v>
      </c>
      <c r="R467" s="111" t="s">
        <v>2477</v>
      </c>
      <c r="S467" s="116" t="s">
        <v>2478</v>
      </c>
      <c r="T467" s="98">
        <v>0</v>
      </c>
      <c r="U467" s="99">
        <v>168</v>
      </c>
      <c r="V467" s="99">
        <v>132</v>
      </c>
      <c r="W467" s="373" t="s">
        <v>2704</v>
      </c>
      <c r="X467" s="373" t="s">
        <v>2675</v>
      </c>
      <c r="Y467" s="109">
        <v>300</v>
      </c>
      <c r="Z467" s="98">
        <v>0</v>
      </c>
      <c r="AA467" s="99">
        <v>0</v>
      </c>
      <c r="AB467" s="99">
        <v>0</v>
      </c>
      <c r="AC467" s="75"/>
      <c r="AD467" s="373"/>
      <c r="AE467" s="109">
        <v>0</v>
      </c>
      <c r="AF467" s="117">
        <v>300</v>
      </c>
      <c r="AG467" s="140"/>
      <c r="AH467" s="374"/>
    </row>
    <row r="468" spans="1:34" s="80" customFormat="1" ht="12" customHeight="1">
      <c r="A468" s="66">
        <v>3110</v>
      </c>
      <c r="B468" s="67" t="s">
        <v>2675</v>
      </c>
      <c r="C468" s="67" t="s">
        <v>2675</v>
      </c>
      <c r="D468" s="67" t="s">
        <v>2704</v>
      </c>
      <c r="E468" s="66">
        <v>3</v>
      </c>
      <c r="F468" s="397">
        <v>4</v>
      </c>
      <c r="G468" s="69">
        <v>465</v>
      </c>
      <c r="H468" s="111" t="s">
        <v>1002</v>
      </c>
      <c r="I468" s="112" t="s">
        <v>1002</v>
      </c>
      <c r="J468" s="113">
        <v>10500100202002</v>
      </c>
      <c r="K468" s="114" t="s">
        <v>148</v>
      </c>
      <c r="L468" s="114"/>
      <c r="M468" s="114">
        <v>12</v>
      </c>
      <c r="N468" s="115" t="s">
        <v>1003</v>
      </c>
      <c r="O468" s="111" t="s">
        <v>1004</v>
      </c>
      <c r="P468" s="115">
        <v>2508012</v>
      </c>
      <c r="Q468" s="111" t="s">
        <v>1005</v>
      </c>
      <c r="R468" s="111" t="s">
        <v>1006</v>
      </c>
      <c r="S468" s="116" t="s">
        <v>1007</v>
      </c>
      <c r="T468" s="98">
        <v>100</v>
      </c>
      <c r="U468" s="99">
        <v>50</v>
      </c>
      <c r="V468" s="99">
        <v>0</v>
      </c>
      <c r="W468" s="373" t="s">
        <v>2704</v>
      </c>
      <c r="X468" s="373" t="s">
        <v>2675</v>
      </c>
      <c r="Y468" s="109">
        <v>150</v>
      </c>
      <c r="Z468" s="98">
        <v>0</v>
      </c>
      <c r="AA468" s="99">
        <v>0</v>
      </c>
      <c r="AB468" s="99">
        <v>0</v>
      </c>
      <c r="AC468" s="75"/>
      <c r="AD468" s="373"/>
      <c r="AE468" s="109">
        <v>0</v>
      </c>
      <c r="AF468" s="117">
        <v>150</v>
      </c>
      <c r="AG468" s="140"/>
      <c r="AH468" s="374"/>
    </row>
    <row r="469" spans="1:34" s="80" customFormat="1" ht="12" customHeight="1">
      <c r="A469" s="66">
        <v>3111</v>
      </c>
      <c r="B469" s="67" t="s">
        <v>2675</v>
      </c>
      <c r="C469" s="67" t="s">
        <v>2675</v>
      </c>
      <c r="D469" s="67" t="s">
        <v>2704</v>
      </c>
      <c r="E469" s="66">
        <v>3</v>
      </c>
      <c r="F469" s="397">
        <v>4</v>
      </c>
      <c r="G469" s="69">
        <v>466</v>
      </c>
      <c r="H469" s="111" t="s">
        <v>1008</v>
      </c>
      <c r="I469" s="112" t="s">
        <v>1008</v>
      </c>
      <c r="J469" s="113">
        <v>10500100289501</v>
      </c>
      <c r="K469" s="114" t="s">
        <v>148</v>
      </c>
      <c r="L469" s="114"/>
      <c r="M469" s="114">
        <v>12</v>
      </c>
      <c r="N469" s="115" t="s">
        <v>1009</v>
      </c>
      <c r="O469" s="111" t="s">
        <v>1010</v>
      </c>
      <c r="P469" s="115" t="s">
        <v>1011</v>
      </c>
      <c r="Q469" s="111" t="s">
        <v>1012</v>
      </c>
      <c r="R469" s="111" t="s">
        <v>1013</v>
      </c>
      <c r="S469" s="116" t="s">
        <v>1014</v>
      </c>
      <c r="T469" s="98">
        <v>49</v>
      </c>
      <c r="U469" s="99">
        <v>130</v>
      </c>
      <c r="V469" s="99">
        <v>121</v>
      </c>
      <c r="W469" s="373" t="s">
        <v>2704</v>
      </c>
      <c r="X469" s="373" t="s">
        <v>2675</v>
      </c>
      <c r="Y469" s="109">
        <v>300</v>
      </c>
      <c r="Z469" s="98">
        <v>0</v>
      </c>
      <c r="AA469" s="99">
        <v>0</v>
      </c>
      <c r="AB469" s="99">
        <v>0</v>
      </c>
      <c r="AC469" s="75"/>
      <c r="AD469" s="373"/>
      <c r="AE469" s="109">
        <v>0</v>
      </c>
      <c r="AF469" s="117">
        <v>300</v>
      </c>
      <c r="AG469" s="140"/>
      <c r="AH469" s="374"/>
    </row>
    <row r="470" spans="1:34" s="80" customFormat="1" ht="12" customHeight="1">
      <c r="A470" s="66">
        <v>3112</v>
      </c>
      <c r="B470" s="67" t="s">
        <v>2675</v>
      </c>
      <c r="C470" s="67" t="s">
        <v>2675</v>
      </c>
      <c r="D470" s="67" t="s">
        <v>2704</v>
      </c>
      <c r="E470" s="66">
        <v>3</v>
      </c>
      <c r="F470" s="397">
        <v>4</v>
      </c>
      <c r="G470" s="69">
        <v>467</v>
      </c>
      <c r="H470" s="111" t="s">
        <v>2479</v>
      </c>
      <c r="I470" s="112" t="s">
        <v>2479</v>
      </c>
      <c r="J470" s="113">
        <v>10500100289502</v>
      </c>
      <c r="K470" s="114" t="s">
        <v>148</v>
      </c>
      <c r="L470" s="114"/>
      <c r="M470" s="114">
        <v>12</v>
      </c>
      <c r="N470" s="115" t="s">
        <v>2480</v>
      </c>
      <c r="O470" s="111" t="s">
        <v>2481</v>
      </c>
      <c r="P470" s="115">
        <v>2538107</v>
      </c>
      <c r="Q470" s="111" t="s">
        <v>2482</v>
      </c>
      <c r="R470" s="111" t="s">
        <v>2483</v>
      </c>
      <c r="S470" s="116" t="s">
        <v>2484</v>
      </c>
      <c r="T470" s="98">
        <v>91</v>
      </c>
      <c r="U470" s="99">
        <v>54</v>
      </c>
      <c r="V470" s="99">
        <v>0</v>
      </c>
      <c r="W470" s="373" t="s">
        <v>2704</v>
      </c>
      <c r="X470" s="373" t="s">
        <v>2675</v>
      </c>
      <c r="Y470" s="109">
        <v>145</v>
      </c>
      <c r="Z470" s="98">
        <v>0</v>
      </c>
      <c r="AA470" s="99">
        <v>0</v>
      </c>
      <c r="AB470" s="99">
        <v>0</v>
      </c>
      <c r="AC470" s="75"/>
      <c r="AD470" s="373"/>
      <c r="AE470" s="109">
        <v>0</v>
      </c>
      <c r="AF470" s="117">
        <v>145</v>
      </c>
      <c r="AG470" s="140"/>
      <c r="AH470" s="374"/>
    </row>
    <row r="471" spans="1:34" s="80" customFormat="1" ht="12" customHeight="1">
      <c r="A471" s="66">
        <v>3113</v>
      </c>
      <c r="B471" s="67" t="s">
        <v>2675</v>
      </c>
      <c r="C471" s="67" t="s">
        <v>2675</v>
      </c>
      <c r="D471" s="67" t="s">
        <v>2704</v>
      </c>
      <c r="E471" s="66">
        <v>3</v>
      </c>
      <c r="F471" s="397">
        <v>4</v>
      </c>
      <c r="G471" s="69">
        <v>468</v>
      </c>
      <c r="H471" s="111" t="s">
        <v>1715</v>
      </c>
      <c r="I471" s="112" t="s">
        <v>1716</v>
      </c>
      <c r="J471" s="113">
        <v>10500100125201</v>
      </c>
      <c r="K471" s="114" t="s">
        <v>148</v>
      </c>
      <c r="L471" s="114" t="s">
        <v>120</v>
      </c>
      <c r="M471" s="114">
        <v>12</v>
      </c>
      <c r="N471" s="115" t="s">
        <v>1072</v>
      </c>
      <c r="O471" s="111" t="s">
        <v>1717</v>
      </c>
      <c r="P471" s="115" t="s">
        <v>1718</v>
      </c>
      <c r="Q471" s="111" t="s">
        <v>1719</v>
      </c>
      <c r="R471" s="111" t="s">
        <v>1720</v>
      </c>
      <c r="S471" s="116" t="s">
        <v>1721</v>
      </c>
      <c r="T471" s="98">
        <v>173</v>
      </c>
      <c r="U471" s="99">
        <v>511</v>
      </c>
      <c r="V471" s="99">
        <v>0</v>
      </c>
      <c r="W471" s="373" t="s">
        <v>2704</v>
      </c>
      <c r="X471" s="373" t="s">
        <v>2675</v>
      </c>
      <c r="Y471" s="109">
        <v>684</v>
      </c>
      <c r="Z471" s="98">
        <v>0</v>
      </c>
      <c r="AA471" s="99">
        <v>0</v>
      </c>
      <c r="AB471" s="99">
        <v>0</v>
      </c>
      <c r="AC471" s="75"/>
      <c r="AD471" s="373"/>
      <c r="AE471" s="109">
        <v>0</v>
      </c>
      <c r="AF471" s="117">
        <v>684</v>
      </c>
      <c r="AG471" s="140"/>
      <c r="AH471" s="374"/>
    </row>
    <row r="472" spans="1:34" s="80" customFormat="1" ht="12" customHeight="1">
      <c r="A472" s="66">
        <v>3114</v>
      </c>
      <c r="B472" s="67" t="s">
        <v>2675</v>
      </c>
      <c r="C472" s="67" t="s">
        <v>2675</v>
      </c>
      <c r="D472" s="67" t="s">
        <v>2704</v>
      </c>
      <c r="E472" s="66">
        <v>3</v>
      </c>
      <c r="F472" s="397">
        <v>4</v>
      </c>
      <c r="G472" s="69">
        <v>469</v>
      </c>
      <c r="H472" s="111" t="s">
        <v>1015</v>
      </c>
      <c r="I472" s="112" t="s">
        <v>1015</v>
      </c>
      <c r="J472" s="113">
        <v>10500100338701</v>
      </c>
      <c r="K472" s="114" t="s">
        <v>148</v>
      </c>
      <c r="L472" s="114"/>
      <c r="M472" s="114">
        <v>12</v>
      </c>
      <c r="N472" s="115" t="s">
        <v>1016</v>
      </c>
      <c r="O472" s="111" t="s">
        <v>1017</v>
      </c>
      <c r="P472" s="115" t="s">
        <v>1018</v>
      </c>
      <c r="Q472" s="111" t="s">
        <v>1019</v>
      </c>
      <c r="R472" s="111" t="s">
        <v>1020</v>
      </c>
      <c r="S472" s="116" t="s">
        <v>1021</v>
      </c>
      <c r="T472" s="98">
        <v>0</v>
      </c>
      <c r="U472" s="99">
        <v>350</v>
      </c>
      <c r="V472" s="99">
        <v>170</v>
      </c>
      <c r="W472" s="373" t="s">
        <v>2704</v>
      </c>
      <c r="X472" s="373" t="s">
        <v>2675</v>
      </c>
      <c r="Y472" s="109">
        <v>520</v>
      </c>
      <c r="Z472" s="98">
        <v>0</v>
      </c>
      <c r="AA472" s="99">
        <v>0</v>
      </c>
      <c r="AB472" s="99">
        <v>0</v>
      </c>
      <c r="AC472" s="75"/>
      <c r="AD472" s="373"/>
      <c r="AE472" s="109">
        <v>0</v>
      </c>
      <c r="AF472" s="117">
        <v>520</v>
      </c>
      <c r="AG472" s="140"/>
      <c r="AH472" s="374"/>
    </row>
    <row r="473" spans="1:34" s="80" customFormat="1" ht="12" customHeight="1">
      <c r="A473" s="66">
        <v>3115</v>
      </c>
      <c r="B473" s="67" t="s">
        <v>2675</v>
      </c>
      <c r="C473" s="67" t="s">
        <v>2675</v>
      </c>
      <c r="D473" s="67" t="s">
        <v>2705</v>
      </c>
      <c r="E473" s="66">
        <v>3</v>
      </c>
      <c r="F473" s="397">
        <v>4</v>
      </c>
      <c r="G473" s="69">
        <v>470</v>
      </c>
      <c r="H473" s="111" t="s">
        <v>2485</v>
      </c>
      <c r="I473" s="112" t="s">
        <v>2486</v>
      </c>
      <c r="J473" s="113">
        <v>10500100698001</v>
      </c>
      <c r="K473" s="114" t="s">
        <v>148</v>
      </c>
      <c r="L473" s="114"/>
      <c r="M473" s="114">
        <v>12</v>
      </c>
      <c r="N473" s="115" t="s">
        <v>1016</v>
      </c>
      <c r="O473" s="111" t="s">
        <v>2487</v>
      </c>
      <c r="P473" s="115">
        <v>4119111</v>
      </c>
      <c r="Q473" s="111" t="s">
        <v>1026</v>
      </c>
      <c r="R473" s="111" t="s">
        <v>2488</v>
      </c>
      <c r="S473" s="116" t="s">
        <v>2489</v>
      </c>
      <c r="T473" s="98">
        <v>0</v>
      </c>
      <c r="U473" s="99">
        <v>100</v>
      </c>
      <c r="V473" s="99">
        <v>60</v>
      </c>
      <c r="W473" s="373" t="s">
        <v>2704</v>
      </c>
      <c r="X473" s="373" t="s">
        <v>2675</v>
      </c>
      <c r="Y473" s="109">
        <v>160</v>
      </c>
      <c r="Z473" s="98">
        <v>0</v>
      </c>
      <c r="AA473" s="99">
        <v>0</v>
      </c>
      <c r="AB473" s="99">
        <v>135</v>
      </c>
      <c r="AC473" s="75" t="s">
        <v>2700</v>
      </c>
      <c r="AD473" s="373" t="s">
        <v>2675</v>
      </c>
      <c r="AE473" s="109">
        <v>135</v>
      </c>
      <c r="AF473" s="117">
        <v>295</v>
      </c>
      <c r="AG473" s="140"/>
      <c r="AH473" s="374"/>
    </row>
    <row r="474" spans="1:34" s="80" customFormat="1" ht="12" customHeight="1">
      <c r="A474" s="66">
        <v>3116</v>
      </c>
      <c r="B474" s="67" t="s">
        <v>2675</v>
      </c>
      <c r="C474" s="67" t="s">
        <v>2675</v>
      </c>
      <c r="D474" s="67" t="s">
        <v>2704</v>
      </c>
      <c r="E474" s="66">
        <v>3</v>
      </c>
      <c r="F474" s="397">
        <v>4</v>
      </c>
      <c r="G474" s="69">
        <v>471</v>
      </c>
      <c r="H474" s="111" t="s">
        <v>1029</v>
      </c>
      <c r="I474" s="112" t="s">
        <v>1029</v>
      </c>
      <c r="J474" s="113">
        <v>10500100698002</v>
      </c>
      <c r="K474" s="114" t="s">
        <v>148</v>
      </c>
      <c r="L474" s="114"/>
      <c r="M474" s="114">
        <v>12</v>
      </c>
      <c r="N474" s="115" t="s">
        <v>1016</v>
      </c>
      <c r="O474" s="111" t="s">
        <v>1030</v>
      </c>
      <c r="P474" s="115">
        <v>4119245</v>
      </c>
      <c r="Q474" s="111" t="s">
        <v>1031</v>
      </c>
      <c r="R474" s="111" t="s">
        <v>1032</v>
      </c>
      <c r="S474" s="116" t="s">
        <v>1033</v>
      </c>
      <c r="T474" s="98">
        <v>145</v>
      </c>
      <c r="U474" s="99">
        <v>70</v>
      </c>
      <c r="V474" s="99">
        <v>0</v>
      </c>
      <c r="W474" s="373" t="s">
        <v>2704</v>
      </c>
      <c r="X474" s="373" t="s">
        <v>2675</v>
      </c>
      <c r="Y474" s="109">
        <v>215</v>
      </c>
      <c r="Z474" s="98">
        <v>0</v>
      </c>
      <c r="AA474" s="99">
        <v>0</v>
      </c>
      <c r="AB474" s="99">
        <v>0</v>
      </c>
      <c r="AC474" s="75"/>
      <c r="AD474" s="373"/>
      <c r="AE474" s="109">
        <v>0</v>
      </c>
      <c r="AF474" s="117">
        <v>215</v>
      </c>
      <c r="AG474" s="140"/>
      <c r="AH474" s="374"/>
    </row>
    <row r="475" spans="1:34" s="80" customFormat="1" ht="12" customHeight="1">
      <c r="A475" s="66">
        <v>3117</v>
      </c>
      <c r="B475" s="67" t="s">
        <v>2675</v>
      </c>
      <c r="C475" s="67" t="s">
        <v>2675</v>
      </c>
      <c r="D475" s="67" t="s">
        <v>2704</v>
      </c>
      <c r="E475" s="66">
        <v>3</v>
      </c>
      <c r="F475" s="397">
        <v>4</v>
      </c>
      <c r="G475" s="69">
        <v>472</v>
      </c>
      <c r="H475" s="111" t="s">
        <v>1034</v>
      </c>
      <c r="I475" s="112" t="s">
        <v>1034</v>
      </c>
      <c r="J475" s="113">
        <v>10500100698004</v>
      </c>
      <c r="K475" s="114" t="s">
        <v>148</v>
      </c>
      <c r="L475" s="114"/>
      <c r="M475" s="114">
        <v>12</v>
      </c>
      <c r="N475" s="115" t="s">
        <v>1035</v>
      </c>
      <c r="O475" s="111" t="s">
        <v>1036</v>
      </c>
      <c r="P475" s="115" t="s">
        <v>1037</v>
      </c>
      <c r="Q475" s="111" t="s">
        <v>1038</v>
      </c>
      <c r="R475" s="111" t="s">
        <v>1039</v>
      </c>
      <c r="S475" s="116" t="s">
        <v>1040</v>
      </c>
      <c r="T475" s="98">
        <v>195</v>
      </c>
      <c r="U475" s="99">
        <v>109</v>
      </c>
      <c r="V475" s="99">
        <v>0</v>
      </c>
      <c r="W475" s="373" t="s">
        <v>2704</v>
      </c>
      <c r="X475" s="373" t="s">
        <v>2675</v>
      </c>
      <c r="Y475" s="109">
        <v>304</v>
      </c>
      <c r="Z475" s="98">
        <v>0</v>
      </c>
      <c r="AA475" s="99">
        <v>0</v>
      </c>
      <c r="AB475" s="99">
        <v>0</v>
      </c>
      <c r="AC475" s="75"/>
      <c r="AD475" s="373"/>
      <c r="AE475" s="109">
        <v>0</v>
      </c>
      <c r="AF475" s="117">
        <v>304</v>
      </c>
      <c r="AG475" s="140"/>
      <c r="AH475" s="374"/>
    </row>
    <row r="476" spans="1:34" s="80" customFormat="1" ht="12" customHeight="1">
      <c r="A476" s="66">
        <v>3118</v>
      </c>
      <c r="B476" s="67" t="s">
        <v>2675</v>
      </c>
      <c r="C476" s="67" t="s">
        <v>2675</v>
      </c>
      <c r="D476" s="67" t="s">
        <v>2704</v>
      </c>
      <c r="E476" s="66">
        <v>3</v>
      </c>
      <c r="F476" s="397">
        <v>4</v>
      </c>
      <c r="G476" s="69">
        <v>473</v>
      </c>
      <c r="H476" s="111" t="s">
        <v>1041</v>
      </c>
      <c r="I476" s="112" t="s">
        <v>1041</v>
      </c>
      <c r="J476" s="113">
        <v>10500100149001</v>
      </c>
      <c r="K476" s="114" t="s">
        <v>148</v>
      </c>
      <c r="L476" s="114"/>
      <c r="M476" s="114">
        <v>12</v>
      </c>
      <c r="N476" s="115" t="s">
        <v>1035</v>
      </c>
      <c r="O476" s="111" t="s">
        <v>1042</v>
      </c>
      <c r="P476" s="115" t="s">
        <v>1043</v>
      </c>
      <c r="Q476" s="111" t="s">
        <v>1044</v>
      </c>
      <c r="R476" s="111" t="s">
        <v>1045</v>
      </c>
      <c r="S476" s="116" t="s">
        <v>1046</v>
      </c>
      <c r="T476" s="98">
        <v>0</v>
      </c>
      <c r="U476" s="99">
        <v>282</v>
      </c>
      <c r="V476" s="99">
        <v>408</v>
      </c>
      <c r="W476" s="373" t="s">
        <v>2704</v>
      </c>
      <c r="X476" s="373" t="s">
        <v>2675</v>
      </c>
      <c r="Y476" s="109">
        <v>690</v>
      </c>
      <c r="Z476" s="98">
        <v>0</v>
      </c>
      <c r="AA476" s="99">
        <v>0</v>
      </c>
      <c r="AB476" s="99">
        <v>0</v>
      </c>
      <c r="AC476" s="75"/>
      <c r="AD476" s="373"/>
      <c r="AE476" s="109">
        <v>0</v>
      </c>
      <c r="AF476" s="117">
        <v>690</v>
      </c>
      <c r="AG476" s="140"/>
      <c r="AH476" s="374"/>
    </row>
    <row r="477" spans="1:34" s="80" customFormat="1" ht="12" customHeight="1">
      <c r="A477" s="66">
        <v>3119</v>
      </c>
      <c r="B477" s="67" t="s">
        <v>2675</v>
      </c>
      <c r="C477" s="67" t="s">
        <v>2675</v>
      </c>
      <c r="D477" s="67" t="s">
        <v>2704</v>
      </c>
      <c r="E477" s="66">
        <v>3</v>
      </c>
      <c r="F477" s="397">
        <v>4</v>
      </c>
      <c r="G477" s="69">
        <v>474</v>
      </c>
      <c r="H477" s="111" t="s">
        <v>1047</v>
      </c>
      <c r="I477" s="112" t="s">
        <v>1047</v>
      </c>
      <c r="J477" s="113">
        <v>10500100149002</v>
      </c>
      <c r="K477" s="114" t="s">
        <v>148</v>
      </c>
      <c r="L477" s="114"/>
      <c r="M477" s="114">
        <v>12</v>
      </c>
      <c r="N477" s="115" t="s">
        <v>1035</v>
      </c>
      <c r="O477" s="111" t="s">
        <v>1048</v>
      </c>
      <c r="P477" s="115">
        <v>2341289</v>
      </c>
      <c r="Q477" s="111" t="s">
        <v>1049</v>
      </c>
      <c r="R477" s="111" t="s">
        <v>1050</v>
      </c>
      <c r="S477" s="116" t="s">
        <v>1051</v>
      </c>
      <c r="T477" s="98">
        <v>126</v>
      </c>
      <c r="U477" s="99">
        <v>88</v>
      </c>
      <c r="V477" s="99">
        <v>0</v>
      </c>
      <c r="W477" s="373" t="s">
        <v>2704</v>
      </c>
      <c r="X477" s="373" t="s">
        <v>2675</v>
      </c>
      <c r="Y477" s="109">
        <v>214</v>
      </c>
      <c r="Z477" s="98">
        <v>0</v>
      </c>
      <c r="AA477" s="99">
        <v>0</v>
      </c>
      <c r="AB477" s="99">
        <v>0</v>
      </c>
      <c r="AC477" s="75"/>
      <c r="AD477" s="373"/>
      <c r="AE477" s="109">
        <v>0</v>
      </c>
      <c r="AF477" s="117">
        <v>214</v>
      </c>
      <c r="AG477" s="140"/>
      <c r="AH477" s="374"/>
    </row>
    <row r="478" spans="1:34" s="80" customFormat="1" ht="12" customHeight="1">
      <c r="A478" s="66">
        <v>3120</v>
      </c>
      <c r="B478" s="67" t="s">
        <v>2675</v>
      </c>
      <c r="C478" s="67" t="s">
        <v>2675</v>
      </c>
      <c r="D478" s="67" t="s">
        <v>2704</v>
      </c>
      <c r="E478" s="66">
        <v>3</v>
      </c>
      <c r="F478" s="397">
        <v>4</v>
      </c>
      <c r="G478" s="69">
        <v>475</v>
      </c>
      <c r="H478" s="111" t="s">
        <v>1059</v>
      </c>
      <c r="I478" s="112" t="s">
        <v>1059</v>
      </c>
      <c r="J478" s="113">
        <v>10500100718801</v>
      </c>
      <c r="K478" s="114" t="s">
        <v>148</v>
      </c>
      <c r="L478" s="114"/>
      <c r="M478" s="114">
        <v>12</v>
      </c>
      <c r="N478" s="115" t="s">
        <v>1053</v>
      </c>
      <c r="O478" s="111" t="s">
        <v>1060</v>
      </c>
      <c r="P478" s="115">
        <v>4967767</v>
      </c>
      <c r="Q478" s="111" t="s">
        <v>1061</v>
      </c>
      <c r="R478" s="111" t="s">
        <v>1062</v>
      </c>
      <c r="S478" s="116" t="s">
        <v>1063</v>
      </c>
      <c r="T478" s="98">
        <v>178</v>
      </c>
      <c r="U478" s="99">
        <v>206</v>
      </c>
      <c r="V478" s="99">
        <v>52</v>
      </c>
      <c r="W478" s="373" t="s">
        <v>2704</v>
      </c>
      <c r="X478" s="373" t="s">
        <v>2675</v>
      </c>
      <c r="Y478" s="109">
        <v>436</v>
      </c>
      <c r="Z478" s="98">
        <v>0</v>
      </c>
      <c r="AA478" s="99">
        <v>0</v>
      </c>
      <c r="AB478" s="99">
        <v>0</v>
      </c>
      <c r="AC478" s="75"/>
      <c r="AD478" s="373"/>
      <c r="AE478" s="109">
        <v>0</v>
      </c>
      <c r="AF478" s="117">
        <v>436</v>
      </c>
      <c r="AG478" s="140"/>
      <c r="AH478" s="374"/>
    </row>
    <row r="479" spans="1:34" s="80" customFormat="1" ht="12" customHeight="1">
      <c r="A479" s="66">
        <v>3121</v>
      </c>
      <c r="B479" s="67" t="s">
        <v>2675</v>
      </c>
      <c r="C479" s="67" t="s">
        <v>2675</v>
      </c>
      <c r="D479" s="67" t="s">
        <v>2704</v>
      </c>
      <c r="E479" s="66">
        <v>3</v>
      </c>
      <c r="F479" s="397">
        <v>4</v>
      </c>
      <c r="G479" s="69">
        <v>476</v>
      </c>
      <c r="H479" s="111" t="s">
        <v>1064</v>
      </c>
      <c r="I479" s="112" t="s">
        <v>1064</v>
      </c>
      <c r="J479" s="113">
        <v>10500100297601</v>
      </c>
      <c r="K479" s="114" t="s">
        <v>148</v>
      </c>
      <c r="L479" s="114"/>
      <c r="M479" s="114">
        <v>12</v>
      </c>
      <c r="N479" s="115" t="s">
        <v>1065</v>
      </c>
      <c r="O479" s="111" t="s">
        <v>1066</v>
      </c>
      <c r="P479" s="115" t="s">
        <v>1067</v>
      </c>
      <c r="Q479" s="111" t="s">
        <v>1068</v>
      </c>
      <c r="R479" s="111" t="s">
        <v>1069</v>
      </c>
      <c r="S479" s="116" t="s">
        <v>1070</v>
      </c>
      <c r="T479" s="98">
        <v>367</v>
      </c>
      <c r="U479" s="99">
        <v>60</v>
      </c>
      <c r="V479" s="99">
        <v>107</v>
      </c>
      <c r="W479" s="373" t="s">
        <v>2704</v>
      </c>
      <c r="X479" s="373" t="s">
        <v>2675</v>
      </c>
      <c r="Y479" s="109">
        <v>534</v>
      </c>
      <c r="Z479" s="98">
        <v>0</v>
      </c>
      <c r="AA479" s="99">
        <v>0</v>
      </c>
      <c r="AB479" s="99">
        <v>0</v>
      </c>
      <c r="AC479" s="75"/>
      <c r="AD479" s="373"/>
      <c r="AE479" s="109">
        <v>0</v>
      </c>
      <c r="AF479" s="117">
        <v>534</v>
      </c>
      <c r="AG479" s="140"/>
      <c r="AH479" s="374"/>
    </row>
    <row r="480" spans="1:34" s="80" customFormat="1" ht="12" customHeight="1">
      <c r="A480" s="66">
        <v>3122</v>
      </c>
      <c r="B480" s="67" t="s">
        <v>2675</v>
      </c>
      <c r="C480" s="67" t="s">
        <v>2675</v>
      </c>
      <c r="D480" s="67" t="s">
        <v>2704</v>
      </c>
      <c r="E480" s="66">
        <v>3</v>
      </c>
      <c r="F480" s="397">
        <v>4</v>
      </c>
      <c r="G480" s="69">
        <v>477</v>
      </c>
      <c r="H480" s="111" t="s">
        <v>1071</v>
      </c>
      <c r="I480" s="112" t="s">
        <v>1071</v>
      </c>
      <c r="J480" s="113">
        <v>10500101188601</v>
      </c>
      <c r="K480" s="114" t="s">
        <v>148</v>
      </c>
      <c r="L480" s="114"/>
      <c r="M480" s="114">
        <v>12</v>
      </c>
      <c r="N480" s="115" t="s">
        <v>1072</v>
      </c>
      <c r="O480" s="111" t="s">
        <v>1073</v>
      </c>
      <c r="P480" s="115" t="s">
        <v>1074</v>
      </c>
      <c r="Q480" s="111" t="s">
        <v>1075</v>
      </c>
      <c r="R480" s="111" t="s">
        <v>1076</v>
      </c>
      <c r="S480" s="116" t="s">
        <v>1077</v>
      </c>
      <c r="T480" s="98">
        <v>0</v>
      </c>
      <c r="U480" s="99">
        <v>130</v>
      </c>
      <c r="V480" s="99">
        <v>70</v>
      </c>
      <c r="W480" s="373" t="s">
        <v>2704</v>
      </c>
      <c r="X480" s="373" t="s">
        <v>2675</v>
      </c>
      <c r="Y480" s="109">
        <v>200</v>
      </c>
      <c r="Z480" s="98">
        <v>0</v>
      </c>
      <c r="AA480" s="99">
        <v>0</v>
      </c>
      <c r="AB480" s="99">
        <v>0</v>
      </c>
      <c r="AC480" s="75"/>
      <c r="AD480" s="373"/>
      <c r="AE480" s="109">
        <v>0</v>
      </c>
      <c r="AF480" s="117">
        <v>200</v>
      </c>
      <c r="AG480" s="140"/>
      <c r="AH480" s="374"/>
    </row>
    <row r="481" spans="1:34" s="80" customFormat="1" ht="12" customHeight="1">
      <c r="A481" s="66">
        <v>3123</v>
      </c>
      <c r="B481" s="67" t="s">
        <v>2675</v>
      </c>
      <c r="C481" s="67" t="s">
        <v>2675</v>
      </c>
      <c r="D481" s="67" t="s">
        <v>2704</v>
      </c>
      <c r="E481" s="66">
        <v>3</v>
      </c>
      <c r="F481" s="397">
        <v>4</v>
      </c>
      <c r="G481" s="69">
        <v>478</v>
      </c>
      <c r="H481" s="111" t="s">
        <v>1078</v>
      </c>
      <c r="I481" s="112" t="s">
        <v>1078</v>
      </c>
      <c r="J481" s="113">
        <v>10500101188602</v>
      </c>
      <c r="K481" s="114" t="s">
        <v>148</v>
      </c>
      <c r="L481" s="114"/>
      <c r="M481" s="114">
        <v>13</v>
      </c>
      <c r="N481" s="115" t="s">
        <v>1079</v>
      </c>
      <c r="O481" s="111" t="s">
        <v>1080</v>
      </c>
      <c r="P481" s="115">
        <v>2531582</v>
      </c>
      <c r="Q481" s="111" t="s">
        <v>1081</v>
      </c>
      <c r="R481" s="111" t="s">
        <v>1082</v>
      </c>
      <c r="S481" s="116" t="s">
        <v>1083</v>
      </c>
      <c r="T481" s="98">
        <v>304</v>
      </c>
      <c r="U481" s="99">
        <v>0</v>
      </c>
      <c r="V481" s="99">
        <v>0</v>
      </c>
      <c r="W481" s="373" t="s">
        <v>2704</v>
      </c>
      <c r="X481" s="373" t="s">
        <v>2675</v>
      </c>
      <c r="Y481" s="109">
        <v>304</v>
      </c>
      <c r="Z481" s="98">
        <v>0</v>
      </c>
      <c r="AA481" s="99">
        <v>0</v>
      </c>
      <c r="AB481" s="99">
        <v>0</v>
      </c>
      <c r="AC481" s="75"/>
      <c r="AD481" s="373"/>
      <c r="AE481" s="109">
        <v>0</v>
      </c>
      <c r="AF481" s="117">
        <v>304</v>
      </c>
      <c r="AG481" s="140"/>
      <c r="AH481" s="374"/>
    </row>
    <row r="482" spans="1:34" s="80" customFormat="1" ht="12" customHeight="1">
      <c r="A482" s="66">
        <v>3124</v>
      </c>
      <c r="B482" s="67" t="s">
        <v>2675</v>
      </c>
      <c r="C482" s="67" t="s">
        <v>2675</v>
      </c>
      <c r="D482" s="67" t="s">
        <v>2704</v>
      </c>
      <c r="E482" s="66">
        <v>3</v>
      </c>
      <c r="F482" s="397">
        <v>4</v>
      </c>
      <c r="G482" s="69">
        <v>479</v>
      </c>
      <c r="H482" s="111" t="s">
        <v>1084</v>
      </c>
      <c r="I482" s="112" t="s">
        <v>1084</v>
      </c>
      <c r="J482" s="113">
        <v>10500100080901</v>
      </c>
      <c r="K482" s="114" t="s">
        <v>148</v>
      </c>
      <c r="L482" s="114"/>
      <c r="M482" s="114">
        <v>13</v>
      </c>
      <c r="N482" s="115" t="s">
        <v>1085</v>
      </c>
      <c r="O482" s="111" t="s">
        <v>1086</v>
      </c>
      <c r="P482" s="115" t="s">
        <v>1087</v>
      </c>
      <c r="Q482" s="111" t="s">
        <v>1088</v>
      </c>
      <c r="R482" s="111" t="s">
        <v>1089</v>
      </c>
      <c r="S482" s="116" t="s">
        <v>1090</v>
      </c>
      <c r="T482" s="98">
        <v>109</v>
      </c>
      <c r="U482" s="99">
        <v>257</v>
      </c>
      <c r="V482" s="99">
        <v>111</v>
      </c>
      <c r="W482" s="373" t="s">
        <v>2704</v>
      </c>
      <c r="X482" s="373" t="s">
        <v>2675</v>
      </c>
      <c r="Y482" s="109">
        <v>477</v>
      </c>
      <c r="Z482" s="98">
        <v>0</v>
      </c>
      <c r="AA482" s="99">
        <v>0</v>
      </c>
      <c r="AB482" s="99">
        <v>0</v>
      </c>
      <c r="AC482" s="75"/>
      <c r="AD482" s="373"/>
      <c r="AE482" s="109">
        <v>0</v>
      </c>
      <c r="AF482" s="117">
        <v>477</v>
      </c>
      <c r="AG482" s="140"/>
      <c r="AH482" s="374"/>
    </row>
    <row r="483" spans="1:34" s="80" customFormat="1" ht="12" customHeight="1">
      <c r="A483" s="66">
        <v>3125</v>
      </c>
      <c r="B483" s="67" t="s">
        <v>2675</v>
      </c>
      <c r="C483" s="67" t="s">
        <v>2675</v>
      </c>
      <c r="D483" s="67" t="s">
        <v>2704</v>
      </c>
      <c r="E483" s="66">
        <v>3</v>
      </c>
      <c r="F483" s="397">
        <v>4</v>
      </c>
      <c r="G483" s="69">
        <v>480</v>
      </c>
      <c r="H483" s="111" t="s">
        <v>2490</v>
      </c>
      <c r="I483" s="112" t="s">
        <v>2490</v>
      </c>
      <c r="J483" s="113">
        <v>10500102635202</v>
      </c>
      <c r="K483" s="114" t="s">
        <v>148</v>
      </c>
      <c r="L483" s="114"/>
      <c r="M483" s="114">
        <v>13</v>
      </c>
      <c r="N483" s="115" t="s">
        <v>1092</v>
      </c>
      <c r="O483" s="111" t="s">
        <v>2491</v>
      </c>
      <c r="P483" s="115">
        <v>2535611</v>
      </c>
      <c r="Q483" s="111" t="s">
        <v>1094</v>
      </c>
      <c r="R483" s="111" t="s">
        <v>2492</v>
      </c>
      <c r="S483" s="116" t="s">
        <v>2493</v>
      </c>
      <c r="T483" s="98">
        <v>191</v>
      </c>
      <c r="U483" s="99">
        <v>152</v>
      </c>
      <c r="V483" s="99">
        <v>0</v>
      </c>
      <c r="W483" s="373" t="s">
        <v>2704</v>
      </c>
      <c r="X483" s="373" t="s">
        <v>2675</v>
      </c>
      <c r="Y483" s="109">
        <v>343</v>
      </c>
      <c r="Z483" s="98">
        <v>0</v>
      </c>
      <c r="AA483" s="99">
        <v>0</v>
      </c>
      <c r="AB483" s="99">
        <v>0</v>
      </c>
      <c r="AC483" s="75"/>
      <c r="AD483" s="373"/>
      <c r="AE483" s="109">
        <v>0</v>
      </c>
      <c r="AF483" s="117">
        <v>343</v>
      </c>
      <c r="AG483" s="141"/>
      <c r="AH483" s="374"/>
    </row>
    <row r="484" spans="1:34" s="80" customFormat="1" ht="12" customHeight="1">
      <c r="A484" s="66">
        <v>3126</v>
      </c>
      <c r="B484" s="67" t="s">
        <v>2675</v>
      </c>
      <c r="C484" s="67" t="s">
        <v>2675</v>
      </c>
      <c r="D484" s="67" t="s">
        <v>2704</v>
      </c>
      <c r="E484" s="66">
        <v>3</v>
      </c>
      <c r="F484" s="397">
        <v>4</v>
      </c>
      <c r="G484" s="69">
        <v>481</v>
      </c>
      <c r="H484" s="111" t="s">
        <v>2494</v>
      </c>
      <c r="I484" s="112" t="s">
        <v>2494</v>
      </c>
      <c r="J484" s="113">
        <v>30500100589301</v>
      </c>
      <c r="K484" s="114" t="s">
        <v>226</v>
      </c>
      <c r="L484" s="114"/>
      <c r="M484" s="114">
        <v>13</v>
      </c>
      <c r="N484" s="115" t="s">
        <v>90</v>
      </c>
      <c r="O484" s="111" t="s">
        <v>2495</v>
      </c>
      <c r="P484" s="115">
        <v>4965188</v>
      </c>
      <c r="Q484" s="111" t="s">
        <v>2496</v>
      </c>
      <c r="R484" s="111" t="s">
        <v>2497</v>
      </c>
      <c r="S484" s="116" t="s">
        <v>2498</v>
      </c>
      <c r="T484" s="98">
        <v>124</v>
      </c>
      <c r="U484" s="99">
        <v>43</v>
      </c>
      <c r="V484" s="99">
        <v>0</v>
      </c>
      <c r="W484" s="373" t="s">
        <v>2704</v>
      </c>
      <c r="X484" s="373" t="s">
        <v>2675</v>
      </c>
      <c r="Y484" s="109">
        <v>167</v>
      </c>
      <c r="Z484" s="98">
        <v>0</v>
      </c>
      <c r="AA484" s="99">
        <v>0</v>
      </c>
      <c r="AB484" s="99">
        <v>0</v>
      </c>
      <c r="AC484" s="75"/>
      <c r="AD484" s="373"/>
      <c r="AE484" s="109">
        <v>0</v>
      </c>
      <c r="AF484" s="117">
        <v>167</v>
      </c>
      <c r="AG484" s="141"/>
      <c r="AH484" s="374"/>
    </row>
    <row r="485" spans="1:34" s="80" customFormat="1" ht="12" customHeight="1">
      <c r="A485" s="66">
        <v>3127</v>
      </c>
      <c r="B485" s="67" t="s">
        <v>2675</v>
      </c>
      <c r="C485" s="67" t="s">
        <v>2675</v>
      </c>
      <c r="D485" s="67" t="s">
        <v>2704</v>
      </c>
      <c r="E485" s="66">
        <v>3</v>
      </c>
      <c r="F485" s="397">
        <v>4</v>
      </c>
      <c r="G485" s="69">
        <v>482</v>
      </c>
      <c r="H485" s="111" t="s">
        <v>1097</v>
      </c>
      <c r="I485" s="112" t="s">
        <v>1097</v>
      </c>
      <c r="J485" s="113">
        <v>10500100252602</v>
      </c>
      <c r="K485" s="114" t="s">
        <v>148</v>
      </c>
      <c r="L485" s="114"/>
      <c r="M485" s="114">
        <v>13</v>
      </c>
      <c r="N485" s="115" t="s">
        <v>90</v>
      </c>
      <c r="O485" s="111" t="s">
        <v>1098</v>
      </c>
      <c r="P485" s="115">
        <v>2529888</v>
      </c>
      <c r="Q485" s="111" t="s">
        <v>1099</v>
      </c>
      <c r="R485" s="111" t="s">
        <v>1100</v>
      </c>
      <c r="S485" s="116" t="s">
        <v>1058</v>
      </c>
      <c r="T485" s="98">
        <v>204</v>
      </c>
      <c r="U485" s="99">
        <v>84</v>
      </c>
      <c r="V485" s="99">
        <v>0</v>
      </c>
      <c r="W485" s="373" t="s">
        <v>2704</v>
      </c>
      <c r="X485" s="373" t="s">
        <v>2675</v>
      </c>
      <c r="Y485" s="109">
        <v>288</v>
      </c>
      <c r="Z485" s="98">
        <v>0</v>
      </c>
      <c r="AA485" s="99">
        <v>0</v>
      </c>
      <c r="AB485" s="99">
        <v>0</v>
      </c>
      <c r="AC485" s="75"/>
      <c r="AD485" s="373"/>
      <c r="AE485" s="109">
        <v>0</v>
      </c>
      <c r="AF485" s="117">
        <v>288</v>
      </c>
      <c r="AG485" s="140"/>
      <c r="AH485" s="374"/>
    </row>
    <row r="486" spans="1:34" s="80" customFormat="1" ht="12" customHeight="1">
      <c r="A486" s="66">
        <v>3128</v>
      </c>
      <c r="B486" s="67" t="s">
        <v>2675</v>
      </c>
      <c r="C486" s="67" t="s">
        <v>2675</v>
      </c>
      <c r="D486" s="67" t="s">
        <v>2704</v>
      </c>
      <c r="E486" s="66">
        <v>3</v>
      </c>
      <c r="F486" s="397">
        <v>4</v>
      </c>
      <c r="G486" s="69">
        <v>483</v>
      </c>
      <c r="H486" s="111" t="s">
        <v>2499</v>
      </c>
      <c r="I486" s="112" t="s">
        <v>2499</v>
      </c>
      <c r="J486" s="113">
        <v>10500100252603</v>
      </c>
      <c r="K486" s="114" t="s">
        <v>148</v>
      </c>
      <c r="L486" s="114"/>
      <c r="M486" s="114">
        <v>13</v>
      </c>
      <c r="N486" s="115" t="s">
        <v>90</v>
      </c>
      <c r="O486" s="111" t="s">
        <v>2500</v>
      </c>
      <c r="P486" s="115">
        <v>2531446</v>
      </c>
      <c r="Q486" s="111" t="s">
        <v>2501</v>
      </c>
      <c r="R486" s="111" t="s">
        <v>2502</v>
      </c>
      <c r="S486" s="116" t="s">
        <v>2503</v>
      </c>
      <c r="T486" s="98">
        <v>350</v>
      </c>
      <c r="U486" s="99">
        <v>200</v>
      </c>
      <c r="V486" s="99">
        <v>0</v>
      </c>
      <c r="W486" s="373" t="s">
        <v>2704</v>
      </c>
      <c r="X486" s="373" t="s">
        <v>2675</v>
      </c>
      <c r="Y486" s="109">
        <v>550</v>
      </c>
      <c r="Z486" s="98">
        <v>0</v>
      </c>
      <c r="AA486" s="99">
        <v>0</v>
      </c>
      <c r="AB486" s="99">
        <v>0</v>
      </c>
      <c r="AC486" s="75"/>
      <c r="AD486" s="373"/>
      <c r="AE486" s="109">
        <v>0</v>
      </c>
      <c r="AF486" s="117">
        <v>550</v>
      </c>
      <c r="AG486" s="141"/>
      <c r="AH486" s="374"/>
    </row>
    <row r="487" spans="1:34" s="80" customFormat="1" ht="12" customHeight="1">
      <c r="A487" s="66">
        <v>3129</v>
      </c>
      <c r="B487" s="67" t="s">
        <v>2675</v>
      </c>
      <c r="C487" s="67" t="s">
        <v>2675</v>
      </c>
      <c r="D487" s="67" t="s">
        <v>2704</v>
      </c>
      <c r="E487" s="66">
        <v>3</v>
      </c>
      <c r="F487" s="397">
        <v>4</v>
      </c>
      <c r="G487" s="69">
        <v>484</v>
      </c>
      <c r="H487" s="111" t="s">
        <v>2504</v>
      </c>
      <c r="I487" s="112" t="s">
        <v>2504</v>
      </c>
      <c r="J487" s="113">
        <v>10500102669702</v>
      </c>
      <c r="K487" s="114" t="s">
        <v>148</v>
      </c>
      <c r="L487" s="114"/>
      <c r="M487" s="114">
        <v>13</v>
      </c>
      <c r="N487" s="115" t="s">
        <v>1102</v>
      </c>
      <c r="O487" s="111" t="s">
        <v>2505</v>
      </c>
      <c r="P487" s="115">
        <v>2526216</v>
      </c>
      <c r="Q487" s="111" t="s">
        <v>2506</v>
      </c>
      <c r="R487" s="111" t="s">
        <v>2507</v>
      </c>
      <c r="S487" s="116" t="s">
        <v>2508</v>
      </c>
      <c r="T487" s="98">
        <v>479</v>
      </c>
      <c r="U487" s="99">
        <v>61</v>
      </c>
      <c r="V487" s="99">
        <v>0</v>
      </c>
      <c r="W487" s="373" t="s">
        <v>2704</v>
      </c>
      <c r="X487" s="373" t="s">
        <v>2675</v>
      </c>
      <c r="Y487" s="109">
        <v>540</v>
      </c>
      <c r="Z487" s="98">
        <v>0</v>
      </c>
      <c r="AA487" s="99">
        <v>0</v>
      </c>
      <c r="AB487" s="99">
        <v>0</v>
      </c>
      <c r="AC487" s="75"/>
      <c r="AD487" s="373"/>
      <c r="AE487" s="109">
        <v>0</v>
      </c>
      <c r="AF487" s="117">
        <v>540</v>
      </c>
      <c r="AG487" s="141"/>
      <c r="AH487" s="374"/>
    </row>
    <row r="488" spans="1:34" s="80" customFormat="1" ht="12" customHeight="1">
      <c r="A488" s="66">
        <v>3130</v>
      </c>
      <c r="B488" s="67" t="s">
        <v>2675</v>
      </c>
      <c r="C488" s="67" t="s">
        <v>2675</v>
      </c>
      <c r="D488" s="67" t="s">
        <v>2704</v>
      </c>
      <c r="E488" s="66">
        <v>3</v>
      </c>
      <c r="F488" s="397">
        <v>4</v>
      </c>
      <c r="G488" s="69">
        <v>485</v>
      </c>
      <c r="H488" s="111" t="s">
        <v>2509</v>
      </c>
      <c r="I488" s="112" t="s">
        <v>2509</v>
      </c>
      <c r="J488" s="113">
        <v>10500100188101</v>
      </c>
      <c r="K488" s="114" t="s">
        <v>148</v>
      </c>
      <c r="L488" s="114"/>
      <c r="M488" s="114">
        <v>13</v>
      </c>
      <c r="N488" s="115" t="s">
        <v>90</v>
      </c>
      <c r="O488" s="111" t="s">
        <v>2510</v>
      </c>
      <c r="P488" s="115" t="s">
        <v>2511</v>
      </c>
      <c r="Q488" s="111" t="s">
        <v>2512</v>
      </c>
      <c r="R488" s="111" t="s">
        <v>2513</v>
      </c>
      <c r="S488" s="116" t="s">
        <v>2514</v>
      </c>
      <c r="T488" s="98">
        <v>0</v>
      </c>
      <c r="U488" s="99">
        <v>175</v>
      </c>
      <c r="V488" s="99">
        <v>275</v>
      </c>
      <c r="W488" s="373" t="s">
        <v>2704</v>
      </c>
      <c r="X488" s="373" t="s">
        <v>2675</v>
      </c>
      <c r="Y488" s="109">
        <v>450</v>
      </c>
      <c r="Z488" s="98">
        <v>0</v>
      </c>
      <c r="AA488" s="99">
        <v>0</v>
      </c>
      <c r="AB488" s="99">
        <v>0</v>
      </c>
      <c r="AC488" s="75"/>
      <c r="AD488" s="373"/>
      <c r="AE488" s="109">
        <v>0</v>
      </c>
      <c r="AF488" s="117">
        <v>450</v>
      </c>
      <c r="AG488" s="141"/>
      <c r="AH488" s="374"/>
    </row>
    <row r="489" spans="1:34" s="80" customFormat="1" ht="12" customHeight="1">
      <c r="A489" s="66">
        <v>3131</v>
      </c>
      <c r="B489" s="67" t="s">
        <v>2675</v>
      </c>
      <c r="C489" s="67" t="s">
        <v>2675</v>
      </c>
      <c r="D489" s="67" t="s">
        <v>2704</v>
      </c>
      <c r="E489" s="66">
        <v>3</v>
      </c>
      <c r="F489" s="397">
        <v>4</v>
      </c>
      <c r="G489" s="69">
        <v>486</v>
      </c>
      <c r="H489" s="111" t="s">
        <v>2515</v>
      </c>
      <c r="I489" s="112" t="s">
        <v>2515</v>
      </c>
      <c r="J489" s="113">
        <v>10500100188102</v>
      </c>
      <c r="K489" s="114" t="s">
        <v>148</v>
      </c>
      <c r="L489" s="114"/>
      <c r="M489" s="114">
        <v>13</v>
      </c>
      <c r="N489" s="115" t="s">
        <v>90</v>
      </c>
      <c r="O489" s="111" t="s">
        <v>2516</v>
      </c>
      <c r="P489" s="115">
        <v>2530160</v>
      </c>
      <c r="Q489" s="111" t="s">
        <v>2517</v>
      </c>
      <c r="R489" s="111" t="s">
        <v>2518</v>
      </c>
      <c r="S489" s="116" t="s">
        <v>2519</v>
      </c>
      <c r="T489" s="98">
        <v>139</v>
      </c>
      <c r="U489" s="99">
        <v>303</v>
      </c>
      <c r="V489" s="99">
        <v>0</v>
      </c>
      <c r="W489" s="373" t="s">
        <v>2704</v>
      </c>
      <c r="X489" s="373" t="s">
        <v>2675</v>
      </c>
      <c r="Y489" s="109">
        <v>442</v>
      </c>
      <c r="Z489" s="98">
        <v>0</v>
      </c>
      <c r="AA489" s="99">
        <v>0</v>
      </c>
      <c r="AB489" s="99">
        <v>0</v>
      </c>
      <c r="AC489" s="75"/>
      <c r="AD489" s="373"/>
      <c r="AE489" s="109">
        <v>0</v>
      </c>
      <c r="AF489" s="117">
        <v>442</v>
      </c>
      <c r="AG489" s="141"/>
      <c r="AH489" s="374"/>
    </row>
    <row r="490" spans="1:34" s="80" customFormat="1" ht="12" customHeight="1">
      <c r="A490" s="66">
        <v>3132</v>
      </c>
      <c r="B490" s="67" t="s">
        <v>2675</v>
      </c>
      <c r="C490" s="67" t="s">
        <v>2675</v>
      </c>
      <c r="D490" s="67" t="s">
        <v>2704</v>
      </c>
      <c r="E490" s="66">
        <v>3</v>
      </c>
      <c r="F490" s="397">
        <v>4</v>
      </c>
      <c r="G490" s="69">
        <v>487</v>
      </c>
      <c r="H490" s="111" t="s">
        <v>2520</v>
      </c>
      <c r="I490" s="112" t="s">
        <v>2520</v>
      </c>
      <c r="J490" s="113">
        <v>10500100188103</v>
      </c>
      <c r="K490" s="114" t="s">
        <v>148</v>
      </c>
      <c r="L490" s="114"/>
      <c r="M490" s="114">
        <v>13</v>
      </c>
      <c r="N490" s="115" t="s">
        <v>2521</v>
      </c>
      <c r="O490" s="111" t="s">
        <v>2522</v>
      </c>
      <c r="P490" s="115">
        <v>2533170</v>
      </c>
      <c r="Q490" s="111" t="s">
        <v>1726</v>
      </c>
      <c r="R490" s="111" t="s">
        <v>2523</v>
      </c>
      <c r="S490" s="116" t="s">
        <v>1727</v>
      </c>
      <c r="T490" s="98">
        <v>164</v>
      </c>
      <c r="U490" s="99">
        <v>56</v>
      </c>
      <c r="V490" s="99">
        <v>0</v>
      </c>
      <c r="W490" s="373" t="s">
        <v>2704</v>
      </c>
      <c r="X490" s="373" t="s">
        <v>2675</v>
      </c>
      <c r="Y490" s="109">
        <v>220</v>
      </c>
      <c r="Z490" s="98">
        <v>0</v>
      </c>
      <c r="AA490" s="99">
        <v>0</v>
      </c>
      <c r="AB490" s="99">
        <v>0</v>
      </c>
      <c r="AC490" s="75"/>
      <c r="AD490" s="373"/>
      <c r="AE490" s="109">
        <v>0</v>
      </c>
      <c r="AF490" s="117">
        <v>220</v>
      </c>
      <c r="AG490" s="141"/>
      <c r="AH490" s="374"/>
    </row>
    <row r="491" spans="1:34" s="80" customFormat="1" ht="12" customHeight="1">
      <c r="A491" s="66">
        <v>3133</v>
      </c>
      <c r="B491" s="67" t="s">
        <v>2675</v>
      </c>
      <c r="C491" s="67" t="s">
        <v>2675</v>
      </c>
      <c r="D491" s="67" t="s">
        <v>2704</v>
      </c>
      <c r="E491" s="66">
        <v>3</v>
      </c>
      <c r="F491" s="397">
        <v>4</v>
      </c>
      <c r="G491" s="69">
        <v>488</v>
      </c>
      <c r="H491" s="111" t="s">
        <v>1120</v>
      </c>
      <c r="I491" s="112" t="s">
        <v>1120</v>
      </c>
      <c r="J491" s="113">
        <v>10500101517201</v>
      </c>
      <c r="K491" s="114" t="s">
        <v>148</v>
      </c>
      <c r="L491" s="114"/>
      <c r="M491" s="114">
        <v>13</v>
      </c>
      <c r="N491" s="115" t="s">
        <v>1121</v>
      </c>
      <c r="O491" s="111" t="s">
        <v>1122</v>
      </c>
      <c r="P491" s="115" t="s">
        <v>1123</v>
      </c>
      <c r="Q491" s="111" t="s">
        <v>1124</v>
      </c>
      <c r="R491" s="111" t="s">
        <v>1125</v>
      </c>
      <c r="S491" s="116" t="s">
        <v>1126</v>
      </c>
      <c r="T491" s="98">
        <v>222</v>
      </c>
      <c r="U491" s="99">
        <v>240</v>
      </c>
      <c r="V491" s="99">
        <v>78</v>
      </c>
      <c r="W491" s="373" t="s">
        <v>2704</v>
      </c>
      <c r="X491" s="373" t="s">
        <v>2675</v>
      </c>
      <c r="Y491" s="109">
        <v>540</v>
      </c>
      <c r="Z491" s="98">
        <v>0</v>
      </c>
      <c r="AA491" s="99">
        <v>0</v>
      </c>
      <c r="AB491" s="99">
        <v>0</v>
      </c>
      <c r="AC491" s="75"/>
      <c r="AD491" s="373"/>
      <c r="AE491" s="109">
        <v>0</v>
      </c>
      <c r="AF491" s="117">
        <v>540</v>
      </c>
      <c r="AG491" s="140"/>
      <c r="AH491" s="374"/>
    </row>
    <row r="492" spans="1:34" s="80" customFormat="1" ht="12" customHeight="1">
      <c r="A492" s="66">
        <v>3134</v>
      </c>
      <c r="B492" s="67" t="s">
        <v>2675</v>
      </c>
      <c r="C492" s="67" t="s">
        <v>2675</v>
      </c>
      <c r="D492" s="67" t="s">
        <v>2704</v>
      </c>
      <c r="E492" s="66">
        <v>3</v>
      </c>
      <c r="F492" s="397">
        <v>4</v>
      </c>
      <c r="G492" s="69">
        <v>489</v>
      </c>
      <c r="H492" s="111" t="s">
        <v>1127</v>
      </c>
      <c r="I492" s="112" t="s">
        <v>1127</v>
      </c>
      <c r="J492" s="113">
        <v>10500101517202</v>
      </c>
      <c r="K492" s="114" t="s">
        <v>148</v>
      </c>
      <c r="L492" s="114"/>
      <c r="M492" s="114">
        <v>13</v>
      </c>
      <c r="N492" s="115" t="s">
        <v>1109</v>
      </c>
      <c r="O492" s="111" t="s">
        <v>1128</v>
      </c>
      <c r="P492" s="115">
        <v>2536425</v>
      </c>
      <c r="Q492" s="111" t="s">
        <v>1129</v>
      </c>
      <c r="R492" s="111" t="s">
        <v>1130</v>
      </c>
      <c r="S492" s="116" t="s">
        <v>1131</v>
      </c>
      <c r="T492" s="98">
        <v>194</v>
      </c>
      <c r="U492" s="99">
        <v>90</v>
      </c>
      <c r="V492" s="99">
        <v>43</v>
      </c>
      <c r="W492" s="373" t="s">
        <v>2704</v>
      </c>
      <c r="X492" s="373" t="s">
        <v>2675</v>
      </c>
      <c r="Y492" s="109">
        <v>327</v>
      </c>
      <c r="Z492" s="98">
        <v>0</v>
      </c>
      <c r="AA492" s="99">
        <v>0</v>
      </c>
      <c r="AB492" s="99">
        <v>0</v>
      </c>
      <c r="AC492" s="75"/>
      <c r="AD492" s="373"/>
      <c r="AE492" s="109">
        <v>0</v>
      </c>
      <c r="AF492" s="117">
        <v>327</v>
      </c>
      <c r="AG492" s="140"/>
      <c r="AH492" s="374"/>
    </row>
    <row r="493" spans="1:34" s="80" customFormat="1" ht="12" customHeight="1">
      <c r="A493" s="66">
        <v>3135</v>
      </c>
      <c r="B493" s="67" t="s">
        <v>2675</v>
      </c>
      <c r="C493" s="67" t="s">
        <v>2675</v>
      </c>
      <c r="D493" s="67" t="s">
        <v>2704</v>
      </c>
      <c r="E493" s="66">
        <v>3</v>
      </c>
      <c r="F493" s="397">
        <v>4</v>
      </c>
      <c r="G493" s="69">
        <v>490</v>
      </c>
      <c r="H493" s="111" t="s">
        <v>2524</v>
      </c>
      <c r="I493" s="112" t="s">
        <v>2524</v>
      </c>
      <c r="J493" s="113">
        <v>10500100338702</v>
      </c>
      <c r="K493" s="114" t="s">
        <v>148</v>
      </c>
      <c r="L493" s="114"/>
      <c r="M493" s="114">
        <v>13</v>
      </c>
      <c r="N493" s="115" t="s">
        <v>2525</v>
      </c>
      <c r="O493" s="111" t="s">
        <v>2526</v>
      </c>
      <c r="P493" s="115">
        <v>2340776</v>
      </c>
      <c r="Q493" s="111" t="s">
        <v>2527</v>
      </c>
      <c r="R493" s="111" t="s">
        <v>2528</v>
      </c>
      <c r="S493" s="116" t="s">
        <v>2529</v>
      </c>
      <c r="T493" s="98">
        <v>89</v>
      </c>
      <c r="U493" s="99">
        <v>51</v>
      </c>
      <c r="V493" s="99">
        <v>0</v>
      </c>
      <c r="W493" s="373" t="s">
        <v>2704</v>
      </c>
      <c r="X493" s="373" t="s">
        <v>2675</v>
      </c>
      <c r="Y493" s="109">
        <v>140</v>
      </c>
      <c r="Z493" s="98">
        <v>0</v>
      </c>
      <c r="AA493" s="99">
        <v>0</v>
      </c>
      <c r="AB493" s="99">
        <v>0</v>
      </c>
      <c r="AC493" s="75"/>
      <c r="AD493" s="373"/>
      <c r="AE493" s="109">
        <v>0</v>
      </c>
      <c r="AF493" s="117">
        <v>140</v>
      </c>
      <c r="AG493" s="140"/>
      <c r="AH493" s="374"/>
    </row>
    <row r="494" spans="1:34" s="80" customFormat="1" ht="12" customHeight="1">
      <c r="A494" s="66">
        <v>3136</v>
      </c>
      <c r="B494" s="67" t="s">
        <v>2675</v>
      </c>
      <c r="C494" s="67" t="s">
        <v>2675</v>
      </c>
      <c r="D494" s="67" t="s">
        <v>2704</v>
      </c>
      <c r="E494" s="66">
        <v>3</v>
      </c>
      <c r="F494" s="397">
        <v>4</v>
      </c>
      <c r="G494" s="69">
        <v>491</v>
      </c>
      <c r="H494" s="111" t="s">
        <v>1138</v>
      </c>
      <c r="I494" s="112" t="s">
        <v>1138</v>
      </c>
      <c r="J494" s="113">
        <v>10500100655601</v>
      </c>
      <c r="K494" s="114" t="s">
        <v>148</v>
      </c>
      <c r="L494" s="114"/>
      <c r="M494" s="114">
        <v>13</v>
      </c>
      <c r="N494" s="115" t="s">
        <v>1139</v>
      </c>
      <c r="O494" s="111" t="s">
        <v>1140</v>
      </c>
      <c r="P494" s="115" t="s">
        <v>1141</v>
      </c>
      <c r="Q494" s="111" t="s">
        <v>1142</v>
      </c>
      <c r="R494" s="111" t="s">
        <v>1143</v>
      </c>
      <c r="S494" s="116" t="s">
        <v>1144</v>
      </c>
      <c r="T494" s="98">
        <v>75</v>
      </c>
      <c r="U494" s="99">
        <v>182</v>
      </c>
      <c r="V494" s="99">
        <v>143</v>
      </c>
      <c r="W494" s="373" t="s">
        <v>2704</v>
      </c>
      <c r="X494" s="373" t="s">
        <v>2675</v>
      </c>
      <c r="Y494" s="109">
        <v>400</v>
      </c>
      <c r="Z494" s="98">
        <v>0</v>
      </c>
      <c r="AA494" s="99">
        <v>0</v>
      </c>
      <c r="AB494" s="99">
        <v>0</v>
      </c>
      <c r="AC494" s="75"/>
      <c r="AD494" s="373"/>
      <c r="AE494" s="109">
        <v>0</v>
      </c>
      <c r="AF494" s="117">
        <v>400</v>
      </c>
      <c r="AG494" s="140"/>
      <c r="AH494" s="374"/>
    </row>
    <row r="495" spans="1:34" s="80" customFormat="1" ht="12" customHeight="1">
      <c r="A495" s="66">
        <v>3137</v>
      </c>
      <c r="B495" s="67" t="s">
        <v>2675</v>
      </c>
      <c r="C495" s="67" t="s">
        <v>2675</v>
      </c>
      <c r="D495" s="67" t="s">
        <v>2704</v>
      </c>
      <c r="E495" s="66">
        <v>3</v>
      </c>
      <c r="F495" s="397">
        <v>4</v>
      </c>
      <c r="G495" s="69">
        <v>492</v>
      </c>
      <c r="H495" s="111" t="s">
        <v>1145</v>
      </c>
      <c r="I495" s="112" t="s">
        <v>1146</v>
      </c>
      <c r="J495" s="113">
        <v>10500101901101</v>
      </c>
      <c r="K495" s="114" t="s">
        <v>148</v>
      </c>
      <c r="L495" s="114"/>
      <c r="M495" s="114">
        <v>13</v>
      </c>
      <c r="N495" s="115" t="s">
        <v>1147</v>
      </c>
      <c r="O495" s="111" t="s">
        <v>1148</v>
      </c>
      <c r="P495" s="115">
        <v>4927192</v>
      </c>
      <c r="Q495" s="111" t="s">
        <v>1149</v>
      </c>
      <c r="R495" s="111" t="s">
        <v>1150</v>
      </c>
      <c r="S495" s="116" t="s">
        <v>1151</v>
      </c>
      <c r="T495" s="98">
        <v>0</v>
      </c>
      <c r="U495" s="99">
        <v>100</v>
      </c>
      <c r="V495" s="99">
        <v>0</v>
      </c>
      <c r="W495" s="373" t="s">
        <v>2704</v>
      </c>
      <c r="X495" s="373" t="s">
        <v>2675</v>
      </c>
      <c r="Y495" s="109">
        <v>100</v>
      </c>
      <c r="Z495" s="98">
        <v>0</v>
      </c>
      <c r="AA495" s="99">
        <v>0</v>
      </c>
      <c r="AB495" s="99">
        <v>0</v>
      </c>
      <c r="AC495" s="75"/>
      <c r="AD495" s="373"/>
      <c r="AE495" s="109">
        <v>0</v>
      </c>
      <c r="AF495" s="117">
        <v>100</v>
      </c>
      <c r="AG495" s="140"/>
      <c r="AH495" s="374"/>
    </row>
    <row r="496" spans="1:34" s="80" customFormat="1" ht="12" customHeight="1">
      <c r="A496" s="66">
        <v>3138</v>
      </c>
      <c r="B496" s="67" t="s">
        <v>2675</v>
      </c>
      <c r="C496" s="67" t="s">
        <v>2675</v>
      </c>
      <c r="D496" s="67" t="s">
        <v>2704</v>
      </c>
      <c r="E496" s="66">
        <v>3</v>
      </c>
      <c r="F496" s="397">
        <v>4</v>
      </c>
      <c r="G496" s="69">
        <v>493</v>
      </c>
      <c r="H496" s="111" t="s">
        <v>1152</v>
      </c>
      <c r="I496" s="112" t="s">
        <v>1153</v>
      </c>
      <c r="J496" s="113">
        <v>10500101901101</v>
      </c>
      <c r="K496" s="114" t="s">
        <v>148</v>
      </c>
      <c r="L496" s="114"/>
      <c r="M496" s="114">
        <v>13</v>
      </c>
      <c r="N496" s="115" t="s">
        <v>1147</v>
      </c>
      <c r="O496" s="111" t="s">
        <v>1154</v>
      </c>
      <c r="P496" s="115">
        <v>4922768</v>
      </c>
      <c r="Q496" s="111" t="s">
        <v>1149</v>
      </c>
      <c r="R496" s="111" t="s">
        <v>1155</v>
      </c>
      <c r="S496" s="116" t="s">
        <v>1151</v>
      </c>
      <c r="T496" s="98">
        <v>0</v>
      </c>
      <c r="U496" s="99">
        <v>0</v>
      </c>
      <c r="V496" s="99">
        <v>60</v>
      </c>
      <c r="W496" s="373" t="s">
        <v>2704</v>
      </c>
      <c r="X496" s="373" t="s">
        <v>2675</v>
      </c>
      <c r="Y496" s="109">
        <v>60</v>
      </c>
      <c r="Z496" s="98">
        <v>0</v>
      </c>
      <c r="AA496" s="99">
        <v>0</v>
      </c>
      <c r="AB496" s="99">
        <v>0</v>
      </c>
      <c r="AC496" s="75"/>
      <c r="AD496" s="373"/>
      <c r="AE496" s="109">
        <v>0</v>
      </c>
      <c r="AF496" s="117">
        <v>60</v>
      </c>
      <c r="AG496" s="140"/>
      <c r="AH496" s="374"/>
    </row>
    <row r="497" spans="1:34" s="80" customFormat="1" ht="12" customHeight="1">
      <c r="A497" s="66">
        <v>3139</v>
      </c>
      <c r="B497" s="67" t="s">
        <v>2675</v>
      </c>
      <c r="C497" s="67" t="s">
        <v>2675</v>
      </c>
      <c r="D497" s="67" t="s">
        <v>2704</v>
      </c>
      <c r="E497" s="66">
        <v>3</v>
      </c>
      <c r="F497" s="397">
        <v>4</v>
      </c>
      <c r="G497" s="69">
        <v>494</v>
      </c>
      <c r="H497" s="111" t="s">
        <v>2530</v>
      </c>
      <c r="I497" s="112" t="s">
        <v>2530</v>
      </c>
      <c r="J497" s="113">
        <v>30500102225901</v>
      </c>
      <c r="K497" s="114" t="s">
        <v>226</v>
      </c>
      <c r="L497" s="114"/>
      <c r="M497" s="114">
        <v>13</v>
      </c>
      <c r="N497" s="115" t="s">
        <v>1147</v>
      </c>
      <c r="O497" s="111" t="s">
        <v>2531</v>
      </c>
      <c r="P497" s="115" t="s">
        <v>2532</v>
      </c>
      <c r="Q497" s="111" t="s">
        <v>2533</v>
      </c>
      <c r="R497" s="111" t="s">
        <v>2534</v>
      </c>
      <c r="S497" s="116" t="s">
        <v>2535</v>
      </c>
      <c r="T497" s="98">
        <v>152</v>
      </c>
      <c r="U497" s="99">
        <v>189</v>
      </c>
      <c r="V497" s="99">
        <v>22</v>
      </c>
      <c r="W497" s="373" t="s">
        <v>2704</v>
      </c>
      <c r="X497" s="373" t="s">
        <v>2675</v>
      </c>
      <c r="Y497" s="109">
        <v>363</v>
      </c>
      <c r="Z497" s="98">
        <v>0</v>
      </c>
      <c r="AA497" s="99">
        <v>0</v>
      </c>
      <c r="AB497" s="99">
        <v>0</v>
      </c>
      <c r="AC497" s="75"/>
      <c r="AD497" s="373"/>
      <c r="AE497" s="109">
        <v>0</v>
      </c>
      <c r="AF497" s="117">
        <v>363</v>
      </c>
      <c r="AG497" s="140"/>
      <c r="AH497" s="374"/>
    </row>
    <row r="498" spans="1:34" s="80" customFormat="1" ht="12" customHeight="1">
      <c r="A498" s="66">
        <v>3140</v>
      </c>
      <c r="B498" s="67" t="s">
        <v>2675</v>
      </c>
      <c r="C498" s="67" t="s">
        <v>2675</v>
      </c>
      <c r="D498" s="67" t="s">
        <v>2704</v>
      </c>
      <c r="E498" s="66">
        <v>3</v>
      </c>
      <c r="F498" s="397">
        <v>4</v>
      </c>
      <c r="G498" s="69">
        <v>495</v>
      </c>
      <c r="H498" s="111" t="s">
        <v>1156</v>
      </c>
      <c r="I498" s="112" t="s">
        <v>1156</v>
      </c>
      <c r="J498" s="113">
        <v>10500102668901</v>
      </c>
      <c r="K498" s="114" t="s">
        <v>148</v>
      </c>
      <c r="L498" s="114"/>
      <c r="M498" s="114">
        <v>13</v>
      </c>
      <c r="N498" s="115" t="s">
        <v>1157</v>
      </c>
      <c r="O498" s="111" t="s">
        <v>1158</v>
      </c>
      <c r="P498" s="115" t="s">
        <v>1159</v>
      </c>
      <c r="Q498" s="111" t="s">
        <v>1160</v>
      </c>
      <c r="R498" s="111" t="s">
        <v>1161</v>
      </c>
      <c r="S498" s="116" t="s">
        <v>1162</v>
      </c>
      <c r="T498" s="98">
        <v>236</v>
      </c>
      <c r="U498" s="99">
        <v>152</v>
      </c>
      <c r="V498" s="99">
        <v>30</v>
      </c>
      <c r="W498" s="373" t="s">
        <v>2704</v>
      </c>
      <c r="X498" s="373" t="s">
        <v>2675</v>
      </c>
      <c r="Y498" s="109">
        <v>418</v>
      </c>
      <c r="Z498" s="98">
        <v>0</v>
      </c>
      <c r="AA498" s="99">
        <v>0</v>
      </c>
      <c r="AB498" s="99">
        <v>0</v>
      </c>
      <c r="AC498" s="75"/>
      <c r="AD498" s="373"/>
      <c r="AE498" s="109">
        <v>0</v>
      </c>
      <c r="AF498" s="117">
        <v>418</v>
      </c>
      <c r="AG498" s="140"/>
      <c r="AH498" s="374"/>
    </row>
    <row r="499" spans="1:34" s="80" customFormat="1" ht="12" customHeight="1">
      <c r="A499" s="66">
        <v>3141</v>
      </c>
      <c r="B499" s="67" t="s">
        <v>2675</v>
      </c>
      <c r="C499" s="67" t="s">
        <v>2675</v>
      </c>
      <c r="D499" s="67" t="s">
        <v>2704</v>
      </c>
      <c r="E499" s="66">
        <v>3</v>
      </c>
      <c r="F499" s="397">
        <v>4</v>
      </c>
      <c r="G499" s="69">
        <v>496</v>
      </c>
      <c r="H499" s="111" t="s">
        <v>2536</v>
      </c>
      <c r="I499" s="112" t="s">
        <v>2536</v>
      </c>
      <c r="J499" s="113">
        <v>30500101729801</v>
      </c>
      <c r="K499" s="114" t="s">
        <v>226</v>
      </c>
      <c r="L499" s="114"/>
      <c r="M499" s="114">
        <v>13</v>
      </c>
      <c r="N499" s="115" t="s">
        <v>1157</v>
      </c>
      <c r="O499" s="111" t="s">
        <v>2537</v>
      </c>
      <c r="P499" s="115">
        <v>4260964</v>
      </c>
      <c r="Q499" s="111" t="s">
        <v>2538</v>
      </c>
      <c r="R499" s="111" t="s">
        <v>2539</v>
      </c>
      <c r="S499" s="116" t="s">
        <v>2540</v>
      </c>
      <c r="T499" s="98">
        <v>110</v>
      </c>
      <c r="U499" s="99">
        <v>161</v>
      </c>
      <c r="V499" s="99">
        <v>92</v>
      </c>
      <c r="W499" s="373" t="s">
        <v>2704</v>
      </c>
      <c r="X499" s="373" t="s">
        <v>2675</v>
      </c>
      <c r="Y499" s="109">
        <v>363</v>
      </c>
      <c r="Z499" s="98">
        <v>0</v>
      </c>
      <c r="AA499" s="99">
        <v>0</v>
      </c>
      <c r="AB499" s="99">
        <v>0</v>
      </c>
      <c r="AC499" s="75"/>
      <c r="AD499" s="373"/>
      <c r="AE499" s="109">
        <v>0</v>
      </c>
      <c r="AF499" s="117">
        <v>363</v>
      </c>
      <c r="AG499" s="140"/>
      <c r="AH499" s="374"/>
    </row>
    <row r="500" spans="1:34" s="80" customFormat="1" ht="12" customHeight="1">
      <c r="A500" s="66">
        <v>3142</v>
      </c>
      <c r="B500" s="67" t="s">
        <v>2675</v>
      </c>
      <c r="C500" s="67" t="s">
        <v>2675</v>
      </c>
      <c r="D500" s="67" t="s">
        <v>2704</v>
      </c>
      <c r="E500" s="66">
        <v>3</v>
      </c>
      <c r="F500" s="397">
        <v>4</v>
      </c>
      <c r="G500" s="69">
        <v>497</v>
      </c>
      <c r="H500" s="111" t="s">
        <v>1163</v>
      </c>
      <c r="I500" s="112" t="s">
        <v>1163</v>
      </c>
      <c r="J500" s="113">
        <v>10500101344701</v>
      </c>
      <c r="K500" s="114" t="s">
        <v>148</v>
      </c>
      <c r="L500" s="114"/>
      <c r="M500" s="114">
        <v>60</v>
      </c>
      <c r="N500" s="115" t="s">
        <v>1164</v>
      </c>
      <c r="O500" s="111" t="s">
        <v>1165</v>
      </c>
      <c r="P500" s="115" t="s">
        <v>1166</v>
      </c>
      <c r="Q500" s="111" t="s">
        <v>1167</v>
      </c>
      <c r="R500" s="111" t="s">
        <v>1168</v>
      </c>
      <c r="S500" s="116" t="s">
        <v>1169</v>
      </c>
      <c r="T500" s="98">
        <v>0</v>
      </c>
      <c r="U500" s="99">
        <v>195</v>
      </c>
      <c r="V500" s="99">
        <v>120</v>
      </c>
      <c r="W500" s="373" t="s">
        <v>2704</v>
      </c>
      <c r="X500" s="373" t="s">
        <v>2675</v>
      </c>
      <c r="Y500" s="109">
        <v>315</v>
      </c>
      <c r="Z500" s="98">
        <v>0</v>
      </c>
      <c r="AA500" s="99">
        <v>0</v>
      </c>
      <c r="AB500" s="99">
        <v>0</v>
      </c>
      <c r="AC500" s="75"/>
      <c r="AD500" s="373"/>
      <c r="AE500" s="109">
        <v>0</v>
      </c>
      <c r="AF500" s="117">
        <v>315</v>
      </c>
      <c r="AG500" s="140"/>
      <c r="AH500" s="374"/>
    </row>
    <row r="501" spans="1:34" s="80" customFormat="1" ht="12" customHeight="1">
      <c r="A501" s="66">
        <v>3143</v>
      </c>
      <c r="B501" s="67" t="s">
        <v>2675</v>
      </c>
      <c r="C501" s="67" t="s">
        <v>2675</v>
      </c>
      <c r="D501" s="67" t="s">
        <v>2704</v>
      </c>
      <c r="E501" s="66">
        <v>3</v>
      </c>
      <c r="F501" s="397">
        <v>4</v>
      </c>
      <c r="G501" s="69">
        <v>498</v>
      </c>
      <c r="H501" s="111" t="s">
        <v>2541</v>
      </c>
      <c r="I501" s="112" t="s">
        <v>2541</v>
      </c>
      <c r="J501" s="113">
        <v>20500101026401</v>
      </c>
      <c r="K501" s="114" t="s">
        <v>148</v>
      </c>
      <c r="L501" s="114"/>
      <c r="M501" s="114">
        <v>60</v>
      </c>
      <c r="N501" s="115" t="s">
        <v>1164</v>
      </c>
      <c r="O501" s="111" t="s">
        <v>2542</v>
      </c>
      <c r="P501" s="115">
        <v>4270220</v>
      </c>
      <c r="Q501" s="111" t="s">
        <v>2543</v>
      </c>
      <c r="R501" s="111" t="s">
        <v>2544</v>
      </c>
      <c r="S501" s="116" t="s">
        <v>2545</v>
      </c>
      <c r="T501" s="98">
        <v>0</v>
      </c>
      <c r="U501" s="99">
        <v>190</v>
      </c>
      <c r="V501" s="99">
        <v>210</v>
      </c>
      <c r="W501" s="373" t="s">
        <v>2704</v>
      </c>
      <c r="X501" s="373" t="s">
        <v>2675</v>
      </c>
      <c r="Y501" s="109">
        <v>400</v>
      </c>
      <c r="Z501" s="98">
        <v>0</v>
      </c>
      <c r="AA501" s="99">
        <v>0</v>
      </c>
      <c r="AB501" s="99">
        <v>0</v>
      </c>
      <c r="AC501" s="75"/>
      <c r="AD501" s="373"/>
      <c r="AE501" s="109">
        <v>0</v>
      </c>
      <c r="AF501" s="117">
        <v>400</v>
      </c>
      <c r="AG501" s="141"/>
      <c r="AH501" s="374"/>
    </row>
    <row r="502" spans="1:34" s="80" customFormat="1" ht="12" customHeight="1">
      <c r="A502" s="66">
        <v>3144</v>
      </c>
      <c r="B502" s="67" t="s">
        <v>2675</v>
      </c>
      <c r="C502" s="67" t="s">
        <v>2675</v>
      </c>
      <c r="D502" s="67" t="s">
        <v>2704</v>
      </c>
      <c r="E502" s="66">
        <v>3</v>
      </c>
      <c r="F502" s="397">
        <v>4</v>
      </c>
      <c r="G502" s="69">
        <v>499</v>
      </c>
      <c r="H502" s="111" t="s">
        <v>1170</v>
      </c>
      <c r="I502" s="112" t="s">
        <v>1170</v>
      </c>
      <c r="J502" s="113">
        <v>20500101026402</v>
      </c>
      <c r="K502" s="114" t="s">
        <v>148</v>
      </c>
      <c r="L502" s="114"/>
      <c r="M502" s="114">
        <v>60</v>
      </c>
      <c r="N502" s="115" t="s">
        <v>1164</v>
      </c>
      <c r="O502" s="111" t="s">
        <v>1171</v>
      </c>
      <c r="P502" s="115" t="s">
        <v>1172</v>
      </c>
      <c r="Q502" s="111" t="s">
        <v>1173</v>
      </c>
      <c r="R502" s="111" t="s">
        <v>1174</v>
      </c>
      <c r="S502" s="116" t="s">
        <v>1175</v>
      </c>
      <c r="T502" s="98">
        <v>150</v>
      </c>
      <c r="U502" s="99">
        <v>150</v>
      </c>
      <c r="V502" s="99">
        <v>0</v>
      </c>
      <c r="W502" s="373" t="s">
        <v>2704</v>
      </c>
      <c r="X502" s="373" t="s">
        <v>2675</v>
      </c>
      <c r="Y502" s="109">
        <v>300</v>
      </c>
      <c r="Z502" s="98">
        <v>0</v>
      </c>
      <c r="AA502" s="99">
        <v>0</v>
      </c>
      <c r="AB502" s="99">
        <v>0</v>
      </c>
      <c r="AC502" s="75"/>
      <c r="AD502" s="373"/>
      <c r="AE502" s="109">
        <v>0</v>
      </c>
      <c r="AF502" s="117">
        <v>300</v>
      </c>
      <c r="AG502" s="140"/>
      <c r="AH502" s="374"/>
    </row>
    <row r="503" spans="1:34" s="80" customFormat="1" ht="12" customHeight="1">
      <c r="A503" s="66">
        <v>3145</v>
      </c>
      <c r="B503" s="67" t="s">
        <v>2675</v>
      </c>
      <c r="C503" s="67" t="s">
        <v>2675</v>
      </c>
      <c r="D503" s="67" t="s">
        <v>2705</v>
      </c>
      <c r="E503" s="66">
        <v>3</v>
      </c>
      <c r="F503" s="397">
        <v>4</v>
      </c>
      <c r="G503" s="69">
        <v>500</v>
      </c>
      <c r="H503" s="111" t="s">
        <v>1782</v>
      </c>
      <c r="I503" s="112" t="s">
        <v>1782</v>
      </c>
      <c r="J503" s="113">
        <v>20500100623201</v>
      </c>
      <c r="K503" s="114" t="s">
        <v>148</v>
      </c>
      <c r="L503" s="114"/>
      <c r="M503" s="114">
        <v>60</v>
      </c>
      <c r="N503" s="115" t="s">
        <v>1164</v>
      </c>
      <c r="O503" s="111" t="s">
        <v>1783</v>
      </c>
      <c r="P503" s="115" t="s">
        <v>1784</v>
      </c>
      <c r="Q503" s="111" t="s">
        <v>1785</v>
      </c>
      <c r="R503" s="111" t="s">
        <v>1786</v>
      </c>
      <c r="S503" s="116" t="s">
        <v>1787</v>
      </c>
      <c r="T503" s="98">
        <v>306</v>
      </c>
      <c r="U503" s="99">
        <v>0</v>
      </c>
      <c r="V503" s="99">
        <v>0</v>
      </c>
      <c r="W503" s="373" t="s">
        <v>2704</v>
      </c>
      <c r="X503" s="373" t="s">
        <v>2675</v>
      </c>
      <c r="Y503" s="109">
        <v>306</v>
      </c>
      <c r="Z503" s="98">
        <v>63</v>
      </c>
      <c r="AA503" s="99">
        <v>767</v>
      </c>
      <c r="AB503" s="99">
        <v>50</v>
      </c>
      <c r="AC503" s="75" t="s">
        <v>2700</v>
      </c>
      <c r="AD503" s="373" t="s">
        <v>2675</v>
      </c>
      <c r="AE503" s="109">
        <v>880</v>
      </c>
      <c r="AF503" s="117">
        <v>1186</v>
      </c>
      <c r="AG503" s="140"/>
      <c r="AH503" s="374"/>
    </row>
    <row r="504" spans="1:34" s="80" customFormat="1" ht="12" customHeight="1">
      <c r="A504" s="66">
        <v>3146</v>
      </c>
      <c r="B504" s="67" t="s">
        <v>2675</v>
      </c>
      <c r="C504" s="67" t="s">
        <v>2675</v>
      </c>
      <c r="D504" s="67" t="s">
        <v>2704</v>
      </c>
      <c r="E504" s="66">
        <v>3</v>
      </c>
      <c r="F504" s="397">
        <v>4</v>
      </c>
      <c r="G504" s="69">
        <v>501</v>
      </c>
      <c r="H504" s="111" t="s">
        <v>1819</v>
      </c>
      <c r="I504" s="112" t="s">
        <v>1819</v>
      </c>
      <c r="J504" s="113">
        <v>10500102600002</v>
      </c>
      <c r="K504" s="114" t="s">
        <v>148</v>
      </c>
      <c r="L504" s="114"/>
      <c r="M504" s="114">
        <v>60</v>
      </c>
      <c r="N504" s="115" t="s">
        <v>1164</v>
      </c>
      <c r="O504" s="111" t="s">
        <v>1820</v>
      </c>
      <c r="P504" s="115">
        <v>4273044</v>
      </c>
      <c r="Q504" s="111" t="s">
        <v>1821</v>
      </c>
      <c r="R504" s="111" t="s">
        <v>1822</v>
      </c>
      <c r="S504" s="116" t="s">
        <v>1823</v>
      </c>
      <c r="T504" s="98">
        <v>0</v>
      </c>
      <c r="U504" s="99">
        <v>98</v>
      </c>
      <c r="V504" s="99">
        <v>0</v>
      </c>
      <c r="W504" s="373" t="s">
        <v>2704</v>
      </c>
      <c r="X504" s="373" t="s">
        <v>2675</v>
      </c>
      <c r="Y504" s="109">
        <v>98</v>
      </c>
      <c r="Z504" s="98">
        <v>0</v>
      </c>
      <c r="AA504" s="99">
        <v>0</v>
      </c>
      <c r="AB504" s="99">
        <v>0</v>
      </c>
      <c r="AC504" s="75"/>
      <c r="AD504" s="373"/>
      <c r="AE504" s="109">
        <v>0</v>
      </c>
      <c r="AF504" s="117">
        <v>98</v>
      </c>
      <c r="AG504" s="140"/>
      <c r="AH504" s="374"/>
    </row>
    <row r="505" spans="1:34" s="80" customFormat="1" ht="12" customHeight="1">
      <c r="A505" s="66">
        <v>3147</v>
      </c>
      <c r="B505" s="67" t="s">
        <v>2675</v>
      </c>
      <c r="C505" s="67" t="s">
        <v>2675</v>
      </c>
      <c r="D505" s="67" t="s">
        <v>2700</v>
      </c>
      <c r="E505" s="66">
        <v>3</v>
      </c>
      <c r="F505" s="397">
        <v>4</v>
      </c>
      <c r="G505" s="69">
        <v>502</v>
      </c>
      <c r="H505" s="111" t="s">
        <v>2546</v>
      </c>
      <c r="I505" s="112" t="s">
        <v>2547</v>
      </c>
      <c r="J505" s="113">
        <v>30500102253401</v>
      </c>
      <c r="K505" s="114" t="s">
        <v>226</v>
      </c>
      <c r="L505" s="114"/>
      <c r="M505" s="114">
        <v>60</v>
      </c>
      <c r="N505" s="115" t="s">
        <v>1177</v>
      </c>
      <c r="O505" s="111" t="s">
        <v>2548</v>
      </c>
      <c r="P505" s="115">
        <v>4262498</v>
      </c>
      <c r="Q505" s="111" t="s">
        <v>2549</v>
      </c>
      <c r="R505" s="111" t="s">
        <v>2550</v>
      </c>
      <c r="S505" s="116" t="s">
        <v>2551</v>
      </c>
      <c r="T505" s="98">
        <v>0</v>
      </c>
      <c r="U505" s="99">
        <v>0</v>
      </c>
      <c r="V505" s="99">
        <v>0</v>
      </c>
      <c r="W505" s="373"/>
      <c r="X505" s="373"/>
      <c r="Y505" s="109">
        <v>0</v>
      </c>
      <c r="Z505" s="98">
        <v>112</v>
      </c>
      <c r="AA505" s="99">
        <v>88</v>
      </c>
      <c r="AB505" s="99">
        <v>0</v>
      </c>
      <c r="AC505" s="75" t="s">
        <v>2700</v>
      </c>
      <c r="AD505" s="373" t="s">
        <v>2675</v>
      </c>
      <c r="AE505" s="109">
        <v>200</v>
      </c>
      <c r="AF505" s="117">
        <v>200</v>
      </c>
      <c r="AG505" s="141"/>
      <c r="AH505" s="374"/>
    </row>
    <row r="506" spans="1:34" s="80" customFormat="1" ht="12" customHeight="1">
      <c r="A506" s="66">
        <v>3148</v>
      </c>
      <c r="B506" s="67" t="s">
        <v>2675</v>
      </c>
      <c r="C506" s="67" t="s">
        <v>2675</v>
      </c>
      <c r="D506" s="67" t="s">
        <v>2704</v>
      </c>
      <c r="E506" s="66">
        <v>3</v>
      </c>
      <c r="F506" s="397">
        <v>4</v>
      </c>
      <c r="G506" s="69">
        <v>503</v>
      </c>
      <c r="H506" s="111" t="s">
        <v>1176</v>
      </c>
      <c r="I506" s="112" t="s">
        <v>1176</v>
      </c>
      <c r="J506" s="113">
        <v>10500102657301</v>
      </c>
      <c r="K506" s="114" t="s">
        <v>148</v>
      </c>
      <c r="L506" s="114"/>
      <c r="M506" s="114">
        <v>60</v>
      </c>
      <c r="N506" s="115" t="s">
        <v>1177</v>
      </c>
      <c r="O506" s="111" t="s">
        <v>1178</v>
      </c>
      <c r="P506" s="115"/>
      <c r="Q506" s="111" t="s">
        <v>1179</v>
      </c>
      <c r="R506" s="111" t="s">
        <v>1180</v>
      </c>
      <c r="S506" s="116" t="s">
        <v>1181</v>
      </c>
      <c r="T506" s="98">
        <v>402</v>
      </c>
      <c r="U506" s="99">
        <v>475</v>
      </c>
      <c r="V506" s="99">
        <v>190</v>
      </c>
      <c r="W506" s="373" t="s">
        <v>2704</v>
      </c>
      <c r="X506" s="373" t="s">
        <v>2675</v>
      </c>
      <c r="Y506" s="109">
        <v>1067</v>
      </c>
      <c r="Z506" s="98">
        <v>0</v>
      </c>
      <c r="AA506" s="99">
        <v>0</v>
      </c>
      <c r="AB506" s="99">
        <v>0</v>
      </c>
      <c r="AC506" s="75"/>
      <c r="AD506" s="373"/>
      <c r="AE506" s="109">
        <v>0</v>
      </c>
      <c r="AF506" s="117">
        <v>1067</v>
      </c>
      <c r="AG506" s="140"/>
      <c r="AH506" s="374"/>
    </row>
    <row r="507" spans="1:34" s="80" customFormat="1" ht="12" customHeight="1">
      <c r="A507" s="66">
        <v>3149</v>
      </c>
      <c r="B507" s="67" t="s">
        <v>2675</v>
      </c>
      <c r="C507" s="67" t="s">
        <v>2675</v>
      </c>
      <c r="D507" s="67" t="s">
        <v>2704</v>
      </c>
      <c r="E507" s="66">
        <v>3</v>
      </c>
      <c r="F507" s="397">
        <v>4</v>
      </c>
      <c r="G507" s="69">
        <v>504</v>
      </c>
      <c r="H507" s="111" t="s">
        <v>2552</v>
      </c>
      <c r="I507" s="112" t="s">
        <v>2552</v>
      </c>
      <c r="J507" s="113">
        <v>10500102657302</v>
      </c>
      <c r="K507" s="114" t="s">
        <v>148</v>
      </c>
      <c r="L507" s="114"/>
      <c r="M507" s="114">
        <v>60</v>
      </c>
      <c r="N507" s="115" t="s">
        <v>1177</v>
      </c>
      <c r="O507" s="111" t="s">
        <v>2553</v>
      </c>
      <c r="P507" s="115"/>
      <c r="Q507" s="111"/>
      <c r="R507" s="111"/>
      <c r="S507" s="116"/>
      <c r="T507" s="98">
        <v>0</v>
      </c>
      <c r="U507" s="99">
        <v>199</v>
      </c>
      <c r="V507" s="99">
        <v>0</v>
      </c>
      <c r="W507" s="373" t="s">
        <v>2704</v>
      </c>
      <c r="X507" s="373" t="s">
        <v>2675</v>
      </c>
      <c r="Y507" s="109">
        <v>199</v>
      </c>
      <c r="Z507" s="98">
        <v>0</v>
      </c>
      <c r="AA507" s="99">
        <v>0</v>
      </c>
      <c r="AB507" s="99">
        <v>0</v>
      </c>
      <c r="AC507" s="75"/>
      <c r="AD507" s="373"/>
      <c r="AE507" s="109">
        <v>0</v>
      </c>
      <c r="AF507" s="117">
        <v>199</v>
      </c>
      <c r="AG507" s="140"/>
      <c r="AH507" s="374"/>
    </row>
    <row r="508" spans="1:34" s="80" customFormat="1" ht="12" customHeight="1">
      <c r="A508" s="66">
        <v>3150</v>
      </c>
      <c r="B508" s="67" t="s">
        <v>2675</v>
      </c>
      <c r="C508" s="67" t="s">
        <v>2675</v>
      </c>
      <c r="D508" s="67" t="s">
        <v>2704</v>
      </c>
      <c r="E508" s="66">
        <v>3</v>
      </c>
      <c r="F508" s="397">
        <v>4</v>
      </c>
      <c r="G508" s="69">
        <v>505</v>
      </c>
      <c r="H508" s="111" t="s">
        <v>1839</v>
      </c>
      <c r="I508" s="112" t="s">
        <v>1839</v>
      </c>
      <c r="J508" s="113">
        <v>20500100219901</v>
      </c>
      <c r="K508" s="114" t="s">
        <v>148</v>
      </c>
      <c r="L508" s="114"/>
      <c r="M508" s="114">
        <v>60</v>
      </c>
      <c r="N508" s="115" t="s">
        <v>1164</v>
      </c>
      <c r="O508" s="111" t="s">
        <v>1840</v>
      </c>
      <c r="P508" s="115">
        <v>4273235</v>
      </c>
      <c r="Q508" s="111" t="s">
        <v>1841</v>
      </c>
      <c r="R508" s="111" t="s">
        <v>1842</v>
      </c>
      <c r="S508" s="116" t="s">
        <v>1843</v>
      </c>
      <c r="T508" s="98">
        <v>74</v>
      </c>
      <c r="U508" s="99">
        <v>188</v>
      </c>
      <c r="V508" s="99">
        <v>67</v>
      </c>
      <c r="W508" s="373" t="s">
        <v>2704</v>
      </c>
      <c r="X508" s="373" t="s">
        <v>2675</v>
      </c>
      <c r="Y508" s="109">
        <v>329</v>
      </c>
      <c r="Z508" s="98">
        <v>0</v>
      </c>
      <c r="AA508" s="99">
        <v>0</v>
      </c>
      <c r="AB508" s="99">
        <v>0</v>
      </c>
      <c r="AC508" s="75"/>
      <c r="AD508" s="373"/>
      <c r="AE508" s="109">
        <v>0</v>
      </c>
      <c r="AF508" s="117">
        <v>329</v>
      </c>
      <c r="AG508" s="140"/>
      <c r="AH508" s="374"/>
    </row>
    <row r="509" spans="1:34" s="80" customFormat="1" ht="12" customHeight="1">
      <c r="A509" s="66">
        <v>3151</v>
      </c>
      <c r="B509" s="67" t="s">
        <v>2675</v>
      </c>
      <c r="C509" s="67" t="s">
        <v>2675</v>
      </c>
      <c r="D509" s="67" t="s">
        <v>2704</v>
      </c>
      <c r="E509" s="66">
        <v>3</v>
      </c>
      <c r="F509" s="372">
        <v>6</v>
      </c>
      <c r="G509" s="69">
        <v>506</v>
      </c>
      <c r="H509" s="37" t="s">
        <v>2554</v>
      </c>
      <c r="I509" s="37" t="s">
        <v>2554</v>
      </c>
      <c r="J509" s="70">
        <v>10500100207101</v>
      </c>
      <c r="K509" s="38" t="s">
        <v>148</v>
      </c>
      <c r="L509" s="79"/>
      <c r="M509" s="38">
        <v>15</v>
      </c>
      <c r="N509" s="37" t="s">
        <v>2555</v>
      </c>
      <c r="O509" s="37" t="s">
        <v>2556</v>
      </c>
      <c r="P509" s="37" t="s">
        <v>2557</v>
      </c>
      <c r="Q509" s="37" t="s">
        <v>2558</v>
      </c>
      <c r="R509" s="37" t="s">
        <v>2559</v>
      </c>
      <c r="S509" s="72" t="s">
        <v>2560</v>
      </c>
      <c r="T509" s="73">
        <v>0</v>
      </c>
      <c r="U509" s="74">
        <v>100</v>
      </c>
      <c r="V509" s="74">
        <v>90</v>
      </c>
      <c r="W509" s="373" t="s">
        <v>2704</v>
      </c>
      <c r="X509" s="373" t="s">
        <v>2675</v>
      </c>
      <c r="Y509" s="76">
        <v>190</v>
      </c>
      <c r="Z509" s="73">
        <v>0</v>
      </c>
      <c r="AA509" s="74">
        <v>0</v>
      </c>
      <c r="AB509" s="74">
        <v>0</v>
      </c>
      <c r="AC509" s="75"/>
      <c r="AD509" s="373"/>
      <c r="AE509" s="76">
        <v>0</v>
      </c>
      <c r="AF509" s="77">
        <v>190</v>
      </c>
      <c r="AG509" s="79"/>
      <c r="AH509" s="374"/>
    </row>
    <row r="510" spans="1:34" s="80" customFormat="1" ht="12" customHeight="1">
      <c r="A510" s="66">
        <v>3152</v>
      </c>
      <c r="B510" s="67" t="s">
        <v>2675</v>
      </c>
      <c r="C510" s="67" t="s">
        <v>2675</v>
      </c>
      <c r="D510" s="67" t="s">
        <v>2704</v>
      </c>
      <c r="E510" s="66">
        <v>3</v>
      </c>
      <c r="F510" s="372">
        <v>6</v>
      </c>
      <c r="G510" s="69">
        <v>507</v>
      </c>
      <c r="H510" s="37" t="s">
        <v>2561</v>
      </c>
      <c r="I510" s="37" t="s">
        <v>2561</v>
      </c>
      <c r="J510" s="70">
        <v>10500100207102</v>
      </c>
      <c r="K510" s="38" t="s">
        <v>148</v>
      </c>
      <c r="L510" s="79"/>
      <c r="M510" s="38">
        <v>15</v>
      </c>
      <c r="N510" s="37" t="s">
        <v>2555</v>
      </c>
      <c r="O510" s="37" t="s">
        <v>2562</v>
      </c>
      <c r="P510" s="37" t="s">
        <v>2563</v>
      </c>
      <c r="Q510" s="37" t="s">
        <v>2564</v>
      </c>
      <c r="R510" s="37" t="s">
        <v>2565</v>
      </c>
      <c r="S510" s="72" t="s">
        <v>2566</v>
      </c>
      <c r="T510" s="73">
        <v>100</v>
      </c>
      <c r="U510" s="74">
        <v>130</v>
      </c>
      <c r="V510" s="74">
        <v>0</v>
      </c>
      <c r="W510" s="373" t="s">
        <v>2704</v>
      </c>
      <c r="X510" s="373" t="s">
        <v>2675</v>
      </c>
      <c r="Y510" s="401">
        <v>230</v>
      </c>
      <c r="Z510" s="73">
        <v>0</v>
      </c>
      <c r="AA510" s="74">
        <v>0</v>
      </c>
      <c r="AB510" s="74">
        <v>0</v>
      </c>
      <c r="AC510" s="75"/>
      <c r="AD510" s="373"/>
      <c r="AE510" s="76">
        <v>0</v>
      </c>
      <c r="AF510" s="77">
        <v>230</v>
      </c>
      <c r="AG510" s="150"/>
      <c r="AH510" s="374"/>
    </row>
    <row r="511" spans="1:34" s="80" customFormat="1" ht="12" customHeight="1">
      <c r="A511" s="66">
        <v>3153</v>
      </c>
      <c r="B511" s="67" t="s">
        <v>2675</v>
      </c>
      <c r="C511" s="67" t="s">
        <v>2675</v>
      </c>
      <c r="D511" s="67" t="s">
        <v>2704</v>
      </c>
      <c r="E511" s="66">
        <v>3</v>
      </c>
      <c r="F511" s="372">
        <v>6</v>
      </c>
      <c r="G511" s="69">
        <v>508</v>
      </c>
      <c r="H511" s="37" t="s">
        <v>1850</v>
      </c>
      <c r="I511" s="37" t="s">
        <v>1850</v>
      </c>
      <c r="J511" s="70">
        <v>10500100039601</v>
      </c>
      <c r="K511" s="38" t="s">
        <v>148</v>
      </c>
      <c r="L511" s="38" t="s">
        <v>120</v>
      </c>
      <c r="M511" s="38">
        <v>15</v>
      </c>
      <c r="N511" s="37" t="s">
        <v>1851</v>
      </c>
      <c r="O511" s="37" t="s">
        <v>1852</v>
      </c>
      <c r="P511" s="37" t="s">
        <v>1853</v>
      </c>
      <c r="Q511" s="37" t="s">
        <v>1854</v>
      </c>
      <c r="R511" s="37" t="s">
        <v>1855</v>
      </c>
      <c r="S511" s="72" t="s">
        <v>1856</v>
      </c>
      <c r="T511" s="73">
        <v>0</v>
      </c>
      <c r="U511" s="74">
        <v>85</v>
      </c>
      <c r="V511" s="74">
        <v>95</v>
      </c>
      <c r="W511" s="373" t="s">
        <v>2704</v>
      </c>
      <c r="X511" s="373" t="s">
        <v>2675</v>
      </c>
      <c r="Y511" s="76">
        <v>180</v>
      </c>
      <c r="Z511" s="73">
        <v>0</v>
      </c>
      <c r="AA511" s="74">
        <v>0</v>
      </c>
      <c r="AB511" s="74">
        <v>0</v>
      </c>
      <c r="AC511" s="75"/>
      <c r="AD511" s="373"/>
      <c r="AE511" s="76">
        <v>0</v>
      </c>
      <c r="AF511" s="77">
        <v>180</v>
      </c>
      <c r="AG511" s="79"/>
      <c r="AH511" s="374"/>
    </row>
    <row r="512" spans="1:34" s="80" customFormat="1" ht="12" customHeight="1">
      <c r="A512" s="66">
        <v>3154</v>
      </c>
      <c r="B512" s="67" t="s">
        <v>2675</v>
      </c>
      <c r="C512" s="67" t="s">
        <v>2675</v>
      </c>
      <c r="D512" s="67" t="s">
        <v>2704</v>
      </c>
      <c r="E512" s="66">
        <v>3</v>
      </c>
      <c r="F512" s="372">
        <v>6</v>
      </c>
      <c r="G512" s="69">
        <v>509</v>
      </c>
      <c r="H512" s="37" t="s">
        <v>2567</v>
      </c>
      <c r="I512" s="37" t="s">
        <v>2567</v>
      </c>
      <c r="J512" s="70">
        <v>10500101036701</v>
      </c>
      <c r="K512" s="38" t="s">
        <v>148</v>
      </c>
      <c r="L512" s="79"/>
      <c r="M512" s="38">
        <v>15</v>
      </c>
      <c r="N512" s="37" t="s">
        <v>2555</v>
      </c>
      <c r="O512" s="37" t="s">
        <v>2568</v>
      </c>
      <c r="P512" s="37">
        <v>2357397</v>
      </c>
      <c r="Q512" s="37" t="s">
        <v>2569</v>
      </c>
      <c r="R512" s="37" t="s">
        <v>2570</v>
      </c>
      <c r="S512" s="72" t="s">
        <v>2571</v>
      </c>
      <c r="T512" s="73">
        <v>0</v>
      </c>
      <c r="U512" s="74">
        <v>85</v>
      </c>
      <c r="V512" s="74">
        <v>55</v>
      </c>
      <c r="W512" s="373" t="s">
        <v>2704</v>
      </c>
      <c r="X512" s="373" t="s">
        <v>2675</v>
      </c>
      <c r="Y512" s="76">
        <v>140</v>
      </c>
      <c r="Z512" s="73">
        <v>0</v>
      </c>
      <c r="AA512" s="74">
        <v>0</v>
      </c>
      <c r="AB512" s="74">
        <v>0</v>
      </c>
      <c r="AC512" s="75"/>
      <c r="AD512" s="373"/>
      <c r="AE512" s="76">
        <v>0</v>
      </c>
      <c r="AF512" s="77">
        <v>140</v>
      </c>
      <c r="AG512" s="79"/>
      <c r="AH512" s="374"/>
    </row>
    <row r="513" spans="1:34" s="80" customFormat="1" ht="12" customHeight="1">
      <c r="A513" s="66">
        <v>3155</v>
      </c>
      <c r="B513" s="67" t="s">
        <v>2675</v>
      </c>
      <c r="C513" s="67" t="s">
        <v>2675</v>
      </c>
      <c r="D513" s="67" t="s">
        <v>2705</v>
      </c>
      <c r="E513" s="66">
        <v>3</v>
      </c>
      <c r="F513" s="372">
        <v>6</v>
      </c>
      <c r="G513" s="69">
        <v>510</v>
      </c>
      <c r="H513" s="37" t="s">
        <v>2572</v>
      </c>
      <c r="I513" s="37" t="s">
        <v>2572</v>
      </c>
      <c r="J513" s="70">
        <v>10500101036702</v>
      </c>
      <c r="K513" s="38" t="s">
        <v>148</v>
      </c>
      <c r="L513" s="79"/>
      <c r="M513" s="38">
        <v>15</v>
      </c>
      <c r="N513" s="37" t="s">
        <v>2555</v>
      </c>
      <c r="O513" s="37" t="s">
        <v>2573</v>
      </c>
      <c r="P513" s="37">
        <v>2356452</v>
      </c>
      <c r="Q513" s="37" t="s">
        <v>2569</v>
      </c>
      <c r="R513" s="37" t="s">
        <v>2574</v>
      </c>
      <c r="S513" s="72" t="s">
        <v>2575</v>
      </c>
      <c r="T513" s="73">
        <v>118</v>
      </c>
      <c r="U513" s="74">
        <v>67</v>
      </c>
      <c r="V513" s="74">
        <v>0</v>
      </c>
      <c r="W513" s="373" t="s">
        <v>2704</v>
      </c>
      <c r="X513" s="373" t="s">
        <v>2675</v>
      </c>
      <c r="Y513" s="76">
        <v>185</v>
      </c>
      <c r="Z513" s="73">
        <v>86</v>
      </c>
      <c r="AA513" s="74">
        <v>54</v>
      </c>
      <c r="AB513" s="74">
        <v>0</v>
      </c>
      <c r="AC513" s="75" t="s">
        <v>2700</v>
      </c>
      <c r="AD513" s="373" t="s">
        <v>2675</v>
      </c>
      <c r="AE513" s="76">
        <v>140</v>
      </c>
      <c r="AF513" s="77">
        <v>325</v>
      </c>
      <c r="AG513" s="79"/>
      <c r="AH513" s="374"/>
    </row>
    <row r="514" spans="1:34" s="80" customFormat="1" ht="12" customHeight="1">
      <c r="A514" s="66">
        <v>3156</v>
      </c>
      <c r="B514" s="67" t="s">
        <v>2675</v>
      </c>
      <c r="C514" s="67" t="s">
        <v>2675</v>
      </c>
      <c r="D514" s="67" t="s">
        <v>2704</v>
      </c>
      <c r="E514" s="66">
        <v>3</v>
      </c>
      <c r="F514" s="372">
        <v>6</v>
      </c>
      <c r="G514" s="69">
        <v>511</v>
      </c>
      <c r="H514" s="37" t="s">
        <v>2576</v>
      </c>
      <c r="I514" s="37" t="s">
        <v>2576</v>
      </c>
      <c r="J514" s="70">
        <v>10500100479101</v>
      </c>
      <c r="K514" s="38" t="s">
        <v>148</v>
      </c>
      <c r="L514" s="79"/>
      <c r="M514" s="38">
        <v>15</v>
      </c>
      <c r="N514" s="37" t="s">
        <v>2555</v>
      </c>
      <c r="O514" s="37" t="s">
        <v>2577</v>
      </c>
      <c r="P514" s="37" t="s">
        <v>2578</v>
      </c>
      <c r="Q514" s="37" t="s">
        <v>2579</v>
      </c>
      <c r="R514" s="37" t="s">
        <v>2580</v>
      </c>
      <c r="S514" s="72" t="s">
        <v>2581</v>
      </c>
      <c r="T514" s="73">
        <v>70</v>
      </c>
      <c r="U514" s="74">
        <v>110</v>
      </c>
      <c r="V514" s="74">
        <v>70</v>
      </c>
      <c r="W514" s="373" t="s">
        <v>2704</v>
      </c>
      <c r="X514" s="373" t="s">
        <v>2675</v>
      </c>
      <c r="Y514" s="76">
        <v>250</v>
      </c>
      <c r="Z514" s="73">
        <v>0</v>
      </c>
      <c r="AA514" s="74">
        <v>0</v>
      </c>
      <c r="AB514" s="74">
        <v>0</v>
      </c>
      <c r="AC514" s="75"/>
      <c r="AD514" s="373"/>
      <c r="AE514" s="76">
        <v>0</v>
      </c>
      <c r="AF514" s="77">
        <v>250</v>
      </c>
      <c r="AG514" s="79"/>
      <c r="AH514" s="374"/>
    </row>
    <row r="515" spans="1:34" s="80" customFormat="1" ht="12" customHeight="1">
      <c r="A515" s="66">
        <v>3157</v>
      </c>
      <c r="B515" s="67" t="s">
        <v>2675</v>
      </c>
      <c r="C515" s="67" t="s">
        <v>2675</v>
      </c>
      <c r="D515" s="67" t="s">
        <v>2705</v>
      </c>
      <c r="E515" s="66">
        <v>3</v>
      </c>
      <c r="F515" s="372">
        <v>6</v>
      </c>
      <c r="G515" s="69">
        <v>512</v>
      </c>
      <c r="H515" s="37" t="s">
        <v>2582</v>
      </c>
      <c r="I515" s="37" t="s">
        <v>2582</v>
      </c>
      <c r="J515" s="70">
        <v>10500100163502</v>
      </c>
      <c r="K515" s="38" t="s">
        <v>148</v>
      </c>
      <c r="L515" s="79"/>
      <c r="M515" s="38">
        <v>16</v>
      </c>
      <c r="N515" s="37" t="s">
        <v>1250</v>
      </c>
      <c r="O515" s="37" t="s">
        <v>2583</v>
      </c>
      <c r="P515" s="37">
        <v>3432833</v>
      </c>
      <c r="Q515" s="37" t="s">
        <v>2584</v>
      </c>
      <c r="R515" s="37" t="s">
        <v>2585</v>
      </c>
      <c r="S515" s="72" t="s">
        <v>2586</v>
      </c>
      <c r="T515" s="73">
        <v>20</v>
      </c>
      <c r="U515" s="74">
        <v>0</v>
      </c>
      <c r="V515" s="74">
        <v>0</v>
      </c>
      <c r="W515" s="373" t="s">
        <v>2704</v>
      </c>
      <c r="X515" s="373" t="s">
        <v>2675</v>
      </c>
      <c r="Y515" s="76">
        <v>20</v>
      </c>
      <c r="Z515" s="73">
        <v>120</v>
      </c>
      <c r="AA515" s="74">
        <v>0</v>
      </c>
      <c r="AB515" s="74">
        <v>0</v>
      </c>
      <c r="AC515" s="75" t="s">
        <v>2700</v>
      </c>
      <c r="AD515" s="373" t="s">
        <v>2675</v>
      </c>
      <c r="AE515" s="76">
        <v>120</v>
      </c>
      <c r="AF515" s="77">
        <v>140</v>
      </c>
      <c r="AG515" s="79"/>
      <c r="AH515" s="374"/>
    </row>
    <row r="516" spans="1:34" s="80" customFormat="1" ht="12" customHeight="1">
      <c r="A516" s="66">
        <v>3158</v>
      </c>
      <c r="B516" s="67" t="s">
        <v>2675</v>
      </c>
      <c r="C516" s="67" t="s">
        <v>2675</v>
      </c>
      <c r="D516" s="67" t="s">
        <v>2705</v>
      </c>
      <c r="E516" s="66">
        <v>3</v>
      </c>
      <c r="F516" s="372">
        <v>6</v>
      </c>
      <c r="G516" s="69">
        <v>513</v>
      </c>
      <c r="H516" s="37" t="s">
        <v>2587</v>
      </c>
      <c r="I516" s="37" t="s">
        <v>2587</v>
      </c>
      <c r="J516" s="70">
        <v>10500101992501</v>
      </c>
      <c r="K516" s="38" t="s">
        <v>148</v>
      </c>
      <c r="L516" s="79"/>
      <c r="M516" s="38">
        <v>16</v>
      </c>
      <c r="N516" s="37" t="s">
        <v>1244</v>
      </c>
      <c r="O516" s="37" t="s">
        <v>2588</v>
      </c>
      <c r="P516" s="37" t="s">
        <v>2589</v>
      </c>
      <c r="Q516" s="37" t="s">
        <v>1258</v>
      </c>
      <c r="R516" s="37" t="s">
        <v>2590</v>
      </c>
      <c r="S516" s="72" t="s">
        <v>2591</v>
      </c>
      <c r="T516" s="73">
        <v>0</v>
      </c>
      <c r="U516" s="74">
        <v>155</v>
      </c>
      <c r="V516" s="74">
        <v>81</v>
      </c>
      <c r="W516" s="373" t="s">
        <v>2704</v>
      </c>
      <c r="X516" s="373" t="s">
        <v>2675</v>
      </c>
      <c r="Y516" s="76">
        <v>236</v>
      </c>
      <c r="Z516" s="73">
        <v>0</v>
      </c>
      <c r="AA516" s="74">
        <v>230</v>
      </c>
      <c r="AB516" s="74">
        <v>120</v>
      </c>
      <c r="AC516" s="75" t="s">
        <v>2700</v>
      </c>
      <c r="AD516" s="373" t="s">
        <v>2675</v>
      </c>
      <c r="AE516" s="76">
        <v>350</v>
      </c>
      <c r="AF516" s="77">
        <v>586</v>
      </c>
      <c r="AG516" s="79"/>
      <c r="AH516" s="374"/>
    </row>
    <row r="517" spans="1:34" s="80" customFormat="1" ht="12" customHeight="1" thickBot="1">
      <c r="A517" s="66">
        <v>3159</v>
      </c>
      <c r="B517" s="67" t="s">
        <v>2675</v>
      </c>
      <c r="C517" s="67" t="s">
        <v>2675</v>
      </c>
      <c r="D517" s="67" t="s">
        <v>2704</v>
      </c>
      <c r="E517" s="66">
        <v>3</v>
      </c>
      <c r="F517" s="372">
        <v>6</v>
      </c>
      <c r="G517" s="69">
        <v>514</v>
      </c>
      <c r="H517" s="37" t="s">
        <v>2592</v>
      </c>
      <c r="I517" s="37" t="s">
        <v>2592</v>
      </c>
      <c r="J517" s="70">
        <v>10500101992503</v>
      </c>
      <c r="K517" s="38" t="s">
        <v>148</v>
      </c>
      <c r="L517" s="79"/>
      <c r="M517" s="38">
        <v>16</v>
      </c>
      <c r="N517" s="37" t="s">
        <v>1244</v>
      </c>
      <c r="O517" s="37" t="s">
        <v>2593</v>
      </c>
      <c r="P517" s="37" t="s">
        <v>2594</v>
      </c>
      <c r="Q517" s="37" t="s">
        <v>1258</v>
      </c>
      <c r="R517" s="37" t="s">
        <v>1259</v>
      </c>
      <c r="S517" s="72" t="s">
        <v>1260</v>
      </c>
      <c r="T517" s="387">
        <v>66</v>
      </c>
      <c r="U517" s="388">
        <v>172</v>
      </c>
      <c r="V517" s="388">
        <v>0</v>
      </c>
      <c r="W517" s="373" t="s">
        <v>2704</v>
      </c>
      <c r="X517" s="373" t="s">
        <v>2675</v>
      </c>
      <c r="Y517" s="390">
        <v>238</v>
      </c>
      <c r="Z517" s="387">
        <v>0</v>
      </c>
      <c r="AA517" s="388">
        <v>0</v>
      </c>
      <c r="AB517" s="388">
        <v>0</v>
      </c>
      <c r="AC517" s="75"/>
      <c r="AD517" s="373"/>
      <c r="AE517" s="390">
        <v>0</v>
      </c>
      <c r="AF517" s="77">
        <v>238</v>
      </c>
      <c r="AG517" s="79"/>
      <c r="AH517" s="374"/>
    </row>
    <row r="518" spans="1:34" s="80" customFormat="1" ht="12" customHeight="1" thickBot="1">
      <c r="A518" s="66">
        <v>3160</v>
      </c>
      <c r="B518" s="67" t="s">
        <v>2675</v>
      </c>
      <c r="C518" s="67" t="s">
        <v>2675</v>
      </c>
      <c r="D518" s="67" t="s">
        <v>2704</v>
      </c>
      <c r="E518" s="66">
        <v>3</v>
      </c>
      <c r="F518" s="372">
        <v>6</v>
      </c>
      <c r="G518" s="69">
        <v>515</v>
      </c>
      <c r="H518" s="37" t="s">
        <v>2595</v>
      </c>
      <c r="I518" s="37" t="s">
        <v>2595</v>
      </c>
      <c r="J518" s="70">
        <v>10500100345002</v>
      </c>
      <c r="K518" s="38" t="s">
        <v>148</v>
      </c>
      <c r="L518" s="79"/>
      <c r="M518" s="38">
        <v>16</v>
      </c>
      <c r="N518" s="37" t="s">
        <v>1250</v>
      </c>
      <c r="O518" s="37" t="s">
        <v>2596</v>
      </c>
      <c r="P518" s="37">
        <v>3539164</v>
      </c>
      <c r="Q518" s="37" t="s">
        <v>2597</v>
      </c>
      <c r="R518" s="37" t="s">
        <v>2598</v>
      </c>
      <c r="S518" s="72" t="s">
        <v>2599</v>
      </c>
      <c r="T518" s="387">
        <v>0</v>
      </c>
      <c r="U518" s="388">
        <v>140</v>
      </c>
      <c r="V518" s="388">
        <v>120</v>
      </c>
      <c r="W518" s="373" t="s">
        <v>2704</v>
      </c>
      <c r="X518" s="373" t="s">
        <v>2675</v>
      </c>
      <c r="Y518" s="390">
        <v>260</v>
      </c>
      <c r="Z518" s="387">
        <v>0</v>
      </c>
      <c r="AA518" s="388">
        <v>0</v>
      </c>
      <c r="AB518" s="388">
        <v>0</v>
      </c>
      <c r="AC518" s="75"/>
      <c r="AD518" s="373"/>
      <c r="AE518" s="390">
        <v>0</v>
      </c>
      <c r="AF518" s="77">
        <v>260</v>
      </c>
      <c r="AG518" s="79"/>
      <c r="AH518" s="374"/>
    </row>
    <row r="519" spans="1:34" s="80" customFormat="1" ht="12" customHeight="1" thickBot="1">
      <c r="A519" s="66">
        <v>3161</v>
      </c>
      <c r="B519" s="67" t="s">
        <v>2675</v>
      </c>
      <c r="C519" s="67" t="s">
        <v>2675</v>
      </c>
      <c r="D519" s="67" t="s">
        <v>2704</v>
      </c>
      <c r="E519" s="66">
        <v>3</v>
      </c>
      <c r="F519" s="372">
        <v>6</v>
      </c>
      <c r="G519" s="69">
        <v>516</v>
      </c>
      <c r="H519" s="37" t="s">
        <v>2600</v>
      </c>
      <c r="I519" s="37" t="s">
        <v>2600</v>
      </c>
      <c r="J519" s="70">
        <v>10500100312302</v>
      </c>
      <c r="K519" s="38" t="s">
        <v>148</v>
      </c>
      <c r="L519" s="79"/>
      <c r="M519" s="38">
        <v>16</v>
      </c>
      <c r="N519" s="37" t="s">
        <v>1891</v>
      </c>
      <c r="O519" s="37" t="s">
        <v>2601</v>
      </c>
      <c r="P519" s="37">
        <v>2354351</v>
      </c>
      <c r="Q519" s="37" t="s">
        <v>1894</v>
      </c>
      <c r="R519" s="37" t="s">
        <v>1894</v>
      </c>
      <c r="S519" s="72" t="s">
        <v>1896</v>
      </c>
      <c r="T519" s="387">
        <v>0</v>
      </c>
      <c r="U519" s="388">
        <v>144</v>
      </c>
      <c r="V519" s="388">
        <v>86</v>
      </c>
      <c r="W519" s="373" t="s">
        <v>2704</v>
      </c>
      <c r="X519" s="373" t="s">
        <v>2675</v>
      </c>
      <c r="Y519" s="390">
        <v>230</v>
      </c>
      <c r="Z519" s="387">
        <v>0</v>
      </c>
      <c r="AA519" s="388">
        <v>0</v>
      </c>
      <c r="AB519" s="388">
        <v>0</v>
      </c>
      <c r="AC519" s="75"/>
      <c r="AD519" s="373"/>
      <c r="AE519" s="390">
        <v>0</v>
      </c>
      <c r="AF519" s="402">
        <v>230</v>
      </c>
      <c r="AG519" s="79"/>
      <c r="AH519" s="374"/>
    </row>
    <row r="520" spans="1:34" s="80" customFormat="1" ht="12" customHeight="1" thickBot="1">
      <c r="A520" s="66">
        <v>3162</v>
      </c>
      <c r="B520" s="67" t="s">
        <v>2675</v>
      </c>
      <c r="C520" s="67" t="s">
        <v>2675</v>
      </c>
      <c r="D520" s="67" t="s">
        <v>2704</v>
      </c>
      <c r="E520" s="66">
        <v>3</v>
      </c>
      <c r="F520" s="372">
        <v>6</v>
      </c>
      <c r="G520" s="69">
        <v>517</v>
      </c>
      <c r="H520" s="37" t="s">
        <v>2602</v>
      </c>
      <c r="I520" s="37" t="s">
        <v>2602</v>
      </c>
      <c r="J520" s="70">
        <v>10500100013201</v>
      </c>
      <c r="K520" s="38" t="s">
        <v>148</v>
      </c>
      <c r="L520" s="79"/>
      <c r="M520" s="38">
        <v>16</v>
      </c>
      <c r="N520" s="37" t="s">
        <v>1870</v>
      </c>
      <c r="O520" s="37" t="s">
        <v>2603</v>
      </c>
      <c r="P520" s="196" t="s">
        <v>2604</v>
      </c>
      <c r="Q520" s="37" t="s">
        <v>2605</v>
      </c>
      <c r="R520" s="196" t="s">
        <v>2606</v>
      </c>
      <c r="S520" s="198" t="s">
        <v>2607</v>
      </c>
      <c r="T520" s="387">
        <v>129</v>
      </c>
      <c r="U520" s="388">
        <v>168</v>
      </c>
      <c r="V520" s="388">
        <v>103</v>
      </c>
      <c r="W520" s="373" t="s">
        <v>2704</v>
      </c>
      <c r="X520" s="373" t="s">
        <v>2675</v>
      </c>
      <c r="Y520" s="390">
        <v>400</v>
      </c>
      <c r="Z520" s="387">
        <v>0</v>
      </c>
      <c r="AA520" s="388">
        <v>0</v>
      </c>
      <c r="AB520" s="388">
        <v>0</v>
      </c>
      <c r="AC520" s="75"/>
      <c r="AD520" s="373"/>
      <c r="AE520" s="390">
        <v>0</v>
      </c>
      <c r="AF520" s="402">
        <v>400</v>
      </c>
      <c r="AG520" s="79"/>
      <c r="AH520" s="374"/>
    </row>
    <row r="521" spans="1:34" s="80" customFormat="1" ht="12" customHeight="1" thickBot="1">
      <c r="A521" s="66">
        <v>3163</v>
      </c>
      <c r="B521" s="67" t="s">
        <v>2675</v>
      </c>
      <c r="C521" s="67" t="s">
        <v>2675</v>
      </c>
      <c r="D521" s="67" t="s">
        <v>2704</v>
      </c>
      <c r="E521" s="66">
        <v>3</v>
      </c>
      <c r="F521" s="372">
        <v>6</v>
      </c>
      <c r="G521" s="69">
        <v>518</v>
      </c>
      <c r="H521" s="37" t="s">
        <v>1897</v>
      </c>
      <c r="I521" s="37" t="s">
        <v>1897</v>
      </c>
      <c r="J521" s="70">
        <v>10500101210601</v>
      </c>
      <c r="K521" s="38" t="s">
        <v>148</v>
      </c>
      <c r="L521" s="38" t="s">
        <v>120</v>
      </c>
      <c r="M521" s="38">
        <v>16</v>
      </c>
      <c r="N521" s="37" t="s">
        <v>1898</v>
      </c>
      <c r="O521" s="37" t="s">
        <v>1899</v>
      </c>
      <c r="P521" s="37" t="s">
        <v>1900</v>
      </c>
      <c r="Q521" s="37" t="s">
        <v>1901</v>
      </c>
      <c r="R521" s="196" t="s">
        <v>1902</v>
      </c>
      <c r="S521" s="198" t="s">
        <v>1903</v>
      </c>
      <c r="T521" s="387">
        <v>170</v>
      </c>
      <c r="U521" s="388">
        <v>280</v>
      </c>
      <c r="V521" s="388">
        <v>50</v>
      </c>
      <c r="W521" s="373" t="s">
        <v>2704</v>
      </c>
      <c r="X521" s="373" t="s">
        <v>2675</v>
      </c>
      <c r="Y521" s="390">
        <v>500</v>
      </c>
      <c r="Z521" s="387">
        <v>0</v>
      </c>
      <c r="AA521" s="388">
        <v>0</v>
      </c>
      <c r="AB521" s="388">
        <v>0</v>
      </c>
      <c r="AC521" s="75"/>
      <c r="AD521" s="373"/>
      <c r="AE521" s="390">
        <v>0</v>
      </c>
      <c r="AF521" s="402">
        <v>500</v>
      </c>
      <c r="AG521" s="79"/>
      <c r="AH521" s="374"/>
    </row>
    <row r="522" spans="1:34" s="80" customFormat="1" ht="12" customHeight="1">
      <c r="A522" s="66">
        <v>3164</v>
      </c>
      <c r="B522" s="67" t="s">
        <v>2675</v>
      </c>
      <c r="C522" s="67" t="s">
        <v>2675</v>
      </c>
      <c r="D522" s="67" t="s">
        <v>2704</v>
      </c>
      <c r="E522" s="66">
        <v>3</v>
      </c>
      <c r="F522" s="372">
        <v>6</v>
      </c>
      <c r="G522" s="69">
        <v>519</v>
      </c>
      <c r="H522" s="37" t="s">
        <v>1824</v>
      </c>
      <c r="I522" s="37" t="s">
        <v>2608</v>
      </c>
      <c r="J522" s="70">
        <v>10500101210602</v>
      </c>
      <c r="K522" s="38" t="s">
        <v>148</v>
      </c>
      <c r="L522" s="79"/>
      <c r="M522" s="38">
        <v>16</v>
      </c>
      <c r="N522" s="79"/>
      <c r="O522" s="79"/>
      <c r="P522" s="79"/>
      <c r="Q522" s="79"/>
      <c r="R522" s="79"/>
      <c r="S522" s="103"/>
      <c r="T522" s="73">
        <v>100</v>
      </c>
      <c r="U522" s="74">
        <v>200</v>
      </c>
      <c r="V522" s="74">
        <v>100</v>
      </c>
      <c r="W522" s="373" t="s">
        <v>2704</v>
      </c>
      <c r="X522" s="373" t="s">
        <v>2675</v>
      </c>
      <c r="Y522" s="76">
        <v>400</v>
      </c>
      <c r="Z522" s="73">
        <v>0</v>
      </c>
      <c r="AA522" s="74">
        <v>0</v>
      </c>
      <c r="AB522" s="74">
        <v>0</v>
      </c>
      <c r="AC522" s="75"/>
      <c r="AD522" s="373"/>
      <c r="AE522" s="76">
        <v>0</v>
      </c>
      <c r="AF522" s="402">
        <v>400</v>
      </c>
      <c r="AG522" s="79"/>
      <c r="AH522" s="403"/>
    </row>
    <row r="523" spans="1:34" s="80" customFormat="1" ht="12" customHeight="1">
      <c r="A523" s="404">
        <v>3165</v>
      </c>
      <c r="B523" s="405" t="s">
        <v>2675</v>
      </c>
      <c r="C523" s="405" t="s">
        <v>2675</v>
      </c>
      <c r="D523" s="405" t="s">
        <v>2704</v>
      </c>
      <c r="E523" s="404">
        <v>3</v>
      </c>
      <c r="F523" s="406">
        <v>6</v>
      </c>
      <c r="G523" s="69">
        <v>520</v>
      </c>
      <c r="H523" s="407" t="s">
        <v>2609</v>
      </c>
      <c r="I523" s="407" t="s">
        <v>2609</v>
      </c>
      <c r="J523" s="408">
        <v>10500102576303</v>
      </c>
      <c r="K523" s="409" t="s">
        <v>148</v>
      </c>
      <c r="L523" s="410"/>
      <c r="M523" s="409">
        <v>70</v>
      </c>
      <c r="N523" s="407" t="s">
        <v>2610</v>
      </c>
      <c r="O523" s="407" t="s">
        <v>2611</v>
      </c>
      <c r="P523" s="407">
        <v>2350062</v>
      </c>
      <c r="Q523" s="407" t="s">
        <v>1907</v>
      </c>
      <c r="R523" s="407" t="s">
        <v>2612</v>
      </c>
      <c r="S523" s="411" t="s">
        <v>2613</v>
      </c>
      <c r="T523" s="412">
        <v>110</v>
      </c>
      <c r="U523" s="413">
        <v>70</v>
      </c>
      <c r="V523" s="413">
        <v>0</v>
      </c>
      <c r="W523" s="400" t="s">
        <v>2704</v>
      </c>
      <c r="X523" s="373" t="s">
        <v>2675</v>
      </c>
      <c r="Y523" s="389">
        <v>180</v>
      </c>
      <c r="Z523" s="412">
        <v>0</v>
      </c>
      <c r="AA523" s="413">
        <v>0</v>
      </c>
      <c r="AB523" s="413">
        <v>0</v>
      </c>
      <c r="AC523" s="399"/>
      <c r="AD523" s="373"/>
      <c r="AE523" s="389">
        <v>0</v>
      </c>
      <c r="AF523" s="402">
        <v>180</v>
      </c>
      <c r="AG523" s="410"/>
      <c r="AH523" s="414"/>
    </row>
    <row r="524" spans="1:34" s="80" customFormat="1" ht="12" customHeight="1">
      <c r="A524" s="404">
        <v>3166</v>
      </c>
      <c r="B524" s="405" t="s">
        <v>2675</v>
      </c>
      <c r="C524" s="405" t="s">
        <v>2675</v>
      </c>
      <c r="D524" s="405" t="s">
        <v>2705</v>
      </c>
      <c r="E524" s="404">
        <v>3</v>
      </c>
      <c r="F524" s="406">
        <v>6</v>
      </c>
      <c r="G524" s="69">
        <v>521</v>
      </c>
      <c r="H524" s="407" t="s">
        <v>2614</v>
      </c>
      <c r="I524" s="407" t="s">
        <v>2614</v>
      </c>
      <c r="J524" s="408">
        <v>20500101253401</v>
      </c>
      <c r="K524" s="409" t="s">
        <v>148</v>
      </c>
      <c r="L524" s="410"/>
      <c r="M524" s="409">
        <v>80</v>
      </c>
      <c r="N524" s="407" t="s">
        <v>1964</v>
      </c>
      <c r="O524" s="407" t="s">
        <v>2615</v>
      </c>
      <c r="P524" s="407" t="s">
        <v>2616</v>
      </c>
      <c r="Q524" s="407" t="s">
        <v>2617</v>
      </c>
      <c r="R524" s="407" t="s">
        <v>2618</v>
      </c>
      <c r="S524" s="411" t="s">
        <v>2619</v>
      </c>
      <c r="T524" s="412">
        <v>0</v>
      </c>
      <c r="U524" s="413">
        <v>80</v>
      </c>
      <c r="V524" s="413">
        <v>120</v>
      </c>
      <c r="W524" s="400" t="s">
        <v>2704</v>
      </c>
      <c r="X524" s="400" t="s">
        <v>2675</v>
      </c>
      <c r="Y524" s="389">
        <v>200</v>
      </c>
      <c r="Z524" s="412">
        <v>0</v>
      </c>
      <c r="AA524" s="413">
        <v>330</v>
      </c>
      <c r="AB524" s="413">
        <v>265</v>
      </c>
      <c r="AC524" s="399" t="s">
        <v>2700</v>
      </c>
      <c r="AD524" s="400" t="s">
        <v>2675</v>
      </c>
      <c r="AE524" s="389">
        <v>595</v>
      </c>
      <c r="AF524" s="402">
        <v>795</v>
      </c>
      <c r="AG524" s="415"/>
      <c r="AH524" s="416"/>
    </row>
    <row r="525" spans="1:34" s="80" customFormat="1" ht="12" customHeight="1">
      <c r="A525" s="66">
        <v>3167</v>
      </c>
      <c r="B525" s="67" t="s">
        <v>2675</v>
      </c>
      <c r="C525" s="67" t="s">
        <v>2675</v>
      </c>
      <c r="D525" s="67" t="s">
        <v>2705</v>
      </c>
      <c r="E525" s="66">
        <v>3</v>
      </c>
      <c r="F525" s="372">
        <v>6</v>
      </c>
      <c r="G525" s="69">
        <v>522</v>
      </c>
      <c r="H525" s="37" t="s">
        <v>2620</v>
      </c>
      <c r="I525" s="37" t="s">
        <v>2620</v>
      </c>
      <c r="J525" s="70">
        <v>20500101253402</v>
      </c>
      <c r="K525" s="38" t="s">
        <v>148</v>
      </c>
      <c r="L525" s="79"/>
      <c r="M525" s="38">
        <v>80</v>
      </c>
      <c r="N525" s="37" t="s">
        <v>2621</v>
      </c>
      <c r="O525" s="37" t="s">
        <v>2622</v>
      </c>
      <c r="P525" s="37">
        <v>2860138</v>
      </c>
      <c r="Q525" s="37" t="s">
        <v>2623</v>
      </c>
      <c r="R525" s="37" t="s">
        <v>2624</v>
      </c>
      <c r="S525" s="72" t="s">
        <v>2625</v>
      </c>
      <c r="T525" s="73">
        <v>0</v>
      </c>
      <c r="U525" s="74">
        <v>175</v>
      </c>
      <c r="V525" s="74">
        <v>0</v>
      </c>
      <c r="W525" s="373" t="s">
        <v>2704</v>
      </c>
      <c r="X525" s="373" t="s">
        <v>2675</v>
      </c>
      <c r="Y525" s="76">
        <v>175</v>
      </c>
      <c r="Z525" s="73">
        <v>0</v>
      </c>
      <c r="AA525" s="74">
        <v>173</v>
      </c>
      <c r="AB525" s="74">
        <v>0</v>
      </c>
      <c r="AC525" s="75" t="s">
        <v>2700</v>
      </c>
      <c r="AD525" s="373" t="s">
        <v>2675</v>
      </c>
      <c r="AE525" s="76">
        <v>173</v>
      </c>
      <c r="AF525" s="402">
        <v>348</v>
      </c>
      <c r="AG525" s="150"/>
      <c r="AH525" s="417"/>
    </row>
    <row r="526" spans="1:34" s="80" customFormat="1" ht="12" customHeight="1">
      <c r="A526" s="404">
        <v>3168</v>
      </c>
      <c r="B526" s="405" t="s">
        <v>2675</v>
      </c>
      <c r="C526" s="405" t="s">
        <v>2675</v>
      </c>
      <c r="D526" s="405" t="s">
        <v>2704</v>
      </c>
      <c r="E526" s="404">
        <v>3</v>
      </c>
      <c r="F526" s="406">
        <v>6</v>
      </c>
      <c r="G526" s="69">
        <v>523</v>
      </c>
      <c r="H526" s="407" t="s">
        <v>2626</v>
      </c>
      <c r="I526" s="407" t="s">
        <v>2626</v>
      </c>
      <c r="J526" s="408">
        <v>20500100167202</v>
      </c>
      <c r="K526" s="409" t="s">
        <v>148</v>
      </c>
      <c r="L526" s="410"/>
      <c r="M526" s="409">
        <v>80</v>
      </c>
      <c r="N526" s="407" t="s">
        <v>2627</v>
      </c>
      <c r="O526" s="407" t="s">
        <v>2628</v>
      </c>
      <c r="P526" s="407">
        <v>2860291</v>
      </c>
      <c r="Q526" s="407" t="s">
        <v>2629</v>
      </c>
      <c r="R526" s="407" t="s">
        <v>2630</v>
      </c>
      <c r="S526" s="411" t="s">
        <v>2631</v>
      </c>
      <c r="T526" s="412">
        <v>81</v>
      </c>
      <c r="U526" s="413">
        <v>57</v>
      </c>
      <c r="V526" s="413">
        <v>0</v>
      </c>
      <c r="W526" s="400" t="s">
        <v>2704</v>
      </c>
      <c r="X526" s="400" t="s">
        <v>2675</v>
      </c>
      <c r="Y526" s="389">
        <v>138</v>
      </c>
      <c r="Z526" s="412">
        <v>0</v>
      </c>
      <c r="AA526" s="413">
        <v>0</v>
      </c>
      <c r="AB526" s="413">
        <v>0</v>
      </c>
      <c r="AC526" s="399"/>
      <c r="AD526" s="400"/>
      <c r="AE526" s="389">
        <v>0</v>
      </c>
      <c r="AF526" s="402">
        <v>138</v>
      </c>
      <c r="AG526" s="415"/>
      <c r="AH526" s="414"/>
    </row>
    <row r="527" spans="1:34" s="80" customFormat="1" ht="12" customHeight="1">
      <c r="A527" s="418">
        <v>3169</v>
      </c>
      <c r="B527" s="419" t="s">
        <v>2675</v>
      </c>
      <c r="C527" s="419" t="s">
        <v>2675</v>
      </c>
      <c r="D527" s="419" t="s">
        <v>2704</v>
      </c>
      <c r="E527" s="418">
        <v>3</v>
      </c>
      <c r="F527" s="420">
        <v>6</v>
      </c>
      <c r="G527" s="69">
        <v>524</v>
      </c>
      <c r="H527" s="421" t="s">
        <v>2005</v>
      </c>
      <c r="I527" s="421" t="s">
        <v>2005</v>
      </c>
      <c r="J527" s="422">
        <v>20500101874501</v>
      </c>
      <c r="K527" s="420" t="s">
        <v>148</v>
      </c>
      <c r="L527" s="423"/>
      <c r="M527" s="420">
        <v>80</v>
      </c>
      <c r="N527" s="421" t="s">
        <v>2006</v>
      </c>
      <c r="O527" s="421" t="s">
        <v>2007</v>
      </c>
      <c r="P527" s="421">
        <v>2862293</v>
      </c>
      <c r="Q527" s="421" t="s">
        <v>2008</v>
      </c>
      <c r="R527" s="421" t="s">
        <v>2009</v>
      </c>
      <c r="S527" s="421" t="s">
        <v>2010</v>
      </c>
      <c r="T527" s="424">
        <v>0</v>
      </c>
      <c r="U527" s="424">
        <v>240</v>
      </c>
      <c r="V527" s="424">
        <v>110</v>
      </c>
      <c r="W527" s="425" t="s">
        <v>2704</v>
      </c>
      <c r="X527" s="425" t="s">
        <v>2675</v>
      </c>
      <c r="Y527" s="426">
        <v>350</v>
      </c>
      <c r="Z527" s="424">
        <v>0</v>
      </c>
      <c r="AA527" s="424">
        <v>0</v>
      </c>
      <c r="AB527" s="424">
        <v>0</v>
      </c>
      <c r="AC527" s="424"/>
      <c r="AD527" s="425"/>
      <c r="AE527" s="426">
        <v>0</v>
      </c>
      <c r="AF527" s="427">
        <v>350</v>
      </c>
      <c r="AG527" s="423"/>
      <c r="AH527" s="428"/>
    </row>
    <row r="528" spans="1:34" s="80" customFormat="1" ht="12" customHeight="1">
      <c r="A528" s="418">
        <v>3170</v>
      </c>
      <c r="B528" s="419" t="s">
        <v>2675</v>
      </c>
      <c r="C528" s="419" t="s">
        <v>2675</v>
      </c>
      <c r="D528" s="419" t="s">
        <v>2704</v>
      </c>
      <c r="E528" s="418">
        <v>3</v>
      </c>
      <c r="F528" s="420">
        <v>6</v>
      </c>
      <c r="G528" s="69">
        <v>525</v>
      </c>
      <c r="H528" s="421" t="s">
        <v>2632</v>
      </c>
      <c r="I528" s="421" t="s">
        <v>2632</v>
      </c>
      <c r="J528" s="422">
        <v>10500101875901</v>
      </c>
      <c r="K528" s="420" t="s">
        <v>148</v>
      </c>
      <c r="L528" s="423"/>
      <c r="M528" s="420">
        <v>80</v>
      </c>
      <c r="N528" s="421" t="s">
        <v>2006</v>
      </c>
      <c r="O528" s="421" t="s">
        <v>2633</v>
      </c>
      <c r="P528" s="421" t="s">
        <v>2634</v>
      </c>
      <c r="Q528" s="421" t="s">
        <v>2635</v>
      </c>
      <c r="R528" s="421" t="s">
        <v>2636</v>
      </c>
      <c r="S528" s="421" t="s">
        <v>2637</v>
      </c>
      <c r="T528" s="424">
        <v>0</v>
      </c>
      <c r="U528" s="424">
        <v>268</v>
      </c>
      <c r="V528" s="424">
        <v>137</v>
      </c>
      <c r="W528" s="425" t="s">
        <v>2704</v>
      </c>
      <c r="X528" s="425" t="s">
        <v>2675</v>
      </c>
      <c r="Y528" s="426">
        <v>405</v>
      </c>
      <c r="Z528" s="424">
        <v>0</v>
      </c>
      <c r="AA528" s="424">
        <v>0</v>
      </c>
      <c r="AB528" s="424">
        <v>0</v>
      </c>
      <c r="AC528" s="424"/>
      <c r="AD528" s="425"/>
      <c r="AE528" s="426">
        <v>0</v>
      </c>
      <c r="AF528" s="427">
        <v>405</v>
      </c>
      <c r="AG528" s="423"/>
      <c r="AH528" s="428"/>
    </row>
    <row r="529" spans="1:35" s="80" customFormat="1" ht="12" customHeight="1">
      <c r="A529" s="429">
        <v>3171</v>
      </c>
      <c r="B529" s="430" t="s">
        <v>2675</v>
      </c>
      <c r="C529" s="405" t="s">
        <v>2675</v>
      </c>
      <c r="D529" s="430" t="s">
        <v>2704</v>
      </c>
      <c r="E529" s="429">
        <v>3</v>
      </c>
      <c r="F529" s="431">
        <v>6</v>
      </c>
      <c r="G529" s="69">
        <v>526</v>
      </c>
      <c r="H529" s="432" t="s">
        <v>2638</v>
      </c>
      <c r="I529" s="432" t="s">
        <v>2638</v>
      </c>
      <c r="J529" s="433">
        <v>20500102662401</v>
      </c>
      <c r="K529" s="431" t="s">
        <v>148</v>
      </c>
      <c r="L529" s="434"/>
      <c r="M529" s="431">
        <v>80</v>
      </c>
      <c r="N529" s="432" t="s">
        <v>1987</v>
      </c>
      <c r="O529" s="432" t="s">
        <v>2639</v>
      </c>
      <c r="P529" s="432" t="s">
        <v>2640</v>
      </c>
      <c r="Q529" s="432" t="s">
        <v>2641</v>
      </c>
      <c r="R529" s="432" t="s">
        <v>2642</v>
      </c>
      <c r="S529" s="432" t="s">
        <v>2643</v>
      </c>
      <c r="T529" s="435">
        <v>192</v>
      </c>
      <c r="U529" s="435">
        <v>150</v>
      </c>
      <c r="V529" s="435">
        <v>108</v>
      </c>
      <c r="W529" s="436" t="s">
        <v>2704</v>
      </c>
      <c r="X529" s="436" t="s">
        <v>2675</v>
      </c>
      <c r="Y529" s="437">
        <v>450</v>
      </c>
      <c r="Z529" s="435">
        <v>0</v>
      </c>
      <c r="AA529" s="435">
        <v>0</v>
      </c>
      <c r="AB529" s="435">
        <v>0</v>
      </c>
      <c r="AC529" s="435"/>
      <c r="AD529" s="436"/>
      <c r="AE529" s="437">
        <v>0</v>
      </c>
      <c r="AF529" s="438">
        <v>450</v>
      </c>
      <c r="AG529" s="434"/>
      <c r="AH529" s="439"/>
    </row>
    <row r="530" spans="1:35" s="80" customFormat="1" ht="12" customHeight="1">
      <c r="A530" s="429">
        <v>3172</v>
      </c>
      <c r="B530" s="430" t="s">
        <v>2675</v>
      </c>
      <c r="C530" s="405" t="s">
        <v>2675</v>
      </c>
      <c r="D530" s="430" t="s">
        <v>2704</v>
      </c>
      <c r="E530" s="429">
        <v>3</v>
      </c>
      <c r="F530" s="431">
        <v>6</v>
      </c>
      <c r="G530" s="69">
        <v>527</v>
      </c>
      <c r="H530" s="432" t="s">
        <v>2644</v>
      </c>
      <c r="I530" s="432" t="s">
        <v>2644</v>
      </c>
      <c r="J530" s="433">
        <v>20500102663201</v>
      </c>
      <c r="K530" s="431" t="s">
        <v>148</v>
      </c>
      <c r="L530" s="434"/>
      <c r="M530" s="431">
        <v>80</v>
      </c>
      <c r="N530" s="432" t="s">
        <v>2645</v>
      </c>
      <c r="O530" s="432" t="s">
        <v>2646</v>
      </c>
      <c r="P530" s="432" t="s">
        <v>2647</v>
      </c>
      <c r="Q530" s="432" t="s">
        <v>2648</v>
      </c>
      <c r="R530" s="432" t="s">
        <v>2649</v>
      </c>
      <c r="S530" s="432" t="s">
        <v>2650</v>
      </c>
      <c r="T530" s="435">
        <v>290</v>
      </c>
      <c r="U530" s="435">
        <v>330</v>
      </c>
      <c r="V530" s="435">
        <v>123</v>
      </c>
      <c r="W530" s="436" t="s">
        <v>2704</v>
      </c>
      <c r="X530" s="436" t="s">
        <v>2675</v>
      </c>
      <c r="Y530" s="437">
        <v>743</v>
      </c>
      <c r="Z530" s="435">
        <v>0</v>
      </c>
      <c r="AA530" s="435">
        <v>0</v>
      </c>
      <c r="AB530" s="435">
        <v>0</v>
      </c>
      <c r="AC530" s="435"/>
      <c r="AD530" s="436"/>
      <c r="AE530" s="437">
        <v>0</v>
      </c>
      <c r="AF530" s="438">
        <v>743</v>
      </c>
      <c r="AG530" s="434"/>
      <c r="AH530" s="439"/>
    </row>
    <row r="531" spans="1:35" s="80" customFormat="1" ht="12" customHeight="1">
      <c r="A531" s="66">
        <v>3173</v>
      </c>
      <c r="B531" s="67" t="s">
        <v>2675</v>
      </c>
      <c r="C531" s="67" t="s">
        <v>2675</v>
      </c>
      <c r="D531" s="67" t="s">
        <v>2704</v>
      </c>
      <c r="E531" s="66">
        <v>3</v>
      </c>
      <c r="F531" s="372">
        <v>6</v>
      </c>
      <c r="G531" s="69">
        <v>528</v>
      </c>
      <c r="H531" s="37" t="s">
        <v>2651</v>
      </c>
      <c r="I531" s="37" t="s">
        <v>2048</v>
      </c>
      <c r="J531" s="70">
        <v>40500101694601</v>
      </c>
      <c r="K531" s="38" t="s">
        <v>226</v>
      </c>
      <c r="L531" s="79"/>
      <c r="M531" s="38">
        <v>80</v>
      </c>
      <c r="N531" s="37" t="s">
        <v>1987</v>
      </c>
      <c r="O531" s="37" t="s">
        <v>1971</v>
      </c>
      <c r="P531" s="37" t="s">
        <v>2652</v>
      </c>
      <c r="Q531" s="37" t="s">
        <v>2653</v>
      </c>
      <c r="R531" s="37" t="s">
        <v>2654</v>
      </c>
      <c r="S531" s="72" t="s">
        <v>2655</v>
      </c>
      <c r="T531" s="73">
        <v>37</v>
      </c>
      <c r="U531" s="74">
        <v>23</v>
      </c>
      <c r="V531" s="74">
        <v>32</v>
      </c>
      <c r="W531" s="373" t="s">
        <v>2704</v>
      </c>
      <c r="X531" s="373" t="s">
        <v>2675</v>
      </c>
      <c r="Y531" s="76">
        <v>92</v>
      </c>
      <c r="Z531" s="73">
        <v>0</v>
      </c>
      <c r="AA531" s="74">
        <v>0</v>
      </c>
      <c r="AB531" s="74">
        <v>0</v>
      </c>
      <c r="AC531" s="75"/>
      <c r="AD531" s="373"/>
      <c r="AE531" s="76">
        <v>0</v>
      </c>
      <c r="AF531" s="77">
        <v>92</v>
      </c>
      <c r="AG531" s="275"/>
      <c r="AH531" s="417"/>
    </row>
    <row r="532" spans="1:35" s="80" customFormat="1" ht="12" customHeight="1">
      <c r="A532" s="429">
        <v>3174</v>
      </c>
      <c r="B532" s="405" t="s">
        <v>2675</v>
      </c>
      <c r="C532" s="405" t="s">
        <v>2675</v>
      </c>
      <c r="D532" s="405" t="s">
        <v>2704</v>
      </c>
      <c r="E532" s="429">
        <v>3</v>
      </c>
      <c r="F532" s="440">
        <v>6</v>
      </c>
      <c r="G532" s="69">
        <v>529</v>
      </c>
      <c r="H532" s="432" t="s">
        <v>2656</v>
      </c>
      <c r="I532" s="432" t="s">
        <v>2657</v>
      </c>
      <c r="J532" s="433">
        <v>20500100979701</v>
      </c>
      <c r="K532" s="431" t="s">
        <v>148</v>
      </c>
      <c r="L532" s="434"/>
      <c r="M532" s="431">
        <v>80</v>
      </c>
      <c r="N532" s="432" t="s">
        <v>1964</v>
      </c>
      <c r="O532" s="432" t="s">
        <v>2658</v>
      </c>
      <c r="P532" s="432" t="s">
        <v>2659</v>
      </c>
      <c r="Q532" s="432" t="s">
        <v>2035</v>
      </c>
      <c r="R532" s="432" t="s">
        <v>2660</v>
      </c>
      <c r="S532" s="441" t="s">
        <v>2037</v>
      </c>
      <c r="T532" s="442">
        <v>82</v>
      </c>
      <c r="U532" s="435">
        <v>8</v>
      </c>
      <c r="V532" s="435">
        <v>0</v>
      </c>
      <c r="W532" s="425" t="s">
        <v>2704</v>
      </c>
      <c r="X532" s="373" t="s">
        <v>2675</v>
      </c>
      <c r="Y532" s="443">
        <v>90</v>
      </c>
      <c r="Z532" s="442">
        <v>0</v>
      </c>
      <c r="AA532" s="435">
        <v>0</v>
      </c>
      <c r="AB532" s="435">
        <v>0</v>
      </c>
      <c r="AC532" s="444"/>
      <c r="AD532" s="445"/>
      <c r="AE532" s="443">
        <v>0</v>
      </c>
      <c r="AF532" s="446">
        <v>90</v>
      </c>
      <c r="AG532" s="434"/>
      <c r="AH532" s="439"/>
      <c r="AI532" s="82"/>
    </row>
    <row r="533" spans="1:35" s="80" customFormat="1" ht="12" customHeight="1">
      <c r="A533" s="429">
        <v>3175</v>
      </c>
      <c r="B533" s="405" t="s">
        <v>2675</v>
      </c>
      <c r="C533" s="405" t="s">
        <v>2675</v>
      </c>
      <c r="D533" s="405" t="s">
        <v>2705</v>
      </c>
      <c r="E533" s="429">
        <v>3</v>
      </c>
      <c r="F533" s="440">
        <v>6</v>
      </c>
      <c r="G533" s="69">
        <v>530</v>
      </c>
      <c r="H533" s="432" t="s">
        <v>2661</v>
      </c>
      <c r="I533" s="432" t="s">
        <v>2661</v>
      </c>
      <c r="J533" s="433">
        <v>30500102559201</v>
      </c>
      <c r="K533" s="431" t="s">
        <v>226</v>
      </c>
      <c r="L533" s="434"/>
      <c r="M533" s="431">
        <v>80</v>
      </c>
      <c r="N533" s="432" t="s">
        <v>2662</v>
      </c>
      <c r="O533" s="432" t="s">
        <v>2663</v>
      </c>
      <c r="P533" s="432">
        <v>4444262</v>
      </c>
      <c r="Q533" s="432" t="s">
        <v>2664</v>
      </c>
      <c r="R533" s="432" t="s">
        <v>2665</v>
      </c>
      <c r="S533" s="441" t="s">
        <v>2666</v>
      </c>
      <c r="T533" s="442">
        <v>80</v>
      </c>
      <c r="U533" s="435">
        <v>310</v>
      </c>
      <c r="V533" s="435">
        <v>260</v>
      </c>
      <c r="W533" s="436" t="s">
        <v>2704</v>
      </c>
      <c r="X533" s="400" t="s">
        <v>2675</v>
      </c>
      <c r="Y533" s="443">
        <v>650</v>
      </c>
      <c r="Z533" s="442">
        <v>345</v>
      </c>
      <c r="AA533" s="435">
        <v>217</v>
      </c>
      <c r="AB533" s="435">
        <v>0</v>
      </c>
      <c r="AC533" s="435" t="s">
        <v>2700</v>
      </c>
      <c r="AD533" s="400" t="s">
        <v>2675</v>
      </c>
      <c r="AE533" s="443">
        <v>562</v>
      </c>
      <c r="AF533" s="446">
        <v>1212</v>
      </c>
      <c r="AG533" s="434"/>
      <c r="AH533" s="439"/>
      <c r="AI533" s="82"/>
    </row>
    <row r="534" spans="1:35" s="80" customFormat="1" ht="12" customHeight="1">
      <c r="A534" s="334">
        <v>3176</v>
      </c>
      <c r="B534" s="447" t="s">
        <v>2675</v>
      </c>
      <c r="C534" s="332" t="s">
        <v>2675</v>
      </c>
      <c r="D534" s="447" t="s">
        <v>2705</v>
      </c>
      <c r="E534" s="334">
        <v>3</v>
      </c>
      <c r="F534" s="448">
        <v>6</v>
      </c>
      <c r="G534" s="69">
        <v>531</v>
      </c>
      <c r="H534" s="449" t="s">
        <v>1091</v>
      </c>
      <c r="I534" s="450" t="s">
        <v>1091</v>
      </c>
      <c r="J534" s="451">
        <v>10500102635201</v>
      </c>
      <c r="K534" s="452" t="s">
        <v>148</v>
      </c>
      <c r="L534" s="452"/>
      <c r="M534" s="452">
        <v>13</v>
      </c>
      <c r="N534" s="453" t="s">
        <v>1092</v>
      </c>
      <c r="O534" s="449" t="s">
        <v>1093</v>
      </c>
      <c r="P534" s="453">
        <v>2528790</v>
      </c>
      <c r="Q534" s="449" t="s">
        <v>1094</v>
      </c>
      <c r="R534" s="449" t="s">
        <v>1095</v>
      </c>
      <c r="S534" s="454" t="s">
        <v>1096</v>
      </c>
      <c r="T534" s="455">
        <v>0</v>
      </c>
      <c r="U534" s="456">
        <v>0</v>
      </c>
      <c r="V534" s="456">
        <v>0</v>
      </c>
      <c r="W534" s="344" t="s">
        <v>2704</v>
      </c>
      <c r="X534" s="344" t="s">
        <v>2851</v>
      </c>
      <c r="Y534" s="457">
        <v>469</v>
      </c>
      <c r="Z534" s="455">
        <v>0</v>
      </c>
      <c r="AA534" s="456">
        <v>0</v>
      </c>
      <c r="AB534" s="458">
        <v>0</v>
      </c>
      <c r="AC534" s="346"/>
      <c r="AD534" s="346"/>
      <c r="AE534" s="457">
        <v>0</v>
      </c>
      <c r="AF534" s="459">
        <v>0</v>
      </c>
      <c r="AG534" s="451"/>
      <c r="AH534" s="460"/>
      <c r="AI534" s="82"/>
    </row>
    <row r="535" spans="1:35" s="80" customFormat="1" ht="12" customHeight="1">
      <c r="A535" s="334">
        <v>3177</v>
      </c>
      <c r="B535" s="447" t="s">
        <v>2675</v>
      </c>
      <c r="C535" s="332" t="s">
        <v>2675</v>
      </c>
      <c r="D535" s="447" t="s">
        <v>2705</v>
      </c>
      <c r="E535" s="334">
        <v>3</v>
      </c>
      <c r="F535" s="448">
        <v>6</v>
      </c>
      <c r="G535" s="69">
        <v>532</v>
      </c>
      <c r="H535" s="449" t="s">
        <v>497</v>
      </c>
      <c r="I535" s="450" t="s">
        <v>497</v>
      </c>
      <c r="J535" s="451">
        <v>10500101307201</v>
      </c>
      <c r="K535" s="452" t="s">
        <v>148</v>
      </c>
      <c r="L535" s="452"/>
      <c r="M535" s="452">
        <v>5</v>
      </c>
      <c r="N535" s="453" t="s">
        <v>467</v>
      </c>
      <c r="O535" s="449" t="s">
        <v>498</v>
      </c>
      <c r="P535" s="453" t="s">
        <v>499</v>
      </c>
      <c r="Q535" s="449" t="s">
        <v>500</v>
      </c>
      <c r="R535" s="449" t="s">
        <v>501</v>
      </c>
      <c r="S535" s="454" t="s">
        <v>502</v>
      </c>
      <c r="T535" s="455">
        <v>0</v>
      </c>
      <c r="U535" s="456">
        <v>0</v>
      </c>
      <c r="V535" s="456">
        <v>0</v>
      </c>
      <c r="W535" s="344" t="s">
        <v>2704</v>
      </c>
      <c r="X535" s="344" t="s">
        <v>2851</v>
      </c>
      <c r="Y535" s="457">
        <v>0</v>
      </c>
      <c r="Z535" s="455">
        <v>0</v>
      </c>
      <c r="AA535" s="456">
        <v>147</v>
      </c>
      <c r="AB535" s="458">
        <v>53</v>
      </c>
      <c r="AC535" s="346"/>
      <c r="AD535" s="346"/>
      <c r="AE535" s="457">
        <v>0</v>
      </c>
      <c r="AF535" s="459">
        <v>200</v>
      </c>
      <c r="AG535" s="451"/>
      <c r="AH535" s="460"/>
      <c r="AI535" s="82"/>
    </row>
    <row r="536" spans="1:35" s="80" customFormat="1" ht="12" customHeight="1">
      <c r="A536" s="334">
        <v>3178</v>
      </c>
      <c r="B536" s="447" t="s">
        <v>2675</v>
      </c>
      <c r="C536" s="332" t="s">
        <v>2675</v>
      </c>
      <c r="D536" s="447" t="s">
        <v>2852</v>
      </c>
      <c r="E536" s="334">
        <v>3</v>
      </c>
      <c r="F536" s="448">
        <v>6</v>
      </c>
      <c r="G536" s="69">
        <v>533</v>
      </c>
      <c r="H536" s="449" t="s">
        <v>503</v>
      </c>
      <c r="I536" s="450" t="s">
        <v>503</v>
      </c>
      <c r="J536" s="451">
        <v>10500101307202</v>
      </c>
      <c r="K536" s="452" t="s">
        <v>148</v>
      </c>
      <c r="L536" s="452"/>
      <c r="M536" s="452">
        <v>5</v>
      </c>
      <c r="N536" s="453" t="s">
        <v>467</v>
      </c>
      <c r="O536" s="449" t="s">
        <v>504</v>
      </c>
      <c r="P536" s="453">
        <v>2730379</v>
      </c>
      <c r="Q536" s="449" t="s">
        <v>505</v>
      </c>
      <c r="R536" s="449" t="s">
        <v>506</v>
      </c>
      <c r="S536" s="454" t="s">
        <v>507</v>
      </c>
      <c r="T536" s="455">
        <v>260</v>
      </c>
      <c r="U536" s="456">
        <v>30</v>
      </c>
      <c r="V536" s="456">
        <v>0</v>
      </c>
      <c r="W536" s="344" t="s">
        <v>2704</v>
      </c>
      <c r="X536" s="344" t="s">
        <v>2675</v>
      </c>
      <c r="Y536" s="457">
        <v>290</v>
      </c>
      <c r="Z536" s="455">
        <v>252</v>
      </c>
      <c r="AA536" s="456">
        <v>38</v>
      </c>
      <c r="AB536" s="458">
        <v>0</v>
      </c>
      <c r="AC536" s="346" t="s">
        <v>2700</v>
      </c>
      <c r="AD536" s="346"/>
      <c r="AE536" s="457">
        <v>0</v>
      </c>
      <c r="AF536" s="459">
        <v>290</v>
      </c>
      <c r="AG536" s="451"/>
      <c r="AH536" s="460"/>
    </row>
    <row r="537" spans="1:35" s="80" customFormat="1" ht="12" customHeight="1">
      <c r="A537" s="334">
        <v>3179</v>
      </c>
      <c r="B537" s="447" t="s">
        <v>2675</v>
      </c>
      <c r="C537" s="332" t="s">
        <v>2675</v>
      </c>
      <c r="D537" s="447" t="s">
        <v>2704</v>
      </c>
      <c r="E537" s="334">
        <v>3</v>
      </c>
      <c r="F537" s="448">
        <v>3</v>
      </c>
      <c r="G537" s="69">
        <v>534</v>
      </c>
      <c r="H537" s="449" t="s">
        <v>2853</v>
      </c>
      <c r="I537" s="450" t="s">
        <v>2853</v>
      </c>
      <c r="J537" s="451"/>
      <c r="K537" s="452"/>
      <c r="L537" s="452"/>
      <c r="M537" s="452"/>
      <c r="N537" s="453" t="s">
        <v>2854</v>
      </c>
      <c r="O537" s="449" t="s">
        <v>2855</v>
      </c>
      <c r="P537" s="453" t="s">
        <v>2856</v>
      </c>
      <c r="Q537" s="449"/>
      <c r="R537" s="449"/>
      <c r="S537" s="454"/>
      <c r="T537" s="455">
        <v>0</v>
      </c>
      <c r="U537" s="456">
        <v>82</v>
      </c>
      <c r="V537" s="456">
        <v>414</v>
      </c>
      <c r="W537" s="344" t="s">
        <v>2704</v>
      </c>
      <c r="X537" s="344" t="s">
        <v>2675</v>
      </c>
      <c r="Y537" s="457">
        <v>496</v>
      </c>
      <c r="Z537" s="455">
        <v>0</v>
      </c>
      <c r="AA537" s="456">
        <v>0</v>
      </c>
      <c r="AB537" s="458">
        <v>0</v>
      </c>
      <c r="AC537" s="346">
        <v>0</v>
      </c>
      <c r="AD537" s="346">
        <v>0</v>
      </c>
      <c r="AE537" s="457">
        <v>0</v>
      </c>
      <c r="AF537" s="459">
        <v>496</v>
      </c>
      <c r="AG537" s="451"/>
      <c r="AH537" s="460"/>
    </row>
    <row r="538" spans="1:35" s="80" customFormat="1" ht="12" customHeight="1">
      <c r="A538" s="334">
        <v>3180</v>
      </c>
      <c r="B538" s="447" t="s">
        <v>2675</v>
      </c>
      <c r="C538" s="332" t="s">
        <v>2675</v>
      </c>
      <c r="D538" s="447" t="s">
        <v>2700</v>
      </c>
      <c r="E538" s="334">
        <v>3</v>
      </c>
      <c r="F538" s="448">
        <v>3</v>
      </c>
      <c r="G538" s="69">
        <v>535</v>
      </c>
      <c r="H538" s="449" t="s">
        <v>2857</v>
      </c>
      <c r="I538" s="450" t="s">
        <v>2857</v>
      </c>
      <c r="J538" s="451">
        <v>10500101136302</v>
      </c>
      <c r="K538" s="452" t="s">
        <v>148</v>
      </c>
      <c r="L538" s="452"/>
      <c r="M538" s="452">
        <v>6</v>
      </c>
      <c r="N538" s="453" t="s">
        <v>661</v>
      </c>
      <c r="O538" s="449" t="s">
        <v>668</v>
      </c>
      <c r="P538" s="453" t="s">
        <v>669</v>
      </c>
      <c r="Q538" s="449" t="s">
        <v>670</v>
      </c>
      <c r="R538" s="449" t="s">
        <v>671</v>
      </c>
      <c r="S538" s="454" t="s">
        <v>672</v>
      </c>
      <c r="T538" s="455">
        <v>137</v>
      </c>
      <c r="U538" s="456">
        <v>83</v>
      </c>
      <c r="V538" s="456">
        <v>0</v>
      </c>
      <c r="W538" s="344" t="s">
        <v>2704</v>
      </c>
      <c r="X538" s="344" t="s">
        <v>2675</v>
      </c>
      <c r="Y538" s="457">
        <v>220</v>
      </c>
      <c r="Z538" s="455">
        <v>195</v>
      </c>
      <c r="AA538" s="456">
        <v>75</v>
      </c>
      <c r="AB538" s="458">
        <v>0</v>
      </c>
      <c r="AC538" s="346" t="s">
        <v>2700</v>
      </c>
      <c r="AD538" s="344" t="s">
        <v>2675</v>
      </c>
      <c r="AE538" s="457">
        <v>270</v>
      </c>
      <c r="AF538" s="459">
        <v>490</v>
      </c>
      <c r="AG538" s="451"/>
      <c r="AH538" s="460"/>
    </row>
    <row r="539" spans="1:35" s="80" customFormat="1" ht="12" customHeight="1">
      <c r="A539" s="334">
        <v>3181</v>
      </c>
      <c r="B539" s="447" t="s">
        <v>2675</v>
      </c>
      <c r="C539" s="219" t="s">
        <v>2675</v>
      </c>
      <c r="D539" s="447" t="s">
        <v>2704</v>
      </c>
      <c r="E539" s="334">
        <v>3</v>
      </c>
      <c r="F539" s="448">
        <v>3</v>
      </c>
      <c r="G539" s="69">
        <v>536</v>
      </c>
      <c r="H539" s="449" t="s">
        <v>809</v>
      </c>
      <c r="I539" s="450" t="s">
        <v>809</v>
      </c>
      <c r="J539" s="451">
        <v>10500101101101</v>
      </c>
      <c r="K539" s="452" t="s">
        <v>148</v>
      </c>
      <c r="L539" s="452"/>
      <c r="M539" s="452">
        <v>7</v>
      </c>
      <c r="N539" s="453" t="s">
        <v>810</v>
      </c>
      <c r="O539" s="449" t="s">
        <v>811</v>
      </c>
      <c r="P539" s="453" t="s">
        <v>812</v>
      </c>
      <c r="Q539" s="449" t="s">
        <v>813</v>
      </c>
      <c r="R539" s="449" t="s">
        <v>814</v>
      </c>
      <c r="S539" s="454" t="s">
        <v>815</v>
      </c>
      <c r="T539" s="455">
        <v>130</v>
      </c>
      <c r="U539" s="456">
        <v>160</v>
      </c>
      <c r="V539" s="456">
        <v>70</v>
      </c>
      <c r="W539" s="344" t="s">
        <v>2704</v>
      </c>
      <c r="X539" s="344" t="s">
        <v>2675</v>
      </c>
      <c r="Y539" s="457">
        <v>360</v>
      </c>
      <c r="Z539" s="455">
        <v>80</v>
      </c>
      <c r="AA539" s="456">
        <v>91</v>
      </c>
      <c r="AB539" s="458">
        <v>59</v>
      </c>
      <c r="AC539" s="346" t="s">
        <v>2700</v>
      </c>
      <c r="AD539" s="346" t="s">
        <v>2675</v>
      </c>
      <c r="AE539" s="457">
        <v>230</v>
      </c>
      <c r="AF539" s="459">
        <v>590</v>
      </c>
      <c r="AG539" s="451"/>
      <c r="AH539" s="460"/>
    </row>
    <row r="540" spans="1:35" s="80" customFormat="1" ht="12" customHeight="1">
      <c r="A540" s="334">
        <v>3182</v>
      </c>
      <c r="B540" s="447" t="s">
        <v>2675</v>
      </c>
      <c r="C540" s="332" t="s">
        <v>2675</v>
      </c>
      <c r="D540" s="447" t="s">
        <v>2852</v>
      </c>
      <c r="E540" s="334">
        <v>3</v>
      </c>
      <c r="F540" s="448">
        <v>6</v>
      </c>
      <c r="G540" s="69">
        <v>537</v>
      </c>
      <c r="H540" s="449" t="s">
        <v>1963</v>
      </c>
      <c r="I540" s="450" t="s">
        <v>1963</v>
      </c>
      <c r="J540" s="451">
        <v>20500101253403</v>
      </c>
      <c r="K540" s="452" t="s">
        <v>148</v>
      </c>
      <c r="L540" s="452"/>
      <c r="M540" s="452">
        <v>80</v>
      </c>
      <c r="N540" s="453" t="s">
        <v>1964</v>
      </c>
      <c r="O540" s="449" t="s">
        <v>1965</v>
      </c>
      <c r="P540" s="453">
        <v>2860139</v>
      </c>
      <c r="Q540" s="449" t="s">
        <v>1966</v>
      </c>
      <c r="R540" s="449" t="s">
        <v>1967</v>
      </c>
      <c r="S540" s="454" t="s">
        <v>1968</v>
      </c>
      <c r="T540" s="455">
        <v>128</v>
      </c>
      <c r="U540" s="456">
        <v>42</v>
      </c>
      <c r="V540" s="456">
        <v>0</v>
      </c>
      <c r="W540" s="344" t="s">
        <v>2704</v>
      </c>
      <c r="X540" s="344" t="s">
        <v>2675</v>
      </c>
      <c r="Y540" s="457">
        <v>170</v>
      </c>
      <c r="Z540" s="455">
        <v>354</v>
      </c>
      <c r="AA540" s="456">
        <v>56</v>
      </c>
      <c r="AB540" s="458">
        <v>0</v>
      </c>
      <c r="AC540" s="346" t="s">
        <v>2700</v>
      </c>
      <c r="AD540" s="346" t="s">
        <v>2675</v>
      </c>
      <c r="AE540" s="457">
        <v>410</v>
      </c>
      <c r="AF540" s="459">
        <v>580</v>
      </c>
      <c r="AG540" s="451"/>
      <c r="AH540" s="460"/>
    </row>
    <row r="541" spans="1:35" s="80" customFormat="1" ht="12" customHeight="1">
      <c r="A541" s="334">
        <v>3183</v>
      </c>
      <c r="B541" s="447" t="s">
        <v>2675</v>
      </c>
      <c r="C541" s="219" t="s">
        <v>2675</v>
      </c>
      <c r="D541" s="447" t="s">
        <v>2704</v>
      </c>
      <c r="E541" s="334">
        <v>3</v>
      </c>
      <c r="F541" s="448">
        <v>4</v>
      </c>
      <c r="G541" s="69">
        <v>538</v>
      </c>
      <c r="H541" s="449" t="s">
        <v>1724</v>
      </c>
      <c r="I541" s="450" t="s">
        <v>1724</v>
      </c>
      <c r="J541" s="451">
        <v>10500100188104</v>
      </c>
      <c r="K541" s="452" t="s">
        <v>148</v>
      </c>
      <c r="L541" s="452" t="s">
        <v>120</v>
      </c>
      <c r="M541" s="452">
        <v>12</v>
      </c>
      <c r="N541" s="453" t="s">
        <v>1053</v>
      </c>
      <c r="O541" s="449" t="s">
        <v>1725</v>
      </c>
      <c r="P541" s="453">
        <v>2520596</v>
      </c>
      <c r="Q541" s="449" t="s">
        <v>1726</v>
      </c>
      <c r="R541" s="449"/>
      <c r="S541" s="454" t="s">
        <v>1727</v>
      </c>
      <c r="T541" s="455">
        <v>271</v>
      </c>
      <c r="U541" s="456">
        <v>110</v>
      </c>
      <c r="V541" s="456">
        <v>0</v>
      </c>
      <c r="W541" s="344" t="s">
        <v>2704</v>
      </c>
      <c r="X541" s="344" t="s">
        <v>2675</v>
      </c>
      <c r="Y541" s="457">
        <v>381</v>
      </c>
      <c r="Z541" s="455">
        <v>0</v>
      </c>
      <c r="AA541" s="456">
        <v>0</v>
      </c>
      <c r="AB541" s="458">
        <v>0</v>
      </c>
      <c r="AC541" s="346"/>
      <c r="AD541" s="346"/>
      <c r="AE541" s="457">
        <v>0</v>
      </c>
      <c r="AF541" s="459">
        <v>381</v>
      </c>
      <c r="AG541" s="451"/>
      <c r="AH541" s="460"/>
    </row>
    <row r="542" spans="1:35" s="80" customFormat="1" ht="12" customHeight="1">
      <c r="A542" s="334">
        <v>3184</v>
      </c>
      <c r="B542" s="447" t="s">
        <v>2675</v>
      </c>
      <c r="C542" s="332" t="s">
        <v>2675</v>
      </c>
      <c r="D542" s="447" t="s">
        <v>2704</v>
      </c>
      <c r="E542" s="334">
        <v>3</v>
      </c>
      <c r="F542" s="448">
        <v>2</v>
      </c>
      <c r="G542" s="461">
        <v>539</v>
      </c>
      <c r="H542" s="449" t="s">
        <v>539</v>
      </c>
      <c r="I542" s="450" t="s">
        <v>2861</v>
      </c>
      <c r="J542" s="451">
        <v>30500101736101</v>
      </c>
      <c r="K542" s="452" t="s">
        <v>148</v>
      </c>
      <c r="L542" s="452" t="s">
        <v>120</v>
      </c>
      <c r="M542" s="452"/>
      <c r="N542" s="453" t="s">
        <v>533</v>
      </c>
      <c r="O542" s="462" t="s">
        <v>540</v>
      </c>
      <c r="P542" s="463">
        <v>4719328</v>
      </c>
      <c r="Q542" s="449" t="s">
        <v>2028</v>
      </c>
      <c r="R542" s="449"/>
      <c r="S542" s="454"/>
      <c r="T542" s="455">
        <v>0</v>
      </c>
      <c r="U542" s="456">
        <v>68</v>
      </c>
      <c r="V542" s="456">
        <v>0</v>
      </c>
      <c r="W542" s="344" t="s">
        <v>2704</v>
      </c>
      <c r="X542" s="344" t="s">
        <v>2675</v>
      </c>
      <c r="Y542" s="457">
        <v>68</v>
      </c>
      <c r="Z542" s="455">
        <v>0</v>
      </c>
      <c r="AA542" s="456">
        <v>0</v>
      </c>
      <c r="AB542" s="458">
        <v>0</v>
      </c>
      <c r="AC542" s="346"/>
      <c r="AD542" s="346"/>
      <c r="AE542" s="457">
        <v>0</v>
      </c>
      <c r="AF542" s="459">
        <v>68</v>
      </c>
      <c r="AG542" s="451"/>
      <c r="AH542" s="460"/>
    </row>
  </sheetData>
  <sheetProtection algorithmName="SHA-512" hashValue="zS9dRw0eBubu8ntOr+naI9QmT7riCmnA7zqGJFcZU4QYiWpjjl11wMJn/omCETqQjGGwWM2cf3Av3osi7O+cQg==" saltValue="h4Vip44OuiaVIh2KxTxVHA==" spinCount="100000" sheet="1" objects="1" scenarios="1"/>
  <conditionalFormatting sqref="G3:G542">
    <cfRule type="duplicateValues" dxfId="38" priority="3"/>
  </conditionalFormatting>
  <conditionalFormatting sqref="G193:G338">
    <cfRule type="duplicateValues" dxfId="37" priority="2"/>
  </conditionalFormatting>
  <conditionalFormatting sqref="G339:G513">
    <cfRule type="duplicateValues" dxfId="36" priority="1"/>
  </conditionalFormatting>
  <pageMargins left="0.7" right="0.7" top="0.75" bottom="0.75" header="0.3" footer="0.3"/>
  <pageSetup orientation="portrait" horizontalDpi="4294967293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Q148"/>
  <sheetViews>
    <sheetView workbookViewId="0">
      <selection sqref="A1:XFD1048576"/>
    </sheetView>
  </sheetViews>
  <sheetFormatPr baseColWidth="10" defaultColWidth="11.44140625" defaultRowHeight="14.4"/>
  <cols>
    <col min="1" max="1" width="69.88671875" customWidth="1"/>
    <col min="2" max="2" width="39" customWidth="1"/>
    <col min="3" max="3" width="39.6640625" customWidth="1"/>
    <col min="4" max="4" width="22.33203125" customWidth="1"/>
    <col min="10" max="10" width="28.109375" customWidth="1"/>
    <col min="12" max="12" width="22.88671875" bestFit="1" customWidth="1"/>
  </cols>
  <sheetData>
    <row r="1" spans="1:17">
      <c r="A1" s="1" t="s">
        <v>91</v>
      </c>
      <c r="B1" s="19" t="s">
        <v>119</v>
      </c>
      <c r="D1" s="1" t="s">
        <v>92</v>
      </c>
      <c r="F1" s="1" t="s">
        <v>5</v>
      </c>
      <c r="J1" s="1" t="s">
        <v>93</v>
      </c>
      <c r="L1" s="1" t="s">
        <v>112</v>
      </c>
      <c r="O1" s="21" t="s">
        <v>13</v>
      </c>
      <c r="Q1" s="21" t="s">
        <v>2706</v>
      </c>
    </row>
    <row r="2" spans="1:17">
      <c r="A2" s="2">
        <v>1</v>
      </c>
      <c r="B2" t="s">
        <v>226</v>
      </c>
      <c r="D2" t="s">
        <v>94</v>
      </c>
      <c r="F2" t="s">
        <v>87</v>
      </c>
      <c r="J2" s="8" t="s">
        <v>2689</v>
      </c>
      <c r="L2" s="8" t="s">
        <v>113</v>
      </c>
      <c r="O2" s="20">
        <v>1</v>
      </c>
      <c r="Q2" t="s">
        <v>2708</v>
      </c>
    </row>
    <row r="3" spans="1:17">
      <c r="A3" s="2">
        <v>0</v>
      </c>
      <c r="B3" t="s">
        <v>2687</v>
      </c>
      <c r="D3" t="s">
        <v>86</v>
      </c>
      <c r="F3" t="s">
        <v>95</v>
      </c>
      <c r="J3" s="8" t="s">
        <v>2688</v>
      </c>
      <c r="L3" s="8" t="s">
        <v>114</v>
      </c>
      <c r="O3" s="20">
        <v>2</v>
      </c>
      <c r="Q3" t="s">
        <v>2707</v>
      </c>
    </row>
    <row r="4" spans="1:17">
      <c r="A4" s="2" t="s">
        <v>88</v>
      </c>
      <c r="D4" t="s">
        <v>89</v>
      </c>
      <c r="J4" s="8" t="s">
        <v>2678</v>
      </c>
      <c r="L4" s="8" t="s">
        <v>115</v>
      </c>
      <c r="O4" s="20">
        <v>3</v>
      </c>
    </row>
    <row r="5" spans="1:17">
      <c r="A5" s="2"/>
      <c r="D5" t="s">
        <v>96</v>
      </c>
      <c r="J5" s="8" t="s">
        <v>2679</v>
      </c>
      <c r="O5" s="20">
        <v>4</v>
      </c>
    </row>
    <row r="6" spans="1:17">
      <c r="D6" t="s">
        <v>97</v>
      </c>
      <c r="J6" s="8" t="s">
        <v>2677</v>
      </c>
      <c r="O6" s="20"/>
    </row>
    <row r="8" spans="1:17">
      <c r="A8" s="6" t="s">
        <v>92</v>
      </c>
      <c r="B8" s="5" t="s">
        <v>98</v>
      </c>
    </row>
    <row r="9" spans="1:17">
      <c r="A9" s="7" t="s">
        <v>94</v>
      </c>
      <c r="B9" s="7" t="s">
        <v>99</v>
      </c>
    </row>
    <row r="10" spans="1:17">
      <c r="A10" s="7" t="s">
        <v>86</v>
      </c>
      <c r="B10" s="7" t="s">
        <v>100</v>
      </c>
    </row>
    <row r="11" spans="1:17">
      <c r="A11" s="7" t="s">
        <v>89</v>
      </c>
      <c r="B11" s="7" t="s">
        <v>101</v>
      </c>
    </row>
    <row r="12" spans="1:17">
      <c r="A12" s="7" t="s">
        <v>96</v>
      </c>
      <c r="B12" s="7" t="s">
        <v>102</v>
      </c>
    </row>
    <row r="13" spans="1:17">
      <c r="A13" s="7" t="s">
        <v>97</v>
      </c>
      <c r="B13" s="7" t="s">
        <v>103</v>
      </c>
    </row>
    <row r="14" spans="1:17">
      <c r="A14" s="7"/>
      <c r="B14" s="7"/>
    </row>
    <row r="15" spans="1:17">
      <c r="A15" s="7"/>
      <c r="B15" s="7"/>
    </row>
    <row r="16" spans="1:17">
      <c r="A16" s="7"/>
      <c r="B16" s="7"/>
    </row>
    <row r="17" spans="1:4">
      <c r="A17" s="7"/>
      <c r="B17" s="7"/>
    </row>
    <row r="18" spans="1:4">
      <c r="A18" t="s">
        <v>104</v>
      </c>
    </row>
    <row r="22" spans="1:4">
      <c r="A22" s="1" t="s">
        <v>105</v>
      </c>
    </row>
    <row r="23" spans="1:4">
      <c r="A23" t="s">
        <v>108</v>
      </c>
    </row>
    <row r="24" spans="1:4">
      <c r="A24" t="s">
        <v>116</v>
      </c>
    </row>
    <row r="25" spans="1:4">
      <c r="A25" t="s">
        <v>2685</v>
      </c>
    </row>
    <row r="26" spans="1:4">
      <c r="A26" t="s">
        <v>117</v>
      </c>
    </row>
    <row r="27" spans="1:4">
      <c r="A27" t="s">
        <v>2671</v>
      </c>
    </row>
    <row r="29" spans="1:4">
      <c r="A29" s="52" t="s">
        <v>106</v>
      </c>
      <c r="B29" s="52" t="s">
        <v>107</v>
      </c>
      <c r="C29" s="53" t="s">
        <v>122</v>
      </c>
      <c r="D29" s="53" t="s">
        <v>2710</v>
      </c>
    </row>
    <row r="30" spans="1:4">
      <c r="A30" s="54" t="s">
        <v>2716</v>
      </c>
      <c r="B30" s="54" t="s">
        <v>2717</v>
      </c>
      <c r="C30" s="55">
        <v>43670201</v>
      </c>
      <c r="D30" s="56">
        <v>3053018249</v>
      </c>
    </row>
    <row r="31" spans="1:4" ht="20.100000000000001" customHeight="1">
      <c r="A31" s="54" t="s">
        <v>2718</v>
      </c>
      <c r="B31" s="54" t="s">
        <v>2719</v>
      </c>
      <c r="C31" s="55">
        <v>43278551</v>
      </c>
      <c r="D31" s="56">
        <v>3006034259</v>
      </c>
    </row>
    <row r="32" spans="1:4" ht="20.100000000000001" customHeight="1">
      <c r="A32" s="57" t="s">
        <v>2720</v>
      </c>
      <c r="B32" s="54" t="s">
        <v>2721</v>
      </c>
      <c r="C32" s="58">
        <v>43750480</v>
      </c>
      <c r="D32" s="57">
        <v>3105038135</v>
      </c>
    </row>
    <row r="33" spans="1:4" ht="20.100000000000001" customHeight="1">
      <c r="A33" s="57" t="s">
        <v>2722</v>
      </c>
      <c r="B33" s="54" t="s">
        <v>2723</v>
      </c>
      <c r="C33" s="58">
        <v>1041228656</v>
      </c>
      <c r="D33" s="57">
        <v>3216260687</v>
      </c>
    </row>
    <row r="34" spans="1:4" ht="20.100000000000001" customHeight="1">
      <c r="A34" s="54" t="s">
        <v>2724</v>
      </c>
      <c r="B34" s="54" t="s">
        <v>2725</v>
      </c>
      <c r="C34" s="55">
        <v>43274580</v>
      </c>
      <c r="D34" s="56">
        <v>3103819182</v>
      </c>
    </row>
    <row r="35" spans="1:4" ht="20.100000000000001" customHeight="1">
      <c r="A35" s="57" t="s">
        <v>2726</v>
      </c>
      <c r="B35" s="54" t="s">
        <v>2727</v>
      </c>
      <c r="C35" s="58">
        <v>1020401790</v>
      </c>
      <c r="D35" s="57">
        <v>3127695498</v>
      </c>
    </row>
    <row r="36" spans="1:4" ht="20.100000000000001" customHeight="1">
      <c r="A36" s="54" t="s">
        <v>2728</v>
      </c>
      <c r="B36" s="54" t="s">
        <v>2729</v>
      </c>
      <c r="C36" s="55">
        <v>43991314</v>
      </c>
      <c r="D36" s="56">
        <v>3116681388</v>
      </c>
    </row>
    <row r="37" spans="1:4" ht="20.100000000000001" customHeight="1">
      <c r="A37" s="57" t="s">
        <v>2730</v>
      </c>
      <c r="B37" s="54" t="s">
        <v>2731</v>
      </c>
      <c r="C37" s="58">
        <v>43672123</v>
      </c>
      <c r="D37" s="57">
        <v>3122232226</v>
      </c>
    </row>
    <row r="38" spans="1:4" ht="20.100000000000001" customHeight="1">
      <c r="A38" s="57" t="s">
        <v>2732</v>
      </c>
      <c r="B38" s="54" t="s">
        <v>2733</v>
      </c>
      <c r="C38" s="58">
        <v>1128267136</v>
      </c>
      <c r="D38" s="57">
        <v>3162702798</v>
      </c>
    </row>
    <row r="39" spans="1:4" ht="20.100000000000001" customHeight="1">
      <c r="A39" s="57" t="s">
        <v>2734</v>
      </c>
      <c r="B39" s="54" t="s">
        <v>2735</v>
      </c>
      <c r="C39" s="58">
        <v>43621621</v>
      </c>
      <c r="D39" s="57">
        <v>3163923270</v>
      </c>
    </row>
    <row r="40" spans="1:4" ht="20.100000000000001" customHeight="1">
      <c r="A40" s="54" t="s">
        <v>2736</v>
      </c>
      <c r="B40" s="54" t="s">
        <v>2737</v>
      </c>
      <c r="C40" s="55">
        <v>43736133</v>
      </c>
      <c r="D40" s="54">
        <v>3122580333</v>
      </c>
    </row>
    <row r="41" spans="1:4" ht="20.100000000000001" customHeight="1">
      <c r="A41" s="59" t="s">
        <v>2738</v>
      </c>
      <c r="B41" s="59" t="s">
        <v>2739</v>
      </c>
      <c r="C41" s="60">
        <v>42988149</v>
      </c>
      <c r="D41" s="61">
        <v>3135145004</v>
      </c>
    </row>
    <row r="42" spans="1:4" ht="20.100000000000001" customHeight="1">
      <c r="A42" s="57" t="s">
        <v>2740</v>
      </c>
      <c r="B42" s="54" t="s">
        <v>2741</v>
      </c>
      <c r="C42" s="58">
        <v>43903066</v>
      </c>
      <c r="D42" s="57">
        <v>3013888247</v>
      </c>
    </row>
    <row r="43" spans="1:4" ht="20.100000000000001" customHeight="1">
      <c r="A43" s="54" t="s">
        <v>2742</v>
      </c>
      <c r="B43" s="54" t="s">
        <v>2743</v>
      </c>
      <c r="C43" s="55">
        <v>43817501</v>
      </c>
      <c r="D43" s="56">
        <v>3187632787</v>
      </c>
    </row>
    <row r="44" spans="1:4" ht="20.100000000000001" customHeight="1">
      <c r="A44" s="57" t="s">
        <v>2744</v>
      </c>
      <c r="B44" s="54" t="s">
        <v>2745</v>
      </c>
      <c r="C44" s="58">
        <v>1035415510</v>
      </c>
      <c r="D44" s="57">
        <v>3012909758</v>
      </c>
    </row>
    <row r="45" spans="1:4" ht="20.100000000000001" customHeight="1">
      <c r="A45" s="54" t="s">
        <v>2746</v>
      </c>
      <c r="B45" s="54" t="s">
        <v>2747</v>
      </c>
      <c r="C45" s="55">
        <v>43753686</v>
      </c>
      <c r="D45" s="56">
        <v>3168803770</v>
      </c>
    </row>
    <row r="46" spans="1:4" ht="20.100000000000001" customHeight="1">
      <c r="A46" s="54" t="s">
        <v>2748</v>
      </c>
      <c r="B46" s="54" t="s">
        <v>2749</v>
      </c>
      <c r="C46" s="60">
        <v>15374608</v>
      </c>
      <c r="D46" s="61">
        <v>3207379227</v>
      </c>
    </row>
    <row r="47" spans="1:4" ht="20.100000000000001" customHeight="1">
      <c r="A47" s="62" t="s">
        <v>2750</v>
      </c>
      <c r="B47" s="62" t="s">
        <v>2751</v>
      </c>
      <c r="C47" s="63">
        <v>1037595135</v>
      </c>
      <c r="D47" s="62">
        <v>3206096699</v>
      </c>
    </row>
    <row r="48" spans="1:4" ht="20.100000000000001" customHeight="1">
      <c r="A48" s="54" t="s">
        <v>2752</v>
      </c>
      <c r="B48" s="54" t="s">
        <v>2753</v>
      </c>
      <c r="C48" s="55">
        <v>43873792</v>
      </c>
      <c r="D48" s="56">
        <v>3008314302</v>
      </c>
    </row>
    <row r="49" spans="1:4" ht="20.100000000000001" customHeight="1">
      <c r="A49" s="57" t="s">
        <v>2754</v>
      </c>
      <c r="B49" s="54" t="s">
        <v>2755</v>
      </c>
      <c r="C49" s="58">
        <v>32532406</v>
      </c>
      <c r="D49" s="57">
        <v>3103907402</v>
      </c>
    </row>
    <row r="50" spans="1:4" ht="20.100000000000001" customHeight="1">
      <c r="A50" s="62" t="s">
        <v>2756</v>
      </c>
      <c r="B50" s="62" t="s">
        <v>2757</v>
      </c>
      <c r="C50" s="63">
        <v>71221958</v>
      </c>
      <c r="D50" s="62">
        <v>3017055321</v>
      </c>
    </row>
    <row r="51" spans="1:4" ht="20.100000000000001" customHeight="1">
      <c r="A51" s="54" t="s">
        <v>2758</v>
      </c>
      <c r="B51" s="54" t="s">
        <v>2759</v>
      </c>
      <c r="C51" s="55">
        <v>43278547</v>
      </c>
      <c r="D51" s="56">
        <v>3122606734</v>
      </c>
    </row>
    <row r="52" spans="1:4" ht="20.100000000000001" customHeight="1">
      <c r="A52" s="57" t="s">
        <v>2760</v>
      </c>
      <c r="B52" s="54" t="s">
        <v>2761</v>
      </c>
      <c r="C52" s="58">
        <v>43603765</v>
      </c>
      <c r="D52" s="57">
        <v>3003572550</v>
      </c>
    </row>
    <row r="53" spans="1:4" ht="20.100000000000001" customHeight="1">
      <c r="A53" s="59" t="s">
        <v>2762</v>
      </c>
      <c r="B53" s="59" t="s">
        <v>2763</v>
      </c>
      <c r="C53" s="60">
        <v>43694953</v>
      </c>
      <c r="D53" s="64">
        <v>3005576243</v>
      </c>
    </row>
    <row r="54" spans="1:4" ht="20.100000000000001" customHeight="1">
      <c r="A54" s="57" t="s">
        <v>2764</v>
      </c>
      <c r="B54" s="54" t="s">
        <v>2765</v>
      </c>
      <c r="C54" s="58">
        <v>1020392575</v>
      </c>
      <c r="D54" s="57">
        <v>3505497760</v>
      </c>
    </row>
    <row r="55" spans="1:4" ht="20.100000000000001" customHeight="1">
      <c r="A55" s="57" t="s">
        <v>2766</v>
      </c>
      <c r="B55" s="54" t="s">
        <v>2767</v>
      </c>
      <c r="C55" s="58">
        <v>79491339</v>
      </c>
      <c r="D55" s="57">
        <v>3002103783</v>
      </c>
    </row>
    <row r="56" spans="1:4" ht="20.100000000000001" customHeight="1">
      <c r="A56" s="57" t="s">
        <v>2768</v>
      </c>
      <c r="B56" s="54" t="s">
        <v>2769</v>
      </c>
      <c r="C56" s="63">
        <v>1128389394</v>
      </c>
      <c r="D56" s="65">
        <v>3148802812</v>
      </c>
    </row>
    <row r="57" spans="1:4" ht="20.100000000000001" customHeight="1">
      <c r="A57" s="54" t="s">
        <v>2770</v>
      </c>
      <c r="B57" s="54" t="s">
        <v>2771</v>
      </c>
      <c r="C57" s="55">
        <v>63548956</v>
      </c>
      <c r="D57" s="56">
        <v>3208468023</v>
      </c>
    </row>
    <row r="58" spans="1:4" ht="20.100000000000001" customHeight="1">
      <c r="A58" s="54" t="s">
        <v>2772</v>
      </c>
      <c r="B58" s="54" t="s">
        <v>2773</v>
      </c>
      <c r="C58" s="55">
        <v>98547058</v>
      </c>
      <c r="D58" s="56">
        <v>3216452902</v>
      </c>
    </row>
    <row r="59" spans="1:4" ht="20.100000000000001" customHeight="1">
      <c r="A59" s="54" t="s">
        <v>2774</v>
      </c>
      <c r="B59" s="54" t="s">
        <v>2775</v>
      </c>
      <c r="C59" s="55">
        <v>71382237</v>
      </c>
      <c r="D59" s="56">
        <v>3176993619</v>
      </c>
    </row>
    <row r="60" spans="1:4" ht="20.100000000000001" customHeight="1">
      <c r="A60" s="62" t="s">
        <v>2776</v>
      </c>
      <c r="B60" s="62" t="s">
        <v>2757</v>
      </c>
      <c r="C60" s="63">
        <v>1037578704</v>
      </c>
      <c r="D60" s="62">
        <v>3172792771</v>
      </c>
    </row>
    <row r="61" spans="1:4" ht="20.100000000000001" customHeight="1">
      <c r="A61" s="59" t="s">
        <v>2777</v>
      </c>
      <c r="B61" s="59" t="s">
        <v>2778</v>
      </c>
      <c r="C61" s="60">
        <v>15327426</v>
      </c>
      <c r="D61" s="61">
        <v>3137022601</v>
      </c>
    </row>
    <row r="62" spans="1:4" ht="20.100000000000001" customHeight="1">
      <c r="A62" s="54" t="s">
        <v>2779</v>
      </c>
      <c r="B62" s="54" t="s">
        <v>2780</v>
      </c>
      <c r="C62" s="55">
        <v>15339084</v>
      </c>
      <c r="D62" s="56">
        <v>3003380861</v>
      </c>
    </row>
    <row r="63" spans="1:4" ht="20.100000000000001" customHeight="1">
      <c r="A63" s="54" t="s">
        <v>2781</v>
      </c>
      <c r="B63" s="54" t="s">
        <v>2782</v>
      </c>
      <c r="C63" s="55">
        <v>3377696</v>
      </c>
      <c r="D63" s="56">
        <v>3206648045</v>
      </c>
    </row>
    <row r="64" spans="1:4">
      <c r="A64" s="57" t="s">
        <v>2783</v>
      </c>
      <c r="B64" s="54" t="s">
        <v>2784</v>
      </c>
      <c r="C64" s="58">
        <v>78747466</v>
      </c>
      <c r="D64" s="57">
        <v>3176157985</v>
      </c>
    </row>
    <row r="65" spans="1:4">
      <c r="A65" s="54" t="s">
        <v>2785</v>
      </c>
      <c r="B65" s="54" t="s">
        <v>2786</v>
      </c>
      <c r="C65" s="55">
        <v>8161159</v>
      </c>
      <c r="D65" s="56">
        <v>3014444408</v>
      </c>
    </row>
    <row r="66" spans="1:4">
      <c r="A66" s="62" t="s">
        <v>2787</v>
      </c>
      <c r="B66" s="62" t="s">
        <v>2757</v>
      </c>
      <c r="C66" s="63">
        <v>1020415248</v>
      </c>
      <c r="D66" s="62">
        <v>3045537367</v>
      </c>
    </row>
    <row r="67" spans="1:4">
      <c r="A67" s="57" t="s">
        <v>2788</v>
      </c>
      <c r="B67" s="54" t="s">
        <v>2789</v>
      </c>
      <c r="C67" s="58">
        <v>98585496</v>
      </c>
      <c r="D67" s="57">
        <v>3128479545</v>
      </c>
    </row>
    <row r="68" spans="1:4">
      <c r="A68" s="54" t="s">
        <v>2790</v>
      </c>
      <c r="B68" s="54" t="s">
        <v>2791</v>
      </c>
      <c r="C68" s="55">
        <v>43155806</v>
      </c>
      <c r="D68" s="54">
        <v>3004082599</v>
      </c>
    </row>
    <row r="69" spans="1:4">
      <c r="A69" s="57" t="s">
        <v>2792</v>
      </c>
      <c r="B69" s="54" t="s">
        <v>2793</v>
      </c>
      <c r="C69" s="58">
        <v>30689045</v>
      </c>
      <c r="D69" s="57">
        <v>3017548407</v>
      </c>
    </row>
    <row r="70" spans="1:4">
      <c r="A70" s="65" t="s">
        <v>2794</v>
      </c>
      <c r="B70" s="54" t="s">
        <v>2795</v>
      </c>
      <c r="C70" s="63">
        <v>1067836692</v>
      </c>
      <c r="D70" s="65">
        <v>3145943027</v>
      </c>
    </row>
    <row r="71" spans="1:4">
      <c r="A71" s="59" t="s">
        <v>2796</v>
      </c>
      <c r="B71" s="59" t="s">
        <v>2739</v>
      </c>
      <c r="C71" s="60">
        <v>43584643</v>
      </c>
      <c r="D71" s="61">
        <v>3108250295</v>
      </c>
    </row>
    <row r="72" spans="1:4">
      <c r="A72" s="57" t="s">
        <v>2797</v>
      </c>
      <c r="B72" s="54" t="s">
        <v>2798</v>
      </c>
      <c r="C72" s="58">
        <v>43675087</v>
      </c>
      <c r="D72" s="57">
        <v>3005585198</v>
      </c>
    </row>
    <row r="73" spans="1:4">
      <c r="A73" s="62" t="s">
        <v>2799</v>
      </c>
      <c r="B73" s="62" t="s">
        <v>2757</v>
      </c>
      <c r="C73" s="63">
        <v>71646315</v>
      </c>
      <c r="D73" s="62">
        <v>3022657909</v>
      </c>
    </row>
    <row r="74" spans="1:4">
      <c r="A74" s="54" t="s">
        <v>2800</v>
      </c>
      <c r="B74" s="54" t="s">
        <v>2801</v>
      </c>
      <c r="C74" s="55">
        <v>71794193</v>
      </c>
      <c r="D74" s="56">
        <v>3232279862</v>
      </c>
    </row>
    <row r="75" spans="1:4">
      <c r="A75" s="54" t="s">
        <v>2802</v>
      </c>
      <c r="B75" s="54" t="s">
        <v>2803</v>
      </c>
      <c r="C75" s="55">
        <v>43507756</v>
      </c>
      <c r="D75" s="56">
        <v>3127511500</v>
      </c>
    </row>
    <row r="76" spans="1:4">
      <c r="A76" s="59" t="s">
        <v>2804</v>
      </c>
      <c r="B76" s="59" t="s">
        <v>2739</v>
      </c>
      <c r="C76" s="60">
        <v>21632828</v>
      </c>
      <c r="D76" s="61">
        <v>3012343190</v>
      </c>
    </row>
    <row r="77" spans="1:4">
      <c r="A77" s="54" t="s">
        <v>2805</v>
      </c>
      <c r="B77" s="54" t="s">
        <v>2806</v>
      </c>
      <c r="C77" s="55">
        <v>21424735</v>
      </c>
      <c r="D77" s="56">
        <v>3148656539</v>
      </c>
    </row>
    <row r="78" spans="1:4">
      <c r="A78" s="57" t="s">
        <v>2807</v>
      </c>
      <c r="B78" s="54" t="s">
        <v>2808</v>
      </c>
      <c r="C78" s="58">
        <v>39286780</v>
      </c>
      <c r="D78" s="57">
        <v>3182813912</v>
      </c>
    </row>
    <row r="79" spans="1:4">
      <c r="A79" s="59" t="s">
        <v>2809</v>
      </c>
      <c r="B79" s="59" t="s">
        <v>2763</v>
      </c>
      <c r="C79" s="60">
        <v>43018447</v>
      </c>
      <c r="D79" s="61">
        <v>3206776532</v>
      </c>
    </row>
    <row r="80" spans="1:4">
      <c r="A80" s="59" t="s">
        <v>2810</v>
      </c>
      <c r="B80" s="59" t="s">
        <v>2739</v>
      </c>
      <c r="C80" s="60">
        <v>32532515</v>
      </c>
      <c r="D80" s="61">
        <v>3136592910</v>
      </c>
    </row>
    <row r="81" spans="1:4">
      <c r="A81" s="54" t="s">
        <v>2811</v>
      </c>
      <c r="B81" s="54" t="s">
        <v>2812</v>
      </c>
      <c r="C81" s="55">
        <v>43047248</v>
      </c>
      <c r="D81" s="56">
        <v>3006378958</v>
      </c>
    </row>
    <row r="82" spans="1:4">
      <c r="A82" s="54" t="s">
        <v>2813</v>
      </c>
      <c r="B82" s="54" t="s">
        <v>2814</v>
      </c>
      <c r="C82" s="55">
        <v>43828339</v>
      </c>
      <c r="D82" s="56">
        <v>3175024555</v>
      </c>
    </row>
    <row r="83" spans="1:4">
      <c r="A83" s="59" t="s">
        <v>2815</v>
      </c>
      <c r="B83" s="59" t="s">
        <v>2739</v>
      </c>
      <c r="C83" s="60">
        <v>40390230</v>
      </c>
      <c r="D83" s="61">
        <v>3108086396</v>
      </c>
    </row>
    <row r="84" spans="1:4">
      <c r="A84" s="57" t="s">
        <v>2816</v>
      </c>
      <c r="B84" s="54" t="s">
        <v>2817</v>
      </c>
      <c r="C84" s="58">
        <v>31435292</v>
      </c>
      <c r="D84" s="57">
        <v>3022900948</v>
      </c>
    </row>
    <row r="85" spans="1:4">
      <c r="A85" s="57" t="s">
        <v>2818</v>
      </c>
      <c r="B85" s="54" t="s">
        <v>2819</v>
      </c>
      <c r="C85" s="58">
        <v>80065608</v>
      </c>
      <c r="D85" s="57">
        <v>3214618286</v>
      </c>
    </row>
    <row r="86" spans="1:4">
      <c r="A86" s="57" t="s">
        <v>2820</v>
      </c>
      <c r="B86" s="54" t="s">
        <v>2821</v>
      </c>
      <c r="C86" s="58">
        <v>43205321</v>
      </c>
      <c r="D86" s="57">
        <v>3004947582</v>
      </c>
    </row>
    <row r="87" spans="1:4">
      <c r="A87" s="65" t="s">
        <v>2822</v>
      </c>
      <c r="B87" s="54" t="s">
        <v>2823</v>
      </c>
      <c r="C87" s="63">
        <v>43272726</v>
      </c>
      <c r="D87" s="65">
        <v>3226879551</v>
      </c>
    </row>
    <row r="88" spans="1:4">
      <c r="A88" s="54" t="s">
        <v>2824</v>
      </c>
      <c r="B88" s="54" t="s">
        <v>2825</v>
      </c>
      <c r="C88" s="55">
        <v>43907879</v>
      </c>
      <c r="D88" s="56">
        <v>3206850544</v>
      </c>
    </row>
    <row r="89" spans="1:4">
      <c r="A89" s="54" t="s">
        <v>2826</v>
      </c>
      <c r="B89" s="54" t="s">
        <v>2827</v>
      </c>
      <c r="C89" s="55">
        <v>15647570</v>
      </c>
      <c r="D89" s="54">
        <v>3008196246</v>
      </c>
    </row>
    <row r="90" spans="1:4">
      <c r="A90" s="57" t="s">
        <v>2828</v>
      </c>
      <c r="B90" s="54" t="s">
        <v>2829</v>
      </c>
      <c r="C90" s="63">
        <v>43867628</v>
      </c>
      <c r="D90" s="65">
        <v>3104527048</v>
      </c>
    </row>
    <row r="91" spans="1:4">
      <c r="A91" s="57" t="s">
        <v>2830</v>
      </c>
      <c r="B91" s="54" t="s">
        <v>2831</v>
      </c>
      <c r="C91" s="58">
        <v>15387713</v>
      </c>
      <c r="D91" s="57">
        <v>3216320996</v>
      </c>
    </row>
    <row r="92" spans="1:4">
      <c r="A92" s="57" t="s">
        <v>2832</v>
      </c>
      <c r="B92" s="54" t="s">
        <v>2833</v>
      </c>
      <c r="C92" s="58">
        <v>71375124</v>
      </c>
      <c r="D92" s="57">
        <v>3014724347</v>
      </c>
    </row>
    <row r="93" spans="1:4">
      <c r="A93" s="54" t="s">
        <v>2834</v>
      </c>
      <c r="B93" s="54" t="s">
        <v>2835</v>
      </c>
      <c r="C93" s="55">
        <v>98761137</v>
      </c>
      <c r="D93" s="56">
        <v>3113427500</v>
      </c>
    </row>
    <row r="94" spans="1:4">
      <c r="A94" s="57" t="s">
        <v>2836</v>
      </c>
      <c r="B94" s="54" t="s">
        <v>2837</v>
      </c>
      <c r="C94" s="58">
        <v>1128278356</v>
      </c>
      <c r="D94" s="57">
        <v>3105561749</v>
      </c>
    </row>
    <row r="99" spans="1:1">
      <c r="A99" s="21" t="s">
        <v>11</v>
      </c>
    </row>
    <row r="100" spans="1:1">
      <c r="A100" s="20">
        <v>1</v>
      </c>
    </row>
    <row r="101" spans="1:1">
      <c r="A101" s="20">
        <v>2</v>
      </c>
    </row>
    <row r="102" spans="1:1">
      <c r="A102" s="20">
        <v>3</v>
      </c>
    </row>
    <row r="103" spans="1:1">
      <c r="A103" s="20">
        <v>4</v>
      </c>
    </row>
    <row r="104" spans="1:1">
      <c r="A104" s="20">
        <v>5</v>
      </c>
    </row>
    <row r="105" spans="1:1">
      <c r="A105" s="20">
        <v>6</v>
      </c>
    </row>
    <row r="106" spans="1:1">
      <c r="A106" s="20">
        <v>7</v>
      </c>
    </row>
    <row r="107" spans="1:1">
      <c r="A107" s="20">
        <v>8</v>
      </c>
    </row>
    <row r="108" spans="1:1">
      <c r="A108" s="20">
        <v>9</v>
      </c>
    </row>
    <row r="109" spans="1:1">
      <c r="A109" s="20">
        <v>10</v>
      </c>
    </row>
    <row r="110" spans="1:1">
      <c r="A110" s="20">
        <v>11</v>
      </c>
    </row>
    <row r="111" spans="1:1">
      <c r="A111" s="20">
        <v>12</v>
      </c>
    </row>
    <row r="112" spans="1:1">
      <c r="A112" s="20">
        <v>13</v>
      </c>
    </row>
    <row r="113" spans="1:1">
      <c r="A113" s="20">
        <v>14</v>
      </c>
    </row>
    <row r="114" spans="1:1">
      <c r="A114" s="20">
        <v>15</v>
      </c>
    </row>
    <row r="115" spans="1:1">
      <c r="A115" s="20">
        <v>16</v>
      </c>
    </row>
    <row r="116" spans="1:1">
      <c r="A116" s="20">
        <v>17</v>
      </c>
    </row>
    <row r="117" spans="1:1">
      <c r="A117" s="20">
        <v>18</v>
      </c>
    </row>
    <row r="118" spans="1:1">
      <c r="A118" s="20">
        <v>19</v>
      </c>
    </row>
    <row r="119" spans="1:1">
      <c r="A119" s="20">
        <v>20</v>
      </c>
    </row>
    <row r="120" spans="1:1">
      <c r="A120" s="20">
        <v>21</v>
      </c>
    </row>
    <row r="122" spans="1:1">
      <c r="A122" s="1" t="s">
        <v>109</v>
      </c>
    </row>
    <row r="123" spans="1:1">
      <c r="A123" s="27" t="s">
        <v>2672</v>
      </c>
    </row>
    <row r="124" spans="1:1">
      <c r="A124" s="27" t="s">
        <v>2673</v>
      </c>
    </row>
    <row r="125" spans="1:1">
      <c r="A125" s="27" t="s">
        <v>2674</v>
      </c>
    </row>
    <row r="126" spans="1:1">
      <c r="A126" s="27" t="s">
        <v>2675</v>
      </c>
    </row>
    <row r="129" spans="1:1">
      <c r="A129" s="1" t="s">
        <v>2686</v>
      </c>
    </row>
    <row r="130" spans="1:1">
      <c r="A130" s="27" t="s">
        <v>120</v>
      </c>
    </row>
    <row r="131" spans="1:1">
      <c r="A131" s="27" t="s">
        <v>88</v>
      </c>
    </row>
    <row r="135" spans="1:1">
      <c r="A135" s="1" t="s">
        <v>2711</v>
      </c>
    </row>
    <row r="136" spans="1:1">
      <c r="A136" s="2">
        <v>1</v>
      </c>
    </row>
    <row r="137" spans="1:1">
      <c r="A137" s="2">
        <v>0</v>
      </c>
    </row>
    <row r="138" spans="1:1">
      <c r="A138" s="2" t="s">
        <v>88</v>
      </c>
    </row>
    <row r="139" spans="1:1">
      <c r="A139" s="2" t="s">
        <v>2707</v>
      </c>
    </row>
    <row r="142" spans="1:1">
      <c r="A142" s="1" t="s">
        <v>2713</v>
      </c>
    </row>
    <row r="143" spans="1:1">
      <c r="A143" t="s">
        <v>2712</v>
      </c>
    </row>
    <row r="144" spans="1:1">
      <c r="A144" t="s">
        <v>108</v>
      </c>
    </row>
    <row r="145" spans="1:1">
      <c r="A145" t="s">
        <v>2842</v>
      </c>
    </row>
    <row r="146" spans="1:1">
      <c r="A146" t="s">
        <v>2671</v>
      </c>
    </row>
    <row r="147" spans="1:1">
      <c r="A147" t="s">
        <v>2843</v>
      </c>
    </row>
    <row r="148" spans="1:1">
      <c r="A148" t="s">
        <v>2685</v>
      </c>
    </row>
  </sheetData>
  <sheetProtection algorithmName="SHA-512" hashValue="Uqax/hkrS+CD9CTQt47YNAcRubgEdX/nkMBl7LdJsmbJkqZc/wL0EscFLHpHWaz1U/A4HxmzT+dYs/xVu4lf9g==" saltValue="f43ivdr0jYtU5AK0ygQh5g==" spinCount="100000" sheet="1" objects="1" scenarios="1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16</vt:i4>
      </vt:variant>
    </vt:vector>
  </HeadingPairs>
  <TitlesOfParts>
    <vt:vector size="20" baseType="lpstr">
      <vt:lpstr>MANTENIMIENTO</vt:lpstr>
      <vt:lpstr>PREGUNTAS</vt:lpstr>
      <vt:lpstr>SEDES</vt:lpstr>
      <vt:lpstr>DATOS</vt:lpstr>
      <vt:lpstr>ALIMENTACION</vt:lpstr>
      <vt:lpstr>CONCEPTO</vt:lpstr>
      <vt:lpstr>CUMPLE</vt:lpstr>
      <vt:lpstr>GRADO</vt:lpstr>
      <vt:lpstr>IDSEDE</vt:lpstr>
      <vt:lpstr>MENU</vt:lpstr>
      <vt:lpstr>MODALIDAD</vt:lpstr>
      <vt:lpstr>OPCION</vt:lpstr>
      <vt:lpstr>OPCION2</vt:lpstr>
      <vt:lpstr>OPERADOR</vt:lpstr>
      <vt:lpstr>PROFESIONAL</vt:lpstr>
      <vt:lpstr>SEMANA</vt:lpstr>
      <vt:lpstr>SINO</vt:lpstr>
      <vt:lpstr>TIPO</vt:lpstr>
      <vt:lpstr>TIPO_VISITA</vt:lpstr>
      <vt:lpstr>VISITA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Angelica Z</dc:creator>
  <cp:keywords/>
  <dc:description/>
  <cp:lastModifiedBy>Angelica</cp:lastModifiedBy>
  <cp:revision/>
  <cp:lastPrinted>2019-11-13T17:06:19Z</cp:lastPrinted>
  <dcterms:created xsi:type="dcterms:W3CDTF">2018-04-11T20:10:02Z</dcterms:created>
  <dcterms:modified xsi:type="dcterms:W3CDTF">2022-07-04T02:00:02Z</dcterms:modified>
  <cp:category/>
  <cp:contentStatus/>
</cp:coreProperties>
</file>