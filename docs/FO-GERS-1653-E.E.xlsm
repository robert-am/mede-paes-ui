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G:\PAE MEDELLIN\FORMATOS 2022\FORMATOS PARA CONSOLIDADOS\"/>
    </mc:Choice>
  </mc:AlternateContent>
  <xr:revisionPtr revIDLastSave="0" documentId="13_ncr:1_{C95D103D-FC1F-4537-84E2-FDD82C256048}" xr6:coauthVersionLast="47" xr6:coauthVersionMax="47" xr10:uidLastSave="{00000000-0000-0000-0000-000000000000}"/>
  <bookViews>
    <workbookView xWindow="-108" yWindow="-108" windowWidth="23256" windowHeight="12576" tabRatio="739" xr2:uid="{00000000-000D-0000-FFFF-FFFF00000000}"/>
  </bookViews>
  <sheets>
    <sheet name="ESTAB.EDUCATIVO" sheetId="1" r:id="rId1"/>
    <sheet name="preguntas" sheetId="18" r:id="rId2"/>
    <sheet name="Hoja3" sheetId="19" r:id="rId3"/>
    <sheet name="SEDES" sheetId="4" state="hidden" r:id="rId4"/>
    <sheet name="DATOS" sheetId="2" state="hidden" r:id="rId5"/>
  </sheets>
  <externalReferences>
    <externalReference r:id="rId6"/>
  </externalReferences>
  <definedNames>
    <definedName name="_xlnm._FilterDatabase" localSheetId="0" hidden="1">ESTAB.EDUCATIVO!$A$4:$HX$6</definedName>
    <definedName name="ALIMENTACION">DATOS!$A$23:$A$24</definedName>
    <definedName name="CONCEPTO">DATOS!$L$2:$L$4</definedName>
    <definedName name="CUMPLE">DATOS!$B$2:$B$3</definedName>
    <definedName name="GRADO">DATOS!$A$138:$A$139</definedName>
    <definedName name="IDSEDE">Tabla1[ID SEDE]</definedName>
    <definedName name="KARDEX">DATOS!$U$2:$U$4</definedName>
    <definedName name="MARCA">DATOS!$C$152:$C$362</definedName>
    <definedName name="MENU">DATOS!$A$108:$A$128</definedName>
    <definedName name="MODALIDAD">DATOS!$J$2:$J$6</definedName>
    <definedName name="OBSERVACION">DATOS!$A$539:$A$541</definedName>
    <definedName name="OPCION">DATOS!$A$2:$A$4</definedName>
    <definedName name="OPCION2">DATOS!$A$144:$A$147</definedName>
    <definedName name="OPERADOR">DATOS!$A$131:$A$134</definedName>
    <definedName name="PRODUCTO">DATOS!$A$152:$A$526</definedName>
    <definedName name="PROFESIONAL">Tabla3[PROFESIONAL]</definedName>
    <definedName name="SEDENO">ESTAB.EDUCATIVO!#REF!</definedName>
    <definedName name="SEMANA">DATOS!$O$2:$O$5</definedName>
    <definedName name="SINO">DATOS!$Q$2:$Q$3</definedName>
    <definedName name="TEMPE">DATOS!$S$2:$S$4</definedName>
    <definedName name="TIPO_VISITA">DATOS!$F$2:$F$3</definedName>
    <definedName name="VISITA">DATOS!$D$2:$D$5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T6" i="1" l="1"/>
  <c r="FK6" i="1"/>
  <c r="EY6" i="1"/>
  <c r="EN6" i="1"/>
  <c r="EH6" i="1"/>
  <c r="DW6" i="1"/>
  <c r="DO6" i="1"/>
  <c r="DH6" i="1"/>
  <c r="CO6" i="1"/>
  <c r="CH6" i="1"/>
  <c r="BU6" i="1"/>
  <c r="BG6" i="1"/>
  <c r="AT6" i="1"/>
  <c r="HQ6" i="1"/>
  <c r="HR6" i="1"/>
  <c r="FU6" i="1"/>
  <c r="FL6" i="1" l="1"/>
  <c r="EZ6" i="1"/>
  <c r="EO6" i="1"/>
  <c r="EI6" i="1"/>
  <c r="DX6" i="1"/>
  <c r="DP6" i="1"/>
  <c r="DI6" i="1"/>
  <c r="CP6" i="1"/>
  <c r="CI6" i="1"/>
  <c r="BV6" i="1"/>
  <c r="BH6" i="1"/>
  <c r="AU6" i="1"/>
  <c r="HV6" i="1" l="1"/>
  <c r="HU6" i="1"/>
  <c r="FV6" i="1"/>
  <c r="FW6" i="1" s="1"/>
  <c r="FM6" i="1"/>
  <c r="FN6" i="1" s="1"/>
  <c r="FA6" i="1"/>
  <c r="FB6" i="1" s="1"/>
  <c r="EP6" i="1"/>
  <c r="EQ6" i="1" s="1"/>
  <c r="EJ6" i="1"/>
  <c r="EK6" i="1" s="1"/>
  <c r="DY6" i="1"/>
  <c r="DZ6" i="1" s="1"/>
  <c r="DQ6" i="1"/>
  <c r="DR6" i="1" s="1"/>
  <c r="DJ6" i="1"/>
  <c r="DK6" i="1" s="1"/>
  <c r="CQ6" i="1"/>
  <c r="CR6" i="1" s="1"/>
  <c r="CJ6" i="1"/>
  <c r="CK6" i="1" s="1"/>
  <c r="BW6" i="1"/>
  <c r="BX6" i="1" s="1"/>
  <c r="BI6" i="1"/>
  <c r="BJ6" i="1" s="1"/>
  <c r="Y541" i="4"/>
  <c r="AF541" i="4" s="1"/>
  <c r="AF540" i="4"/>
  <c r="AF539" i="4"/>
  <c r="AF538" i="4"/>
  <c r="AF535" i="4"/>
  <c r="AF533" i="4"/>
  <c r="AF532" i="4"/>
  <c r="AF531" i="4"/>
  <c r="AF530" i="4"/>
  <c r="AF529" i="4"/>
  <c r="AF528" i="4"/>
  <c r="AF527" i="4"/>
  <c r="AF526" i="4"/>
  <c r="AF525" i="4"/>
  <c r="AF524" i="4"/>
  <c r="AF523" i="4"/>
  <c r="AF522" i="4"/>
  <c r="AF521" i="4"/>
  <c r="AF520" i="4"/>
  <c r="AF519" i="4"/>
  <c r="AF518" i="4"/>
  <c r="AF517" i="4"/>
  <c r="AF516" i="4"/>
  <c r="AF515" i="4"/>
  <c r="AF514" i="4"/>
  <c r="AF513" i="4"/>
  <c r="AF512" i="4"/>
  <c r="AF511" i="4"/>
  <c r="AF510" i="4"/>
  <c r="AF509" i="4"/>
  <c r="AF508" i="4"/>
  <c r="AF507" i="4"/>
  <c r="AF506" i="4"/>
  <c r="AF505" i="4"/>
  <c r="AF504" i="4"/>
  <c r="AF503" i="4"/>
  <c r="AF502" i="4"/>
  <c r="AF501" i="4"/>
  <c r="AF500" i="4"/>
  <c r="AF499" i="4"/>
  <c r="AF498" i="4"/>
  <c r="AF497" i="4"/>
  <c r="AF496" i="4"/>
  <c r="AF495" i="4"/>
  <c r="AF494" i="4"/>
  <c r="AF493" i="4"/>
  <c r="AF492" i="4"/>
  <c r="AF491" i="4"/>
  <c r="AF490" i="4"/>
  <c r="AF489" i="4"/>
  <c r="AF488" i="4"/>
  <c r="AF487" i="4"/>
  <c r="AF486" i="4"/>
  <c r="AF485" i="4"/>
  <c r="AF484" i="4"/>
  <c r="AF483" i="4"/>
  <c r="AF482" i="4"/>
  <c r="AF481" i="4"/>
  <c r="AF480" i="4"/>
  <c r="AF479" i="4"/>
  <c r="AF478" i="4"/>
  <c r="AF477" i="4"/>
  <c r="AF476" i="4"/>
  <c r="AF475" i="4"/>
  <c r="AF474" i="4"/>
  <c r="AF473" i="4"/>
  <c r="AF472" i="4"/>
  <c r="AF471" i="4"/>
  <c r="AF470" i="4"/>
  <c r="AF469" i="4"/>
  <c r="AF468" i="4"/>
  <c r="AF467" i="4"/>
  <c r="AF466" i="4"/>
  <c r="AF465" i="4"/>
  <c r="AF464" i="4"/>
  <c r="AF463" i="4"/>
  <c r="AF462" i="4"/>
  <c r="AF461" i="4"/>
  <c r="AF460" i="4"/>
  <c r="AF459" i="4"/>
  <c r="AF458" i="4"/>
  <c r="AF457" i="4"/>
  <c r="AF456" i="4"/>
  <c r="AF455" i="4"/>
  <c r="AF454" i="4"/>
  <c r="AF453" i="4"/>
  <c r="AF452" i="4"/>
  <c r="AF451" i="4"/>
  <c r="AF450" i="4"/>
  <c r="AF449" i="4"/>
  <c r="AF448" i="4"/>
  <c r="AF447" i="4"/>
  <c r="AF446" i="4"/>
  <c r="AF445" i="4"/>
  <c r="AF444" i="4"/>
  <c r="AF443" i="4"/>
  <c r="AF442" i="4"/>
  <c r="AF441" i="4"/>
  <c r="AF440" i="4"/>
  <c r="AF439" i="4"/>
  <c r="AF438" i="4"/>
  <c r="AF437" i="4"/>
  <c r="AF436" i="4"/>
  <c r="AF435" i="4"/>
  <c r="AF434" i="4"/>
  <c r="AF433" i="4"/>
  <c r="AF432" i="4"/>
  <c r="AF431" i="4"/>
  <c r="AF430" i="4"/>
  <c r="AF429" i="4"/>
  <c r="AF428" i="4"/>
  <c r="AF427" i="4"/>
  <c r="AF426" i="4"/>
  <c r="AF425" i="4"/>
  <c r="AF424" i="4"/>
  <c r="AF423" i="4"/>
  <c r="AF422" i="4"/>
  <c r="AF421" i="4"/>
  <c r="AF420" i="4"/>
  <c r="AF419" i="4"/>
  <c r="AF418" i="4"/>
  <c r="AF417" i="4"/>
  <c r="AF416" i="4"/>
  <c r="AF415" i="4"/>
  <c r="Y414" i="4"/>
  <c r="AF413" i="4"/>
  <c r="AF412" i="4"/>
  <c r="Y412" i="4"/>
  <c r="AF411" i="4"/>
  <c r="AF410" i="4"/>
  <c r="AF409" i="4"/>
  <c r="AF408" i="4"/>
  <c r="AF407" i="4"/>
  <c r="AF406" i="4"/>
  <c r="AF405" i="4"/>
  <c r="AF404" i="4"/>
  <c r="AF403" i="4"/>
  <c r="AF402" i="4"/>
  <c r="AF401" i="4"/>
  <c r="AF400" i="4"/>
  <c r="AF399" i="4"/>
  <c r="AF398" i="4"/>
  <c r="AF397" i="4"/>
  <c r="AF396" i="4"/>
  <c r="AF395" i="4"/>
  <c r="AF394" i="4"/>
  <c r="AF393" i="4"/>
  <c r="AF392" i="4"/>
  <c r="AF391" i="4"/>
  <c r="AF390" i="4"/>
  <c r="AF389" i="4"/>
  <c r="AF388" i="4"/>
  <c r="AF387" i="4"/>
  <c r="AF386" i="4"/>
  <c r="AF385" i="4"/>
  <c r="AF384" i="4"/>
  <c r="AF383" i="4"/>
  <c r="AF382" i="4"/>
  <c r="AF381" i="4"/>
  <c r="AF380" i="4"/>
  <c r="AF379" i="4"/>
  <c r="AF378" i="4"/>
  <c r="AF377" i="4"/>
  <c r="AF376" i="4"/>
  <c r="AF375" i="4"/>
  <c r="AF374" i="4"/>
  <c r="AF373" i="4"/>
  <c r="AF372" i="4"/>
  <c r="AF371" i="4"/>
  <c r="AF370" i="4"/>
  <c r="AF369" i="4"/>
  <c r="AF368" i="4"/>
  <c r="AF367" i="4"/>
  <c r="AF366" i="4"/>
  <c r="AF365" i="4"/>
  <c r="AF364" i="4"/>
  <c r="AF363" i="4"/>
  <c r="AF362" i="4"/>
  <c r="AF361" i="4"/>
  <c r="AF360" i="4"/>
  <c r="AF359" i="4"/>
  <c r="AF358" i="4"/>
  <c r="AF357" i="4"/>
  <c r="AF356" i="4"/>
  <c r="AE355" i="4"/>
  <c r="Y355" i="4"/>
  <c r="AF354" i="4"/>
  <c r="AF352" i="4"/>
  <c r="AF351" i="4"/>
  <c r="AF350" i="4"/>
  <c r="AF349" i="4"/>
  <c r="AE348" i="4"/>
  <c r="Y348" i="4"/>
  <c r="AF348" i="4" s="1"/>
  <c r="Y347" i="4"/>
  <c r="AF347" i="4" s="1"/>
  <c r="AF346" i="4"/>
  <c r="AF345" i="4"/>
  <c r="AF344" i="4"/>
  <c r="AF343" i="4"/>
  <c r="AF342" i="4"/>
  <c r="AF341" i="4"/>
  <c r="AF340" i="4"/>
  <c r="AF339" i="4"/>
  <c r="AF338" i="4"/>
  <c r="AF337" i="4"/>
  <c r="AF336" i="4"/>
  <c r="AF335" i="4"/>
  <c r="AF334" i="4"/>
  <c r="AF333" i="4"/>
  <c r="AF332" i="4"/>
  <c r="AF331" i="4"/>
  <c r="AF330" i="4"/>
  <c r="AF329" i="4"/>
  <c r="AF328" i="4"/>
  <c r="AF327" i="4"/>
  <c r="AF326" i="4"/>
  <c r="AF325" i="4"/>
  <c r="AF324" i="4"/>
  <c r="AF323" i="4"/>
  <c r="AF322" i="4"/>
  <c r="AF321" i="4"/>
  <c r="AF320" i="4"/>
  <c r="AF319" i="4"/>
  <c r="AF318" i="4"/>
  <c r="AF317" i="4"/>
  <c r="AF316" i="4"/>
  <c r="AF315" i="4"/>
  <c r="AF314" i="4"/>
  <c r="AF313" i="4"/>
  <c r="AF312" i="4"/>
  <c r="AF311" i="4"/>
  <c r="AF310" i="4"/>
  <c r="AF309" i="4"/>
  <c r="AF308" i="4"/>
  <c r="AF307" i="4"/>
  <c r="AF306" i="4"/>
  <c r="AF305" i="4"/>
  <c r="AF304" i="4"/>
  <c r="AF303" i="4"/>
  <c r="AF302" i="4"/>
  <c r="AF301" i="4"/>
  <c r="AF300" i="4"/>
  <c r="AF299" i="4"/>
  <c r="AF298" i="4"/>
  <c r="AF297" i="4"/>
  <c r="AF296" i="4"/>
  <c r="AF295" i="4"/>
  <c r="AF294" i="4"/>
  <c r="AF293" i="4"/>
  <c r="AF292" i="4"/>
  <c r="AF291" i="4"/>
  <c r="AF290" i="4"/>
  <c r="AF289" i="4"/>
  <c r="AF288" i="4"/>
  <c r="AF287" i="4"/>
  <c r="AF286" i="4"/>
  <c r="AF285" i="4"/>
  <c r="AF284" i="4"/>
  <c r="AF283" i="4"/>
  <c r="AF282" i="4"/>
  <c r="AF281" i="4"/>
  <c r="AF280" i="4"/>
  <c r="AF279" i="4"/>
  <c r="AF278" i="4"/>
  <c r="AF277" i="4"/>
  <c r="AF276" i="4"/>
  <c r="AF275" i="4"/>
  <c r="AF274" i="4"/>
  <c r="AF273" i="4"/>
  <c r="AF272" i="4"/>
  <c r="AF271" i="4"/>
  <c r="AF270" i="4"/>
  <c r="AF269" i="4"/>
  <c r="AF268" i="4"/>
  <c r="AF267" i="4"/>
  <c r="AF266" i="4"/>
  <c r="AF265" i="4"/>
  <c r="AF264" i="4"/>
  <c r="AF263" i="4"/>
  <c r="AF262" i="4"/>
  <c r="AF261" i="4"/>
  <c r="AF260" i="4"/>
  <c r="AF259" i="4"/>
  <c r="AF258" i="4"/>
  <c r="AF257" i="4"/>
  <c r="AF256" i="4"/>
  <c r="AF255" i="4"/>
  <c r="AF254" i="4"/>
  <c r="AF253" i="4"/>
  <c r="AF252" i="4"/>
  <c r="AF251" i="4"/>
  <c r="AF250" i="4"/>
  <c r="AF249" i="4"/>
  <c r="AF248" i="4"/>
  <c r="AF247" i="4"/>
  <c r="AF246" i="4"/>
  <c r="AF245" i="4"/>
  <c r="AF244" i="4"/>
  <c r="AF243" i="4"/>
  <c r="AF242" i="4"/>
  <c r="AF241" i="4"/>
  <c r="AF240" i="4"/>
  <c r="AF239" i="4"/>
  <c r="AF238" i="4"/>
  <c r="AF237" i="4"/>
  <c r="AF236" i="4"/>
  <c r="AF235" i="4"/>
  <c r="AF234" i="4"/>
  <c r="AF233" i="4"/>
  <c r="AF232" i="4"/>
  <c r="AF231" i="4"/>
  <c r="AF230" i="4"/>
  <c r="AE229" i="4"/>
  <c r="Y229" i="4"/>
  <c r="AF228" i="4"/>
  <c r="AF227" i="4"/>
  <c r="AF226" i="4"/>
  <c r="AF225" i="4"/>
  <c r="AF224" i="4"/>
  <c r="AF223" i="4"/>
  <c r="AF222" i="4"/>
  <c r="AF221" i="4"/>
  <c r="AF220" i="4"/>
  <c r="AF219" i="4"/>
  <c r="AF218" i="4"/>
  <c r="AF217" i="4"/>
  <c r="AF216" i="4"/>
  <c r="AF215" i="4"/>
  <c r="AF214" i="4"/>
  <c r="AF213" i="4"/>
  <c r="AF212" i="4"/>
  <c r="AF211" i="4"/>
  <c r="AF210" i="4"/>
  <c r="AF209" i="4"/>
  <c r="AF208" i="4"/>
  <c r="AF207" i="4"/>
  <c r="AF206" i="4"/>
  <c r="AF205" i="4"/>
  <c r="AF204" i="4"/>
  <c r="AF203" i="4"/>
  <c r="AE201" i="4"/>
  <c r="Y201" i="4"/>
  <c r="Y200" i="4"/>
  <c r="AF200" i="4" s="1"/>
  <c r="AF199" i="4"/>
  <c r="AF198" i="4"/>
  <c r="AF197" i="4"/>
  <c r="AF196" i="4"/>
  <c r="AF195" i="4"/>
  <c r="AF194" i="4"/>
  <c r="Y193" i="4"/>
  <c r="AF193" i="4" s="1"/>
  <c r="AF192" i="4"/>
  <c r="AF191" i="4"/>
  <c r="AF190" i="4"/>
  <c r="AF189" i="4"/>
  <c r="AF188" i="4"/>
  <c r="AF187" i="4"/>
  <c r="AF186" i="4"/>
  <c r="AF185" i="4"/>
  <c r="AF184" i="4"/>
  <c r="AF183" i="4"/>
  <c r="AF182" i="4"/>
  <c r="AF181" i="4"/>
  <c r="AF180" i="4"/>
  <c r="AF179" i="4"/>
  <c r="AF178" i="4"/>
  <c r="AF177" i="4"/>
  <c r="AF176" i="4"/>
  <c r="AF175" i="4"/>
  <c r="AF174" i="4"/>
  <c r="AF173" i="4"/>
  <c r="AF172" i="4"/>
  <c r="AF171" i="4"/>
  <c r="AF170" i="4"/>
  <c r="AF169" i="4"/>
  <c r="AF168" i="4"/>
  <c r="AF167" i="4"/>
  <c r="AF166" i="4"/>
  <c r="AF165" i="4"/>
  <c r="AF164" i="4"/>
  <c r="AF163" i="4"/>
  <c r="AF162" i="4"/>
  <c r="AF161" i="4"/>
  <c r="AF160" i="4"/>
  <c r="AF159" i="4"/>
  <c r="AF158" i="4"/>
  <c r="AF157" i="4"/>
  <c r="AF156" i="4"/>
  <c r="AF155" i="4"/>
  <c r="AF154" i="4"/>
  <c r="AF153" i="4"/>
  <c r="AF152" i="4"/>
  <c r="AF151" i="4"/>
  <c r="AF150" i="4"/>
  <c r="AF149" i="4"/>
  <c r="AF148" i="4"/>
  <c r="AF147" i="4"/>
  <c r="AF146" i="4"/>
  <c r="AF145" i="4"/>
  <c r="AF144" i="4"/>
  <c r="AF143" i="4"/>
  <c r="AF142" i="4"/>
  <c r="AF141" i="4"/>
  <c r="AF140" i="4"/>
  <c r="AF139" i="4"/>
  <c r="AF138" i="4"/>
  <c r="AF137" i="4"/>
  <c r="AF136" i="4"/>
  <c r="AF135" i="4"/>
  <c r="AF134" i="4"/>
  <c r="AF133" i="4"/>
  <c r="AF132" i="4"/>
  <c r="AF131" i="4"/>
  <c r="AF130" i="4"/>
  <c r="AF129" i="4"/>
  <c r="AF128" i="4"/>
  <c r="AF127" i="4"/>
  <c r="AF126" i="4"/>
  <c r="AF125" i="4"/>
  <c r="AF124" i="4"/>
  <c r="AF123" i="4"/>
  <c r="AF122" i="4"/>
  <c r="AF121" i="4"/>
  <c r="AF120" i="4"/>
  <c r="AF119" i="4"/>
  <c r="AF118" i="4"/>
  <c r="AF117" i="4"/>
  <c r="AF116" i="4"/>
  <c r="AF115" i="4"/>
  <c r="AF114" i="4"/>
  <c r="AF113" i="4"/>
  <c r="AF112" i="4"/>
  <c r="AF111" i="4"/>
  <c r="AF110" i="4"/>
  <c r="AF109" i="4"/>
  <c r="AF108" i="4"/>
  <c r="AF107" i="4"/>
  <c r="AF106" i="4"/>
  <c r="AF105" i="4"/>
  <c r="AF104" i="4"/>
  <c r="AF103" i="4"/>
  <c r="AF102" i="4"/>
  <c r="AF101" i="4"/>
  <c r="AF100" i="4"/>
  <c r="AF99" i="4"/>
  <c r="AF98" i="4"/>
  <c r="AF97" i="4"/>
  <c r="AF96" i="4"/>
  <c r="AF95" i="4"/>
  <c r="AF94" i="4"/>
  <c r="AF93" i="4"/>
  <c r="AF92" i="4"/>
  <c r="AF91" i="4"/>
  <c r="AF90" i="4"/>
  <c r="AF89" i="4"/>
  <c r="AF88" i="4"/>
  <c r="AF87" i="4"/>
  <c r="AF86" i="4"/>
  <c r="AF85" i="4"/>
  <c r="AF84" i="4"/>
  <c r="AF83" i="4"/>
  <c r="AF82" i="4"/>
  <c r="AF81" i="4"/>
  <c r="AF80" i="4"/>
  <c r="AF79" i="4"/>
  <c r="AF78" i="4"/>
  <c r="AF77" i="4"/>
  <c r="AF76" i="4"/>
  <c r="AF75" i="4"/>
  <c r="AF74" i="4"/>
  <c r="AF73" i="4"/>
  <c r="AF72" i="4"/>
  <c r="AF71" i="4"/>
  <c r="AF70" i="4"/>
  <c r="AF69" i="4"/>
  <c r="AF68" i="4"/>
  <c r="AF67" i="4"/>
  <c r="AF66" i="4"/>
  <c r="AF65" i="4"/>
  <c r="AF64" i="4"/>
  <c r="AF63" i="4"/>
  <c r="AF62" i="4"/>
  <c r="AF61" i="4"/>
  <c r="AF60" i="4"/>
  <c r="AF59" i="4"/>
  <c r="AF58" i="4"/>
  <c r="AF57" i="4"/>
  <c r="AF56" i="4"/>
  <c r="AF55" i="4"/>
  <c r="AF54" i="4"/>
  <c r="AF53" i="4"/>
  <c r="AF52" i="4"/>
  <c r="AF51" i="4"/>
  <c r="AF50" i="4"/>
  <c r="AF49" i="4"/>
  <c r="AF48" i="4"/>
  <c r="AF47" i="4"/>
  <c r="AF46" i="4"/>
  <c r="AF45" i="4"/>
  <c r="AF44" i="4"/>
  <c r="AF43" i="4"/>
  <c r="AF42" i="4"/>
  <c r="AF41" i="4"/>
  <c r="AF40" i="4"/>
  <c r="AF39" i="4"/>
  <c r="AF38" i="4"/>
  <c r="AF37" i="4"/>
  <c r="AF36" i="4"/>
  <c r="AF35" i="4"/>
  <c r="AF34" i="4"/>
  <c r="AF33" i="4"/>
  <c r="AF32" i="4"/>
  <c r="AE31" i="4"/>
  <c r="AF31" i="4" s="1"/>
  <c r="AF30" i="4"/>
  <c r="AF29" i="4"/>
  <c r="AF28" i="4"/>
  <c r="AF27" i="4"/>
  <c r="AF26" i="4"/>
  <c r="AF25" i="4"/>
  <c r="AF24" i="4"/>
  <c r="AF23" i="4"/>
  <c r="AF22" i="4"/>
  <c r="AF21" i="4"/>
  <c r="AF20" i="4"/>
  <c r="AF19" i="4"/>
  <c r="AF18" i="4"/>
  <c r="AF17" i="4"/>
  <c r="AF16" i="4"/>
  <c r="AF15" i="4"/>
  <c r="AF14" i="4"/>
  <c r="AF13" i="4"/>
  <c r="AF12" i="4"/>
  <c r="AF11" i="4"/>
  <c r="AF10" i="4"/>
  <c r="AF9" i="4"/>
  <c r="AF8" i="4"/>
  <c r="AF7" i="4"/>
  <c r="AF6" i="4"/>
  <c r="AF5" i="4"/>
  <c r="AF4" i="4"/>
  <c r="AF3" i="4"/>
  <c r="AF355" i="4" l="1"/>
  <c r="AJ6" i="1"/>
  <c r="AK6" i="1"/>
  <c r="AL6" i="1"/>
  <c r="Z6" i="1"/>
  <c r="M6" i="1"/>
  <c r="E6" i="1"/>
  <c r="F6" i="1"/>
  <c r="G6" i="1"/>
  <c r="H6" i="1"/>
  <c r="I6" i="1"/>
  <c r="HS6" i="1" l="1"/>
  <c r="HT6" i="1" s="1"/>
  <c r="AV6" i="1"/>
  <c r="AW6" i="1" s="1"/>
  <c r="HW6" i="1" l="1"/>
  <c r="HX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Angelica</author>
  </authors>
  <commentList>
    <comment ref="D4" authorId="0" shapeId="0" xr:uid="{3B0D62F6-06DE-4C02-8071-8C8736702C42}">
      <text>
        <r>
          <rPr>
            <b/>
            <sz val="10"/>
            <color indexed="81"/>
            <rFont val="Tahoma"/>
            <family val="2"/>
          </rPr>
          <t>Angelica:</t>
        </r>
        <r>
          <rPr>
            <sz val="10"/>
            <color indexed="81"/>
            <rFont val="Tahoma"/>
            <family val="2"/>
          </rPr>
          <t xml:space="preserve">
Este código está pendiente, puesto que depende de la entrega de la relación de contratista y estableciemintos educativos
</t>
        </r>
      </text>
    </comment>
    <comment ref="A6" authorId="0" shapeId="0" xr:uid="{88BF0036-25C1-4952-A595-8D206B905CEB}">
      <text>
        <r>
          <rPr>
            <b/>
            <sz val="10"/>
            <color indexed="81"/>
            <rFont val="Tahoma"/>
            <family val="2"/>
          </rPr>
          <t>Angelica:</t>
        </r>
        <r>
          <rPr>
            <sz val="10"/>
            <color indexed="81"/>
            <rFont val="Tahoma"/>
            <family val="2"/>
          </rPr>
          <t xml:space="preserve">
</t>
        </r>
        <r>
          <rPr>
            <b/>
            <sz val="11"/>
            <color indexed="81"/>
            <rFont val="Tahoma"/>
            <family val="2"/>
          </rPr>
          <t>EL NOMBRE DEL ACTA ES DE LA SIGUIENTE MANERA
Dependiendo el nombre de la modalidad se inicia el nombre del archivo, (CTA-AMPM-RI-VL-RC), después si es visita 1 o visita 2, inicial del Ejecutor y el numero asignado y el ID de la sede, Ejemplo: CTAV1E11107</t>
        </r>
      </text>
    </comment>
  </commentList>
</comments>
</file>

<file path=xl/sharedStrings.xml><?xml version="1.0" encoding="utf-8"?>
<sst xmlns="http://schemas.openxmlformats.org/spreadsheetml/2006/main" count="10638" uniqueCount="4578">
  <si>
    <t>EVALUACION FINAL DE LA VISITA</t>
  </si>
  <si>
    <t>ACTA DE INTERVENTORIA No.</t>
  </si>
  <si>
    <t>NUMERO DE VISITA</t>
  </si>
  <si>
    <t>FECHA DE VISITA DD/MM/AAAA</t>
  </si>
  <si>
    <t>CUPOS ATENDIDOS</t>
  </si>
  <si>
    <t>NOMBRE DE QUIEN REALIZA LA INTERVENTORIA</t>
  </si>
  <si>
    <t>TIPO VISITA</t>
  </si>
  <si>
    <t>NOMBRE DE QUIEN RECIBE LA VISITA</t>
  </si>
  <si>
    <t>TOTAL PUNTAJE ESPERADO</t>
  </si>
  <si>
    <t>PUNTAJE TOTAL OBTENIDO  DE LA VISITA</t>
  </si>
  <si>
    <t>PORCENTAJE DE CUMPLIMIENTO DE LA VISITA</t>
  </si>
  <si>
    <t>CUMPLIMIENTO GENERAL DE LA VISITA</t>
  </si>
  <si>
    <t>MENU</t>
  </si>
  <si>
    <t>LOTE</t>
  </si>
  <si>
    <t>FECHA DE VENCIMIENTO DD/MM/AAAA</t>
  </si>
  <si>
    <t>OBSERVACIONES</t>
  </si>
  <si>
    <t>SEMANA</t>
  </si>
  <si>
    <t>Columna2</t>
  </si>
  <si>
    <t>Columna3</t>
  </si>
  <si>
    <t>Columna4</t>
  </si>
  <si>
    <t>Columna5</t>
  </si>
  <si>
    <t>Columna6</t>
  </si>
  <si>
    <t>Columna7</t>
  </si>
  <si>
    <t>Columna8</t>
  </si>
  <si>
    <t>Columna9</t>
  </si>
  <si>
    <t>Columna10</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</si>
  <si>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</si>
  <si>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</si>
  <si>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</si>
  <si>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</si>
  <si>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</si>
  <si>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</si>
  <si>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</si>
  <si>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</si>
  <si>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</si>
  <si>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</si>
  <si>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</si>
  <si>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</si>
  <si>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</si>
  <si>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</si>
  <si>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</si>
  <si>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</si>
  <si>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</si>
  <si>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</si>
  <si>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</si>
  <si>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</si>
  <si>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</si>
  <si>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</si>
  <si>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</si>
  <si>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</si>
  <si>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</si>
  <si>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</si>
  <si>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</si>
  <si>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</si>
  <si>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</si>
  <si>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</si>
  <si>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</si>
  <si>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</si>
  <si>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</si>
  <si>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</si>
  <si>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</si>
  <si>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</si>
  <si>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</si>
  <si>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</si>
  <si>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</si>
  <si>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</si>
  <si>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</si>
  <si>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</si>
  <si>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</si>
  <si>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</si>
  <si>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</si>
  <si>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</si>
  <si>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</si>
  <si>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Columna60</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</si>
  <si>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</si>
  <si>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</si>
  <si>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</si>
  <si>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</si>
  <si>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</si>
  <si>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</si>
  <si>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</si>
  <si>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</si>
  <si>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</si>
  <si>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</si>
  <si>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</si>
  <si>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</si>
  <si>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</si>
  <si>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</si>
  <si>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</si>
  <si>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</si>
  <si>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</si>
  <si>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</si>
  <si>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</si>
  <si>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</si>
  <si>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</si>
  <si>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</si>
  <si>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</si>
  <si>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</si>
  <si>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</si>
  <si>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</si>
  <si>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</si>
  <si>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</si>
  <si>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</si>
  <si>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</si>
  <si>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</si>
  <si>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</si>
  <si>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</si>
  <si>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</si>
  <si>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</si>
  <si>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</si>
  <si>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</si>
  <si>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</si>
  <si>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</si>
  <si>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</si>
  <si>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</si>
  <si>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</si>
  <si>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</si>
  <si>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</si>
  <si>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</si>
  <si>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</si>
  <si>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</si>
  <si>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</si>
  <si>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</si>
  <si>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</si>
  <si>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</si>
  <si>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</si>
  <si>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</si>
  <si>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</si>
  <si>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</si>
  <si>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</si>
  <si>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</si>
  <si>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</si>
  <si>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</si>
  <si>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</si>
  <si>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</si>
  <si>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</si>
  <si>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</si>
  <si>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</si>
  <si>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</si>
  <si>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</si>
  <si>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</si>
  <si>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</si>
  <si>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</si>
  <si>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</si>
  <si>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</si>
  <si>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</si>
  <si>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</si>
  <si>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</si>
  <si>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</si>
  <si>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</si>
  <si>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</si>
  <si>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</si>
  <si>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</si>
  <si>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</si>
  <si>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</si>
  <si>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</si>
  <si>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</si>
  <si>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</si>
  <si>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</si>
  <si>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</si>
  <si>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</si>
  <si>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</si>
  <si>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</si>
  <si>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</si>
  <si>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</si>
  <si>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</si>
  <si>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</si>
  <si>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</si>
  <si>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</si>
  <si>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</si>
  <si>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</si>
  <si>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</si>
  <si>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</si>
  <si>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</si>
  <si>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</si>
  <si>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</si>
  <si>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</si>
  <si>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</si>
  <si>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</si>
  <si>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</si>
  <si>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</si>
  <si>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</si>
  <si>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</si>
  <si>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</si>
  <si>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</si>
  <si>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Columna174</t>
  </si>
  <si>
    <t>Columna176</t>
  </si>
  <si>
    <t>Columna178</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</si>
  <si>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</si>
  <si>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</si>
  <si>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</si>
  <si>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</si>
  <si>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</si>
  <si>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</si>
  <si>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</si>
  <si>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</si>
  <si>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</si>
  <si>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</si>
  <si>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</si>
  <si>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</si>
  <si>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</si>
  <si>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</si>
  <si>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</si>
  <si>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</si>
  <si>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</si>
  <si>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</si>
  <si>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</si>
  <si>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</si>
  <si>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</si>
  <si>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</si>
  <si>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</si>
  <si>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</si>
  <si>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</si>
  <si>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</si>
  <si>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</si>
  <si>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</si>
  <si>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</si>
  <si>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</si>
  <si>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</si>
  <si>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</si>
  <si>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</si>
  <si>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</si>
  <si>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</si>
  <si>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</si>
  <si>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</si>
  <si>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</si>
  <si>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</si>
  <si>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</si>
  <si>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</si>
  <si>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</si>
  <si>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</si>
  <si>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</si>
  <si>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</si>
  <si>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</si>
  <si>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</si>
  <si>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</si>
  <si>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</si>
  <si>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</si>
  <si>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</si>
  <si>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</si>
  <si>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</si>
  <si>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</si>
  <si>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</si>
  <si>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</si>
  <si>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</si>
  <si>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Visita 2</t>
  </si>
  <si>
    <t>TECNICA</t>
  </si>
  <si>
    <t>NA</t>
  </si>
  <si>
    <t>Visita 3</t>
  </si>
  <si>
    <t>SAN JAVIER</t>
  </si>
  <si>
    <t>OPCION</t>
  </si>
  <si>
    <t>VISITA</t>
  </si>
  <si>
    <t>MODALIDAD</t>
  </si>
  <si>
    <t>Visita 1</t>
  </si>
  <si>
    <t>ADMINISTRATIVA</t>
  </si>
  <si>
    <t>Visita 4</t>
  </si>
  <si>
    <t>Visita 5</t>
  </si>
  <si>
    <t>ACTA</t>
  </si>
  <si>
    <t>ACT-001</t>
  </si>
  <si>
    <t>ACT-002</t>
  </si>
  <si>
    <t>ACT-003</t>
  </si>
  <si>
    <t>ACT-004</t>
  </si>
  <si>
    <t>ACT-005</t>
  </si>
  <si>
    <t>SI('GESTION INSTITUCIONAL'!V5="No Cumple";CELDA("contenido";'GESTION INSTITUCIONAL'!AD5); "  ")</t>
  </si>
  <si>
    <t>ALIMENTACION</t>
  </si>
  <si>
    <t>PROFESIONAL</t>
  </si>
  <si>
    <t>ROL</t>
  </si>
  <si>
    <t>COMPLEMENTO TIPO ALMUERZO</t>
  </si>
  <si>
    <t>OPERADOR</t>
  </si>
  <si>
    <t>CONSECUTIVO DANE</t>
  </si>
  <si>
    <t>CONCEPTO DE SECRETARÍA DE SALUD R.P.S</t>
  </si>
  <si>
    <t>CONCEPTO DE SECRETARÍA DE SALUD - R.I</t>
  </si>
  <si>
    <t>CONCEPTO DE SECRETARÍA DE SALUD  V.L</t>
  </si>
  <si>
    <t>FECHACONCEPTO DE SECRETARÍA DE SALUD R.P.S DD/MM/AAAA</t>
  </si>
  <si>
    <t>TIPO DE ALIMENTACIÓN / COMPLEMENTO</t>
  </si>
  <si>
    <t>FECHA CONCEPTO DE SECRETARÍA DE SALUD  V.L DD/MM/AAAA</t>
  </si>
  <si>
    <t>FECHA CONCEPTO DE SECRETARÍA DE SALUD - R.I DD/MM/AAAA</t>
  </si>
  <si>
    <t>CONCEPTO</t>
  </si>
  <si>
    <t>NO TIENE</t>
  </si>
  <si>
    <t>FAVORABLE</t>
  </si>
  <si>
    <t>CONDICIONADO</t>
  </si>
  <si>
    <t>COMPLEMENTO AM/PM</t>
  </si>
  <si>
    <t># PROFESIONAL</t>
  </si>
  <si>
    <t>Columna237</t>
  </si>
  <si>
    <t>Columna238</t>
  </si>
  <si>
    <t>Columna239</t>
  </si>
  <si>
    <t>Columna240</t>
  </si>
  <si>
    <t>Columna241</t>
  </si>
  <si>
    <t>Columna242</t>
  </si>
  <si>
    <t>Columna243</t>
  </si>
  <si>
    <t>Columna244</t>
  </si>
  <si>
    <t>Columna245</t>
  </si>
  <si>
    <t>Columna246</t>
  </si>
  <si>
    <t>Columna247</t>
  </si>
  <si>
    <t>EVALUACION DEL MENU</t>
  </si>
  <si>
    <t>BEBIDA 1</t>
  </si>
  <si>
    <t>GRADO DE ESCOLARIDAD</t>
  </si>
  <si>
    <t>PESOS (g) VOLUMEN (cc)</t>
  </si>
  <si>
    <t>REF</t>
  </si>
  <si>
    <t>REAL</t>
  </si>
  <si>
    <t>CUMPLE/NO CUMPLE</t>
  </si>
  <si>
    <t>CUMPLE</t>
  </si>
  <si>
    <t>CARACTERISTICAS ORGANOLEPTICAS</t>
  </si>
  <si>
    <t>X</t>
  </si>
  <si>
    <t>BEBIDA 2</t>
  </si>
  <si>
    <t>PROTEICO</t>
  </si>
  <si>
    <t>ACOMPAÑANTE 1</t>
  </si>
  <si>
    <t>ACOMPAÑANTE 2</t>
  </si>
  <si>
    <t>ACOMPAÑANTE 3</t>
  </si>
  <si>
    <t>ACOMPAÑANTE 4</t>
  </si>
  <si>
    <t>ENSALADA</t>
  </si>
  <si>
    <t>FRUTA 1</t>
  </si>
  <si>
    <t>FRUTA 2</t>
  </si>
  <si>
    <t>ACOMPAÑANTE VL</t>
  </si>
  <si>
    <t>BEBIDA VL</t>
  </si>
  <si>
    <t>PRODUCTO</t>
  </si>
  <si>
    <t>MARCA</t>
  </si>
  <si>
    <t>CONDICIONES DE EMPAQUE</t>
  </si>
  <si>
    <t>CONDICIONES DE ROTULADO</t>
  </si>
  <si>
    <t>CANTIDAD</t>
  </si>
  <si>
    <t>ENCONTRADA</t>
  </si>
  <si>
    <t>EXCEDENTE EMPAQUE</t>
  </si>
  <si>
    <t>DIFERENCIA</t>
  </si>
  <si>
    <t>MANUELITA</t>
  </si>
  <si>
    <t>IDENTIFICACION INTERVENTOR</t>
  </si>
  <si>
    <t>IDENTIFICACION</t>
  </si>
  <si>
    <t>IDENTIFICACION DE QUIEN RECIBE LA VISITA</t>
  </si>
  <si>
    <t>Columna248</t>
  </si>
  <si>
    <t>Columna249</t>
  </si>
  <si>
    <t>ID SEDE</t>
  </si>
  <si>
    <t xml:space="preserve">No. LOTE </t>
  </si>
  <si>
    <t xml:space="preserve">Zona </t>
  </si>
  <si>
    <t xml:space="preserve">No. </t>
  </si>
  <si>
    <t>COMEDOR ESCOLAR</t>
  </si>
  <si>
    <t>NOMBRE SEDE</t>
  </si>
  <si>
    <t>TIPO DE EE</t>
  </si>
  <si>
    <t>J.UNICA</t>
  </si>
  <si>
    <t>COMUNA</t>
  </si>
  <si>
    <t>BARRIO</t>
  </si>
  <si>
    <t>DIRECCION</t>
  </si>
  <si>
    <t>TELEFONO</t>
  </si>
  <si>
    <t xml:space="preserve">RECTOR Y/O COORDINADOR  </t>
  </si>
  <si>
    <t>DOCENTE ENCARGADO DEL R.E.</t>
  </si>
  <si>
    <t>CORREO ELECTRONICO</t>
  </si>
  <si>
    <t>COMPLEMENTO ALIMENTARIO  AM/PM 
0° a 3°</t>
  </si>
  <si>
    <t>COMPLEMENTO ALIMENTARIO  AM/PM 
4° a 8°</t>
  </si>
  <si>
    <t>COMPLEMENTO ALIMENTARIO  AM/PM 
9° a 11°</t>
  </si>
  <si>
    <t xml:space="preserve"> COMPLEMENTO VASO DE LECHE 0° a 3°</t>
  </si>
  <si>
    <t xml:space="preserve"> COMPLEMENTO VASO DE LECHE 4° a 8°</t>
  </si>
  <si>
    <t xml:space="preserve"> COMPLEMENTO VASO DE LECHE 9° a 11°</t>
  </si>
  <si>
    <t xml:space="preserve">TOTAL COBERTURA </t>
  </si>
  <si>
    <t>IE CON RIT</t>
  </si>
  <si>
    <t>INST EDUC BARRIO SAN NICOLAS</t>
  </si>
  <si>
    <t>O</t>
  </si>
  <si>
    <t>VILLA GUADALUPE</t>
  </si>
  <si>
    <t>CARRERA 45A 96 17</t>
  </si>
  <si>
    <t>2365865 - 2360235</t>
  </si>
  <si>
    <t>HENRY MONSALVE AMARILES</t>
  </si>
  <si>
    <t>PAULA ARTEAGA</t>
  </si>
  <si>
    <t>coordisanicolas@gmail.com</t>
  </si>
  <si>
    <t>SEC ESC ANTONIO DERKA</t>
  </si>
  <si>
    <t>SANTO DOMINGO SAVIO Nº 2</t>
  </si>
  <si>
    <t>CARRERA 28 107 365</t>
  </si>
  <si>
    <t>5295216 5295218 5280020</t>
  </si>
  <si>
    <t>RUBEN DARIO URIBE MEJÍA</t>
  </si>
  <si>
    <t>M.(AM) MARTA CECILIA AGUILAR - UBER CALLE</t>
  </si>
  <si>
    <t>ie.antonioderka@medellin.gov.co ie.antoniosanto@medellin.gov.co</t>
  </si>
  <si>
    <t>Los 400 RI deben ser entregados en la I.E Antonio Derka</t>
  </si>
  <si>
    <t>INST EDUC REINO DE BELGICA</t>
  </si>
  <si>
    <t>MARIA CANO - CARAMBOLAS</t>
  </si>
  <si>
    <t>CARRERA 24C 93 44</t>
  </si>
  <si>
    <t>5722332 3113600138</t>
  </si>
  <si>
    <t>WEIMAR ALBERTO VASQUEZ</t>
  </si>
  <si>
    <t>RUTH ESTELA OCHOA Q.</t>
  </si>
  <si>
    <t>ie.reinodebelgica@gmail.com; weimarv@gmail.com</t>
  </si>
  <si>
    <t>SEC ESC MEDELLIN</t>
  </si>
  <si>
    <t>SAN PABLO - POPULAR</t>
  </si>
  <si>
    <t>CALLE 96 36 45</t>
  </si>
  <si>
    <t>CONSTANZA GIRALDO</t>
  </si>
  <si>
    <t>MARTHA GIL</t>
  </si>
  <si>
    <t>luiskb.07@hotmail.com</t>
  </si>
  <si>
    <t>SEC ESC NUEVO HORIZONTE 2</t>
  </si>
  <si>
    <t>SANTO DOMINGO SAVIO Nº 1</t>
  </si>
  <si>
    <t>CARRERA 37 107AA 21</t>
  </si>
  <si>
    <t>ANGEL PARDO</t>
  </si>
  <si>
    <t>CONSUELO RUA</t>
  </si>
  <si>
    <t>ienuevohorizonte2010@gmail.com</t>
  </si>
  <si>
    <t>INST EDUC NUEVO HORIZONTE -PAULO VI</t>
  </si>
  <si>
    <t>POPULAR</t>
  </si>
  <si>
    <t>CARRERA 42B 110A 28</t>
  </si>
  <si>
    <t>5285638 5722929</t>
  </si>
  <si>
    <t>ANGEL GEOVANNY PARDO ALVAREZ</t>
  </si>
  <si>
    <t>EMERSSON CAMILO YEPES</t>
  </si>
  <si>
    <t>giovamnip8@une.net.co; ienuevohorizonte2010@gmail.com</t>
  </si>
  <si>
    <t>INST EDUC GUADALUPE</t>
  </si>
  <si>
    <t>CARRERA 42B 95A 23</t>
  </si>
  <si>
    <t>XOCIMO RAMOS</t>
  </si>
  <si>
    <t>SANDRA ALVAREZ</t>
  </si>
  <si>
    <t>ie.villaguadalupe@medellin.gov.co/nertor.garciam@medellin.gov.co,eleazarlemos@yahoo.com,alhacgranda@hotmail.com; ieguadalupe@gmail.com</t>
  </si>
  <si>
    <t>SEC ESC GRACIELA JIMENEZ DE BUSTAMANTE</t>
  </si>
  <si>
    <t>MOSCU Nº 2</t>
  </si>
  <si>
    <t>CARRERA 44 98B 24</t>
  </si>
  <si>
    <t>VICTOR GAMERO POLO</t>
  </si>
  <si>
    <t>ie.gracielajimenez@medellin.gov.co; xocimor@yahoo.es; smah1979@gmail.com, ieguadalupe@gmail.com</t>
  </si>
  <si>
    <t>RIT</t>
  </si>
  <si>
    <t>INST EDUC FEDERICO CARRASQUILLA</t>
  </si>
  <si>
    <t>CARRERA 45 108 110</t>
  </si>
  <si>
    <t>2580194 - 2581227 - 5217789</t>
  </si>
  <si>
    <t>CARLOS ARTURO VENGOECHEA MARULANDA</t>
  </si>
  <si>
    <t>LEIDY LARGO</t>
  </si>
  <si>
    <t>federicocarrasquilla@gmail.com</t>
  </si>
  <si>
    <t>INST EDUC FE Y ALEGRIA GRANIZAL</t>
  </si>
  <si>
    <t>SEC ESC FE Y ALEGRIA GRANIZAL</t>
  </si>
  <si>
    <t>GRANIZAL</t>
  </si>
  <si>
    <t>CARRERA 39A 104 23</t>
  </si>
  <si>
    <t>5293564 5293562</t>
  </si>
  <si>
    <t>FIVIAN YULIETH AGUILAR PACHON</t>
  </si>
  <si>
    <t>HILDA CECILIA RINCON OSPINA- NANCY ACEVEDO</t>
  </si>
  <si>
    <t>feyalegriag@hotmail.com hilceri19@gmail.com</t>
  </si>
  <si>
    <t>Comparten comedor - Los 320 AM/PM de la IE. Fe y Alegria deben ser entregados en la SE Fe y Alegria.</t>
  </si>
  <si>
    <t>yulieduca@gmail.com; ie.feyalegriagranizal@medellin.gov.co</t>
  </si>
  <si>
    <t>INST EDUC FE Y ALEGRIA POPULAR NRO. 1</t>
  </si>
  <si>
    <t>CALLE 120 42BB 10</t>
  </si>
  <si>
    <t>HNA.MARIA EUGENIA ECHAVARRIA</t>
  </si>
  <si>
    <t>LUZ MARINA CORREA - PM</t>
  </si>
  <si>
    <t>ie.feyalegriapopular@medellin.gov.co/mariuearjm@yahoo.com.ar</t>
  </si>
  <si>
    <t>SEC ESC FE Y ALEGRIA POPULAR NO 2</t>
  </si>
  <si>
    <t>CARRERA 43 118B 16</t>
  </si>
  <si>
    <t>ADRIANA VELASQUEZ - AM</t>
  </si>
  <si>
    <t>ie.feyalegriapopular2@medellin.gov.co/mariuearjm@yahoo.com.ar, amavechi14@hotmail.com</t>
  </si>
  <si>
    <t>COL EMAUS</t>
  </si>
  <si>
    <t>C</t>
  </si>
  <si>
    <t>CARRERA 40 95A 30</t>
  </si>
  <si>
    <t>5219275 5219411 ext 115</t>
  </si>
  <si>
    <t>SAMUEL GALVES OSORIO</t>
  </si>
  <si>
    <t>DAVID TUBERQUIA</t>
  </si>
  <si>
    <t>colegioparroquialemaus@gmail.com, psicologiacpemaus@gmail.com</t>
  </si>
  <si>
    <t>INST EDUC ASIA IGNACIANA</t>
  </si>
  <si>
    <t>LA FRONTERA</t>
  </si>
  <si>
    <t>CALLE 122 51B 30</t>
  </si>
  <si>
    <t>4611821 4610517</t>
  </si>
  <si>
    <t>JOHN FREDY NUÑEZ OCHOA</t>
  </si>
  <si>
    <t>DUBER HOLGUIN PINEDA</t>
  </si>
  <si>
    <t>ieasiaignaciana@medellin.gov</t>
  </si>
  <si>
    <t>Comparten comedor - Los 240 AM/PM y 130 VL de la SE Asia Ignaciana se deben entregar en la I.E Asia Ignaciana.
ITEM 3: Comparten comedor - Los 60 RI de SP el Playon y los 130 de la SE Asia Ignaciana se deben entregar en la I.E Asia Ignaciana</t>
  </si>
  <si>
    <t>SEC ESC ASIA IGNACIANA</t>
  </si>
  <si>
    <t>SEC ESC LA FRONTERA</t>
  </si>
  <si>
    <t>CALLE 122 50A 14</t>
  </si>
  <si>
    <t>4611821-4610517</t>
  </si>
  <si>
    <t>SEC ESC FIDEL A. SALDARRIAGA</t>
  </si>
  <si>
    <t>VILLA DEL SOCORRO</t>
  </si>
  <si>
    <t>CARRERA 48 103B 07</t>
  </si>
  <si>
    <t>2368687 2368944-3003792726</t>
  </si>
  <si>
    <t>JULIO HUMBERTO FERNANDEZ TRUJILLO</t>
  </si>
  <si>
    <t>LUZ MARINA MARTINEZ- AM; FERNANDO PRADA CAMARGO PM</t>
  </si>
  <si>
    <t>ie.fidelasaldarriaga@medellin.gov.co, ie.villadelsocorro@medellin.gov.co,nica145@gmail.com, coordfidel@gmail.com</t>
  </si>
  <si>
    <t>SEC ESC VILLA NIZA</t>
  </si>
  <si>
    <t xml:space="preserve">SEC ESC VILLA NIZA </t>
  </si>
  <si>
    <t>VILLA NIZA</t>
  </si>
  <si>
    <t>CALLE 104A 50A 42</t>
  </si>
  <si>
    <t>2364169- 5218673-</t>
  </si>
  <si>
    <t>LUIS G.TAMAYO BEDOYA-PM; JUAN CARLOS SALAZAR-AM</t>
  </si>
  <si>
    <t>jajv44@gmail.com; coordivilla@gmail.com</t>
  </si>
  <si>
    <t>INST EDUC CIRO MENDIA</t>
  </si>
  <si>
    <t>SANTA CRUZ</t>
  </si>
  <si>
    <t>CALLE 99 48 55</t>
  </si>
  <si>
    <t>2364909 2142545</t>
  </si>
  <si>
    <t>MIGUEL ANGEL TANGARIFE</t>
  </si>
  <si>
    <t>SANDRA BUSTAMANTE</t>
  </si>
  <si>
    <t>ie.ciromendia@medellin.gov.co; sandrabr6@gmail.com</t>
  </si>
  <si>
    <t>INST EDUC PABLO NERUDA</t>
  </si>
  <si>
    <t>LA ROSA</t>
  </si>
  <si>
    <t>CALLE 97A 50AA 49</t>
  </si>
  <si>
    <t>2367211-
2142284</t>
  </si>
  <si>
    <t>LUIS CARLOS MOLINA</t>
  </si>
  <si>
    <t>ROSALBA GONZALEZ-PM; SADIS RICARDO-AM</t>
  </si>
  <si>
    <t>ie.pabloneruda@medellin.gov.co; rosigm12@yahoo.es; rectorianeruda@gmail.com</t>
  </si>
  <si>
    <t>SEC ESC MUNICIPAL LA ROSA</t>
  </si>
  <si>
    <t>CARRERA 52 99 24</t>
  </si>
  <si>
    <t>BERNARDO ANTONIO MORALES</t>
  </si>
  <si>
    <t>LUZ BEATRIZ PEÑA</t>
  </si>
  <si>
    <t>ie.municipallarosa@medellin.gov.co; ierepublicadehonduras@gmail.com</t>
  </si>
  <si>
    <t>INST EDUC BARRIO SANTA CRUZ</t>
  </si>
  <si>
    <t>MOSCU Nº 1</t>
  </si>
  <si>
    <t>CALLE 103 43A 23</t>
  </si>
  <si>
    <t>HUGO LEON GUTIERREZ</t>
  </si>
  <si>
    <t>LUIS ALVAREZ-PM; MARIA ISABEL MORALES-AM</t>
  </si>
  <si>
    <t>iebscruz1@hotmail.com; isa_morales@hotmail.com</t>
  </si>
  <si>
    <t>SEC ESC LA FRANCIA</t>
  </si>
  <si>
    <t>LA FRANCIA</t>
  </si>
  <si>
    <t>CALLE 109 51 71</t>
  </si>
  <si>
    <t>FRANCISCO JAVIER RESTREPO</t>
  </si>
  <si>
    <t>RUTH MARIANA ATHEHORTUA - AM - ALBA CECILIA HENAO - PM</t>
  </si>
  <si>
    <t>ie.lafrancia@medellin.gov.co; franjare@gmail.com; institucionfincalamesa@medellin.gov.co</t>
  </si>
  <si>
    <t>INST EDUC MANUEL URIBE ANGEL</t>
  </si>
  <si>
    <t>ANDALUCIA</t>
  </si>
  <si>
    <t>CARRERA 49A 107 65</t>
  </si>
  <si>
    <t>JORGE ALIRIO ECHEVERRI TAMAYO</t>
  </si>
  <si>
    <t>VIVIANA RODRIGUEZ-AM, SERGIO ANDRÉS ROJAS -PM</t>
  </si>
  <si>
    <t>ie.manueluribeangel@medellin.gov.co; notasmanueluribe@gmail.com; sanberbepo@hotmail.com</t>
  </si>
  <si>
    <t>SEC ESC GERARDO DAVID GIRALDO</t>
  </si>
  <si>
    <t>CARRERA 49C 108 70</t>
  </si>
  <si>
    <t>JORGE ALIRIO RODRIGUEZ</t>
  </si>
  <si>
    <t>MARIO ALBERTO GUERRA MONTOYA COORD, CAREN LÓPEZ ARISTIZABAL DOCENTE</t>
  </si>
  <si>
    <t>ie.gerardodavidgiraldo@medellin.gov.co; albertodoctorado@live.com,carentlopez@gmail.com</t>
  </si>
  <si>
    <t>SEC ESC BELLO ORIENTE</t>
  </si>
  <si>
    <t>ORIENTE</t>
  </si>
  <si>
    <t>CALLE 83B 23C 353</t>
  </si>
  <si>
    <t>CARLOS GOMEZ</t>
  </si>
  <si>
    <t>DORA RENDON - GUSTAVO CUESTA</t>
  </si>
  <si>
    <t>ie.bellooriente@medellin.gov.co; carlosgota1@gmail.com; ie.ramonmunera@hotmail.com</t>
  </si>
  <si>
    <t>INST EDUC MANUELA BELTRAN</t>
  </si>
  <si>
    <t>MANRIQUE ORIENTAL</t>
  </si>
  <si>
    <t>CARRERA 37 71 47</t>
  </si>
  <si>
    <t>5272968-5161797</t>
  </si>
  <si>
    <t>CÉSAR AGUSTO CORRALES AGUDELO</t>
  </si>
  <si>
    <t>MAGALY SANCHEZ</t>
  </si>
  <si>
    <t>iemanuelabeltran@medellin.gov.co; manuelabeltran.ie@gmail.com; condotochoco97@yahoo.es</t>
  </si>
  <si>
    <t>SEC ESC VERSALLES</t>
  </si>
  <si>
    <t>VERSALLES Nº 1</t>
  </si>
  <si>
    <t>CALLE 71 33 33</t>
  </si>
  <si>
    <t>GUSTAVO ADOLFO PATIÑO</t>
  </si>
  <si>
    <t>GLORIA LUZ GARCIA - AM; JHON DARIO RAMIREZ-PM</t>
  </si>
  <si>
    <t>ie.versalles@medellin.gov.co; ravajoda@hotmail.com</t>
  </si>
  <si>
    <t>INST EDUC ENRIQUE OLAYA HERRERA</t>
  </si>
  <si>
    <t>CALLE 71A 32 18</t>
  </si>
  <si>
    <t>2911707 2912291</t>
  </si>
  <si>
    <t>JAQUELINE RODRIGUEZ MARIN</t>
  </si>
  <si>
    <t>FABIAN ROMERO (P) JHON JAIRO PEREZ</t>
  </si>
  <si>
    <t>enriqueolayaherrera@hotmail.com; rosa.martinez@medellin.gov.co; jjpp34@gmail.com</t>
  </si>
  <si>
    <t>INST EDUC SAN LORENZO DE ABURRA</t>
  </si>
  <si>
    <t>SANTA INES</t>
  </si>
  <si>
    <t>CARRERA 39 80 33</t>
  </si>
  <si>
    <t>2331978-5165876</t>
  </si>
  <si>
    <t>GABRIEL ANGEL AGUDELO CIFUENTES</t>
  </si>
  <si>
    <t>GLORIA MARLENY HERRERA AGUDELO</t>
  </si>
  <si>
    <t>Ie.sanlorenzodeaburr@medellin.gov.co; gloriamarleny18@yahoo.es</t>
  </si>
  <si>
    <t>INST EDUC FE Y ALEGRIA LA CIMA</t>
  </si>
  <si>
    <t>LAS GRANJAS</t>
  </si>
  <si>
    <t>CARRERA 36C 86BB 15</t>
  </si>
  <si>
    <t>CLAUDIA MARIA GOMEZ HOYOS</t>
  </si>
  <si>
    <t>SINDY YULIANA VILLA</t>
  </si>
  <si>
    <t>ie.feyalegrialacima@medellin.gov.co; slacima@gmail.com; campovaldes2013@gmail.com; rectoralacima@gmail.com</t>
  </si>
  <si>
    <t>Comparten comedor - los 200 AM/PM de SE Fe y Alegria #3 se deben entregar en I.E Fe y Alegria la Cima.</t>
  </si>
  <si>
    <t>SEC ESC FE Y ALEGRIA NO 3</t>
  </si>
  <si>
    <t>INST EDUC SAN JUAN BAUTISTA DE LA SALLE</t>
  </si>
  <si>
    <t>LA SALLE</t>
  </si>
  <si>
    <t>CALLE 93 40 42</t>
  </si>
  <si>
    <t>5225237-5215192</t>
  </si>
  <si>
    <t>DARIO RODRIGUEZ ZAPATA</t>
  </si>
  <si>
    <t>CARMEN SOELIA ZAPATA TAPIAS (Coordinadora)</t>
  </si>
  <si>
    <t>ie.sanjuanbautistade@medellin.gov.co; ielasalle@gmail.com; soeliazapata@gmail.com</t>
  </si>
  <si>
    <t>INST EDUC JOSE ANTONIO GALAN</t>
  </si>
  <si>
    <t>CARRERA 44A 93 87</t>
  </si>
  <si>
    <t>LUIS FERNANDO VARGAS</t>
  </si>
  <si>
    <t>FRANCI ATEHORTUA</t>
  </si>
  <si>
    <t>fatchortua@josegalan.edu.co; iejoseantoniogalan@josegalan.edu.co</t>
  </si>
  <si>
    <t>INST EDUC HERNAN TORO AGUDELO</t>
  </si>
  <si>
    <t>EL POMAR</t>
  </si>
  <si>
    <t>CARRERA 45 72 80</t>
  </si>
  <si>
    <t>LIBIA PABON</t>
  </si>
  <si>
    <t>MARYORI PIEDRAHITA</t>
  </si>
  <si>
    <t>ie.hernantoro@medellin.gov.co; mayppz@yahoo.com; institucionhta@yahoo.com</t>
  </si>
  <si>
    <t>INST EDUC LAS NIEVES</t>
  </si>
  <si>
    <t>CALLE 82 39 69</t>
  </si>
  <si>
    <t>BEATRIZ ELENA BENITEZ</t>
  </si>
  <si>
    <t>FREDY CASTRO-PM; LINA TORRES-AM</t>
  </si>
  <si>
    <t>iclasnieves@une.net.co; estrasol1@yahoo.com;
ie.lasnieves@medellin.gov.co; vengalamaria@hotmail.com; dimagohe75@gmail.com; bebehnieves@gmail.com</t>
  </si>
  <si>
    <t>INST EDUC RAMON MUNERA LOPERA</t>
  </si>
  <si>
    <t>EL RAIZAL</t>
  </si>
  <si>
    <t>CARRERA 30A 77A 04</t>
  </si>
  <si>
    <t>BEATRIZ CECILIA CORREA MURILLO-AM</t>
  </si>
  <si>
    <t>Ie.ramonmunera@hotmail.com; beaz18@hotmail.com; beacorremucho@yahoo.es; carlosgota1@gmal.com</t>
  </si>
  <si>
    <t>SEC ESC ALTO DE LA CRUZ</t>
  </si>
  <si>
    <t>LA CRUZ</t>
  </si>
  <si>
    <t>CALLE 79C 24C 21</t>
  </si>
  <si>
    <t>2319667 2118244 5712747</t>
  </si>
  <si>
    <t>NURIS SARAY PABON</t>
  </si>
  <si>
    <t>ie.altodelacruz@medellin.gov.co; estellitamena@yahoo.es; notessaray@gmail.com</t>
  </si>
  <si>
    <t>INST EDUC JAVIERA LONDOÑO SEVILLA</t>
  </si>
  <si>
    <t>SEVILLA</t>
  </si>
  <si>
    <t>CALLE 71 51D 26</t>
  </si>
  <si>
    <t>2118291 2116666 2336219</t>
  </si>
  <si>
    <t>LUA DARY USUGA USUGA</t>
  </si>
  <si>
    <t>MARTA RODRIGUEZ Y MARIA VICTORIA RIOS</t>
  </si>
  <si>
    <t>ie.javieralondonosev@medellin.gov.co; mainros2008@hotmail.com</t>
  </si>
  <si>
    <t>INST EDUC ALFONSO MORA NARANJO</t>
  </si>
  <si>
    <t>CAMPO VALDES Nº 1</t>
  </si>
  <si>
    <t>CARRERA 48A 77 68</t>
  </si>
  <si>
    <t>2110412 -2118237-2333137</t>
  </si>
  <si>
    <t>MARIA GEMA MUÑOZ OSORNO</t>
  </si>
  <si>
    <t>DIANA ESTRADA-AM; MARIA VICTORIA MAYA-PM</t>
  </si>
  <si>
    <t>almoranaranjo@hotmail.com</t>
  </si>
  <si>
    <t>SEC ESC SANTA MARIA GORETTI</t>
  </si>
  <si>
    <t>MANRIQUE CENTRAL Nº 1</t>
  </si>
  <si>
    <t>CALLE 67 48A 32</t>
  </si>
  <si>
    <t>YUDITH MARTINEZ-AM; PIEDAD MARIN-PM</t>
  </si>
  <si>
    <t>alual13@yahoo.com.ar</t>
  </si>
  <si>
    <t>INST EDUC CAMPO VALDES</t>
  </si>
  <si>
    <t>CALLE 83 47 33</t>
  </si>
  <si>
    <t>2118234 2336895</t>
  </si>
  <si>
    <t>ORLANDO ISAZA ESTRADA-(FALLECIO)</t>
  </si>
  <si>
    <t>CRISTINA LOPEZ HENAO</t>
  </si>
  <si>
    <t>rectoria.iecampovaldes@gmail.com; coordiacademica.iecampovaldes@gmail.com</t>
  </si>
  <si>
    <t>INST EDUC FRANCISCO MIRANDA</t>
  </si>
  <si>
    <t>MIRANDA</t>
  </si>
  <si>
    <t>CARRERA 51C 79 56</t>
  </si>
  <si>
    <t>2335808 2135601</t>
  </si>
  <si>
    <t>ANA MARIA MONTOYA</t>
  </si>
  <si>
    <t>LUCY COLOMBIA</t>
  </si>
  <si>
    <t>secretaria@franciscomiranda.edu.co; garciamarinliliana@gmail.com</t>
  </si>
  <si>
    <t>SEC ESC JULIO ARBOLEDA</t>
  </si>
  <si>
    <t>CALLE 78 51 12</t>
  </si>
  <si>
    <t>ARMANDO PEREZ</t>
  </si>
  <si>
    <t>secretaria@franciscomiranda.edu.co</t>
  </si>
  <si>
    <t>INST EDUC JUAN DE DIOS COCK</t>
  </si>
  <si>
    <t>LAS ESMERALDAS</t>
  </si>
  <si>
    <t>CALLE 88 45 70</t>
  </si>
  <si>
    <t>2110220-2112461</t>
  </si>
  <si>
    <t>HUMBERTO RESTREPO ZAPATA</t>
  </si>
  <si>
    <t>JULIAN DAVID ZAPATA Y LINA MARIA PATIÑO</t>
  </si>
  <si>
    <t>iejuandedioscock@gmail.com</t>
  </si>
  <si>
    <t>INST EDUC CAMILO TORRES RESTREPO</t>
  </si>
  <si>
    <t>CARRERA 49 83 34</t>
  </si>
  <si>
    <t>BEATRIZ CASTRO</t>
  </si>
  <si>
    <t>ALDEMAR ATHEORTUA SANCHEZ ©
MILY JANETH TELLO
ERIKA RAMIREZ TORO</t>
  </si>
  <si>
    <t>Catorre917@yahoo.es; aldemarate@gmail.com; docenterika@gmail.com</t>
  </si>
  <si>
    <t>INST EDUC FRANCISCO LUIS HERNANDEZ BETANCUR</t>
  </si>
  <si>
    <t>ARANJUEZ</t>
  </si>
  <si>
    <t>CALLE 87 50AA 21</t>
  </si>
  <si>
    <t>2368970-4448971</t>
  </si>
  <si>
    <t>FERNANDO VARGAS ROJAS</t>
  </si>
  <si>
    <t>PAOLA RENDON-PM; BEATRIZ HENAO-AM</t>
  </si>
  <si>
    <t>ie.franciscoluishern@medellin.gov.co; prendon@iefranciscoluis.edu.co</t>
  </si>
  <si>
    <t>SEC ESC SAN ISIDRO</t>
  </si>
  <si>
    <t>PALERMO</t>
  </si>
  <si>
    <t>CARRERA 53 95 25</t>
  </si>
  <si>
    <t>HUMBERTO BERMUDEZ</t>
  </si>
  <si>
    <t>DIANA TORO</t>
  </si>
  <si>
    <t>dianatoroh@gmail.com</t>
  </si>
  <si>
    <t>SEC ESC CARLOS VILLA MARTINEZ</t>
  </si>
  <si>
    <t>SAN ISIDRO</t>
  </si>
  <si>
    <t>CARRERA 50B 95 06</t>
  </si>
  <si>
    <t>BLANCA ISAZA</t>
  </si>
  <si>
    <t>mariagalvis150@hotmail.com; blancacisazaj@gmail.com</t>
  </si>
  <si>
    <t>INST EDUC SAN AGUSTIN</t>
  </si>
  <si>
    <t>CALLE 88A 51B 91</t>
  </si>
  <si>
    <t>HECTOR HERNAN GARCIA DUQUE</t>
  </si>
  <si>
    <t>CONSUELO LÓPEZ -</t>
  </si>
  <si>
    <t>iesa.berenice.iesa@gmail.com; iesanagutsin@hotmail.com</t>
  </si>
  <si>
    <t>SEC ESC ESTEBAN JARAMILLO</t>
  </si>
  <si>
    <t>LA PIÑUELA</t>
  </si>
  <si>
    <t>CARRERA 47 89 79</t>
  </si>
  <si>
    <t>JUAN GUILLERMO VILLA</t>
  </si>
  <si>
    <t>ARLEX YESID GALEANO</t>
  </si>
  <si>
    <t>lusmar1431@hotmail.com; celmar521@hotmail.com; arlexgaleano@gmail.com</t>
  </si>
  <si>
    <t>SEC ESC SIMONA DUQUE</t>
  </si>
  <si>
    <t>CARRERA 51 96 44</t>
  </si>
  <si>
    <t>arlexgaleano@gmail.com</t>
  </si>
  <si>
    <t>INST EDUC MONSEÑOR FRANCISCO CRISTOBAL TORO</t>
  </si>
  <si>
    <t>CARRERA 50D 90 49</t>
  </si>
  <si>
    <t>2365286 5240239</t>
  </si>
  <si>
    <t>PEDRO AGUALIMPIA PEREA</t>
  </si>
  <si>
    <t>DIANA P. TORO-AM; VICTOR AVILA-PM</t>
  </si>
  <si>
    <t>info.iecristobaltoro@gmail.com</t>
  </si>
  <si>
    <t>INST EDUC JOSE EUSEBIO CARO</t>
  </si>
  <si>
    <t>CARRERA 50A 93 77</t>
  </si>
  <si>
    <t>2364551 2362561</t>
  </si>
  <si>
    <t>FRANCISCO JAVIER RESTREPO ROLDAN</t>
  </si>
  <si>
    <t>LUZ MIRIAM RAMIREZ - LILIA URRUTIA</t>
  </si>
  <si>
    <t>ie.joseeusebiocaro@medellin.gov.co; pipiyusateamo@yahoo.com.ar; francisco.restrepo@medellin.gov.co</t>
  </si>
  <si>
    <t>INST EDUC DIEGO ECHAVARRIA MISAS</t>
  </si>
  <si>
    <t>FLORENCIA</t>
  </si>
  <si>
    <t>CALLE 111 70 68</t>
  </si>
  <si>
    <t>4521760  4521734  2732700</t>
  </si>
  <si>
    <t>RODRIGO JIMENEZ MARTINEZ</t>
  </si>
  <si>
    <t>MARTIN ARTURO ARIAS ( AM) -  IVAN ESCOBAR (PM)</t>
  </si>
  <si>
    <t>idemisas@une.net.co; rodrigoj1991@une.net.co</t>
  </si>
  <si>
    <t>SEC ESC EDUARDO URIBE BOTERO</t>
  </si>
  <si>
    <t>TEJELO</t>
  </si>
  <si>
    <t>CARRERA 74 112 30</t>
  </si>
  <si>
    <t>2730531 Ext. 111 - 116 -117</t>
  </si>
  <si>
    <t>LILIANA MUÑOZ ( D) - PATRICIA VASCO (PM)</t>
  </si>
  <si>
    <t>jcruiz2004@gmail.com - julietaternura@gmail.com</t>
  </si>
  <si>
    <t>INST EDUC ALFONSO LOPEZ</t>
  </si>
  <si>
    <t>ALFONSO LOPEZ</t>
  </si>
  <si>
    <t>CARRERA 71C 89A 70</t>
  </si>
  <si>
    <t>2574197  2573944  2579574  311 603 04 48</t>
  </si>
  <si>
    <t>KAROL COSSIO CORREA</t>
  </si>
  <si>
    <t>NORA LIA MURILLO</t>
  </si>
  <si>
    <t>ie.alfonsolopez@medellin.gov.co</t>
  </si>
  <si>
    <t>SEC ESC MUNICIPAL KENNEDY</t>
  </si>
  <si>
    <t>CALLE 89A 72 50</t>
  </si>
  <si>
    <t>2575852 - 4424980</t>
  </si>
  <si>
    <t>BEATRIZ ELENA VILLA</t>
  </si>
  <si>
    <t>SEC ESC RICARDO URIBE ESCOBAR</t>
  </si>
  <si>
    <t>CARIBE</t>
  </si>
  <si>
    <t>CARRERA 64B 75A 49</t>
  </si>
  <si>
    <t>2570276 4410872</t>
  </si>
  <si>
    <t>MARIO GONZALEZ (COORD)</t>
  </si>
  <si>
    <t>YOLANDA RUA.</t>
  </si>
  <si>
    <t>ie.ricardouribeescob@medellin.gov.co</t>
  </si>
  <si>
    <t>INST EDUC MAESTRO PEDRO NEL GOMEZ</t>
  </si>
  <si>
    <t>CALLE 118 70 42</t>
  </si>
  <si>
    <t>4631259 2730323 4660345 4620035 EXT 11</t>
  </si>
  <si>
    <t>JHON JAIRO GARCIA. ( RECTOR )</t>
  </si>
  <si>
    <t>MARIA LUZ DARY MUÑOZ - GUILLERMO JIMENEZ</t>
  </si>
  <si>
    <t>ie.maestropedronelgo@medellin.gov.co</t>
  </si>
  <si>
    <t>SEC ESC DIEGO MARIA GOMEZ</t>
  </si>
  <si>
    <t>CARRERA 74 115 36</t>
  </si>
  <si>
    <t>HECTOR OSORIO (COORD)</t>
  </si>
  <si>
    <t>MATIDE MESA GARCIA</t>
  </si>
  <si>
    <t>albagragi1956@hotmail.com, hosoriog@hotmail.com</t>
  </si>
  <si>
    <t>SEC ESC TOSCANA</t>
  </si>
  <si>
    <t>TOSCANA</t>
  </si>
  <si>
    <t>CALLE 111G 64A 16</t>
  </si>
  <si>
    <t>GERMAN ZAPATA</t>
  </si>
  <si>
    <t>INDIANA MORALES</t>
  </si>
  <si>
    <t>coordinacion.toscana@gmail.com</t>
  </si>
  <si>
    <t>INST EDUC TRICENTENARIO</t>
  </si>
  <si>
    <t>TRICENTENARIO</t>
  </si>
  <si>
    <t>CARRERA 63A 94A 629</t>
  </si>
  <si>
    <t>4712280  4713883  4713914</t>
  </si>
  <si>
    <t>FLOR DE AZALEA VILLA</t>
  </si>
  <si>
    <t>CECILIA GOMEZ. LUZ MERY VAHOS,</t>
  </si>
  <si>
    <t>ietricentenario2012@gmail.com</t>
  </si>
  <si>
    <t>SEC ESC TRICENTENARIO</t>
  </si>
  <si>
    <t>CARRERA 63A 94A 23</t>
  </si>
  <si>
    <t>SILVIO RENTERIA.</t>
  </si>
  <si>
    <t>DIANA OSPINA. NIDIAN RENDÓN</t>
  </si>
  <si>
    <t>renasil3@gmail.com</t>
  </si>
  <si>
    <t>INST EDUC DINAMARCA</t>
  </si>
  <si>
    <t>FRANCISCO ANTONIO ZEA</t>
  </si>
  <si>
    <t>CALLE 91 65 119</t>
  </si>
  <si>
    <t>RAMIRO VALENCIA PATIÑO (RECTOR)</t>
  </si>
  <si>
    <t>ANA FRANCISCA GUERRERO AM  - CELINA ARIAS PM</t>
  </si>
  <si>
    <t>ie.dinamarca@medellin.gov.co - iedinamarca@iedinamarca.edu.co</t>
  </si>
  <si>
    <t>INST EDUC RODRIGO CORREA PALACIO</t>
  </si>
  <si>
    <t>CASTILLA</t>
  </si>
  <si>
    <t>CALLE 103 66 63</t>
  </si>
  <si>
    <t>CLARA ASTRID CEBALLOS. (RECTORA)</t>
  </si>
  <si>
    <t>MARIA SONIA ARANGO</t>
  </si>
  <si>
    <t>ie.rodrigocorrea@hotmail.com</t>
  </si>
  <si>
    <t>SEC ESC MUNICIPAL CASTILLA</t>
  </si>
  <si>
    <t>INST EDUC MAESTRO ARENAS BETANCUR</t>
  </si>
  <si>
    <t>CALLE 98A 65 120</t>
  </si>
  <si>
    <t>MARCO ANTONIO ORTIZ LOESTE  - ROBERTO AGUILAR</t>
  </si>
  <si>
    <t>MARIA ELENA FLOREZ AM - OLANDRA MADRID PM</t>
  </si>
  <si>
    <t>secretaria.maestroarenas@hotmail.com</t>
  </si>
  <si>
    <t>CALLE 101 65 125</t>
  </si>
  <si>
    <t>2676475  2677287 3007781380</t>
  </si>
  <si>
    <t>LUZ MARINA FLOREZ (COORD)</t>
  </si>
  <si>
    <t>GLADIS ARCILA AM - MARIA FENIBER ARANGO TORO PM</t>
  </si>
  <si>
    <t>SEC ESC IMPERIO DEL JAPON</t>
  </si>
  <si>
    <t>iemaestroarenasb2012@gmail,com</t>
  </si>
  <si>
    <t>SEC ESC ALEJO PIMIENTA</t>
  </si>
  <si>
    <t>CALLE 96 70 46</t>
  </si>
  <si>
    <t>NORBERTO GALLEGO</t>
  </si>
  <si>
    <t>RUBEN CORREA</t>
  </si>
  <si>
    <t>ktapulga@gmail.com - lunoga1@hotmail.com</t>
  </si>
  <si>
    <t>INST EDUC JULIO CESAR GARCIA</t>
  </si>
  <si>
    <t>LAS BRISAS</t>
  </si>
  <si>
    <t>CALLE 111A 65 26</t>
  </si>
  <si>
    <t>2730139  4612395  4620326</t>
  </si>
  <si>
    <t>GABRIEL EEDUARDO 
GUZMAN BOOOM</t>
  </si>
  <si>
    <t>MARTHA ELISA MAZO PM - LUIS ANGEL BURUTICA AM</t>
  </si>
  <si>
    <t>ie.jcesargarcia@gmail.com</t>
  </si>
  <si>
    <t>SEC ESC MINERVA</t>
  </si>
  <si>
    <t>KENNEDY</t>
  </si>
  <si>
    <t>CALLE 94 79A 30</t>
  </si>
  <si>
    <t>2576764  316 635 24 22</t>
  </si>
  <si>
    <t>MARTHA AREIZA (COORD)</t>
  </si>
  <si>
    <t>YOLANDA HERNANDEZ</t>
  </si>
  <si>
    <t>glorialmejia@hotmail.com; yoly1583@hotmail.com - marthaeareizam,iek@gmail.com</t>
  </si>
  <si>
    <t>SEC ESC EL PICACHO</t>
  </si>
  <si>
    <t>PICACHO</t>
  </si>
  <si>
    <t>CARRERA 83 95B  40</t>
  </si>
  <si>
    <t>FERNANDO ENRIQUE SALAMANCA (RECTOR)</t>
  </si>
  <si>
    <t>LIDA CANO</t>
  </si>
  <si>
    <t>ie.kennedy@medellin.gov.co</t>
  </si>
  <si>
    <t>SEC CONCENTRACION EDUCATIVA KENNEDY</t>
  </si>
  <si>
    <t>CARRERA 76 92  199</t>
  </si>
  <si>
    <t>2574139 317 786 68 10</t>
  </si>
  <si>
    <t>FARLYN GAMBOA</t>
  </si>
  <si>
    <t>ANGELA MARIA SUAREZ</t>
  </si>
  <si>
    <t>SEC ESC CAROLINA KENNEDY</t>
  </si>
  <si>
    <t>CARRERA 76A 90 18</t>
  </si>
  <si>
    <t>SIVIA ESTELLA LENIZ (DOCENTE ENCARGADA)</t>
  </si>
  <si>
    <t>carolinakennedy@hotmail.com</t>
  </si>
  <si>
    <t>INST EDUC ALFREDO COCK ARANGO</t>
  </si>
  <si>
    <t>CARRERA 72 99 55</t>
  </si>
  <si>
    <t>2677552  26711 90  2303649</t>
  </si>
  <si>
    <t>RENE ALEJANDRO LONDOÑO CANO (RECTOR)</t>
  </si>
  <si>
    <t>GABRIELA GARCIA AM - AIDE LUZ ACEVEDO  PM</t>
  </si>
  <si>
    <t>rectoria@ieaca.edu.co</t>
  </si>
  <si>
    <t>INST EDUC MAESTRO FERNANDO BOTERO</t>
  </si>
  <si>
    <t>PEDREGAL - DOCE DE OCTUBRE</t>
  </si>
  <si>
    <t>CALLE 104 72 A 80</t>
  </si>
  <si>
    <t>2371235 4713488</t>
  </si>
  <si>
    <t>CARLOS VIDAL TOBÓN (RECTOR)</t>
  </si>
  <si>
    <t>DIANA PALACIO AM - MARCOS GAVIRIA PM</t>
  </si>
  <si>
    <t>ie.maestrofernandobo@medellin.gov.co; rectoria.iemfb@gmail.com</t>
  </si>
  <si>
    <t>SEC ESC EL PEDREGAL</t>
  </si>
  <si>
    <t>CALLE 104E 74 109</t>
  </si>
  <si>
    <t>RUBIELA ZAPATA -- DOCENTE ENCARGADO</t>
  </si>
  <si>
    <t>rectoria.iemfb@gmail.com</t>
  </si>
  <si>
    <t>INST EDUC EL PEDREGAL</t>
  </si>
  <si>
    <t>CALLE 102 74A 47</t>
  </si>
  <si>
    <t>4783320  4777348</t>
  </si>
  <si>
    <t>CONNIE HELEN BARTH</t>
  </si>
  <si>
    <t>marleny giraldo</t>
  </si>
  <si>
    <t>ie.pedregal@medellin.gov.co; conniybarth68@hotmail.com - iepedregal@gmail.com</t>
  </si>
  <si>
    <t>SEC ESC RAFAEL J. MEJIA</t>
  </si>
  <si>
    <t>CALLE 102 74A 109</t>
  </si>
  <si>
    <t>4781648 ext. 110</t>
  </si>
  <si>
    <t>NASLY GONZALES AM - ROBINSON GALLEGO PM</t>
  </si>
  <si>
    <t>ie.pedregal@gmail.com - juafernando.coordinacion@gmail.com</t>
  </si>
  <si>
    <t>INST EDUC JUVENIL NUEVO FUTURO</t>
  </si>
  <si>
    <t>SANTANDER</t>
  </si>
  <si>
    <t>CARRERA 80 104C 36 - CALLE 104CC 80  03</t>
  </si>
  <si>
    <t>NIDIA GOMEZ</t>
  </si>
  <si>
    <t>JHON PABLO RAMOS AM - LINA MARIA BUSTAMANTE PM</t>
  </si>
  <si>
    <t>ie.juvenilnuevofutur@medellin.gov.co</t>
  </si>
  <si>
    <t>INST EDUC EL TRIUNFO SANTA TERESA</t>
  </si>
  <si>
    <t>EL TRIUNFO</t>
  </si>
  <si>
    <t>CALLE 104D 82GG 20</t>
  </si>
  <si>
    <t>4715017 314 619 27 00</t>
  </si>
  <si>
    <t>MIGUEL ZAPATA</t>
  </si>
  <si>
    <t>DEYANIRA MORENO</t>
  </si>
  <si>
    <t>maesgra2003@gmail.com</t>
  </si>
  <si>
    <t>SEC ESC EL TRIUNFO</t>
  </si>
  <si>
    <t>CALLE 103A 86 35</t>
  </si>
  <si>
    <t>CLAUDIA FONNEGRA</t>
  </si>
  <si>
    <t>DORIAN DAVID GONZALEZ. ALBA PATRICIA.</t>
  </si>
  <si>
    <t>claudiafonn@gmail.com</t>
  </si>
  <si>
    <t>INST EDUC BARRIO SANTANDER</t>
  </si>
  <si>
    <t>CARRERA 78C 104F 78</t>
  </si>
  <si>
    <t>4719980  4720572  4720610  4720620</t>
  </si>
  <si>
    <t>HERNAN DARIO NANCLARES</t>
  </si>
  <si>
    <t>CINDY MARCELA ZAPATA  AM - NESLY ARANGO PM</t>
  </si>
  <si>
    <t>ie.barriosantander6@gmail.com</t>
  </si>
  <si>
    <t>INST EDUC JESUS MARIA VALLE</t>
  </si>
  <si>
    <t>CALLE 101 83 21</t>
  </si>
  <si>
    <t>HECTOR JULIAN ALZATE PARRA</t>
  </si>
  <si>
    <t>NATALIA GUZMAN AM - DIANA AMARILLO PM</t>
  </si>
  <si>
    <t>iejesusmariavallej@gmail.com  carloso@iejesusmariavallejaramillo,edu.co</t>
  </si>
  <si>
    <t>INST EDUC SANTA JUANA DE LESTONAC</t>
  </si>
  <si>
    <t>CARRERA 76A 103C 43</t>
  </si>
  <si>
    <t>4711144 - 4718714 - 4712078</t>
  </si>
  <si>
    <t>CLAUDIA LUCIA CRUZ</t>
  </si>
  <si>
    <t>ESTELA PATRICIA TORREZ (PRIM) CLAUDIA SEPULVEDA (BACH)</t>
  </si>
  <si>
    <t>iesantajuana@gmail.com</t>
  </si>
  <si>
    <t>INST EDUC PROGRESAR</t>
  </si>
  <si>
    <t>PROGRESO Nº 2</t>
  </si>
  <si>
    <t>CARRERA 83A 106D-05</t>
  </si>
  <si>
    <t>3108311279 4760875  4761063</t>
  </si>
  <si>
    <t>MONICA MORENO</t>
  </si>
  <si>
    <t>LILIANA MARIA ECHEVERRY PEREZ</t>
  </si>
  <si>
    <t>progresar@sinfronteras.edu.co; liliana@sinfronteras.edu.com - ieprogresar@gmail.com</t>
  </si>
  <si>
    <t>INST EDUC CIUDADELA LAS AMERICAS</t>
  </si>
  <si>
    <t>CALLE 111 79 78</t>
  </si>
  <si>
    <t>2730161 - 2738598</t>
  </si>
  <si>
    <t>BEATRIZ ESTELA BOJACÁ O. COORDIN. NIDIA RUTH LONDOÑO</t>
  </si>
  <si>
    <t>FELIPE OSORIO</t>
  </si>
  <si>
    <t>ciudadelalasamericas@gmail.com</t>
  </si>
  <si>
    <t>INST EDUC DOCE DE OCTUBRE</t>
  </si>
  <si>
    <t>DOCE DE OCTUBRE Nº 1</t>
  </si>
  <si>
    <t>CARRERA 77B 103 05</t>
  </si>
  <si>
    <t>4777998  4715975</t>
  </si>
  <si>
    <t>ANGELA MARIA CHAVERRA</t>
  </si>
  <si>
    <t>VICTOR  HUGO GOMEZ - ROSENDO NARANJO PM - GLADYS MESA</t>
  </si>
  <si>
    <t>rosnaranjo@yahoo.com   12deoctubre2017@gmail.com - liceodocedeoctubre@gmail.com</t>
  </si>
  <si>
    <t>SEC ESC LEON DE GREIFF</t>
  </si>
  <si>
    <t>CALLE 101CC 82E 72</t>
  </si>
  <si>
    <t>4717026 2671544  4720414</t>
  </si>
  <si>
    <t>LUZ MARILY ARIAS (COORD)</t>
  </si>
  <si>
    <t>LEIDY MORA AM - JULIO ARTEHAGA PM</t>
  </si>
  <si>
    <t>seccionleondegreiffmedellin@gmail.com</t>
  </si>
  <si>
    <t>INST EDUC AURES</t>
  </si>
  <si>
    <t>AURES Nº 1</t>
  </si>
  <si>
    <t>CARRERA 93 77F 57 - CARRERA 96A 77E 15 INT 102</t>
  </si>
  <si>
    <t>PATRICIA SALAZAR.</t>
  </si>
  <si>
    <t>PATRICIA SALAZAR</t>
  </si>
  <si>
    <t>patricia.salazar@medellin.gov.co; seccionaures@yahoo.com</t>
  </si>
  <si>
    <t>SEC ESC AURES</t>
  </si>
  <si>
    <t>CARRERA 93A 77F 57</t>
  </si>
  <si>
    <t>NATALIA MARIN AM - MARIA DEL SOCORRO CASTAÑO PM</t>
  </si>
  <si>
    <t>institucioneducativaaures01@gmail.com</t>
  </si>
  <si>
    <t>INST EDUC ALFONSO UPEGUI OROZCO</t>
  </si>
  <si>
    <t>PAJARITO - ROBLEDO</t>
  </si>
  <si>
    <t>CALLE 64B  117 177 PAJARITO</t>
  </si>
  <si>
    <t>4260345  4260076</t>
  </si>
  <si>
    <t>GLADYS ELENA ARBOLEDA</t>
  </si>
  <si>
    <t>JORGE RESTREPO OMAR BUITRAGO ASTRID PEÑA</t>
  </si>
  <si>
    <t>gladis.arboleda@gmail.com - ceauo@hotmail.com - pppastrid@hotmail.com - iealfonsoupeguiorozco2016@gmail.com</t>
  </si>
  <si>
    <t>INST EDUC NICANOR RESTREPO SANTAMARIA (ANTES LA HUERTA)</t>
  </si>
  <si>
    <t>INST EDUC NICANOR RESTREPO SANTAMARIA</t>
  </si>
  <si>
    <t>CARRERA 97 69C 71</t>
  </si>
  <si>
    <t>FRANCISCO JAVIER GIRALDO GIRALDO</t>
  </si>
  <si>
    <t>JAIRO ALONSO ZAPATA AM -  BIBIANA MUNERA PM</t>
  </si>
  <si>
    <t>ie.lahuerta@medellin.gov.co;</t>
  </si>
  <si>
    <t>INST EDUC RAFAEL GARCIA HERREROS</t>
  </si>
  <si>
    <t>CUCARACHO</t>
  </si>
  <si>
    <t>CALLE 64 91 20</t>
  </si>
  <si>
    <t>MIGUEL ANGEL VELASQUEZ</t>
  </si>
  <si>
    <t>ROSARIO MEJIA  AM -  LINA PATRICIA RIOS PM</t>
  </si>
  <si>
    <t>lina19765@hotmail.com - ie.rafaelgarcia@hotmail.com</t>
  </si>
  <si>
    <t>INST EDUC BARRIO SANTA MARGARITA</t>
  </si>
  <si>
    <t>SANTA MARGARITA</t>
  </si>
  <si>
    <t>CALLE 63 108BB 160</t>
  </si>
  <si>
    <t>4273895  4271046</t>
  </si>
  <si>
    <t>BEATRIZ ELENA JIMÉNEZ HENAO</t>
  </si>
  <si>
    <t>MONICA MANRIQUE AM - FABIAN LONDOÑO PM</t>
  </si>
  <si>
    <t>monica.manrique@iebarriosantamargarita.edu.co</t>
  </si>
  <si>
    <t>SEC ESC PEDRO NEL OSPINA</t>
  </si>
  <si>
    <t>CARRERA 62C 105C 45</t>
  </si>
  <si>
    <t>DORIS CIRO AM - VIVIANA OSORIO PM</t>
  </si>
  <si>
    <t>osaviviana@hotmail.com</t>
  </si>
  <si>
    <t>SEC ESC SANTA MARGARITA</t>
  </si>
  <si>
    <t>CARRERA 105B 62 68</t>
  </si>
  <si>
    <t>CENIA TOBON PM</t>
  </si>
  <si>
    <t>william.franco@iebarriosantamargarita.edu.co - cenia.tobon@iebarriosantamargarita.edu.co</t>
  </si>
  <si>
    <t>INST EDUC CIUDADELA NUEVO OCCIDENTE</t>
  </si>
  <si>
    <t>CALLE 64B 105A 50</t>
  </si>
  <si>
    <t>4278910  4277760 301 322 89 10</t>
  </si>
  <si>
    <t xml:space="preserve">YOVANNI TAPASCO </t>
  </si>
  <si>
    <t>ANA LOPEZ GARCIA (COORD ENCARGADA)</t>
  </si>
  <si>
    <t>coordinacionie.flores@yahoo.es  [ie.ciudadelanuevooccidente@hotmail.com - ie.nuevooccidente@medellin.gov.co</t>
  </si>
  <si>
    <t>INST EDUC JORGE ROBLEDO</t>
  </si>
  <si>
    <t>ROBLEDO</t>
  </si>
  <si>
    <t>CALLE 65 87 74</t>
  </si>
  <si>
    <t>2345223  4218450</t>
  </si>
  <si>
    <t>JUAN GUILLERMO BASTIDAS</t>
  </si>
  <si>
    <t>SILVIA LONDOÑO AM (BACHI) - GLORIA DUQUE PM (PRIMARIA)</t>
  </si>
  <si>
    <t>ie.jorgerobledo@medellin.gov.co; silvi611@gmail.com</t>
  </si>
  <si>
    <t>INST EDUC VILLA FLORA</t>
  </si>
  <si>
    <t>VILLA FLORA</t>
  </si>
  <si>
    <t>CALLE 76AE 83C 41</t>
  </si>
  <si>
    <t>2348424 - 4221012</t>
  </si>
  <si>
    <t>CARLOS ALBERTO MAZO</t>
  </si>
  <si>
    <t>MIGUEL ANGEL RENDON SANCHEZ AM</t>
  </si>
  <si>
    <t>ie.villaflora@medellin.gov.co</t>
  </si>
  <si>
    <t>INST EDUC MARISCAL ROBLEDO</t>
  </si>
  <si>
    <t>CALLE 65 84 87</t>
  </si>
  <si>
    <t>2340009  4223400</t>
  </si>
  <si>
    <t>JUAN GUILLERMO ZAPATA</t>
  </si>
  <si>
    <t>UZ ELENA VILLA</t>
  </si>
  <si>
    <t>villa@iemariscalrobledo.edu.co</t>
  </si>
  <si>
    <t>INST EDUC CAMILO MORA CARRASQUILLA</t>
  </si>
  <si>
    <t>FUENTE CLARA</t>
  </si>
  <si>
    <t>CALLE 62D 94B 74</t>
  </si>
  <si>
    <t>3117191003 - 4384765</t>
  </si>
  <si>
    <t>LILIANA PATRICIA VILLEGAS</t>
  </si>
  <si>
    <t>GLORIA RESTREPO AM - WALTER TORO PM</t>
  </si>
  <si>
    <t>ie.camilomora@medellin.gov.co</t>
  </si>
  <si>
    <t>INST EDUC VALLEJUELOS</t>
  </si>
  <si>
    <t>VALLEJUELOS</t>
  </si>
  <si>
    <t>CARRERA 104C 62 20</t>
  </si>
  <si>
    <t>4262975
- 4265964</t>
  </si>
  <si>
    <t>LUIS HERNAN SERNA HIGUITA</t>
  </si>
  <si>
    <t>JOSE FERNANDO MENESES</t>
  </si>
  <si>
    <t>ievallejo@yahoo.es
ievallejuelos@medellin.gov.co</t>
  </si>
  <si>
    <t>INST EDUC FE Y ALEGRIA VILLA DE LA CANDELARIA</t>
  </si>
  <si>
    <t>CALLE 77A 90D 35</t>
  </si>
  <si>
    <t>RICARDO DE JESUS ECHEVERRY</t>
  </si>
  <si>
    <t>CARLOS ALBERTO AGUIRRE - BEATRIZ QUINTERO CARDONA</t>
  </si>
  <si>
    <t>ricardoecheverrit@yahoo.es</t>
  </si>
  <si>
    <t>INST EDUC FE Y ALEGRIA AURES</t>
  </si>
  <si>
    <t>AURES Nº 2</t>
  </si>
  <si>
    <t>CARRERA 95 89 73</t>
  </si>
  <si>
    <t>NELSON GONZALEZ</t>
  </si>
  <si>
    <t>FANNY ESTELA DIAZ G.</t>
  </si>
  <si>
    <t>instaures@yahoo.es</t>
  </si>
  <si>
    <t>INST CORFERRINI - SEDE ROBLEDO</t>
  </si>
  <si>
    <t>CARRERA 86 65A 38</t>
  </si>
  <si>
    <t>LUZ DARY CHAVARRIA (RECTORA)</t>
  </si>
  <si>
    <t>JHON JAIRO VELASQUEZ</t>
  </si>
  <si>
    <t>luzdary,chavarria.do@ferrini.edu.co</t>
  </si>
  <si>
    <t>INST EDUC FE Y ALEGRIA SAN JOSE</t>
  </si>
  <si>
    <t>VILLA SOFIA</t>
  </si>
  <si>
    <t>CALLE 86 92 60</t>
  </si>
  <si>
    <t>ANA DELIA CARDENAS MARIN. COORD. SANDRA MILENA GRISALES VELASQUEZ</t>
  </si>
  <si>
    <t>SERGIO RODRIGUEZ JUAN CARLOS VALDERRAMA</t>
  </si>
  <si>
    <t>iefeyalegriasanjose@medellin</t>
  </si>
  <si>
    <t>INST EDUC BARRIO OLAYA HERRERA</t>
  </si>
  <si>
    <t>OLAYA HERRERA</t>
  </si>
  <si>
    <t>CARRERA 101C N 58 44</t>
  </si>
  <si>
    <t>4210567  311 296 24 30</t>
  </si>
  <si>
    <t>DANIEL MARIN CONGOTE</t>
  </si>
  <si>
    <t>CRISTINA OROZCO</t>
  </si>
  <si>
    <t>olayaherrera2@yahoo.es</t>
  </si>
  <si>
    <t>INST EDUC JORGE ELIECER GAITAN</t>
  </si>
  <si>
    <t>CALLE 92 83 41</t>
  </si>
  <si>
    <t>JAIRO HERNÁN ORTIZ M.COORD.CARLOS MARIO MURIEL</t>
  </si>
  <si>
    <t>EDILMA GARCIA, CESAR TANGARIFE</t>
  </si>
  <si>
    <t>munoz.diana@gmail.com</t>
  </si>
  <si>
    <t>INST EDUC SAN VICENTE DE PAUL</t>
  </si>
  <si>
    <t>CORDOBA</t>
  </si>
  <si>
    <t>CARRERA 71A 79D 01</t>
  </si>
  <si>
    <t>2576243 - 4375546</t>
  </si>
  <si>
    <t>YOLANDA LOZANO BARBOSA</t>
  </si>
  <si>
    <t>CARLOS RODRIGUEZ QUIROZ</t>
  </si>
  <si>
    <t>yolanda.lozano.b@gmail.com</t>
  </si>
  <si>
    <t>INST EDUC EL DIAMANTE - SEC ESC EL DIAMANTE</t>
  </si>
  <si>
    <t>EL DIAMANTE</t>
  </si>
  <si>
    <t>CALLE 79A 86 09</t>
  </si>
  <si>
    <t>CARLOS ARANGO</t>
  </si>
  <si>
    <t>GERMAN CARDONA AM - CARLOS ARANGO PM</t>
  </si>
  <si>
    <t>coordinacionsec@ieeldiamante.edu.co</t>
  </si>
  <si>
    <t>SEC ESC LA PORTADA</t>
  </si>
  <si>
    <t>CALLE 80C 88A 37</t>
  </si>
  <si>
    <t>LUDIN DEL CARMEN RESTREPO</t>
  </si>
  <si>
    <t>LUDIN DEL C.RESTREPO (COORD)</t>
  </si>
  <si>
    <t>escuelalaportada@hotmail.com</t>
  </si>
  <si>
    <t>INST EDUC TOMAS CARRASQUILLA NO. 2</t>
  </si>
  <si>
    <t>PALENQUE</t>
  </si>
  <si>
    <t>CARRERA 88 68 109</t>
  </si>
  <si>
    <t>2641122 4747297</t>
  </si>
  <si>
    <t>LUZ ESTELA VALLEJO CARDONA</t>
  </si>
  <si>
    <t>CONRADO ANDRADE AM - BETTY GOMEZ PM</t>
  </si>
  <si>
    <t>ietcarrasquilla@gmail.com</t>
  </si>
  <si>
    <t>INST EDUC LUIS CARLOS GALAN SARMIENTO</t>
  </si>
  <si>
    <t>LOS MANGOS</t>
  </si>
  <si>
    <t>CARRERA 24B 57EE 45</t>
  </si>
  <si>
    <t>CARLOS ANTONIO OLIVEROS MUÑOZ</t>
  </si>
  <si>
    <t>JAIME JARAMILLO</t>
  </si>
  <si>
    <t>iegalansarmiento@yahoo.com;</t>
  </si>
  <si>
    <t>SEC ESC COLINAS DE ENCISO</t>
  </si>
  <si>
    <t>CARRERA 24B 57EE 20</t>
  </si>
  <si>
    <t>WILLIAM VALDERRAMA</t>
  </si>
  <si>
    <t>willvald@une.net.co</t>
  </si>
  <si>
    <t>INST EDUC EL PINAL</t>
  </si>
  <si>
    <t>EL PINAL</t>
  </si>
  <si>
    <t>CALLE 56 25AA 40</t>
  </si>
  <si>
    <t>JAIRO CHAVARRO MENDEZ</t>
  </si>
  <si>
    <t>ERIKA ORTIZ   /  DAFLY PALACIO</t>
  </si>
  <si>
    <t>erikamaria.ortiz@iepinal.edu.co   daflY.palacios@iepinal.edu.co</t>
  </si>
  <si>
    <t>SEC ESC JULIA AGUDELO</t>
  </si>
  <si>
    <t>ENCISO</t>
  </si>
  <si>
    <t>CALLE 58 25 58</t>
  </si>
  <si>
    <t>MÓNICA ROSA LONDOÑO</t>
  </si>
  <si>
    <t>DIANA ALEJANDRA GONZALEZ</t>
  </si>
  <si>
    <t>monicalon@hotmail.com  davialeja@hotmail.com</t>
  </si>
  <si>
    <t>SEC ESC SANTIAGO SANTAMARIA</t>
  </si>
  <si>
    <t>CALLE 58 29 31</t>
  </si>
  <si>
    <t>RODRIGO RODRIGUEZ</t>
  </si>
  <si>
    <t>rarc1956@gmail.com  ie.alfonsolopespumar@medellin.gov.co</t>
  </si>
  <si>
    <t>SEC ESC VILLA TURBAY</t>
  </si>
  <si>
    <t>VILLA TURBAY</t>
  </si>
  <si>
    <t>CARRERA 2 55F 17</t>
  </si>
  <si>
    <t>2698211    3136909515  311 774 96 35</t>
  </si>
  <si>
    <t>IVAN DARIO ZULUAGA ZULUAGA</t>
  </si>
  <si>
    <t>YENNY RODAS</t>
  </si>
  <si>
    <t>yenny1203@hotmail.es ie.lasierracolegiomaestro@gmail.com</t>
  </si>
  <si>
    <t>SEC ESC BEATO HERMANO SALOMON</t>
  </si>
  <si>
    <t>SUCRE</t>
  </si>
  <si>
    <t>CALLE 53 27A 50</t>
  </si>
  <si>
    <t>GUILLERMO YEPES</t>
  </si>
  <si>
    <t>ELISABETH RINCON</t>
  </si>
  <si>
    <t>ie.caracas@ hotmail.com  rinconelizabeth8@gmail.com</t>
  </si>
  <si>
    <t>INST EDUC GABRIEL GARCIA MARQUEZ</t>
  </si>
  <si>
    <t>VILLA LILLIAM</t>
  </si>
  <si>
    <t>CARRERA 8A 57A 93</t>
  </si>
  <si>
    <t>MARÍA MARGARITA AGUDELO VELASQUEZ</t>
  </si>
  <si>
    <t>ie.gabrielgarcía@medellin.gov.co</t>
  </si>
  <si>
    <t>INST EDUC FELIX HENAO BOTERO</t>
  </si>
  <si>
    <t>CALLE 52 23 51</t>
  </si>
  <si>
    <t>2260203EXT106EXT104(RECTOR) 2699624</t>
  </si>
  <si>
    <t>JHONY CANO GIRALDO</t>
  </si>
  <si>
    <t>ABELARDO MATURANA CUESTA</t>
  </si>
  <si>
    <t>ie.felixhenao@medellín.gov.co   rectoria@iefelixhenaobotero.edu.co</t>
  </si>
  <si>
    <t>SEC ESC MIGUEL DE AGUINAGA</t>
  </si>
  <si>
    <t>VILLA TINA</t>
  </si>
  <si>
    <t>CALLE 52 16 71</t>
  </si>
  <si>
    <t>ANTONIO JOSE CASTAÑEDA</t>
  </si>
  <si>
    <t>ie.felixhenao@medellín.gov.co</t>
  </si>
  <si>
    <t>INST EDUC JOAQUIN VALLEJO ARBELAEZ</t>
  </si>
  <si>
    <t>CARRERA 19 59C 175</t>
  </si>
  <si>
    <t>2926199 2545311</t>
  </si>
  <si>
    <t>ALEXANDRA DE LATORRE A.</t>
  </si>
  <si>
    <t>VIVIANA MARIA LONDOÑO</t>
  </si>
  <si>
    <t>colegiodecalidadjva@hotmail.com  rectoriaiejua@gmail.com /VIVIANA4205@HOTMAIL.COM</t>
  </si>
  <si>
    <t>SEC ESC LAS GOLONDRINAS</t>
  </si>
  <si>
    <t>LLANADITAS</t>
  </si>
  <si>
    <t>CALLE 65 18B 160</t>
  </si>
  <si>
    <t>ALEXANDRA DE LA TORRE A.</t>
  </si>
  <si>
    <t>MARTHA RESTREPO</t>
  </si>
  <si>
    <t>martharestrepo2008@gmail.com  colegiodecalidadjva@hotmail.com  rectoriaiejua@gmail.com</t>
  </si>
  <si>
    <t>SEC ESC NUESTRA SEÑORA DEL ROSARIO</t>
  </si>
  <si>
    <t>BOMBONA Nº 2</t>
  </si>
  <si>
    <t>CALLE 43E- 9D51</t>
  </si>
  <si>
    <t>NORA CONSUELO CARVAJAL MEJIA</t>
  </si>
  <si>
    <t>LUZ DARIELA CARDONA</t>
  </si>
  <si>
    <t>ie.merceditasgomez@medellin.gov.com  nora_429@hotmail.com</t>
  </si>
  <si>
    <t>INST EDUC MANUEL JOSE CAYZEDO</t>
  </si>
  <si>
    <t>BARRIO CAICEDO</t>
  </si>
  <si>
    <t>CALLE 50 29 82</t>
  </si>
  <si>
    <t>DORA LUZ GOMEZ BETANCUR (RECTORA)</t>
  </si>
  <si>
    <t>RUBIELA MONTOYA MONTOYA</t>
  </si>
  <si>
    <t>educandoenelamor1940@gmail.com     rubielamontoya@yahoo.es</t>
  </si>
  <si>
    <t>INST EDUC MIRAFLORES - LUIS EDUARDO VALENCIA GARCIA</t>
  </si>
  <si>
    <t>MIRAFLORES</t>
  </si>
  <si>
    <t>CALLE 48 27 05</t>
  </si>
  <si>
    <t>2697583 2699227</t>
  </si>
  <si>
    <t>BLANCA BENJUMEA ZULUAGA</t>
  </si>
  <si>
    <t>MARIA TEREZA MARTINEZ</t>
  </si>
  <si>
    <t>iemiraflores@yohoo.co</t>
  </si>
  <si>
    <t>INST EDUC LA MILAGROSA</t>
  </si>
  <si>
    <t>LA MILAGROSA</t>
  </si>
  <si>
    <t>CARRERA 29 41 14</t>
  </si>
  <si>
    <t>269 99 65   2215773</t>
  </si>
  <si>
    <t>OVIDIO DE JESUS OCHOA</t>
  </si>
  <si>
    <t>MAURIO CANO  GOMEZ</t>
  </si>
  <si>
    <t>SANTOTOMAS18@GMAIL.COM   meano55@hotmail.com</t>
  </si>
  <si>
    <t>SEC ESC SANTO TOMAS DE AQUINO</t>
  </si>
  <si>
    <t>EL SALVADOR</t>
  </si>
  <si>
    <t>CARRERA 33 36A 28</t>
  </si>
  <si>
    <t>216 32 29</t>
  </si>
  <si>
    <t>HERNANDO DEJESUS PANIAGUA</t>
  </si>
  <si>
    <t>SANTOTOMAS18@GMAIL.COM   hdejesus0712@gmail.com</t>
  </si>
  <si>
    <t>INST EDUC GONZALO RESTREPO JARAMILLO</t>
  </si>
  <si>
    <t>BUENOS AIRES</t>
  </si>
  <si>
    <t>CARRERA 26 49 70</t>
  </si>
  <si>
    <t>269 79 40  269 63 80</t>
  </si>
  <si>
    <t>ALVARO CUERVO MONTOYA(RECTOR)</t>
  </si>
  <si>
    <t>HILDA ACERO(PM)                      GLORIA MUNERA(AM)</t>
  </si>
  <si>
    <t>ie.gonzalorestrepo@medellin.gov.co hildaprofesora.acero@gmail.com</t>
  </si>
  <si>
    <t>Comparten comedor - los 250 AM/PM de SE la Anunciación deberan ser entregados en la IE Gonzalo Restrepo</t>
  </si>
  <si>
    <t>SEC ESC LA ANUNCIACION</t>
  </si>
  <si>
    <t>HILDA ACERO</t>
  </si>
  <si>
    <t>SEC ESC JUAN CANCIO RESTREPO</t>
  </si>
  <si>
    <t>CALLE 45 31 63</t>
  </si>
  <si>
    <t>228 04 40   2391959</t>
  </si>
  <si>
    <t>ALBA CECILIA OSORIO</t>
  </si>
  <si>
    <t>gonzalocancio@gmail.com</t>
  </si>
  <si>
    <t>INST EDUC LA PASTORA</t>
  </si>
  <si>
    <t>LOS CERROS EL VERGEL</t>
  </si>
  <si>
    <t>CALLE 45 10A 30</t>
  </si>
  <si>
    <t>269 77 49  221 93 30</t>
  </si>
  <si>
    <t>NELSON DE JESUS VERGARA</t>
  </si>
  <si>
    <t>JUAN PABLO FRANCO</t>
  </si>
  <si>
    <t>nelsonmc174@hotmail.com  coordpastora@gmail.com</t>
  </si>
  <si>
    <t>INST EDUC ARZOBISPO TULIO BOTERO SALAZAR</t>
  </si>
  <si>
    <t>BARRIOS DE JESUS</t>
  </si>
  <si>
    <t>CALLE 49A 3A 06</t>
  </si>
  <si>
    <t>221 26 93    226 73 00</t>
  </si>
  <si>
    <t>JUAN DIAZ LONDOÑO(RECTOR)</t>
  </si>
  <si>
    <t>BEATRIA ELENA OLAYA</t>
  </si>
  <si>
    <t>ie.tuliobotero@medellin.gov.co juand244@gmail.com  beelolla9703@gmail.com</t>
  </si>
  <si>
    <t>INST EDUC FEDERICO OZANAM</t>
  </si>
  <si>
    <t>CARRERA 36 45 08</t>
  </si>
  <si>
    <t>2390358  2390142</t>
  </si>
  <si>
    <t>CARLOS ARTURO PANDALES(RECTOR)</t>
  </si>
  <si>
    <t>ROBERTO RODAS ZAPATA(AM) SANDRA CALDERON(PM)</t>
  </si>
  <si>
    <t>iefedericoozanam@medellin.gov.co -SANDIF1010@HOTMAIL.COM marlango1037@gamil.com</t>
  </si>
  <si>
    <t>SEC ESC ANTONIA SANTOS</t>
  </si>
  <si>
    <t>BOSTON</t>
  </si>
  <si>
    <t>CALLE 50B 38 11</t>
  </si>
  <si>
    <t>ALFONSO GUARIN SALAZAR</t>
  </si>
  <si>
    <t>ANGELA CARDONA</t>
  </si>
  <si>
    <t>105001001562@medellin.gov.co        sanpablo968@yahoo.es                             alrosa38@yahoo.com</t>
  </si>
  <si>
    <t>SEC ESC LUIS ALFONSO AGUDELO</t>
  </si>
  <si>
    <t>SAN DIEGO</t>
  </si>
  <si>
    <t>CARRERA 43A 38 20</t>
  </si>
  <si>
    <t>2320633 2393116</t>
  </si>
  <si>
    <t>OLGA FANNY RUIZ</t>
  </si>
  <si>
    <t>105001001562@medellin.gov.co  ie.javieralondono@medelin.gov.co   enides618@gmail.com</t>
  </si>
  <si>
    <t>INST EDUC TULIO OSPINA</t>
  </si>
  <si>
    <t>JESUS NAZARENO</t>
  </si>
  <si>
    <t>CALLE 60 51 48</t>
  </si>
  <si>
    <t>5123594 5121428</t>
  </si>
  <si>
    <t>YENNY ASTRID DURANGO</t>
  </si>
  <si>
    <t>IRMA DUQUE</t>
  </si>
  <si>
    <t>ie.tuliospina@medellin.gov.co    yenirec2010@hotmail.com</t>
  </si>
  <si>
    <t>SEC COL AGUSTIN NIETO CABALLERO</t>
  </si>
  <si>
    <t>LOS ANGELES</t>
  </si>
  <si>
    <t>CARRERA 40 59A 21</t>
  </si>
  <si>
    <t>2926320 2547259</t>
  </si>
  <si>
    <t>ADOLFO LEON GONZALEZ OSPINA</t>
  </si>
  <si>
    <t>JORGE INESTROZA</t>
  </si>
  <si>
    <t>ie.juancposada@une.net.co  jorgeinestroza55@gmail.com</t>
  </si>
  <si>
    <t>SEC ESC LA IGUANA</t>
  </si>
  <si>
    <t>CARLOS E. RESTREPO</t>
  </si>
  <si>
    <t>CR 70 Nº 53 02</t>
  </si>
  <si>
    <t>MONICA FRANCO</t>
  </si>
  <si>
    <t>NOHELIA BUITRAGO</t>
  </si>
  <si>
    <t>iguana.escuela@gmail.com</t>
  </si>
  <si>
    <t>SEC ESC CUARTA BRIGADA</t>
  </si>
  <si>
    <t>CUARTA BRIGADA</t>
  </si>
  <si>
    <t>CLL 53 N° 76 267</t>
  </si>
  <si>
    <t>2641966 - 2642972</t>
  </si>
  <si>
    <t>CLAUDIA CECILIA RENGIFO</t>
  </si>
  <si>
    <t>ANGELA MARÍA ROJAS</t>
  </si>
  <si>
    <t>escuartabrig@gmail.com</t>
  </si>
  <si>
    <t>SEC ESC CARLOS OBANDO VELASCO</t>
  </si>
  <si>
    <t>SAN JOAQUÍN</t>
  </si>
  <si>
    <t>CR 67A Nº 42 24</t>
  </si>
  <si>
    <t>FANNY MARGARITA LEMOS</t>
  </si>
  <si>
    <t>NEIVA GARCÍA-SORAYA DELGADO</t>
  </si>
  <si>
    <t>fanydelmar@yahoo.com</t>
  </si>
  <si>
    <t>INST EDUC LUCRECIO JARAMILLO VELEZ</t>
  </si>
  <si>
    <t>LORENA</t>
  </si>
  <si>
    <t>CRA 79 N° 38 59</t>
  </si>
  <si>
    <t>4123351 - 4122939</t>
  </si>
  <si>
    <t>JUAN CARLOS RODRIGUEZ</t>
  </si>
  <si>
    <t>OLGA SOFIA PUERTA-JORGE ENRIQUE NUNO TABARES</t>
  </si>
  <si>
    <t>estellasanta@yahoo.es</t>
  </si>
  <si>
    <t>SEC ESC RAFAEL URIBE URIBE</t>
  </si>
  <si>
    <t>LA AMÉRICA</t>
  </si>
  <si>
    <t>CR 83. NO. 42C 54</t>
  </si>
  <si>
    <t>LUZ ANGELICA GUERRERO SANCHEZ</t>
  </si>
  <si>
    <t>ASTRID BETANCUR BEDOYA</t>
  </si>
  <si>
    <t>generalruu@hotmail.com</t>
  </si>
  <si>
    <t>INST EDUC FRANCISCO ANTONIO ZEA</t>
  </si>
  <si>
    <t>SIMON BOLÍVAR</t>
  </si>
  <si>
    <t>CR 82 Nº 35 40</t>
  </si>
  <si>
    <t>4122361 ext. 13</t>
  </si>
  <si>
    <t>JAIR ALBERTO QUIROZ QUIRAMA</t>
  </si>
  <si>
    <t>SARA JANET DUQUE-LUZ AMPARO MENDOZA</t>
  </si>
  <si>
    <t>ie.franciscoantoniozea@hotmail.com</t>
  </si>
  <si>
    <t>INST EDUC SANTA ROSA DE LIMA</t>
  </si>
  <si>
    <t>LA FLORESTA</t>
  </si>
  <si>
    <t>CLL 45G N°80 96</t>
  </si>
  <si>
    <t>4122537 - 4113645</t>
  </si>
  <si>
    <t>LAURA CRISTINA VÁSQUEZ</t>
  </si>
  <si>
    <t>JACQUELINE BOLAÑOS-ALEJANDRO ARANGO</t>
  </si>
  <si>
    <t>laura.vasquez@medellin.gov.co</t>
  </si>
  <si>
    <t>INST EDUC CONCEJO DE MEDELLIN - COMEDOR 1</t>
  </si>
  <si>
    <t>INST EDUC CONCEJO DE MEDELLIN</t>
  </si>
  <si>
    <t>CR 82 Nº 47A 65</t>
  </si>
  <si>
    <t>4119208 - 4119218</t>
  </si>
  <si>
    <t>MÓNICA PÉREZ SÁNCHEZ</t>
  </si>
  <si>
    <t>SILVIA PATRICIA FERNÁNDEZ-</t>
  </si>
  <si>
    <t>monica.perez@medellin.gov.co</t>
  </si>
  <si>
    <t>SEC ESC PICHINCHA</t>
  </si>
  <si>
    <t>CRA 86 N° 45 B 17</t>
  </si>
  <si>
    <t>MARÍA PIEDAD RUIZ</t>
  </si>
  <si>
    <t>MARTHA LUCÍA LÓPEZ-ROMÁN DEL RIO</t>
  </si>
  <si>
    <t>nurynaher@hotmai.com</t>
  </si>
  <si>
    <t>SEC ESC CLODOMIRO RAMIREZ</t>
  </si>
  <si>
    <t>SANTA LUCÍA</t>
  </si>
  <si>
    <t>CR 89A Nº 47B39</t>
  </si>
  <si>
    <t>2344598 - 4211148</t>
  </si>
  <si>
    <t>DAVID RAMÍREZ</t>
  </si>
  <si>
    <t>ESTELLA MONTOYA-CLAUDIA VALENCIA</t>
  </si>
  <si>
    <t>ramirezdavidh@gmail.com</t>
  </si>
  <si>
    <t>INST EDUC LOLA GONZALEZ</t>
  </si>
  <si>
    <t>CLL 47F Nº 94 63</t>
  </si>
  <si>
    <t>2520405 ext:113</t>
  </si>
  <si>
    <t>JESÚS HUBERTO GIRALDO</t>
  </si>
  <si>
    <t>LISIRIA SANTA-ADRIANA LUCIA ESCOBAR</t>
  </si>
  <si>
    <t>hubertogiraldo@gmail.com</t>
  </si>
  <si>
    <t>SEC ESC SANTA LUCIA</t>
  </si>
  <si>
    <t>CRA 89A N°47DD 71</t>
  </si>
  <si>
    <t>DORA LUCÍA RESTREPO RIOS</t>
  </si>
  <si>
    <t>ALBA LUCIA NARANJO-YANETH ZAPATA</t>
  </si>
  <si>
    <t>lolagonzalez.santalucia@hotmail.com</t>
  </si>
  <si>
    <t>INST EDUC SAMUEL BARRIENTOS RESTREPO</t>
  </si>
  <si>
    <t>CAMPO ALEGRE</t>
  </si>
  <si>
    <t>CL44 Nº 94 119</t>
  </si>
  <si>
    <t>2531437 - 4966579</t>
  </si>
  <si>
    <t>ORLANDO SÁNCHEZ URREGO</t>
  </si>
  <si>
    <t>CARMEN EMILIA OROZCO</t>
  </si>
  <si>
    <t>orlando.sanchez@medellin.gov.co</t>
  </si>
  <si>
    <t>INST EDUC BENEDIKTA ZUR NIEDEN</t>
  </si>
  <si>
    <t>CR 95 Nº 42C 03</t>
  </si>
  <si>
    <t>GLORIA DURANGO AGUIRRE</t>
  </si>
  <si>
    <t>MARGARITA MARÍA NUÑEZ-ESTELLA MEJIA.</t>
  </si>
  <si>
    <t>ricardo.echeverri@benedikta.edu.co</t>
  </si>
  <si>
    <t>INST EDUC LA PIEDAD</t>
  </si>
  <si>
    <t>FERRINI</t>
  </si>
  <si>
    <t>CR 81 Nº 54 71</t>
  </si>
  <si>
    <t>2640637  2347999</t>
  </si>
  <si>
    <t>ANTONIO JARAMILLO ARANGO</t>
  </si>
  <si>
    <t>LUZ EDILMA RAMÍREZ-ROLANDO LAVERDE</t>
  </si>
  <si>
    <t>rilaverde@escolme.edu.co</t>
  </si>
  <si>
    <t>INST EDUC AMERICA</t>
  </si>
  <si>
    <t>SANTA MÓNICA</t>
  </si>
  <si>
    <t>CL34EE Nº 91 20</t>
  </si>
  <si>
    <t>4922111- 4922122</t>
  </si>
  <si>
    <t>PILAR LÓPEZ VARGAS</t>
  </si>
  <si>
    <t>DIANA VALENCIA-IVÁN VELEZ</t>
  </si>
  <si>
    <t>ivanvlez@gmail.com</t>
  </si>
  <si>
    <t>SEC ESC BETANIA</t>
  </si>
  <si>
    <t>BETANIA</t>
  </si>
  <si>
    <t>CR 110 A Nº 34 A 82</t>
  </si>
  <si>
    <t>CARLOS MARIO GUTIERREZ</t>
  </si>
  <si>
    <t>OLGA OCHOA/ OLGA CASTRO</t>
  </si>
  <si>
    <t>olgaduque13@hotmail.com</t>
  </si>
  <si>
    <t>INST EDUC PERPETUO SOCORRO</t>
  </si>
  <si>
    <t>BELENCITO</t>
  </si>
  <si>
    <t>CRA 92 N°34 D 53</t>
  </si>
  <si>
    <t>2539037-ext:101</t>
  </si>
  <si>
    <t>HERMANA CLARA INÉS VALENCIA</t>
  </si>
  <si>
    <t>GLORIA GONZÁLEZ-JUDITH LOPERA</t>
  </si>
  <si>
    <t>ie.perpetuosocorro@medellin.gov.co</t>
  </si>
  <si>
    <t>INST EDUC EL CORAZÓN</t>
  </si>
  <si>
    <t>EL CORAZÓN</t>
  </si>
  <si>
    <t>CRA.116F N°34 AA 131</t>
  </si>
  <si>
    <t>EDILSON GIRALDO MONTOYA</t>
  </si>
  <si>
    <t>CARMENZA RIOS -MARITZA MEJÍA</t>
  </si>
  <si>
    <t>geovanymetautecorrea6@gmail.com</t>
  </si>
  <si>
    <t>SEC ESC MONSEÑOR PERDOMO</t>
  </si>
  <si>
    <t>CLL 44 Nº 97 14</t>
  </si>
  <si>
    <t>GLORIA ESTELLA SANTAMARÍA SANCHEZ (300 228 39 09)</t>
  </si>
  <si>
    <t>GIRLESA CONGOTE</t>
  </si>
  <si>
    <t>INST EDUC FUNDADORES</t>
  </si>
  <si>
    <t>EL SOCORRO</t>
  </si>
  <si>
    <t>CR 101 Nº 47C 85</t>
  </si>
  <si>
    <t>4932203 - 4930661</t>
  </si>
  <si>
    <t>JUAN DIEGO GONZÁLEZ</t>
  </si>
  <si>
    <t>GLORIA CECILIA MOLINA</t>
  </si>
  <si>
    <t>glorial300@hotmail.com</t>
  </si>
  <si>
    <t>SEC ESC AMOR AL NIÑO</t>
  </si>
  <si>
    <t>EL SALADO</t>
  </si>
  <si>
    <t>CR 115 Nº 39 BD 06</t>
  </si>
  <si>
    <t>LUZ ENITH TORRES -ANGELA QUINTERO LÓPEZ</t>
  </si>
  <si>
    <t>CATALINA JIMÉNEZ</t>
  </si>
  <si>
    <t>angelaquin58@yahoo.es</t>
  </si>
  <si>
    <t>SEC ESC REFUGIO DEL NIÑO</t>
  </si>
  <si>
    <t>INDEPENDENCIA</t>
  </si>
  <si>
    <t>CR 114 Nº 36 C 61</t>
  </si>
  <si>
    <t>LUZ ENITH TORRES TORRES</t>
  </si>
  <si>
    <t>ADRIANA RIVERA</t>
  </si>
  <si>
    <t>pipelon.1999@hotmail.com</t>
  </si>
  <si>
    <t>INST EDUC EDUARDO SANTOS</t>
  </si>
  <si>
    <t>EDUARDO SANTOS</t>
  </si>
  <si>
    <t>CLL 43N°120 C 77</t>
  </si>
  <si>
    <t>4911022 - 4920920</t>
  </si>
  <si>
    <t>MANUEL ANTONIO LÓPEZ RAMÍREZ</t>
  </si>
  <si>
    <t>RAFAEL RODRIGUEZ-HENRRY VARGAS</t>
  </si>
  <si>
    <t>raro959@hotmail.com</t>
  </si>
  <si>
    <t>SEC ESC PEDRO J GOMEZ</t>
  </si>
  <si>
    <t>CRA.118 N°39 DA 95</t>
  </si>
  <si>
    <t>SUSANA CORTÉS</t>
  </si>
  <si>
    <t>MARIA ELENA CANTERO</t>
  </si>
  <si>
    <t>susanapjg@hotmail.com</t>
  </si>
  <si>
    <t>SEC ESC LA PRADERA</t>
  </si>
  <si>
    <t>LA PRADERA</t>
  </si>
  <si>
    <t>CR 97A Nº 49A15</t>
  </si>
  <si>
    <t>CAMILO OSORIO</t>
  </si>
  <si>
    <t>SIRIA AIDÉ VALENZUELA-CECILIA MAYOLO</t>
  </si>
  <si>
    <t>siriavalen@gmail.com</t>
  </si>
  <si>
    <t>INST EDUC JUAN XXIII</t>
  </si>
  <si>
    <t>JUAN XIII</t>
  </si>
  <si>
    <t>CLL 49 Nº 96 A 11</t>
  </si>
  <si>
    <t>4461100/ 4461090</t>
  </si>
  <si>
    <t>CÉSAR AGUSTO RODRIGUEZ</t>
  </si>
  <si>
    <t>EMILIO MORENO-MAGDALENA CARO</t>
  </si>
  <si>
    <t>maria.vargas@medellin.gov.co</t>
  </si>
  <si>
    <t>INST EDUC STELLA VELEZ LONDOÑO - COMEDOR 1</t>
  </si>
  <si>
    <t>INST EDUC STELLA VELEZ LONDOÑO</t>
  </si>
  <si>
    <t>LA QUIEBRA</t>
  </si>
  <si>
    <t>CLL 48DD N° 99 F 99</t>
  </si>
  <si>
    <t>PEDRO ANTONIO MENA OREJUELA</t>
  </si>
  <si>
    <t>MAURO SOSA GALLEGO</t>
  </si>
  <si>
    <t>clajea27@hotmail.com</t>
  </si>
  <si>
    <t>INST EDUC STELLA VELEZ LONDOÑO - COMEDOR 2</t>
  </si>
  <si>
    <t>INST EDUC STELLA VELEZ LONDOÑO No. 2</t>
  </si>
  <si>
    <t>CLL 48DD Nº 99 D 118</t>
  </si>
  <si>
    <t>CLAUDIA ARIAS ARISTIZABAL</t>
  </si>
  <si>
    <t>INST EDUC BLANQUIZAL</t>
  </si>
  <si>
    <t>BLANQUIZAL</t>
  </si>
  <si>
    <t>CRA. 92 DD N°57 F 41</t>
  </si>
  <si>
    <t>4383507 - 4383896</t>
  </si>
  <si>
    <t>CATALINA SALAZAR</t>
  </si>
  <si>
    <t>LINA PATRICIA RIOS</t>
  </si>
  <si>
    <t>andres@sinfronteras.edu.co</t>
  </si>
  <si>
    <t>INST EDUC JOSE HORACIO BETANCUR</t>
  </si>
  <si>
    <t>SAN CRISTÓBAL</t>
  </si>
  <si>
    <t>CRA. 121 N° 57 57</t>
  </si>
  <si>
    <t>4271454 ext: 101</t>
  </si>
  <si>
    <t>CÉSAR BERRIO</t>
  </si>
  <si>
    <t>MAYLEY RIOS-PILAR ARDILA</t>
  </si>
  <si>
    <t>antonio.aristizabal@medellin.gov.co</t>
  </si>
  <si>
    <t>SEC ESC JUAN NEPOMUCENO MORALES</t>
  </si>
  <si>
    <t>CLL 62 N° 127 6</t>
  </si>
  <si>
    <t>4270173 - 4277152</t>
  </si>
  <si>
    <t>MARLENY CARRILLO</t>
  </si>
  <si>
    <t>GLADIS ZULETA</t>
  </si>
  <si>
    <t>aseolin_@hotmail.com</t>
  </si>
  <si>
    <t>INST EDUC LUSITANIA - PAZ DE COLOMBIA</t>
  </si>
  <si>
    <t>SAN CRISTOBAL</t>
  </si>
  <si>
    <t>CRA 109 A N° 63B - 320</t>
  </si>
  <si>
    <t>DIEGO MAURICIO MONTOYA MISAS</t>
  </si>
  <si>
    <t>EDWAR MORENO</t>
  </si>
  <si>
    <t>diego.montoyam@gmail.com</t>
  </si>
  <si>
    <t>INST EDUC INEM JOSE FELIX DE RESTREPO</t>
  </si>
  <si>
    <t>AV LAS VEGAS</t>
  </si>
  <si>
    <t>CRA 48 NO 1-125</t>
  </si>
  <si>
    <t>2663443 - 2664600 (69) ext 113 - 3108931650 ©</t>
  </si>
  <si>
    <t>FERNANDOCARVAJAL OQUENDO (R )</t>
  </si>
  <si>
    <t>SERGIO GARCES BOTERO</t>
  </si>
  <si>
    <t>inembienestar@inemjose.edu.co</t>
  </si>
  <si>
    <t>SEC ESC GUILLERMO ECHAVARRIA MISAS</t>
  </si>
  <si>
    <t>ASTORGA</t>
  </si>
  <si>
    <t>CR. 43 NO. 9-61</t>
  </si>
  <si>
    <t>311 25 78 -3193201938 ©</t>
  </si>
  <si>
    <t>FERNANDO CARVAJAL OQUENDO (R ) DANIEL RAMIRO OSORIO VILLAGE ©</t>
  </si>
  <si>
    <t>NOHEMY QUIROZ</t>
  </si>
  <si>
    <t>nohemyq@hotmail.com</t>
  </si>
  <si>
    <t>INST EDUC SANTA CATALINA DE SIENA</t>
  </si>
  <si>
    <t>SAN LUCAS</t>
  </si>
  <si>
    <t>CLL 1 SUR N° 29-300</t>
  </si>
  <si>
    <t>3541437 - 3003758241 ®</t>
  </si>
  <si>
    <t>DIANA ROCIO DE LOS RIOS ARIAS ( R)</t>
  </si>
  <si>
    <t>SOLEDAD VELEZ(PM) LINA MARCELA RAMIREZ (AM)</t>
  </si>
  <si>
    <t>dianar.rios@medellin.gov.co linamarch7@hotmail.com</t>
  </si>
  <si>
    <t>INST EDUC LA SALLE DE CAMPOAMOR</t>
  </si>
  <si>
    <t>CAMPO AMOR</t>
  </si>
  <si>
    <t>CRA. 65 B NO. 4-49</t>
  </si>
  <si>
    <t>285 15 71</t>
  </si>
  <si>
    <t>BLANCA DOLLY BUILES</t>
  </si>
  <si>
    <t>GLORIA HERNANDEZ LLANO(D) OSWALDO BARRADA ( D)</t>
  </si>
  <si>
    <t>rectorlasalle@une.net.co osw.barrada@hotmail.com 
rectora@sallecampoamor</t>
  </si>
  <si>
    <t>SEC ESC LA COLINA</t>
  </si>
  <si>
    <t>LA COLINA</t>
  </si>
  <si>
    <t>CRA 52C NO.12A SUR 23</t>
  </si>
  <si>
    <t>255 03 56</t>
  </si>
  <si>
    <t>JULIET AGUILA PACHON ( C)</t>
  </si>
  <si>
    <t>joseacevedo@une.net.co 
soro.al@hotmail.com</t>
  </si>
  <si>
    <t>SEC ESC CRISTO REY-APOLO</t>
  </si>
  <si>
    <t>GUAYABAL</t>
  </si>
  <si>
    <t>CRA 50 G Nº 3 SUR 34</t>
  </si>
  <si>
    <t>255 65 49</t>
  </si>
  <si>
    <t>MARGARITA DUQUE (C )</t>
  </si>
  <si>
    <t>CEBELIA MARIA OTALVARO</t>
  </si>
  <si>
    <t>secretariacristorey09@gmail.com
marduque88@gmail.com</t>
  </si>
  <si>
    <t>INST EDUC OCTAVIO CALDERON MEJIA</t>
  </si>
  <si>
    <t>CRA 58 NO. 7-157</t>
  </si>
  <si>
    <t>2554257 - 3615154</t>
  </si>
  <si>
    <t>CLAUDIA MARIA HOLGIN HERNANDEZ ( R) JOHN FREDY DEVIA MOLINA ( C)</t>
  </si>
  <si>
    <t>EDUAR MORENO ( C)</t>
  </si>
  <si>
    <t>clamohe@une.net.co</t>
  </si>
  <si>
    <t>INST EDUC SAN ROBERTO BELARMINO</t>
  </si>
  <si>
    <t>LAS MERCEDES</t>
  </si>
  <si>
    <t>CLL. 32B NO. 83 - 39</t>
  </si>
  <si>
    <t>2562097 - 2560140- 3103890045 ®</t>
  </si>
  <si>
    <t>ALICIA MARIA MARIN OCHOA ( R)</t>
  </si>
  <si>
    <t>SANDRA PATRICIA RESTREPO- BEATRIZ PATIÑO</t>
  </si>
  <si>
    <t>sanrobertobelarmino@gmail.com</t>
  </si>
  <si>
    <t>INST EDUC PEDRO OCTAVIO AMADO</t>
  </si>
  <si>
    <t>BUENAVISTA</t>
  </si>
  <si>
    <t>CRA 88 A Nª 18 A - 05</t>
  </si>
  <si>
    <t>2385168- 3023880547 (R)</t>
  </si>
  <si>
    <t>GLORIA CECILIA GUTIERREZ ®</t>
  </si>
  <si>
    <t>DIANA MARIA VILLA (RE) ROBERTO CARLOS HERRERA</t>
  </si>
  <si>
    <t>iepoa@yahoo.es
dianamariavilla@hotmail.com</t>
  </si>
  <si>
    <t>INST EDUC ANTONIO RICAURTE</t>
  </si>
  <si>
    <t>BELEN RINCON</t>
  </si>
  <si>
    <t>CLL. 2 NO. 80-28</t>
  </si>
  <si>
    <t>MARTA RESTREPO ( R)</t>
  </si>
  <si>
    <t>TERESA ESPINOSA (D)</t>
  </si>
  <si>
    <t>ie.antonioricaurte@medellin.gov.co
martamariarestrepo@gmail.com</t>
  </si>
  <si>
    <t>SEC ESC GUILLERMO VALENCIA</t>
  </si>
  <si>
    <t>BELEN</t>
  </si>
  <si>
    <t>CALLE 23 N° 78-48</t>
  </si>
  <si>
    <t>LINA VALENCIA CHICA ( C)</t>
  </si>
  <si>
    <t>MARIA DEL ROSARIO OQUENDO</t>
  </si>
  <si>
    <t>linavalenciachica@gmail.com</t>
  </si>
  <si>
    <t>SEC ESC ANTONIO JOSE RESTREPO</t>
  </si>
  <si>
    <t>CLL. 2 NO. 79-42</t>
  </si>
  <si>
    <t>238 30 27</t>
  </si>
  <si>
    <t>JOSE FERNANDO ARCILA ( R)</t>
  </si>
  <si>
    <t>MARGARITA VILLA LOPERA (C )</t>
  </si>
  <si>
    <t>mvillalopera@yahoo.es</t>
  </si>
  <si>
    <t>INST EDUC REPUBLICA DE VENEZUELA</t>
  </si>
  <si>
    <t>LAS VIOLETAS</t>
  </si>
  <si>
    <t>CLL 31C NO. 89 C 62</t>
  </si>
  <si>
    <t>238 82 55 - 3002885717 ©</t>
  </si>
  <si>
    <t>JUAN IGNACIO GALLO ( R ) OLIVA SALDARRIAGA GOMEZ ©</t>
  </si>
  <si>
    <t>ADRIANA LILI SUAREZ- GLORIA GIL MARIN</t>
  </si>
  <si>
    <t>ie.republicadevenezuela@medellin.gov.co 
adrianalilys@gmail.com
'Adriana Lily Suárez Giraldo' &lt;adrianalilys@gmail.com&gt;</t>
  </si>
  <si>
    <t>INST EDUC RAMON GIRALDO CEBALLOS</t>
  </si>
  <si>
    <t>B. ALTAVISTA</t>
  </si>
  <si>
    <t>CLL. 21 NO. 82 A 56</t>
  </si>
  <si>
    <t>3411830 y 2384352- 3053393881 ©</t>
  </si>
  <si>
    <t>CLAUDIA BOADA (R )</t>
  </si>
  <si>
    <t>FLOR QUICENO - GLORIA SUAREZ</t>
  </si>
  <si>
    <t>ieramon_giraldo@yahoo.es - florquiceno@gmail.com</t>
  </si>
  <si>
    <t>INST EDUC CAPILLA DEL ROSARIO</t>
  </si>
  <si>
    <t>CLL 6 SUR 79-195</t>
  </si>
  <si>
    <t>3410913 3438954 - 3012904607 ©</t>
  </si>
  <si>
    <t>JORGE IVAN BUITRAGO ( R)</t>
  </si>
  <si>
    <t>WALTER GUTIERREZ</t>
  </si>
  <si>
    <t>ie.capilladelrosario@yahoo.es walguty@hotmail.com</t>
  </si>
  <si>
    <t>INST EDUC ANTONIO DERKA - SANTO DOMINGO</t>
  </si>
  <si>
    <t>CARRERA 28 107 425</t>
  </si>
  <si>
    <t>5721312 5295216 5295218 CASA 5280020</t>
  </si>
  <si>
    <t>M.(AM) MARTA CECILIA AGUILAR</t>
  </si>
  <si>
    <t>ie.antonioderka@medellin.gov.co ie.antoniosanto@medellin.gov.co ruben.uribe@medellin.gov.co</t>
  </si>
  <si>
    <t>Comparten comedor, los escolares de las dos secciónes pasan almorzar a la IE. principal</t>
  </si>
  <si>
    <t>SEC ESC CARPINELO AMAPOLITA</t>
  </si>
  <si>
    <t>CARPINELO</t>
  </si>
  <si>
    <t>CALLE 97 23 12</t>
  </si>
  <si>
    <t>MARTA CECILIA AGUILAR</t>
  </si>
  <si>
    <t>ie.carpinelloamapolita@medellin.gov.co rudavego1@hotmail.com</t>
  </si>
  <si>
    <t>INST EDUC LA AVANZADA</t>
  </si>
  <si>
    <t>LA AVANZADA</t>
  </si>
  <si>
    <t>CARRERA 27 106BB 65</t>
  </si>
  <si>
    <t>DORA CELIS ROJAS TOBÓN</t>
  </si>
  <si>
    <t>MAGNOLIA DE JESUS CASAS RODRIGUEZ</t>
  </si>
  <si>
    <t>ie.laavanzada@medellin.gov.co; orleyorrego@gmail.com</t>
  </si>
  <si>
    <t>INST EDUC FE Y ALEGRIA SANTO DOMINGO SAVIO</t>
  </si>
  <si>
    <t>CARRERA 29 110A 83</t>
  </si>
  <si>
    <t>5284407 ext 105</t>
  </si>
  <si>
    <t>EDWIN FERNEY MONTOYA VELASQUEZ</t>
  </si>
  <si>
    <t>PAULA VASQUEZ</t>
  </si>
  <si>
    <t>ie.feyalegriasantodo@medellin.gov.co; secresz@gmail.com</t>
  </si>
  <si>
    <t>SEC ESC FE Y ALEGRIA SEGUNDA AGRUPACION</t>
  </si>
  <si>
    <t>CARRERA 30 110B 24</t>
  </si>
  <si>
    <t>5721991 ext 101</t>
  </si>
  <si>
    <t>JAIRO DAZA</t>
  </si>
  <si>
    <t>ie.feyalegriasantodo@medellin.gov.co; audax.lo@gmail.com</t>
  </si>
  <si>
    <t>INST EDUC LA CANDELARIA</t>
  </si>
  <si>
    <t>CALLE 106 32 100</t>
  </si>
  <si>
    <t>5288002 ext 116 - 5721611</t>
  </si>
  <si>
    <t>JORGE ELIECER MURIEL</t>
  </si>
  <si>
    <t>GUSTAVO ATEHORTUA</t>
  </si>
  <si>
    <t>ie.lacandelaria@medellin.gov.co; jorse7098@yahoo.com</t>
  </si>
  <si>
    <t>SEC ESC LA ESPERANZA NO 2</t>
  </si>
  <si>
    <t>LA ESPERANZA Nº 2 - POPULAR</t>
  </si>
  <si>
    <t>CARRERA 29 102A 20</t>
  </si>
  <si>
    <t>JORGE MURIEL MURIEL</t>
  </si>
  <si>
    <t>VILMA MORENO</t>
  </si>
  <si>
    <t>ielaesperanza2@medellin.gov.co negris104@hotmail.com; coordi_laesperanza@ielacandelariamedellin.edu.co</t>
  </si>
  <si>
    <t>SEC ESC DIVINA PROVIDENCIA</t>
  </si>
  <si>
    <t>CALLE 108 43B 17</t>
  </si>
  <si>
    <t>2584850 5241365</t>
  </si>
  <si>
    <t>FLOR DE AZALIA VILLA</t>
  </si>
  <si>
    <t>ESTELLA SALDARRIAGA</t>
  </si>
  <si>
    <t>federicocarrasquilla@gmail.com; stesa425@hotmail.com</t>
  </si>
  <si>
    <t>INST EDUC MARIA DE LOS ANGELES CANO MARQUEZ</t>
  </si>
  <si>
    <t>CALLE 103 33D 75</t>
  </si>
  <si>
    <t>5289494 5287740</t>
  </si>
  <si>
    <t>YOLANDA ZULUAGA CANO</t>
  </si>
  <si>
    <t>SORANY TABORDA</t>
  </si>
  <si>
    <t>yolandazuluaga@hotmail.com; institucionmariacano@gmail.com</t>
  </si>
  <si>
    <t>ESC HERMANA ALCIRA CASTRO OSORIO</t>
  </si>
  <si>
    <t>CARRERA 27B 107FA 138</t>
  </si>
  <si>
    <t>4485298-5292855</t>
  </si>
  <si>
    <t>HNA. GLADIS CALDERON RIVERA</t>
  </si>
  <si>
    <t>DIANA PARRA</t>
  </si>
  <si>
    <t>alciracastro1@outookl.com; misioneras1@une.net.co; dianaparrao26@hotmail.com</t>
  </si>
  <si>
    <t>COL SAGRADA FAMILIA ALDEA PABLO VI</t>
  </si>
  <si>
    <t>ALDEA PABLO VI</t>
  </si>
  <si>
    <t>CARRERA 30 100B 30</t>
  </si>
  <si>
    <t>5290009 Area Administrativa 5290010 Internado</t>
  </si>
  <si>
    <t>HNA MARGARITA BERRIO DUQUE</t>
  </si>
  <si>
    <t>MILENA RAMOS</t>
  </si>
  <si>
    <t>aldeahpar@yahoo.com sagradafamiliahpar@yahoo.es; mile11-@hotmail.com</t>
  </si>
  <si>
    <t>COL GENTE UNIDA JOVENES POR LA PAZ-SANTO DOMINGO</t>
  </si>
  <si>
    <t>CALLE 101C 22B 93</t>
  </si>
  <si>
    <t>JUAN CARLOS ARROYAVE CARLOS ALBERTO ZAPATA</t>
  </si>
  <si>
    <t>DORA ALBA BENITEZ ARIAS</t>
  </si>
  <si>
    <t>laesperanzasecre@hotmail.com juanca_arroyave@hotmail.com</t>
  </si>
  <si>
    <t>INST EDUC SANTA TERESA</t>
  </si>
  <si>
    <t>CARRERA 52 109A 18</t>
  </si>
  <si>
    <t>2584245-2586816</t>
  </si>
  <si>
    <t>AURA CECILIA MEDINA CORREA</t>
  </si>
  <si>
    <t>GUSTAVO ARMANDO GARCÍA -PM; GERMAN MUÑOZ-AM</t>
  </si>
  <si>
    <t>garciaggar@gmail.com; auraceciliamedina@une.net.co; iesantateresa@yahoo.es; gerdamunoz@gmail.com</t>
  </si>
  <si>
    <t>INST EDUC REPUBLICA DE HONDURAS</t>
  </si>
  <si>
    <t>CARRERA 50B 97A 30</t>
  </si>
  <si>
    <t>2360743-2585778</t>
  </si>
  <si>
    <t>LUZ MARINA BEDOYA</t>
  </si>
  <si>
    <t>republicadehonduras@gmail.com; luzmarinabedoyaberrio@hotmail.com</t>
  </si>
  <si>
    <t>INST EDUC FINCA LA MESA</t>
  </si>
  <si>
    <t>CALLE 118 51A 03</t>
  </si>
  <si>
    <t>2149151 2149157</t>
  </si>
  <si>
    <t>LUIS EUGENIO MENA PALACIO</t>
  </si>
  <si>
    <t>JESUS JURADO-PM; CESAR MAURICIO GOMEZ-AM</t>
  </si>
  <si>
    <t>ie.fincalamesa@medellin.gov.co; menapues@gmail.com; tapitasdata@gmail.com</t>
  </si>
  <si>
    <t>SEC ESC LA ISLA</t>
  </si>
  <si>
    <t>LA ISLA</t>
  </si>
  <si>
    <t>CALLE 112 47 39</t>
  </si>
  <si>
    <t>LUIS EUGENIO MENA</t>
  </si>
  <si>
    <t>MAURICIO MURILLO</t>
  </si>
  <si>
    <t>maurrillo@gmail.com</t>
  </si>
  <si>
    <t>INST EDUC JOSE ROBERTO VASQUEZ</t>
  </si>
  <si>
    <t>CALLE 76 39 160</t>
  </si>
  <si>
    <t>NESTOR RENE OTALORA GARZON</t>
  </si>
  <si>
    <t>ELVER GUTIERREZ</t>
  </si>
  <si>
    <t>ie.joserobertovasque@medellin.gov.co; joserobertovasquezbm@gmail.com</t>
  </si>
  <si>
    <t>SEC ESC SAN LORENZO DE ABURRA</t>
  </si>
  <si>
    <t>CALLE 81 40 46</t>
  </si>
  <si>
    <t>EUGENIO DUQUE GOMEZ ; ALEJANDRA MOTOYA GIRLADO , LUZ MAGDALENA LÓPEZ OROZCO</t>
  </si>
  <si>
    <t>ie.sanlorenzodeaburra@medellin.gov.co; duquegenio@gmail.com; maglop18@hotmail.com</t>
  </si>
  <si>
    <t>SEC ESC LA CIMA SAN JOSE</t>
  </si>
  <si>
    <t>SAN JOSE LA CIMA Nº 1</t>
  </si>
  <si>
    <t>CALLE 92C 31BB 23</t>
  </si>
  <si>
    <t>NORA ELENA SOSSA</t>
  </si>
  <si>
    <t>ie.feyalegrialacima@medellin.gov.co; nesy2760@gmail.com</t>
  </si>
  <si>
    <t>INST EDUC GABRIEL RESTREPO MORENO</t>
  </si>
  <si>
    <t>CARRERA 39 85 59</t>
  </si>
  <si>
    <t>2631645 5710343</t>
  </si>
  <si>
    <t>ÁLVARO MEJÍA PAYARES</t>
  </si>
  <si>
    <t>ROCIO MARTINEZ</t>
  </si>
  <si>
    <t>ie.gabrielrestrepo@medellin.gov.co; almapa@hotmail.com; elsyak@hotmail.com</t>
  </si>
  <si>
    <t>SEC ESC SANTA BERNARDITA</t>
  </si>
  <si>
    <t>CARRERA 40 85 20</t>
  </si>
  <si>
    <t>CLAUDIA MARIA GOMEZ</t>
  </si>
  <si>
    <t>campovaldes2013@gmail.com; rectoralacima@gmail.com</t>
  </si>
  <si>
    <t>INST EDUC  MONTECARLO GUILLERMO GAVIRIA CORREA - COMEDOR 1</t>
  </si>
  <si>
    <t>INST EDUC MONTECARLO GUILLERMO GAVIRIA CORREA</t>
  </si>
  <si>
    <t>CARRERA 36 85B 140</t>
  </si>
  <si>
    <t>LUZ MARINA DURANGO SERNA</t>
  </si>
  <si>
    <t>ANA DOLLY OSORIO (P)</t>
  </si>
  <si>
    <t>repbarbados@une.net.co / ie.republicadebarbad@medellin.gov.co</t>
  </si>
  <si>
    <t>INST EDUC RODRIGO LARA BONILLA - COMEDOR 1</t>
  </si>
  <si>
    <t>INST EDUC RODRIGO LARA BONILLA</t>
  </si>
  <si>
    <t>VERSALLES Nº 2</t>
  </si>
  <si>
    <t>CARRERA 25 69D 35</t>
  </si>
  <si>
    <t>JAMES EDUARDO OCAMPO MONSALVE</t>
  </si>
  <si>
    <t>SORAYA ARIAS GÓMEZ</t>
  </si>
  <si>
    <t>ierlb@hotmail.com / ie.rodrigolarabonill@medellin.gov.co; comitecalidad@hotmail.com</t>
  </si>
  <si>
    <t>COL PABLO VI</t>
  </si>
  <si>
    <t>CARRERA 36 69 30</t>
  </si>
  <si>
    <t>254 04 84 2547071</t>
  </si>
  <si>
    <t>JORGE JOSE LUIS SANCHEZ</t>
  </si>
  <si>
    <t>GLORIA E. CASTAÑO</t>
  </si>
  <si>
    <t>cologiopablovl1965@gmail.com; gloriazul.1637@hotmail.com</t>
  </si>
  <si>
    <t>COL GENTE UNIDA JOVENES POR LA PAZ - LUZ DE ORIENTE</t>
  </si>
  <si>
    <t>CARRERA 24 74 130</t>
  </si>
  <si>
    <t>2514254, 2519277</t>
  </si>
  <si>
    <t>DORA ALBA BENITEZ</t>
  </si>
  <si>
    <t>LUZ DARY BENITEZ</t>
  </si>
  <si>
    <t>administracionloriente@genteunida.org.co; luzdeoriente@genteunida.org.co</t>
  </si>
  <si>
    <t>COLEGIO BÁSICO SANTA MARIA DE LA CRUZ</t>
  </si>
  <si>
    <t>CARRERA 23C 75C 246</t>
  </si>
  <si>
    <t>MIGUEL PEREZ VEGA</t>
  </si>
  <si>
    <t>JULIANA VALENCIA</t>
  </si>
  <si>
    <t>santamariadelacruzcolegio@hotmail.com; fundacionteresadecalcuta@hotmail.com</t>
  </si>
  <si>
    <t>INST EDUC GILBERTO ALZATE AVENDAÑO</t>
  </si>
  <si>
    <t>CALLE 92 51A 100</t>
  </si>
  <si>
    <t>5717731 EXT 101 201</t>
  </si>
  <si>
    <t>DARIO ARGAEZ NARANJO (P)</t>
  </si>
  <si>
    <t>ie.gilbertoalzate@medellin.gov.co; betty.mesa@medellin.gov.co; dario.argaez@medellin.co</t>
  </si>
  <si>
    <t>Comparte comedor los 300 Almuerzos deben ser entregados en la S.E Tomas Carrasquilla #1</t>
  </si>
  <si>
    <t>INST EDUC MARIA MONTESSORI</t>
  </si>
  <si>
    <t>CARRERA 69A 92C 87</t>
  </si>
  <si>
    <t>4712416  4776510</t>
  </si>
  <si>
    <t>HERNÁN HERNÁN DARIO QUINTANA</t>
  </si>
  <si>
    <t>JORGE IVÁN PEÑA ( COORD ) AM</t>
  </si>
  <si>
    <t>jipo.197@yahoo.es - iemariamontesori@hotmai.com - secretaria.iemariamontesori@gmail.com</t>
  </si>
  <si>
    <t>INST EDUC PBRO ANTONIO JOSE BERNAL LONDOÑO SJ</t>
  </si>
  <si>
    <t>CALLE 105A 63A 200</t>
  </si>
  <si>
    <t>4631218  2565318, 4631680</t>
  </si>
  <si>
    <t>HERNÁN DÍAZ. ( ) ANTONIO JOSE LONDOÑO LONDOÑO (COORD)</t>
  </si>
  <si>
    <t>HERNAN ALBERTO GONZALES ( D)</t>
  </si>
  <si>
    <t>i.e.antonio.jose.bernal@gmail.com</t>
  </si>
  <si>
    <t>INST EDUC KENNEDY</t>
  </si>
  <si>
    <t>CARRERA 76A 92 200</t>
  </si>
  <si>
    <t>4428362 EXT 115</t>
  </si>
  <si>
    <t>HECTOR CORREA (DOCENTE ENCARGADO)</t>
  </si>
  <si>
    <t>INST EDUC LA ESPERANZA</t>
  </si>
  <si>
    <t>LA ESPERANZA - DOCE DE OCTUBRE</t>
  </si>
  <si>
    <t>CARRERA 73B 96 09</t>
  </si>
  <si>
    <t>MARCOS VILLARREAL</t>
  </si>
  <si>
    <t>FLOR MARIA MONTOYA</t>
  </si>
  <si>
    <t>montoyazapataflormaria@gmail.com</t>
  </si>
  <si>
    <t>SEC ESC LOS COMUNEROS</t>
  </si>
  <si>
    <t>CARRERA 73B 96 77</t>
  </si>
  <si>
    <t>MABEL CRISTINA DARTE CAÑAS</t>
  </si>
  <si>
    <t>mdarte25@yahoo.es</t>
  </si>
  <si>
    <t>SEC ESC REPUBLICA DE CUBA</t>
  </si>
  <si>
    <t>CALLE 97 74 03</t>
  </si>
  <si>
    <t>DORA ALICIA MAZO</t>
  </si>
  <si>
    <t>rosaemma284@yahoo.ese - doramazop@gmail.com</t>
  </si>
  <si>
    <t>SEC ESC SAN FRANCISCO DE PAULA</t>
  </si>
  <si>
    <t>CARRERA 74B 93 58</t>
  </si>
  <si>
    <t>EMA ROSA ZAPATA PARRA</t>
  </si>
  <si>
    <t>roaemma439@gmail.com</t>
  </si>
  <si>
    <t>SEC ESC SAN MARTIN DE PORRES</t>
  </si>
  <si>
    <t>SAN MARTIN DE PORRES</t>
  </si>
  <si>
    <t>CARRERA 75A 97 135</t>
  </si>
  <si>
    <t>MARLENY STELLA LONDOÑO ARANGO</t>
  </si>
  <si>
    <t>marlenylondono@gmail.com</t>
  </si>
  <si>
    <t>INST EDUC CASD</t>
  </si>
  <si>
    <t>CALLE 99 72 192</t>
  </si>
  <si>
    <t>4721313 2379780 EXT 101</t>
  </si>
  <si>
    <t>KAMMEL GUTIERREZ ( R)</t>
  </si>
  <si>
    <t>DAISY KATERINE RODRIGUEZ D ( D)</t>
  </si>
  <si>
    <t>ricardo.franco@medellin.gov.co</t>
  </si>
  <si>
    <t>SEC ESC CONTRANAL</t>
  </si>
  <si>
    <t>CALLE 100 74A 25</t>
  </si>
  <si>
    <t>JAVIER SANCHEZ.</t>
  </si>
  <si>
    <t>ELIZABETH ROLDAN</t>
  </si>
  <si>
    <t>CENTRO EDUCATIVO HOGAR JESÚS REDENTOR</t>
  </si>
  <si>
    <t>CALLE 104B 87 95</t>
  </si>
  <si>
    <t>VIVIANA PARRA GAVIRIA</t>
  </si>
  <si>
    <t>HERMANA NORA LUCIA PARRA. HNA. ADRIANA</t>
  </si>
  <si>
    <t>hogarjr@une.net.co</t>
  </si>
  <si>
    <t>SEC ESC ESTADO DE ISRAEL</t>
  </si>
  <si>
    <t>CALLE 110A 75A 01</t>
  </si>
  <si>
    <t>2732809 4720572</t>
  </si>
  <si>
    <t>FELICITA ARRIAGA</t>
  </si>
  <si>
    <t>INST EDUC EL PICACHITO</t>
  </si>
  <si>
    <t>PICACHITO</t>
  </si>
  <si>
    <t>CARRERA 85A 98B 17</t>
  </si>
  <si>
    <t>4761277  Fax 4760923 4770923 - 4722556</t>
  </si>
  <si>
    <t>LUIS OSVALDO GIRALDO (COORD)</t>
  </si>
  <si>
    <t>LUZ ADIELA ZULUAGA</t>
  </si>
  <si>
    <t>luzadielazuluaga@gmail.com - ie,picachito@gmail.com</t>
  </si>
  <si>
    <t>ESCUELA UNIVERSIDAD NACIONAL</t>
  </si>
  <si>
    <t>CARRERA 88A 68 85</t>
  </si>
  <si>
    <t>JULIO CESAR SANCHEZ HENAO</t>
  </si>
  <si>
    <t>DIANA RIVILLAS OCAMPO</t>
  </si>
  <si>
    <t>dirivill@unal.edu.co - cooracedunal-med@unal.edu.co - cedunal.med@unal.edu.co</t>
  </si>
  <si>
    <t>INST EDUC BELLO HORIZONTE</t>
  </si>
  <si>
    <t>BELLO HORIZONTE</t>
  </si>
  <si>
    <t>CARRERA 86 77AB 53</t>
  </si>
  <si>
    <t>2346584  EXT 105 - 101</t>
  </si>
  <si>
    <t>GLORIA CECILIA GUTIERREZ ZAPATA</t>
  </si>
  <si>
    <t>SIRLEY TAMAYO AM - MIRYAM URIBE PM</t>
  </si>
  <si>
    <t>iebellohorizonte@gmail.com</t>
  </si>
  <si>
    <t>INST EDUC CIUDAD DON BOSCO</t>
  </si>
  <si>
    <t>E</t>
  </si>
  <si>
    <t>CARRERA 96B 78C 11</t>
  </si>
  <si>
    <t>2641199  2642122  EXT 131</t>
  </si>
  <si>
    <t>BRO.RAFAEL BEJARANO RIVERO.</t>
  </si>
  <si>
    <t>JHON JAIME MADRIGAL HERRERA</t>
  </si>
  <si>
    <t>direccion@ciudaddonbosco.org</t>
  </si>
  <si>
    <t>INST EDUC EL DIAMANTE</t>
  </si>
  <si>
    <t>CARRERA 87 79 05</t>
  </si>
  <si>
    <t>NANCY LUCIA PEREZ GONZALEZ</t>
  </si>
  <si>
    <t>JAIME DUQUE AM - ELKIN VELASQUEZ PM</t>
  </si>
  <si>
    <t>jaimerdu@yahoo.es; rectoria@ieeldiamante.edu.co</t>
  </si>
  <si>
    <t>INST EDUC LA LIBERTAD</t>
  </si>
  <si>
    <t>LA LIBERTAD</t>
  </si>
  <si>
    <t>DIAGONAL 17DD 56B 49</t>
  </si>
  <si>
    <t>2267949  3225191221</t>
  </si>
  <si>
    <t>JHON FREDY CORRALES TABARES</t>
  </si>
  <si>
    <t>ANGY URIBE</t>
  </si>
  <si>
    <t>ie.lalibertad@medellin.gov.co  coordilibertad@gmail.com</t>
  </si>
  <si>
    <t>INST EDUC LA SIERRA</t>
  </si>
  <si>
    <t>LA SIERRA</t>
  </si>
  <si>
    <t>CALLE 56 B 4 ESTE 10</t>
  </si>
  <si>
    <t>2218029  2145397  300 202 08 85</t>
  </si>
  <si>
    <t>MARTHA LUCIA MOSQUERA</t>
  </si>
  <si>
    <t>ie.lasierracolegiomaestro@gmail.com  mlml316@hotmail.com</t>
  </si>
  <si>
    <t>INST EDUC JUAN DE LA CRUZ POSADA</t>
  </si>
  <si>
    <t>SAN MIGUEL</t>
  </si>
  <si>
    <t>CALLE 62 39 22</t>
  </si>
  <si>
    <t>2549659  2548163  2914801  3103727883</t>
  </si>
  <si>
    <t>ADOLFO LEÓN GONZALEZ OSPINA</t>
  </si>
  <si>
    <t>FANY RODAS MORENO(AM)  MARIA CONSUELO PEREZ(PM)</t>
  </si>
  <si>
    <t>IE.JUANCPOSADA@YAHOO.ES  katevera@hotmail.com</t>
  </si>
  <si>
    <t>INST EDUC ESCUELA NORMAL SUPERIOR DE MEDELLIN</t>
  </si>
  <si>
    <t>LA LADERA</t>
  </si>
  <si>
    <t>CARRERA 34 65 02</t>
  </si>
  <si>
    <t>2840245      4039040</t>
  </si>
  <si>
    <t>JUAN CARLOS ZAPATA CORREA</t>
  </si>
  <si>
    <t>GUILLERMINA ZAPATA RIVERA</t>
  </si>
  <si>
    <t>ie.normalsuperior@medellin.gov.co   juanca.zapatac@gmail.com / guillerminazr@hotmail.com</t>
  </si>
  <si>
    <t>SEC ESC SAN VICENTE DE PAUL</t>
  </si>
  <si>
    <t>LAS ESTANCIAS</t>
  </si>
  <si>
    <t>CARRERA 6F 54 133</t>
  </si>
  <si>
    <t>JAMES PRADO</t>
  </si>
  <si>
    <t>ie.gabrielgarcía@medellín.gov.co  pradojames@hotmail.com</t>
  </si>
  <si>
    <t>SEC ESC REPUBLICA DEL PERU</t>
  </si>
  <si>
    <t>CALLE 52 23 114</t>
  </si>
  <si>
    <t>ie.felixhenao@medellín.gov.co   antonio.cari@hotmail.com</t>
  </si>
  <si>
    <t>INST EDUC VIDA PARA TODOS</t>
  </si>
  <si>
    <t>CARRERA 12 52 20</t>
  </si>
  <si>
    <t>2260571 2260591</t>
  </si>
  <si>
    <t>DAVID FERNANDO CORTEZ</t>
  </si>
  <si>
    <t>LISETH GARCIA(AM)          CAMILO FERNANDEZ(PM)</t>
  </si>
  <si>
    <t>ie.vidaparatodos@hotmail.com</t>
  </si>
  <si>
    <t>SEC ESC HOGAR ANTIOQUIA</t>
  </si>
  <si>
    <t>CARRERA 12 52 42</t>
  </si>
  <si>
    <t>LUZ DARY ORTIZ</t>
  </si>
  <si>
    <t>SEC ESC SOR MARIA LUISA COURBIN</t>
  </si>
  <si>
    <t>CARRERA 12 52 44</t>
  </si>
  <si>
    <t>IVAN GAVIRIA JARAMILLO CLAUDIA ALVAREZ</t>
  </si>
  <si>
    <t>INST EDUC SOL DE ORIENTE</t>
  </si>
  <si>
    <t>TRECE DE NOVIEMBRE</t>
  </si>
  <si>
    <t>CARRERA 23 56EH 200</t>
  </si>
  <si>
    <t>2914389   2546176</t>
  </si>
  <si>
    <t>JUAN DIEGO RESTREPO ESCOBAR</t>
  </si>
  <si>
    <t>ADRIANA MUNERA</t>
  </si>
  <si>
    <t>ie.soldeoriente@medellin.gov.co   ssoldeoriente@gmail.com  amuneraguerra@yahoo.es</t>
  </si>
  <si>
    <t>SEC ESC BEATO DOMINGO ITURRATE</t>
  </si>
  <si>
    <t>CARRERA 18E 56FA 9</t>
  </si>
  <si>
    <t>LUZ MARINA PENAGOS</t>
  </si>
  <si>
    <t>COL BASICO CAMINO DE PAZ - COMEDOR 1</t>
  </si>
  <si>
    <t>COL BASICO CAMINO DE PAZ</t>
  </si>
  <si>
    <t>CALLE 59C 19 56</t>
  </si>
  <si>
    <t>ALBA LUCIA BAHOS</t>
  </si>
  <si>
    <t>TATIANA DURANGO        EUGENIO HENAO ESTRADA</t>
  </si>
  <si>
    <t>secrecaicedo@fundacionlasgolondrinas.org     nutricion@fundacionlasgolondrinas.org   rectoria@fundacionlasgolondrinas.org</t>
  </si>
  <si>
    <t>COL BASICO CAMINO DE PAZ - COMEDOR 2</t>
  </si>
  <si>
    <t>COL BASICO CAMINO DE PAZ - VILLA LILIAM</t>
  </si>
  <si>
    <t>CARRERA 8A 57A 35</t>
  </si>
  <si>
    <t>INST EDUC EL SALVADOR</t>
  </si>
  <si>
    <t>CARRERA 38A 34 -207</t>
  </si>
  <si>
    <t>2169312   2180993</t>
  </si>
  <si>
    <t>ALBERTO GIRALDO JIMENEZ (RECTOR)</t>
  </si>
  <si>
    <t>LUCERO PINEDA(PM)           SIRIS PINO(AM)</t>
  </si>
  <si>
    <t>iesalvador@medellin.gov.co      lucero-pineda@hotmail.com</t>
  </si>
  <si>
    <t>SEC ESC JOSE DE SAN MARTIN</t>
  </si>
  <si>
    <t>CALLE 39 38 21</t>
  </si>
  <si>
    <t>ALBERTO GIRALDO JIMENEZ RECTOR</t>
  </si>
  <si>
    <t>JUAN CARLOS MURIEL</t>
  </si>
  <si>
    <t>institucioneduelsalvador@gmail.com    jucamugo140@hotmail.com</t>
  </si>
  <si>
    <t>SEC ESC DIVINO SALVADOR</t>
  </si>
  <si>
    <t>CARRERA 38B 40 29</t>
  </si>
  <si>
    <t>216 99 41</t>
  </si>
  <si>
    <t>HECTOR MAURICIO CALLE GALLEGO -RECTOR</t>
  </si>
  <si>
    <t>ieacastrillón@yahoo.es    ectore@une.net.co</t>
  </si>
  <si>
    <t>INST EDUC LORETO-GABRIELA GOMEZ CARVAJAL</t>
  </si>
  <si>
    <t>LORETO</t>
  </si>
  <si>
    <t>CALLE 32 34 06</t>
  </si>
  <si>
    <t>2390090 2393159</t>
  </si>
  <si>
    <t>GUSTAVO DE J. HOYOS AGUDELO RECTOR</t>
  </si>
  <si>
    <t>JUAN CAMILO ALZATE ECHEVERRI</t>
  </si>
  <si>
    <t>ie.Loreto@gmail.com  juank151@hotmail.com  hoyosatavo1952@yahoo.com</t>
  </si>
  <si>
    <t>INST EDUC ASAMBLEA DEPARTAMENTAL</t>
  </si>
  <si>
    <t>CARRERA 27 47 45</t>
  </si>
  <si>
    <t>269 96 79  2218965  2697703</t>
  </si>
  <si>
    <t>JUAN CARLOS AGUDELO SOSA (RECTOR)</t>
  </si>
  <si>
    <t>JOSE ANGELO VARGAS</t>
  </si>
  <si>
    <t>ie.asamblea@gmail.com;  juanca.jas@homail.com</t>
  </si>
  <si>
    <t>INST EDUC JAVIERA LONDOÑO</t>
  </si>
  <si>
    <t>CALLE 53 40 65</t>
  </si>
  <si>
    <t>2395055 2396363 2393116 2281005</t>
  </si>
  <si>
    <t>MARTHA MARIN</t>
  </si>
  <si>
    <t>105001001562@medellin.gov.co  mo156@une.net.co</t>
  </si>
  <si>
    <t>INST EDUC SAN BENITO</t>
  </si>
  <si>
    <t>SAN BENITO</t>
  </si>
  <si>
    <t>CARRERA 56 NO 54A 25</t>
  </si>
  <si>
    <t>MARGARITA MARIA SANCHEZ LEON</t>
  </si>
  <si>
    <t>NEILA ROSA BELLO</t>
  </si>
  <si>
    <t>ie.sanbenito@medellin.gov.co  margarita.sanchez@medellin.gov.co</t>
  </si>
  <si>
    <t>INST EDUC HECTOR ABAD GOMEZ</t>
  </si>
  <si>
    <t>CALLE 50 39 65</t>
  </si>
  <si>
    <t>2163862 2163805 2161258</t>
  </si>
  <si>
    <t>ELKIM RAMIRO OSORIO</t>
  </si>
  <si>
    <t>JAIRO JARAMILLO</t>
  </si>
  <si>
    <t>ie.hectorabad@medellin.gov.co   jmiramuriel@gmail.com</t>
  </si>
  <si>
    <t>SEC ESC DARIO LONDOÑO CARDONA</t>
  </si>
  <si>
    <t>BARRIO COLON</t>
  </si>
  <si>
    <t>CALLE 44 43 96</t>
  </si>
  <si>
    <t>ALBA DIELAZAPATA</t>
  </si>
  <si>
    <t>ie.hectorabad@medellin.gov.co  zapatadh@gmail.com</t>
  </si>
  <si>
    <t>CENT EDUC CASA MAMA MARGARITA</t>
  </si>
  <si>
    <t>BOMBONA Nº 1</t>
  </si>
  <si>
    <t>CALLE 48 39 58</t>
  </si>
  <si>
    <t>2172185  2182156  2182157</t>
  </si>
  <si>
    <t>AMPARO GUEVARA CARRASQUILLA</t>
  </si>
  <si>
    <t>secretariacmm@gmail.com</t>
  </si>
  <si>
    <t>SEC ESC HIPOLITO LONDOÑO MESA</t>
  </si>
  <si>
    <t>CARRERA 40 59 A 52</t>
  </si>
  <si>
    <t>MONS. ARMANDO SANTA</t>
  </si>
  <si>
    <t>HNA.NOEMI CADAVID</t>
  </si>
  <si>
    <t>hogaressanjos60@hotmail.com</t>
  </si>
  <si>
    <t>CENT EDUC EL PLACER</t>
  </si>
  <si>
    <t>SANTA ELENA SECTOR CENTRAL (CABECERA) - CORREG SANTA ELENA</t>
  </si>
  <si>
    <t>VEREDA EL PLACER</t>
  </si>
  <si>
    <t>5380143 / 2695500</t>
  </si>
  <si>
    <t>BEATRIZ ELENA ALVAREZ SERNA</t>
  </si>
  <si>
    <t>GLADYS PATRICIA CANO</t>
  </si>
  <si>
    <t>centroeducativoelplacer@yahoo.es</t>
  </si>
  <si>
    <t>INST EDUC SANTA ELENA</t>
  </si>
  <si>
    <t>CABECERA</t>
  </si>
  <si>
    <t>5381304 / 5381829</t>
  </si>
  <si>
    <t>SILVIA ELENA REDON</t>
  </si>
  <si>
    <t>EDY PATRICIA HUGUITA      DEYCI OSORIO</t>
  </si>
  <si>
    <t>ie.santaelena@medellin.gov.co</t>
  </si>
  <si>
    <t>SEC ESC RURAL SANTA ELENA</t>
  </si>
  <si>
    <t>5380027    5381304  3113608890</t>
  </si>
  <si>
    <t>ARACELY VALENCIA</t>
  </si>
  <si>
    <t>ARACELY.VALENCIA@GMAIL.COM  ie.santaelena@medellin.gov.co</t>
  </si>
  <si>
    <t>CENT EDUC PIEDRAS BLANCAS</t>
  </si>
  <si>
    <t>PIEDRAS BLANCAS - MATAZANO - CORREG SANTA ELENA</t>
  </si>
  <si>
    <t>PIEDRAS BLANCAS</t>
  </si>
  <si>
    <t>JOAQUIN GERMAN OSPINA</t>
  </si>
  <si>
    <t>FELIPE LOZANO</t>
  </si>
  <si>
    <t>cepiedrasblancas@medellin.gov.co</t>
  </si>
  <si>
    <t>CENT EDUC MEDIA LUNA</t>
  </si>
  <si>
    <t>VEREDA MEDIA LUNA</t>
  </si>
  <si>
    <t>ROSMIRA ARROYAVE</t>
  </si>
  <si>
    <t>CENT EDUC EL PLAN</t>
  </si>
  <si>
    <t>EL PLACER - CORREG SANTA ELENA</t>
  </si>
  <si>
    <t>VEREDA EL PLAN</t>
  </si>
  <si>
    <t>5381230  2695500  5380143</t>
  </si>
  <si>
    <t>FABIOLA PINO PEREA</t>
  </si>
  <si>
    <t>CENT EDUC PIEDRA GORDA</t>
  </si>
  <si>
    <t>PIEDRA GORDA - CORREG SANTA ELENA</t>
  </si>
  <si>
    <t>VEREDA PIEDRA GORDA</t>
  </si>
  <si>
    <t>ENRIQUE MAYO GARCIA</t>
  </si>
  <si>
    <t>CAROLINA AREIZA</t>
  </si>
  <si>
    <t>escuela.piedragorda@yahoo.es   ce.juanandrespatino@medellin.gov.co</t>
  </si>
  <si>
    <t>CENT EDUC EL CERRO</t>
  </si>
  <si>
    <t>EL CERRO - CORREG SANTA ELENA</t>
  </si>
  <si>
    <t>VEREDA EL CERRO</t>
  </si>
  <si>
    <t>GLADYS MIRANDA HOYOS</t>
  </si>
  <si>
    <t>ce.juanandrespatino@medellin.gov.co   betyla25@hotmail.com</t>
  </si>
  <si>
    <t>CENT EDUC JUAN ANDRES PATINO</t>
  </si>
  <si>
    <t>BARRO BLANCO - CORREG SANTA ELENA</t>
  </si>
  <si>
    <t>VEREDA BARRO BLANCO</t>
  </si>
  <si>
    <t>5669138  FAX 5669186</t>
  </si>
  <si>
    <t>BEATRIZ ELENA LUGO</t>
  </si>
  <si>
    <t>CENT EDUC PERMANENTE MAZO</t>
  </si>
  <si>
    <t>MAZO - CORREG SANTA ELENA</t>
  </si>
  <si>
    <t>VEREDA MAZO</t>
  </si>
  <si>
    <t>JOAQUIN GERMAN OSPINA TANGARIFE</t>
  </si>
  <si>
    <t>CLAUDIA PATRICIA OSORIO</t>
  </si>
  <si>
    <t>pemazo@gmail.com     didaeco@hotmail.com</t>
  </si>
  <si>
    <t>CORPORACION EDUCATIVA COMBOS</t>
  </si>
  <si>
    <t>CL 51 56 A 35</t>
  </si>
  <si>
    <t>5141672 5126251</t>
  </si>
  <si>
    <t>GLORIA AMPARO HENAO MEDINA</t>
  </si>
  <si>
    <t>INST EDUC MARCO FIDEL SUAREZ</t>
  </si>
  <si>
    <t>SURAMERICANA</t>
  </si>
  <si>
    <t>CR 70 Nº 49 70</t>
  </si>
  <si>
    <t>2301704 - 2301435</t>
  </si>
  <si>
    <t>JOSÉ IGNACIO GUTIÉRREZ</t>
  </si>
  <si>
    <t>ALBA NERY BARRILECHE</t>
  </si>
  <si>
    <t>elsobri21@gmail.com</t>
  </si>
  <si>
    <t>INST EDUC CRISTOBAL COLON - COMEDOR 1</t>
  </si>
  <si>
    <t>INST EDUC CRISTOBAL COLON</t>
  </si>
  <si>
    <t>CL38 Nº 92 93</t>
  </si>
  <si>
    <t>2520535 - 2532517</t>
  </si>
  <si>
    <t>JUAN DE DIOS ARANGO</t>
  </si>
  <si>
    <t>MARTHA DORIS GÓMEZ-LUCELLY GARCÍA</t>
  </si>
  <si>
    <t>martisgc@gmail.com</t>
  </si>
  <si>
    <t>INST EDUC CRISTOBAL COLON - COMEDOR 2</t>
  </si>
  <si>
    <t>INST EDUC CRISTOBAL COLON - ANEXO</t>
  </si>
  <si>
    <t>SEC ESC VEINTE DE JULIO</t>
  </si>
  <si>
    <t>CR 106 Nº 38 40</t>
  </si>
  <si>
    <t>MARÍA ELENA VÁSQUEZ</t>
  </si>
  <si>
    <t>mevz61@gmail.com</t>
  </si>
  <si>
    <t>INST EDUC LA INDEPENDENCIA</t>
  </si>
  <si>
    <t>CLL 39D Nº 112 81</t>
  </si>
  <si>
    <t>BEATRIZ EUGENIA RIOS</t>
  </si>
  <si>
    <t>OLGA LUCÍA DÍAZ</t>
  </si>
  <si>
    <t>beatrizrios5@hotmail.com</t>
  </si>
  <si>
    <t>SEC ESC PALMITAS</t>
  </si>
  <si>
    <t>INST EDUC HECTOR ROGELIO MONTOYA</t>
  </si>
  <si>
    <t>PALMITAS- CABECERA</t>
  </si>
  <si>
    <t>CALLE 20 N° 32 60</t>
  </si>
  <si>
    <t>3870058 - 3870112</t>
  </si>
  <si>
    <t>MANUEL ARANGO</t>
  </si>
  <si>
    <t>DIANA CAROLINA RIVERA</t>
  </si>
  <si>
    <t>ie.hrmpalmitas@gmail.com</t>
  </si>
  <si>
    <t>CENT EDUC LA SUIZA</t>
  </si>
  <si>
    <t>CENT EDUC LA VOLCANA</t>
  </si>
  <si>
    <t>PALMITAS</t>
  </si>
  <si>
    <t>VEREDA LA VOLCANA</t>
  </si>
  <si>
    <t>4463286-3870022</t>
  </si>
  <si>
    <t>GILMA PASTORA AYALA</t>
  </si>
  <si>
    <t>DORIELA MONTOYA SIERRA</t>
  </si>
  <si>
    <t>gilmayala@hotmail.com</t>
  </si>
  <si>
    <t>CENT EDUC LA FRISOLA</t>
  </si>
  <si>
    <t>VEREDA FRISOLA</t>
  </si>
  <si>
    <t>EROINA PALACIO VILLA</t>
  </si>
  <si>
    <t>palaciovillaeroina@gmail.com</t>
  </si>
  <si>
    <t>VEREDA LA SUIZA</t>
  </si>
  <si>
    <t>CONSUELO GUTIERREZ</t>
  </si>
  <si>
    <t>coguma@hotmail.com</t>
  </si>
  <si>
    <t xml:space="preserve">Comparten comedor - los 28 Almuerzos de Cibercolegio y los 23 de la volcana con los 41 de La Suiza. El servicio para los 3 centros educativos se presta en La Suiza. </t>
  </si>
  <si>
    <t>CIBERCOLEGIO UCN</t>
  </si>
  <si>
    <t>Comparten comedor - los 30 Almuerzos de Cibercolegio y los 23 de la volcana deben ser entregados en el CE la Suiza.</t>
  </si>
  <si>
    <t>CENT EDUC LA ALDEA</t>
  </si>
  <si>
    <t>VEREDA LA ALDEA</t>
  </si>
  <si>
    <t>DIANA VICTORIA MONTOYA</t>
  </si>
  <si>
    <t>50 en la aldea - 16 en las teresitas, total 66. En Aldea se atiende con RIT por infraestructura y en Las Teresitas también porque no hay infraestructura para RPS. Tenerlo presente para inicio de 2019.</t>
  </si>
  <si>
    <t>CENT EDUC LEON ARANGO PAUCAR</t>
  </si>
  <si>
    <t>VEREDA LA SUCIA</t>
  </si>
  <si>
    <t>LUZ MARLENY MUÑOZ</t>
  </si>
  <si>
    <t>CENT EDUC LA POTRERA</t>
  </si>
  <si>
    <t>VEREDA POTRERA</t>
  </si>
  <si>
    <t>LUZ ASTRID CORREA RIVERA</t>
  </si>
  <si>
    <t>CENT EDUC LUIS MESA VILLA</t>
  </si>
  <si>
    <t>VEREDA URQUITA</t>
  </si>
  <si>
    <t>BEATRIZ ELENA MUÑOZ</t>
  </si>
  <si>
    <t>INST EDUC LOMA HERMOSA</t>
  </si>
  <si>
    <t>CRA. 123B N° 53B 05</t>
  </si>
  <si>
    <t>4271116-4385229</t>
  </si>
  <si>
    <t>MARÍA FANNY VARGAS</t>
  </si>
  <si>
    <t>GUSTAVO GONZÁLEZ</t>
  </si>
  <si>
    <t>mariogiraldo2011@gmail.com</t>
  </si>
  <si>
    <t>SEC ESC SAN VICENTE FERRER</t>
  </si>
  <si>
    <t>CL.48CC NO.120E 66</t>
  </si>
  <si>
    <t>GLORIA ISABEL SEPULVEDA</t>
  </si>
  <si>
    <t>alejavivax@hotmail.com</t>
  </si>
  <si>
    <t>INST EDUC SAN CRISTOBAL</t>
  </si>
  <si>
    <t>CRA. 131 N° 65 07</t>
  </si>
  <si>
    <t>4279181 - 4279180</t>
  </si>
  <si>
    <t>JOSÉ CHARLES VÉLEZ BETANCUR</t>
  </si>
  <si>
    <t>JUVENAL MAURICIO CORTES-CARLOS TULIO FRANCO</t>
  </si>
  <si>
    <t>tuliofranco@iesancristobal.edu.co</t>
  </si>
  <si>
    <t>CENT EDUC TRAVESIAS EL MORRO</t>
  </si>
  <si>
    <t>CRA 143 N° 68 20</t>
  </si>
  <si>
    <t>JHON ALEXANDER GARCÍA RODRIGUEZ</t>
  </si>
  <si>
    <t>MIRIAM BASTIDAS-ANDREI ECHEVERRY</t>
  </si>
  <si>
    <t>cetem@hotmail.com</t>
  </si>
  <si>
    <t>CENT EDUC FABIO ZULUAGA OROZCO</t>
  </si>
  <si>
    <t>VEREDA LA PALMA</t>
  </si>
  <si>
    <t>MARTA DIONNY TOBON</t>
  </si>
  <si>
    <t>dionnytobon@hotmail.com</t>
  </si>
  <si>
    <t>ESC POPULAR EUCARISTICA SANTA ANGELA</t>
  </si>
  <si>
    <t>VEREDA EL PICACHO</t>
  </si>
  <si>
    <t>SANTIAGO LUJÁN MUÑOZ</t>
  </si>
  <si>
    <t>ELKIN DARIO GUTIERREZ</t>
  </si>
  <si>
    <t>epesantaangela@hotmail.com</t>
  </si>
  <si>
    <t>CENT EDUC PEDREGAL ALTO</t>
  </si>
  <si>
    <t>CRA.121 N° 69 136</t>
  </si>
  <si>
    <t>MARTA IRENE LONDOÑO RESTREPO</t>
  </si>
  <si>
    <t>LINA CORREA</t>
  </si>
  <si>
    <t>escuelitacepa@hotmail.com</t>
  </si>
  <si>
    <t>CENT EDUC EL YOLOMBO</t>
  </si>
  <si>
    <t>VEREDA EL YOLOMBO</t>
  </si>
  <si>
    <t>YUDY MILENA MARIN DUQUE</t>
  </si>
  <si>
    <t>ceyolombo@hotmail.com</t>
  </si>
  <si>
    <t>CENT EDUC SAN JOSE DE LA MONTAÑA</t>
  </si>
  <si>
    <t>VEREDA SAN JOSÉ</t>
  </si>
  <si>
    <t>ANA MARÍA ROMERO</t>
  </si>
  <si>
    <t>ce.sanjosedelamontaña@yahoo.es</t>
  </si>
  <si>
    <t>CENT EDUC BOQUERON</t>
  </si>
  <si>
    <t>VEREDA BOQUERON</t>
  </si>
  <si>
    <t>YOHNN JAIRO GALLO NOREÑA</t>
  </si>
  <si>
    <t>perezsalasa@gmail.com</t>
  </si>
  <si>
    <t>CENT EDUC PEDREGAL BAJO</t>
  </si>
  <si>
    <t>CRA 115 N° 66 85</t>
  </si>
  <si>
    <t>ALEISA IVONNE PARRA</t>
  </si>
  <si>
    <t>DORA PINEDA</t>
  </si>
  <si>
    <t>annyurga@hotmail.com</t>
  </si>
  <si>
    <t>CENT EDUC LAS PLAYAS</t>
  </si>
  <si>
    <t>VEREDA LAS PLAYAS</t>
  </si>
  <si>
    <t>4272915 - 4271840</t>
  </si>
  <si>
    <t>FLOR ALBA PÉREZ CAICEDO</t>
  </si>
  <si>
    <t>CRISTINA HIGUITA RODRIGUEZ</t>
  </si>
  <si>
    <t>cristhir@yahoo.com</t>
  </si>
  <si>
    <t>CENT EDUC SAGRADO CORAZON</t>
  </si>
  <si>
    <t>VEREDA LA CUCHILLA</t>
  </si>
  <si>
    <t>4276317- 4273456</t>
  </si>
  <si>
    <t>LUIS FELIPE PALACIO CANO</t>
  </si>
  <si>
    <t>sagradocorazon936@yahoo.es</t>
  </si>
  <si>
    <t>CENT EDUC EL PATIO</t>
  </si>
  <si>
    <t>VEREDA EL PATIO</t>
  </si>
  <si>
    <t>JULIA PATRICIA GARCÍA</t>
  </si>
  <si>
    <t>jupagaba30@gmail.com</t>
  </si>
  <si>
    <t>INST EDUC CARLOS ALBERTO CALDERON</t>
  </si>
  <si>
    <t>VEREDA EL LLANO</t>
  </si>
  <si>
    <t>NOHEMI POSADA</t>
  </si>
  <si>
    <t>KELLY JOHANA CHAVERRA</t>
  </si>
  <si>
    <t>ie.carlosalbertocald@medellin.gov.co</t>
  </si>
  <si>
    <t>CENT EDUC MARIA PAULINA TABORDA</t>
  </si>
  <si>
    <t>ALTAVISTA</t>
  </si>
  <si>
    <t>VEREDA TRAVESIAS</t>
  </si>
  <si>
    <t>MARTHA LUCIA ARANGO</t>
  </si>
  <si>
    <t>LUZ DERLY BETANCUR</t>
  </si>
  <si>
    <t>canordorai@hotmail.com</t>
  </si>
  <si>
    <t>INST EDUC JOSE ACEVEDO Y GOMEZ</t>
  </si>
  <si>
    <t>SAN RAFAEL</t>
  </si>
  <si>
    <t>CLL 08 SUR NO. 52C - 20</t>
  </si>
  <si>
    <t>3612637 - 2552996 - 3612145</t>
  </si>
  <si>
    <t>JAIME ALBERTO SIERRA TORRES (R )</t>
  </si>
  <si>
    <t>YUDI ESTELLA CARDONA G.</t>
  </si>
  <si>
    <t>ie.joseacevedo@medellin.gov.co</t>
  </si>
  <si>
    <t>SEC ESC REPUBLICA DE COSTA RICA</t>
  </si>
  <si>
    <t>CRA 52 NO .7 SUR 23</t>
  </si>
  <si>
    <t>2852538 - 3529731</t>
  </si>
  <si>
    <t>LINA MARIA GOMEZ BETANCUR (C )</t>
  </si>
  <si>
    <t>linamgh@hotmail.com</t>
  </si>
  <si>
    <t>INST EDUC CRISTO REY</t>
  </si>
  <si>
    <t>CRISTO REY</t>
  </si>
  <si>
    <t>CLL 2 SUR NO. 50D 30</t>
  </si>
  <si>
    <t>2850798 - 2850778</t>
  </si>
  <si>
    <t>JUAN ANGEL ( R)</t>
  </si>
  <si>
    <t>BIBIANA OCAMPO GUERRA ( D) ANDRES ESCOBAR ( D)</t>
  </si>
  <si>
    <t>secretariacristorey09@gmail.com</t>
  </si>
  <si>
    <t>INST EDUC OCTAVIO HARRY - JACQUELINE KENNEDY</t>
  </si>
  <si>
    <t>LAS PLAYAS</t>
  </si>
  <si>
    <t>CLL 17 NO. 73-37</t>
  </si>
  <si>
    <t>343 59 34</t>
  </si>
  <si>
    <t>GLORIA GUTIERREZ (R )</t>
  </si>
  <si>
    <t>JAIME MARTINEZ ESCOBAR (C ) IMELDA PALACIOS (A.M)</t>
  </si>
  <si>
    <t>iloharry@une.net.co</t>
  </si>
  <si>
    <t>SEC JARDIN INFANTIL NO 1</t>
  </si>
  <si>
    <t>CRA 72A NO. 20 A 62</t>
  </si>
  <si>
    <t>343 -51- 81</t>
  </si>
  <si>
    <t>INST EDUC YERMO Y PARRES</t>
  </si>
  <si>
    <t>CLL 28 NO. 77-84</t>
  </si>
  <si>
    <t>GUILLERMO LÓPEZ RAMÍREZ ( R) JORGE WILLIAM VALENCIA ( C)</t>
  </si>
  <si>
    <t>YOLANDA MARTINEZ PEREZ (D) JAIR SALDARRIAGA (D)</t>
  </si>
  <si>
    <t>ie.yermoyparres@medellin.gov.co</t>
  </si>
  <si>
    <t>INST EDUC ROSALIA SUAREZ</t>
  </si>
  <si>
    <t>CRA. 77 NO. 30 A 53</t>
  </si>
  <si>
    <t>2387380 -</t>
  </si>
  <si>
    <t>RAUL ALBERTO ARIAS DUQUE(R )</t>
  </si>
  <si>
    <t>FLOR ALBA ROBAYO OCHOA ©</t>
  </si>
  <si>
    <t>coordinacionelcorazon@gmail.com</t>
  </si>
  <si>
    <t>INST EDUC FATIMA NUTIBARA</t>
  </si>
  <si>
    <t>FATIMA</t>
  </si>
  <si>
    <t>CRA 65 A NO. 32B-120</t>
  </si>
  <si>
    <t>2655463 2650823
3513394 ©</t>
  </si>
  <si>
    <t>AURELIANA LONDOÑO BUSTAMANTE ( C)</t>
  </si>
  <si>
    <t>GENNY MARIA PEREAÑEZ (D)</t>
  </si>
  <si>
    <t>ie.fatimanutibara@medellin.gov.co
aurelondo@yahoo.es</t>
  </si>
  <si>
    <t>INST EDUC JUAN MARIA CESPEDES</t>
  </si>
  <si>
    <t>B. MIRAVALLE</t>
  </si>
  <si>
    <t>CALLE 32B NO. 76 A 48</t>
  </si>
  <si>
    <t>2569086- 3414468(R)</t>
  </si>
  <si>
    <t>LUBIN HERNANDEZ OTALVARO ( R)</t>
  </si>
  <si>
    <t>CARMEN ESTRELLA MURILLO</t>
  </si>
  <si>
    <t>cemurillo.cespedes@gmail.com</t>
  </si>
  <si>
    <t>INST EDUC DEBORA ARANGO PEREZ</t>
  </si>
  <si>
    <t>CLLE 18 Nº 105 - 20</t>
  </si>
  <si>
    <t>3411386 3433654 ( R) - 3163673824 ©</t>
  </si>
  <si>
    <t>CARLOS E. ROJAS ( R)</t>
  </si>
  <si>
    <t>JORGE ALONSO TUBERQUIA</t>
  </si>
  <si>
    <t>iedeboraarango@gamil.com - coordinadordeboriano@gmail.com</t>
  </si>
  <si>
    <t>INST EDUC HORACIO MUÑOZ SUESCUN</t>
  </si>
  <si>
    <t>BELEN LAS MERCEDEZ</t>
  </si>
  <si>
    <t>CLL.32 NO. 86 35</t>
  </si>
  <si>
    <t>2381265- 3182385196 ©</t>
  </si>
  <si>
    <t>GILDARDO RESTREPO ®</t>
  </si>
  <si>
    <t>MARILUZ MORENO</t>
  </si>
  <si>
    <t>homusu@hotmail.com - morenochmary@hotmail.com</t>
  </si>
  <si>
    <t>SEC ESC SAN PABLO</t>
  </si>
  <si>
    <t>V AGUAS FRIAS</t>
  </si>
  <si>
    <t>CRA. 102 NO 31B 29</t>
  </si>
  <si>
    <t>2564182- 3052943218 ©</t>
  </si>
  <si>
    <t>JORGE RESTREPO (C )</t>
  </si>
  <si>
    <t>ROSMIRA CASTAÑO</t>
  </si>
  <si>
    <t>rosmiracastaño@gmail.com- jorgerpo@une.net.co</t>
  </si>
  <si>
    <t>INST EDUC MARINA ORTH</t>
  </si>
  <si>
    <t>C. ALTAVISTA</t>
  </si>
  <si>
    <t>3412359 - 3002071189 (R)</t>
  </si>
  <si>
    <t>ORLANDO MOSQUERA GALVIS (R)</t>
  </si>
  <si>
    <t>LINA MARIA JIMENEZ</t>
  </si>
  <si>
    <t>ie.marinaorth@medellin.gov.co -linajimenez30@hotmail.com</t>
  </si>
  <si>
    <t>SEC ESC AGUAS FRÍAS</t>
  </si>
  <si>
    <t>V. SANTA CLARA</t>
  </si>
  <si>
    <t>3454862- 3155823233 ©</t>
  </si>
  <si>
    <t>MARIA MELFI ARROYAVE</t>
  </si>
  <si>
    <t>ie.marinaorth@medellin.gov.co melfi02@gmail.com</t>
  </si>
  <si>
    <t>CENT EDUC EL MANZANILLO</t>
  </si>
  <si>
    <t>V.MANZANILLO</t>
  </si>
  <si>
    <t>C.ALTAVISTA</t>
  </si>
  <si>
    <t>3410940 - 3013709186 (C)</t>
  </si>
  <si>
    <t>MARTA LUCIA ARANGO (D )</t>
  </si>
  <si>
    <t>LILIANA MARIA RAQUEJO</t>
  </si>
  <si>
    <t>centroeducativomanzanillo@yahoo.es; liliraquejo@hotmail.com</t>
  </si>
  <si>
    <t>INST EDUC ALTAVISTA</t>
  </si>
  <si>
    <t>SEC.LA PERLA</t>
  </si>
  <si>
    <t>2568552 - 3146741357 Rector</t>
  </si>
  <si>
    <t>ZOCIMO RAMOS RIVAS ®</t>
  </si>
  <si>
    <t>CLAUDIA ELENA TAPIAS GOMEZ</t>
  </si>
  <si>
    <t>cltapias@iealtavistamedellin.edu.co xocimor61@yahoo.es</t>
  </si>
  <si>
    <t>CENT EDUC CARLOS MESA SANCHEZ</t>
  </si>
  <si>
    <t>VEREDA BUGA</t>
  </si>
  <si>
    <t>3433980- 3004997888 ©</t>
  </si>
  <si>
    <t>MARGARITA GOMEZ SALAZAR</t>
  </si>
  <si>
    <t>marguis713@yahoo.es marthaluarpa@gmail.com</t>
  </si>
  <si>
    <t>CENT EDUC YARUMALITO</t>
  </si>
  <si>
    <t>V.YARUMALITO</t>
  </si>
  <si>
    <t>CTO.SAN ANTONIO DE PRADO</t>
  </si>
  <si>
    <t>HENRY DÍAZ (DIR)</t>
  </si>
  <si>
    <t>PAULA ARBOLEDA (D)</t>
  </si>
  <si>
    <t>cesalado7@gmail.com</t>
  </si>
  <si>
    <t>CENT EDUC MONTAÑITA</t>
  </si>
  <si>
    <t>QUEB. LARGA</t>
  </si>
  <si>
    <t>PAULA ANDREA MUNERA QUINTERO</t>
  </si>
  <si>
    <t>pmunera612@hotmail.com</t>
  </si>
  <si>
    <t>SEC ESC CARLOS BETANCUR BETANCUR</t>
  </si>
  <si>
    <t>C. S. ANTONIO</t>
  </si>
  <si>
    <t>CRA 77 41 SUR 02</t>
  </si>
  <si>
    <t>JUAN CARLOS ALMIROLA (C )</t>
  </si>
  <si>
    <t>ADRIANA MEJÍA (D )</t>
  </si>
  <si>
    <t>juago98@hotmail.com</t>
  </si>
  <si>
    <t>CENT EDUC QUEBRADA LARGA</t>
  </si>
  <si>
    <t>V.POTRERITO</t>
  </si>
  <si>
    <t>CGTO. SAN ANTONIO</t>
  </si>
  <si>
    <t>NIDIA DÍAZ (D)</t>
  </si>
  <si>
    <t>INST EDUC ANGELA RESTREPO MORENO</t>
  </si>
  <si>
    <t>V.PRADERA</t>
  </si>
  <si>
    <t>CRA 55 48 C SUR 90</t>
  </si>
  <si>
    <t>3740170 (R )</t>
  </si>
  <si>
    <t>MARTHA ELENA BETANCUR (R )</t>
  </si>
  <si>
    <t>YAMILED GAVIRIA ( C) ROCIO ARISTIZABAL HERRERA (P.M.)</t>
  </si>
  <si>
    <t>ieangelarestrepo@gmail.com</t>
  </si>
  <si>
    <t>SEC ESC LUIS GUILLERMO ECHEVERRY ABAD</t>
  </si>
  <si>
    <t>C. S ANTONIO</t>
  </si>
  <si>
    <t>CRA 54 57 SUR 21</t>
  </si>
  <si>
    <t>3384376 - 3732489</t>
  </si>
  <si>
    <t>GLORIA YANETH GOMEZ BENJUMEA (C )</t>
  </si>
  <si>
    <t>gloriagomezben@hotmail.com</t>
  </si>
  <si>
    <t>INST EDUC MONSEÑOR VICTOR WIEDEMANN</t>
  </si>
  <si>
    <t>PRADITO</t>
  </si>
  <si>
    <t>DIAG. 60 C 41 A SUR 30</t>
  </si>
  <si>
    <t>ALBA NERY ECHEVERRY ( R ) JULIÁN GÓMEZ (C)</t>
  </si>
  <si>
    <t>HERNANDO MEJÍA TORO ( D )</t>
  </si>
  <si>
    <t>ie.victorwiedemann@medellin.gov.co;
julian.gomez@udea.edu.co</t>
  </si>
  <si>
    <t>INST EDUC SAN JOSE OBRERO</t>
  </si>
  <si>
    <t>FLORIDA</t>
  </si>
  <si>
    <t>CRA 85 48 A SUR 51</t>
  </si>
  <si>
    <t>2865867(58) - 2860164</t>
  </si>
  <si>
    <t>JULIO CESAR VELASQUEZ BOTERO (R )</t>
  </si>
  <si>
    <t>ANA MARÍA GALLEGO (D)</t>
  </si>
  <si>
    <t>ie.sanjoseobrero@medellin.gov.co</t>
  </si>
  <si>
    <t>SEC ESC SAN JOSE</t>
  </si>
  <si>
    <t>V.SAN JOSE</t>
  </si>
  <si>
    <t>CALLE 64 SUR 67 A 18</t>
  </si>
  <si>
    <t>279 43 21 2797888</t>
  </si>
  <si>
    <t>JULIO CESAR VELASQUEZ (R )
MARTÍN A. GONZÁLEZ ( C )</t>
  </si>
  <si>
    <t>ALBA ROCIO VELASQUEZ (D)</t>
  </si>
  <si>
    <t>INST EDUC EL LIMONAR</t>
  </si>
  <si>
    <t>LIMONAR NO. 1</t>
  </si>
  <si>
    <t>CALLE 57 SUR 65 63</t>
  </si>
  <si>
    <t>JAIME SANCHEZ ( R)
DIANA MARÍA RAMÍREZ ( C )</t>
  </si>
  <si>
    <t>MERCEDEZ TABORDA RODAS (A.M)</t>
  </si>
  <si>
    <t>ie.limonar@medellin.gov.co; 
rectorialimonar@gmail.com</t>
  </si>
  <si>
    <t>SEC ESC VENTANITAS</t>
  </si>
  <si>
    <t>LIMONAR NO 2</t>
  </si>
  <si>
    <t>CRA 63 52 SUR 46</t>
  </si>
  <si>
    <t>286 77 59</t>
  </si>
  <si>
    <t>EDGAR ROMÁN ( R ) LIA CORDOBA ( C)</t>
  </si>
  <si>
    <t>LIA CORDOBA (C )</t>
  </si>
  <si>
    <t>lia.cordoba@gmail.com</t>
  </si>
  <si>
    <t>CENT EDUC EL SALADO</t>
  </si>
  <si>
    <t>V. EL SALADO</t>
  </si>
  <si>
    <t>MARÍA VICTORIA LOAIZA ( D )</t>
  </si>
  <si>
    <t>ce.salado@medellin.gov.co</t>
  </si>
  <si>
    <t>CENT EDUC POTRERITO</t>
  </si>
  <si>
    <t>V. MONTAÑITA</t>
  </si>
  <si>
    <t>286 01 68</t>
  </si>
  <si>
    <t>MARIA NAZARETH SERNA ( D)</t>
  </si>
  <si>
    <t>INST EDUC PRADITO</t>
  </si>
  <si>
    <t>CALLE 38 A SUR 66 A 137</t>
  </si>
  <si>
    <t>RUBIELA MEJIA SOTO (R )</t>
  </si>
  <si>
    <t>CRISTIAN BETANCUR ( C)</t>
  </si>
  <si>
    <t>praditosede2013@hotmail.com</t>
  </si>
  <si>
    <t>INST EDUC MANUEL J. BETANCUR - COMEDOR 1</t>
  </si>
  <si>
    <t>INST EDUC MANUEL J. BETANCUR</t>
  </si>
  <si>
    <t>CRA 81 43 SUR 38</t>
  </si>
  <si>
    <t>2861980 - 2860078</t>
  </si>
  <si>
    <t>RAFAEL FRANCO VALENCIA (R )</t>
  </si>
  <si>
    <t>GLORIA INES VALENCIA ( D) LUZMILA QUINTERO LOPEZ (P.M)</t>
  </si>
  <si>
    <t>coordinacionacademicamjb@hotmail.es</t>
  </si>
  <si>
    <t>SEC ESC GUSTAVO RODAS ISAZA</t>
  </si>
  <si>
    <t>CALLE 48 SUR 66 B 22</t>
  </si>
  <si>
    <t>286 23 42</t>
  </si>
  <si>
    <t>MANUEL VACCA ( C)
BEATRIZ ZAPATA VASQUEZ (D )</t>
  </si>
  <si>
    <t>edugrodas@gmail.com
nacho.vaca45@hotmail.com
labiata3@hotmail.com</t>
  </si>
  <si>
    <t>CENT EDUC EL ASTILLERO</t>
  </si>
  <si>
    <t>V. ASTILLERO</t>
  </si>
  <si>
    <t>ISABEL CRISTINA CASTRILLÓN SANCHEZ</t>
  </si>
  <si>
    <t>ie.sacris@hotmail.com</t>
  </si>
  <si>
    <t>COL COOP SAN ANTONIO DE PRADO (AC) - COMEDOR 2</t>
  </si>
  <si>
    <t>COL COOP SAN ANTONIO DE PRADO (AC)</t>
  </si>
  <si>
    <t>CALLE 110 43A 51</t>
  </si>
  <si>
    <t>4444262 ext 506- 2584244- 3164132076</t>
  </si>
  <si>
    <t>CESAR AUGUSTO GOMEZ</t>
  </si>
  <si>
    <t>LAURA CASTRILLON</t>
  </si>
  <si>
    <t>gabrielacardona@coomulsap.com, escuelasannicolas@gmail.com</t>
  </si>
  <si>
    <t>SEC ESC SANTO DOMINGO SAVIO</t>
  </si>
  <si>
    <t>CARRERA 28 107 - 473</t>
  </si>
  <si>
    <t>UBER CALLE
GILBERTO OSPINA</t>
  </si>
  <si>
    <t>INST EDUC SAN PABLO</t>
  </si>
  <si>
    <t>CALLE 98B 37 38</t>
  </si>
  <si>
    <t>5213098 ext 107 - 5213099</t>
  </si>
  <si>
    <t>OMAR CUESTA PALACIO</t>
  </si>
  <si>
    <t>MARIA NOHELIA GARCIA</t>
  </si>
  <si>
    <t>iesanpablo811@gmail.com</t>
  </si>
  <si>
    <t>SEC ESC MARCO FIDEL SUAREZ</t>
  </si>
  <si>
    <t>CALLE 99B 37 18</t>
  </si>
  <si>
    <t>JORGE LUIS SALDA</t>
  </si>
  <si>
    <t>DIEGO LOPEZ</t>
  </si>
  <si>
    <t>iemarcofidelsuarez1@medellin.gov.co/costi44@hotmail.com; dalc98@hotmail.com</t>
  </si>
  <si>
    <t>SEC ESC AGRIPINA MONTES DEL VALLE</t>
  </si>
  <si>
    <t>CALLE 95A 42B 44</t>
  </si>
  <si>
    <t>CAROLINA SERNA HENAO</t>
  </si>
  <si>
    <t>ie.agripinamontesdelvalle@medellin.gov.co/orieltb@hotmail.com; ieguadalupe@gmail.com</t>
  </si>
  <si>
    <t>ESC POPULAR EUCARISTICA JULIO C. HERNANDEZ</t>
  </si>
  <si>
    <t>CALLE 108 43 16</t>
  </si>
  <si>
    <t>NORA GONZALEZ GIRALDO</t>
  </si>
  <si>
    <t>NORA GONZALEZ</t>
  </si>
  <si>
    <t>e.p.e.julioc.hernandez@hotmail.com</t>
  </si>
  <si>
    <t>INSTITUCIÓN EDUCATIVA PEQUEÑA MARIA</t>
  </si>
  <si>
    <t>CALLE 97A 24F 66</t>
  </si>
  <si>
    <t>5290103- 5281994- 5292233</t>
  </si>
  <si>
    <t>HECTOR SOTO VASQUEZ</t>
  </si>
  <si>
    <t>MABEL COLORADO</t>
  </si>
  <si>
    <t>zabala38@msn.com; mabelcolorado73@gmail.com</t>
  </si>
  <si>
    <t>INST EDUC EL PLAYON</t>
  </si>
  <si>
    <t>EL PLAYON DE LOS COMUNEROS</t>
  </si>
  <si>
    <t>CALLE 125 51D 12</t>
  </si>
  <si>
    <t>4620705- 3122501439(rector)</t>
  </si>
  <si>
    <t>MIGUEL VALOIS ASPRILLA</t>
  </si>
  <si>
    <t>VENSY ROCIO PALACIO</t>
  </si>
  <si>
    <t>ie.elplayon@medellin.gov.co</t>
  </si>
  <si>
    <t xml:space="preserve"> Comparten comedor - Los 240 AM/PM y 130 VL de la SE Asia Ignaciana se deben entregar en la I.E Asia Ignaciana.
ITEM 3: Comparten comedor - Los 60 RI de SP el Playon y los 130 de la SE Asia Ignaciana se deben entregar en la I.E Asia Ignaciana</t>
  </si>
  <si>
    <t>SEC PREESC EL PLAYON</t>
  </si>
  <si>
    <t>INST EDUC VILLA DEL SOCORRO</t>
  </si>
  <si>
    <t>CALLE 104C 48 50</t>
  </si>
  <si>
    <t>DIANA PATRICIA CORDOBA-AM,</t>
  </si>
  <si>
    <t>ie.villadelsocorro@medellin.gov.co; diamajo2@hotmail.com;</t>
  </si>
  <si>
    <t>SEC ESC ARZOBISPO GARCIA</t>
  </si>
  <si>
    <t>CARRERA 49 98 48</t>
  </si>
  <si>
    <t>GERMAN RINCON</t>
  </si>
  <si>
    <t>ie.arzobispogarcia@medellin.gov.co; 
alicelenis@hotmail.com</t>
  </si>
  <si>
    <t>INST EDUC LA ASUNCION</t>
  </si>
  <si>
    <t>CARRERA 47 99 77</t>
  </si>
  <si>
    <t>HILDUARA VELASQUEZ ECHAVARRIA</t>
  </si>
  <si>
    <t>BEATRIZ HERNANDEZ</t>
  </si>
  <si>
    <t>iedu.laasuncion@gmail.com; ie.laasuncion2014@gmail.com</t>
  </si>
  <si>
    <t>INST EDUC JOSE MARIA VELAZ</t>
  </si>
  <si>
    <t>CALLE 121 48 67</t>
  </si>
  <si>
    <t>4644146- 4640912-4627507</t>
  </si>
  <si>
    <t>ELVER ARIAS BARRAGAN</t>
  </si>
  <si>
    <t>ANA MARCELA ARANGO-AM; JUAN G. TAPIAS-PM</t>
  </si>
  <si>
    <t>josemariavelaz915@gmail.com; juantc81@hotmail.com</t>
  </si>
  <si>
    <t>SEC ESC JUAN BAUTISTA MONTINI</t>
  </si>
  <si>
    <t>PABLO VI</t>
  </si>
  <si>
    <t>CARRERA 50A 114 10</t>
  </si>
  <si>
    <t>ANTONY JURADO</t>
  </si>
  <si>
    <t>mgalvarezt@gmail.com; coordinacionsedemontini@iefincalamesa.edu.co</t>
  </si>
  <si>
    <t>INST EDUC BELLO ORIENTE</t>
  </si>
  <si>
    <t>CARRERA 23B 84B 27</t>
  </si>
  <si>
    <t>WEIMAR ALBERTO SANCHEZ</t>
  </si>
  <si>
    <t>ELENA ESCUDERO-AM; GLORIA SALAZAR-PM</t>
  </si>
  <si>
    <t>ie.reinodebelgica@gmail.com</t>
  </si>
  <si>
    <t>CENT EDUC NUEVO AMANECER</t>
  </si>
  <si>
    <t>CARRERA 22D 87 48</t>
  </si>
  <si>
    <t>5286366 5290860</t>
  </si>
  <si>
    <t>GUSTAVO ADOLFO BELTRAN</t>
  </si>
  <si>
    <t>LUISA F. PAMPLONA-PM; DIANA ECHAVARRIA-AM</t>
  </si>
  <si>
    <t>calmecac2712@yahoo.es,nuevoamanecer1711@hotamil.com; Dimarce2125@hotmail.com</t>
  </si>
  <si>
    <t>CALLE 71 33 18</t>
  </si>
  <si>
    <t>CESAR CORRALES</t>
  </si>
  <si>
    <t>ALBERTO GALLEGO</t>
  </si>
  <si>
    <t>ie.sanjose@medellin.gov.co; manuelabeltran.ie@gmail.com</t>
  </si>
  <si>
    <t>INST EDUC PEDRO LUIS VILLA</t>
  </si>
  <si>
    <t>MANRIQUE CENTRAL Nº 2</t>
  </si>
  <si>
    <t>CARRERA 43 66C 40</t>
  </si>
  <si>
    <t>2116350-2337963</t>
  </si>
  <si>
    <t>GUSTAVO PATIÑO</t>
  </si>
  <si>
    <t>JUAN DE JESUS HIGUITA - PEDRO ANTONIO GOMEZ CESAR AUGUSTO OSORNO</t>
  </si>
  <si>
    <t>ie.pedroluisvilla@medellin.gov.co; gustavonata@gmail.com; cosorno@gmail.com; juanhigui@latinmail.com; pagomes02@yahoo.com; plv2011@hotmail.com</t>
  </si>
  <si>
    <t>CALLE 70A 43 74</t>
  </si>
  <si>
    <t>ANDREA HERRERA</t>
  </si>
  <si>
    <t>bendary.molina@hotmail.com; dollydelsocorro@yahoo.com.ar; horoscopo29@gmail.com; tlvcoordinacion@gmail.com</t>
  </si>
  <si>
    <t>SEC ESC BALDOMERO SANIN CANO</t>
  </si>
  <si>
    <t>CARRERA 37 75A 02</t>
  </si>
  <si>
    <t>2338492- 3206965291(COORDINADOR)</t>
  </si>
  <si>
    <t>NESTOR RENE OTALORA GARZON- GILDARDO LÒPEZ( COORDINADOR)</t>
  </si>
  <si>
    <t>LUZ MARINA CARDONA</t>
  </si>
  <si>
    <t>jaimehumbertofc@yahoo.es; daluqui@yahoo.es</t>
  </si>
  <si>
    <t>SEC ESC JOSE MANUEL MORA VASQUEZ</t>
  </si>
  <si>
    <t>CARRERA 42A 75 09</t>
  </si>
  <si>
    <t>2334402- 2331414 -3116381009(COORDINADORA)-3113325600 (DOCENTE)</t>
  </si>
  <si>
    <t>NESTOR RENE OTALORA GARZON- CLARA EUGENIA MOORE ( COORDINADORA)</t>
  </si>
  <si>
    <t>LIZ MADELEYNE RODRIGUEZ- GILDARDO LOPEZ</t>
  </si>
  <si>
    <t>joserobertovasquez@hotmail.com,ceumoore18@hotmail.com, dosica_29@hotmail.com, Imaderodriguez@hotmail.com; gildardolopez30@hotmail.com</t>
  </si>
  <si>
    <t>INST EDUC ALVARO MARIN VELASCO</t>
  </si>
  <si>
    <t>CARRERA 42A 76 28</t>
  </si>
  <si>
    <t>ALEJANDRO JARAMILLO YEPES (RECTOR)- VIVIANA OSSA ( coordinadora)</t>
  </si>
  <si>
    <t>RENATA VELEZ SALDARRIAGA</t>
  </si>
  <si>
    <t>ie.alvaromarin@medellin.gov.co; 
bibianaossa@hotmail.com; 
amarin2007@gmail.com</t>
  </si>
  <si>
    <t>SEC ESC VICTOR GOMEZ RESTREPO</t>
  </si>
  <si>
    <t>CAMPO VALDES Nº 2</t>
  </si>
  <si>
    <t>CALLE 79 44 57</t>
  </si>
  <si>
    <t>CARLOTA ACEVEDO</t>
  </si>
  <si>
    <t>ie.nuestraseñoradelasnieves@medellin.gov.co; ceacevedom@hotmail.com</t>
  </si>
  <si>
    <t>Comparten comedor -Los 100 RI de SE nuestra señora de las Nieves se debe entregar en SE Victor Gomez</t>
  </si>
  <si>
    <t>SEC ESC NUESTRA SEÑORA DE LAS NIEVES</t>
  </si>
  <si>
    <t>ceacevedom@hotmail.com</t>
  </si>
  <si>
    <t>INST EDUC  MONTECARLO GUILLERMO GAVIRIA CORREA - COMEDOR 2</t>
  </si>
  <si>
    <t>INST EDUC MONTECARLO GUILLERMO GAVIRIA CORREA - BLOQUE BARBADOS</t>
  </si>
  <si>
    <t>2639104-5160486</t>
  </si>
  <si>
    <t>ie.montecarlo-guillermogaviria@medellin.gov.co</t>
  </si>
  <si>
    <t>INST EDUC RODRIGO LARA BONILLA - COMEDOR 2</t>
  </si>
  <si>
    <t>INST EDUC RODRIGO LARA BONILLA - SEC ESC SUSANITA DIAZ</t>
  </si>
  <si>
    <t>CARRERA 41B 66E 50</t>
  </si>
  <si>
    <t>211 82 84</t>
  </si>
  <si>
    <t>ERIKA FRANCO CANO</t>
  </si>
  <si>
    <t>ie.rodrigolarabonill@medellin.gov.co; erika2486@hotmail.com; comitecalidad@hotmail.com</t>
  </si>
  <si>
    <t>CENT PEDAG LA MAGIA DE APRENDER</t>
  </si>
  <si>
    <t>CALLE 69 33 12</t>
  </si>
  <si>
    <t>2911974-2547607</t>
  </si>
  <si>
    <t>MARIA TERESA PELAEZ</t>
  </si>
  <si>
    <t>JENNIFER GÒMEZ OLIVEROS</t>
  </si>
  <si>
    <t>gestiongeneralccf@gmail.com</t>
  </si>
  <si>
    <t>INST EDUC JOSE MARIA BRAVO MARQUEZ</t>
  </si>
  <si>
    <t>CALLE 70 47A 04</t>
  </si>
  <si>
    <t>2114410 2635951 2331575</t>
  </si>
  <si>
    <t>BLANCA DORA GALEANO UPEGUI</t>
  </si>
  <si>
    <t>SANTIAGO CORREA</t>
  </si>
  <si>
    <t>ie.josemariabravomar@medellin.gov.co; santiagocorreacorrea@hotmail.com</t>
  </si>
  <si>
    <t>SEC ESC PORFIRIO BARBA JACOB</t>
  </si>
  <si>
    <t>CARRERA 47 74 32</t>
  </si>
  <si>
    <t>2118236 2636085</t>
  </si>
  <si>
    <t>HECTOR J. BUILES</t>
  </si>
  <si>
    <t>seporfirio@gmail.com; javierbuiles.bravomar@gmail.com</t>
  </si>
  <si>
    <t>INST EDUC SAN JUAN BOSCO</t>
  </si>
  <si>
    <t>CALLE 82 50C 10</t>
  </si>
  <si>
    <t>2120355 2122419</t>
  </si>
  <si>
    <t>DIEGO GARCIA</t>
  </si>
  <si>
    <t>HERMANA FILOMENA ZULUAGA
FRANCISCO PALACIOS</t>
  </si>
  <si>
    <t>filomenazuluaga75@yahoo.es diegorec2009@hotmail.com franciscopalcuar@hotmail.com
franciscopalcuar@hotmail.com</t>
  </si>
  <si>
    <t>INST EDUC ALVERNIA</t>
  </si>
  <si>
    <t>BRASILIA</t>
  </si>
  <si>
    <t>CALLE 82C 50C 120</t>
  </si>
  <si>
    <t>2333540-2334296</t>
  </si>
  <si>
    <t>ALEXANDRA LATORRE AHUMADA</t>
  </si>
  <si>
    <t>DORLAN ALEXANDER MUÑOZ</t>
  </si>
  <si>
    <t>ie.alvernia@medellin.gov.co; dorlantax@gmail.com; ie.alvernia@medellin.gov.co; secretariaalvernia@gmail.com</t>
  </si>
  <si>
    <t>INST EDUC EL BOSQUE</t>
  </si>
  <si>
    <t>MORAVIA</t>
  </si>
  <si>
    <t>CARRERA 58 85B 081</t>
  </si>
  <si>
    <t>5160365-8853156</t>
  </si>
  <si>
    <t>CARLOS HORACIO BETANCUR ALVAREZ</t>
  </si>
  <si>
    <t>JUAN C. CASTAÑO</t>
  </si>
  <si>
    <t>ieelbosque@gmail.com; carloshoraciob@yahoo.es</t>
  </si>
  <si>
    <t>SEC ESC TOMAS CARRASQUILLA NO 1</t>
  </si>
  <si>
    <t>5717731 EXT 124</t>
  </si>
  <si>
    <t>blancacisazaj@gmail.com</t>
  </si>
  <si>
    <t>SEC ESC SEGUROS BOLIVAR</t>
  </si>
  <si>
    <t>BERMEJAL - LOS ALAMOS</t>
  </si>
  <si>
    <t>CARRERA 52 86 21</t>
  </si>
  <si>
    <t>MARIA GALVIS</t>
  </si>
  <si>
    <t>mariagalvis150@hotmail.com</t>
  </si>
  <si>
    <t>INST EDUC LORENZA VILLEGAS DE SANTOS</t>
  </si>
  <si>
    <t>CARRERA 51 87 40</t>
  </si>
  <si>
    <t>2117446 -2634408- 2114779</t>
  </si>
  <si>
    <t>CLAUDIA QUINTERO-AM; DORALBA ARISTIZABAL-PM</t>
  </si>
  <si>
    <t>ie.lorenzavillegas@medellin.gov.co ; juang.villa@medellin.gov.co; familiaquinterolondoo@yahoo.es; joaros@hotmail.com</t>
  </si>
  <si>
    <t>SEC ESC ANA FRANK</t>
  </si>
  <si>
    <t>CARRERA 50AA 88 13</t>
  </si>
  <si>
    <t>LUIS ALFONSO QUINTERO CORREA</t>
  </si>
  <si>
    <t>luisqco@yahoo.com; info.iecristobaltoro@gmail.com</t>
  </si>
  <si>
    <t>SEC ESC EPIFANIO MEJIA</t>
  </si>
  <si>
    <t>CALLE 90 50A 09</t>
  </si>
  <si>
    <t>ALBA FORONDA</t>
  </si>
  <si>
    <t>albam-foronda@hotmail.com</t>
  </si>
  <si>
    <t>INST EDUC FE Y ALEGRIA LUIS AMIGO</t>
  </si>
  <si>
    <t>CARRERA 58 84 40</t>
  </si>
  <si>
    <t>MARGARITA MARIA SANCHEZ</t>
  </si>
  <si>
    <t>SUSANA ARROYAVE</t>
  </si>
  <si>
    <t>ie.feyalegrialuisami@medellin.gov.co; susan3024@hotmail.com; margarita.sanchez@medellin.gov.co</t>
  </si>
  <si>
    <t>COL GENTE UNIDA JOVENES POR LA PAZ - MORAVIA</t>
  </si>
  <si>
    <t>CARRERA 58 85B 25</t>
  </si>
  <si>
    <t>6046777-4447405</t>
  </si>
  <si>
    <t>DORALBA BENITEZ ARIAS</t>
  </si>
  <si>
    <t>CLAUDIA TAMAYO</t>
  </si>
  <si>
    <t>moravia@genteunida.org.co; academicomoravia@genteunida.org.co; administracionmoravia@genteunida.org.co</t>
  </si>
  <si>
    <t>COL NUESTRA SENORA DE LOURDES</t>
  </si>
  <si>
    <t>CALLE 82 50BB 30</t>
  </si>
  <si>
    <t>HNA LIBIA MARGARITA CADAVID</t>
  </si>
  <si>
    <t>DIANA P. FLOREZ</t>
  </si>
  <si>
    <t>paty0210@yahoo.es; margy7027@yahoo.es</t>
  </si>
  <si>
    <t>SEC ESC LA UNION</t>
  </si>
  <si>
    <t>CARRERA 67 93 75</t>
  </si>
  <si>
    <t>RUBÉN DARÍO BUILES</t>
  </si>
  <si>
    <t>YURANI RIOS.</t>
  </si>
  <si>
    <t>rubencho442@hotmail.com</t>
  </si>
  <si>
    <t>INST EDUC COLEGIO LOYOLA PARA LA CIENCIA Y LA INNOVACIÓN</t>
  </si>
  <si>
    <t>CARRERA 64AA 113A 04</t>
  </si>
  <si>
    <t>CESAR CEBALLOS</t>
  </si>
  <si>
    <t>ROSALBA QUINTERO</t>
  </si>
  <si>
    <t>rectorialoyola@gmail.com</t>
  </si>
  <si>
    <t>SEC ESC CARDENAL CRISANTO LUQUE</t>
  </si>
  <si>
    <t>CARRERA 71C 89A 71</t>
  </si>
  <si>
    <t>2574197  2573944  2579575</t>
  </si>
  <si>
    <t>INST EDUC FELIX DE BEDOUT MORENO</t>
  </si>
  <si>
    <t>CALLE 108 70 39</t>
  </si>
  <si>
    <t>4631980  4633090</t>
  </si>
  <si>
    <t>RENE DE JESUS ANDRADE (COORD9 PM. CECILIA VILLEGAS.</t>
  </si>
  <si>
    <t>JAZMIN CALLEJAS ( D) PM  -  MAGNOLIA RESTREPO AM</t>
  </si>
  <si>
    <t>malu.ospina@gmail.com - febemo@gmail.com</t>
  </si>
  <si>
    <t>INST EDUC SEBASTIAN DE BELALCAZAR</t>
  </si>
  <si>
    <t>BELALCAZAR</t>
  </si>
  <si>
    <t>CALLE 103EE 63D 185</t>
  </si>
  <si>
    <t>2672090 - 2674506</t>
  </si>
  <si>
    <t>JOSÉ CICERÓN PEREA (RECTOR)</t>
  </si>
  <si>
    <t>NORA GALLEGO PM - DOLLY SERNA AM</t>
  </si>
  <si>
    <t>gloriaeugenia06@hotmail.com; joseperea@medellin.gov.co - IE.SEBASTIANDEBELAC@GMAIL.COM</t>
  </si>
  <si>
    <t>INST EDUC PEDRO CLAVER AGUIRRE</t>
  </si>
  <si>
    <t>CARRERA 67 95 118</t>
  </si>
  <si>
    <t>SIMÓN ENRIQUE IBARG"UEN PALACIO 311 711 8195</t>
  </si>
  <si>
    <t>SOR YANET SALAZAR. IBSEN COSSIO P.</t>
  </si>
  <si>
    <t>ibsencossio@gmail.com - pedroclaveraguirre@yahoo.es</t>
  </si>
  <si>
    <t>INST EDUC REPUBLICA DE URUGUAY</t>
  </si>
  <si>
    <t>CALLE 91A 70A 123</t>
  </si>
  <si>
    <t>2574945  4427746</t>
  </si>
  <si>
    <t>OSCAR EMILIO MURILLO (RECTOR)</t>
  </si>
  <si>
    <t>NIDIA MARÍN - ELVA AUXILIO VELEZ</t>
  </si>
  <si>
    <t>iuruguay@hotmail.com</t>
  </si>
  <si>
    <t>INST EDUC JOSE ASUNCION SILVA</t>
  </si>
  <si>
    <t>CALLE 118 64CC 68</t>
  </si>
  <si>
    <t>JAIME SUAREZ ESCOBAR. (RECTOR)</t>
  </si>
  <si>
    <t>LEIDA MONSALVE (COORD)</t>
  </si>
  <si>
    <t>ie.joseasuncionsilva@medellin.gov.co</t>
  </si>
  <si>
    <t>INST EDUC MANUEL JOSE GOMEZ SERNA</t>
  </si>
  <si>
    <t>CARRERA 71 97 101</t>
  </si>
  <si>
    <t>2671962  4715574</t>
  </si>
  <si>
    <t>ALDEMAR TAPIAS</t>
  </si>
  <si>
    <t>HELMER FRANCO</t>
  </si>
  <si>
    <t>manueljosegomez@hotmail.es</t>
  </si>
  <si>
    <t>INST EDUC SOR JUANA INES DE LA CRUZ</t>
  </si>
  <si>
    <t>GIRARDOT</t>
  </si>
  <si>
    <t>CARRERA 67 103EE 1</t>
  </si>
  <si>
    <t>2678688  2675005</t>
  </si>
  <si>
    <t>IVÁN DARIO ESCOBAR GONZALEZ - FRANKLIN GONZALES LLOREDA ( C)</t>
  </si>
  <si>
    <t>iesorjuanadelacruz@medellin.gov.co</t>
  </si>
  <si>
    <t>SEC ESC SOR JUANA</t>
  </si>
  <si>
    <t>CENT EDUC JESUS AMIGO</t>
  </si>
  <si>
    <t>CALLE 99 82 08</t>
  </si>
  <si>
    <t>DORA NELLY CANO DE GIRALDO</t>
  </si>
  <si>
    <t>ANDRES COSSIO ( C)</t>
  </si>
  <si>
    <t>i.ejesusamigo@gmail.com; isabelcristinatorresd@gmail.com</t>
  </si>
  <si>
    <t>SEC ESC CONRADO GONZÁLEZ MEJÍA</t>
  </si>
  <si>
    <t>CALLE 76 N° 80 496 - CALLE 76 80 496</t>
  </si>
  <si>
    <t>421 64 83  320 687 33 86</t>
  </si>
  <si>
    <t>SAYDA RUEDA</t>
  </si>
  <si>
    <t>srueda@iemariscalrobledo.edu.co</t>
  </si>
  <si>
    <t>INST EDUC LUIS LOPEZ DE MESA</t>
  </si>
  <si>
    <t>LOPEZ DE MESA</t>
  </si>
  <si>
    <t>CALLE 84 74 60</t>
  </si>
  <si>
    <t>EDI ESTEA LOPEZ VARGAS</t>
  </si>
  <si>
    <t>NIDIA DUARTE  AM - ANGELA HERNANDEZ PM</t>
  </si>
  <si>
    <t>rectoria.ielopezdemesa@gmail.com - lopezdemesa16241@yahoo.es</t>
  </si>
  <si>
    <t>SEC ESC ALFREDO COCK ARANGO</t>
  </si>
  <si>
    <t>CARRERA 70 79A 43</t>
  </si>
  <si>
    <t>YOLANDA LOZANO (RECTORA) DIANA CECILIA PELAEZ (COORD) 312 7292952</t>
  </si>
  <si>
    <t>MARIA DOLORES DIEZ GARCIA</t>
  </si>
  <si>
    <t>dianaceciliapelaez@yahoo.com; coordinación.ea@gmail.com - secretaria.sedealfredocock@gmail.com</t>
  </si>
  <si>
    <t>INST EDUC MONSEÑOR GERARDO VALENCIA CANO</t>
  </si>
  <si>
    <t>SAN GERMAN</t>
  </si>
  <si>
    <t>CALLE 65 74B 273</t>
  </si>
  <si>
    <t>LUZ ANGELA PUERTA</t>
  </si>
  <si>
    <t>MIRIAM ZULETA AM - VICKY GOMEZ PM</t>
  </si>
  <si>
    <t>colegiogerardo@yahoo.es; rectoria@iemonsegerardovalencia.edu.co</t>
  </si>
  <si>
    <t>INST EDUC RODRIGO ARENAS BENTANCUR</t>
  </si>
  <si>
    <t>CALLE 81 94AA 15</t>
  </si>
  <si>
    <t>AIDA MARIA RAMIREZ DE OSSA</t>
  </si>
  <si>
    <t>MARLENY MONTOYA</t>
  </si>
  <si>
    <t>vidaypazrodrigoarenas@funde.org.co</t>
  </si>
  <si>
    <t>INST EDUC JESUS REY - COMEDOR 1</t>
  </si>
  <si>
    <t>INST EDUC JESUS REY</t>
  </si>
  <si>
    <t>CARRERA 88 NO. 77 A 11</t>
  </si>
  <si>
    <t>NANCY HERRERA LOPEZ ( R)</t>
  </si>
  <si>
    <t>WILSON URREGO  (DOCENTE) - EURLINE VILLADIEGO (COORD)</t>
  </si>
  <si>
    <t>iejesusrey2011@gmail.com - wincour@hotmail.com</t>
  </si>
  <si>
    <t>INST EDUC JESUS REY - COMEDOR 2</t>
  </si>
  <si>
    <t>INST EDUC JESUS REY - BLOQUE 2</t>
  </si>
  <si>
    <t>CALLE 77C. NO. 88 - 21 INTERIOR 101</t>
  </si>
  <si>
    <t>EURLINE VILLEGAS ( C) WILSON URREGO (D )</t>
  </si>
  <si>
    <t>wincour@hotmail.com</t>
  </si>
  <si>
    <t>GIMN GUAYACANES</t>
  </si>
  <si>
    <t>CALLE 77BB 82 69</t>
  </si>
  <si>
    <t>2640547  2341111</t>
  </si>
  <si>
    <t>WILLIAM GIRALDO LOPEZ. COORD.DIANA PAULINA JIMENEZ G.</t>
  </si>
  <si>
    <t>FÁTIMA GUTIERREZ</t>
  </si>
  <si>
    <t>gimnasioguayacanes@hotmail.com; gutierrezfatima@hotmail.com</t>
  </si>
  <si>
    <t>INS TEC INDUSTRIAL PASCUAL BRAVO</t>
  </si>
  <si>
    <t>LA PILARICA</t>
  </si>
  <si>
    <t>TRANSVERSAL 73 73A 226 - CALLE 73 73A 226</t>
  </si>
  <si>
    <t>4223700  EXT 105  CEL 311 2392209</t>
  </si>
  <si>
    <t>JHON ARIEL AGUDELO  ECHEVERRI</t>
  </si>
  <si>
    <t>BERNANDO MEJIA TAMAYO (COORD)</t>
  </si>
  <si>
    <t>iepascualbravo@medellin.gov.co - bernardomejia@tecnicopascualbravo.edu.co</t>
  </si>
  <si>
    <t>COL SAN JUAN EUDES</t>
  </si>
  <si>
    <t>ALTAMIRA</t>
  </si>
  <si>
    <t>CARRERA 78 79B 35</t>
  </si>
  <si>
    <t>2345349 - 2341590</t>
  </si>
  <si>
    <t>DARIO RESTREPO</t>
  </si>
  <si>
    <t>ANDRES FELIPE TRIANA PARRA ( C)</t>
  </si>
  <si>
    <t>sanjuaneudes@gmail.com</t>
  </si>
  <si>
    <t>SEC ESC NIÑO JESUS DE PRAGA</t>
  </si>
  <si>
    <t>CALLE 57C 23 200</t>
  </si>
  <si>
    <t>ANTONIO GUISAO</t>
  </si>
  <si>
    <t>sede.jesus2112@gmail.com</t>
  </si>
  <si>
    <t>SEC ESC EL PINAL</t>
  </si>
  <si>
    <t>CALLE 56EE 25AA 10</t>
  </si>
  <si>
    <t>ADRIANA DIAZ DUQUE  MARTHA HINCAPIE</t>
  </si>
  <si>
    <t>ie.elpinal@medellin.gov.co  adriana.diaz@iepinal.edu.co</t>
  </si>
  <si>
    <t>INST EDUC ALFONSO LOPEZ PUMAREJO</t>
  </si>
  <si>
    <t>CALLE 58 36B 41</t>
  </si>
  <si>
    <t>DORA EDILMA ALVAREZ</t>
  </si>
  <si>
    <t>ie.alfonsolopespumar@medellin.gov.co</t>
  </si>
  <si>
    <t>SEC ESC FRANCISCO ANTONIO URIBE</t>
  </si>
  <si>
    <t>VILLA HERMOSA</t>
  </si>
  <si>
    <t>CALLE 66A 39 75</t>
  </si>
  <si>
    <t>2549659  2545366</t>
  </si>
  <si>
    <t>OLGA RUBIELA MENESES(AM) ANA MARIA CORREA(PM)</t>
  </si>
  <si>
    <t>iejuancposada@gmail.com /anaco24@hotmail.com</t>
  </si>
  <si>
    <t>INST EDUC CARACAS</t>
  </si>
  <si>
    <t>CALLE 54 33 67</t>
  </si>
  <si>
    <t>YADIRA MEJIA</t>
  </si>
  <si>
    <t>ie.caracas@ hotmail.com     yadireme@gmail.com</t>
  </si>
  <si>
    <t>INST EDUC JOSE CELESTINO MUTIS</t>
  </si>
  <si>
    <t>LA MANSION</t>
  </si>
  <si>
    <t>CALLE 65 45 15</t>
  </si>
  <si>
    <t>MARIA LUCELLY GIRALDO</t>
  </si>
  <si>
    <t>CARLOS UPEGUI MEJIA</t>
  </si>
  <si>
    <t>infomutis12@gmail.com</t>
  </si>
  <si>
    <t>INST EDUC SAN FRANCISCO DE ASIS</t>
  </si>
  <si>
    <t>CALLE 56 16 18</t>
  </si>
  <si>
    <t>FLOR DEISY AGUDELO DURANGO .</t>
  </si>
  <si>
    <t>CARLOS MARIO GUTIERREZ E.</t>
  </si>
  <si>
    <t>ie.sanfranciscodeasi@medellin.gov.co</t>
  </si>
  <si>
    <t>INST EDUC JUAN DE DIOS CARVAJAL</t>
  </si>
  <si>
    <t>CALLE 65AA 36 39</t>
  </si>
  <si>
    <t>2840808      3006197039(RECTOR)</t>
  </si>
  <si>
    <t>DORIAN ALEXANDER AGUDELO</t>
  </si>
  <si>
    <t>CRUZ RODRIGUEZ</t>
  </si>
  <si>
    <t>ie.juandedioscarvaja@medellin.gov.co   CRUZRODRIGUEZ@IEJUANDEDIOSCARVAJAL.EDU.CO</t>
  </si>
  <si>
    <t>SEC ESC BATALLON GIRARDOT</t>
  </si>
  <si>
    <t>CALLE 66D 39A 20</t>
  </si>
  <si>
    <t>PAOLA ARENAS</t>
  </si>
  <si>
    <t>ie.juandedioscarvaja@medellin.gov.co paolaarenas@yahoo.com</t>
  </si>
  <si>
    <t>SEC ESC ALTOS DE LA TORRE</t>
  </si>
  <si>
    <t>CALLE 57 B 16 B 139</t>
  </si>
  <si>
    <t>FANNY ARBELAEZ SOTO</t>
  </si>
  <si>
    <t>fannyarbelaez@gmail.com   rectoriaiejva@gmail.com</t>
  </si>
  <si>
    <t>SEC ESC LAS ESTANCIAS</t>
  </si>
  <si>
    <t>CALLE 52 4 38</t>
  </si>
  <si>
    <t>JUAN DÍAZ LONDOÑO</t>
  </si>
  <si>
    <t>JUAN CARLOS VALENCIA</t>
  </si>
  <si>
    <t>INST EDUC MERCEDITAS GOMEZ MARTINEZ</t>
  </si>
  <si>
    <t>CALLE 45 18 03</t>
  </si>
  <si>
    <t>ALONSO ALBERTO GONZALEZ</t>
  </si>
  <si>
    <t>ie.merceditasgomez@medellin.gov.com  nora_429@hotmail.com  nerbehu@yahoo.es</t>
  </si>
  <si>
    <t>SEC ESC JUAN MANUEL GONZALEZ ARBELAEZ</t>
  </si>
  <si>
    <t>GERONA</t>
  </si>
  <si>
    <t>CALLE 40A 32 80</t>
  </si>
  <si>
    <t>MAURICIO LONDOÑO LONDOÑO</t>
  </si>
  <si>
    <t>maurojlondo@gmail.com    nora_429@homail.com ie.merceditasgomez@medellin.gov.com</t>
  </si>
  <si>
    <t>SEC ESC ETERNA PRIMAVERA</t>
  </si>
  <si>
    <t>CALLE 34 19 05</t>
  </si>
  <si>
    <t>INST EDUC ANA DE CASTRILLON</t>
  </si>
  <si>
    <t>CARRERA 38C 39B 86</t>
  </si>
  <si>
    <t>CALOS COSIO                          FELIX GOMEZ</t>
  </si>
  <si>
    <t>ieacastrillón@yahoo.es maceblan@yahoo.com</t>
  </si>
  <si>
    <t>SEC ESC MERCEDES YEPES ISAZA</t>
  </si>
  <si>
    <t>CARRERA 32 32A 57</t>
  </si>
  <si>
    <t>2396564 2390090 2393159</t>
  </si>
  <si>
    <t>GUSTAVO DE J. HOYOS AGUDELO (RECTOR)</t>
  </si>
  <si>
    <t>ie.loreto@gmail.com   juank151@hotmail.com</t>
  </si>
  <si>
    <t>SEC ESC ALEJANDRO ECHAVARRIA</t>
  </si>
  <si>
    <t>ALEJANDRO ECHEVARRIA</t>
  </si>
  <si>
    <t>CARRERA 30 50 07</t>
  </si>
  <si>
    <t>269 45 23 Coord. 269 71 82 Porteria</t>
  </si>
  <si>
    <t>JUAN CARLOS AGUDELO SOSA(RECTOR)</t>
  </si>
  <si>
    <t>JULIO CESAR RODRIGUEZ</t>
  </si>
  <si>
    <t>ie.asamblea@gmail.com;  juanca.jas@homail.com  ceferino25@gmail.com</t>
  </si>
  <si>
    <t>INST EDUC MADRE LAURA</t>
  </si>
  <si>
    <t>CATALUÑA</t>
  </si>
  <si>
    <t>CALLE 45 22A 81</t>
  </si>
  <si>
    <t>HNA: MARIA ISABEL LONDOÑO VASQUEZ(RECTORA)</t>
  </si>
  <si>
    <t>NANCY YANETH MIRANDA</t>
  </si>
  <si>
    <t>iemadrelaura@hotmail.com; nayamire@hotmail.com</t>
  </si>
  <si>
    <t>INST EDUC MADRE MARIA MAZARELLO</t>
  </si>
  <si>
    <t>CALLE 48 33 62</t>
  </si>
  <si>
    <t>2167211*112  *104  2167901</t>
  </si>
  <si>
    <t>HERMANA SOR LUZ GLORIA YEPEZ VALLEJO</t>
  </si>
  <si>
    <t>MARIA TERESA VELASQUEZ</t>
  </si>
  <si>
    <t>ie.madremazzarello@medellin.gov.co     iemmazzarello@yahoo.com</t>
  </si>
  <si>
    <t>COL TOMAS CARRASQUILLA</t>
  </si>
  <si>
    <t>CARRERA 38 TRV2 42 41</t>
  </si>
  <si>
    <t>MARGARITA DEL SOCORRO OSPINA DE RAMIREZ</t>
  </si>
  <si>
    <t>colegiotc@hotmail.co</t>
  </si>
  <si>
    <t>INST EDUC MATER DEI</t>
  </si>
  <si>
    <t>CR 68 N° 42 71</t>
  </si>
  <si>
    <t>NANCY BERNAL</t>
  </si>
  <si>
    <t>MARGARITA MARÍA CEBALLOS CORREA</t>
  </si>
  <si>
    <t>nancy.bernal@medellin.gov.co</t>
  </si>
  <si>
    <t>SEC ESC AGRUPACION COLOMBIA</t>
  </si>
  <si>
    <t>FLORIDA NUEVA</t>
  </si>
  <si>
    <t>CLL 44 A N° 75 68</t>
  </si>
  <si>
    <t>ADRIANA MARÍA MONTAÑO PELAEZ</t>
  </si>
  <si>
    <t>LUZ ESTELLA HERRERA-LUCELY RUIZ</t>
  </si>
  <si>
    <t>ie.lucreciojaramillo@medellin.gov.co</t>
  </si>
  <si>
    <t>INST EDUC RAFAEL URIBE URIBE</t>
  </si>
  <si>
    <t>CR 82 Nº 42C 58</t>
  </si>
  <si>
    <t>2504191- 2508312</t>
  </si>
  <si>
    <t>MARCO AURELIO GAVIRIA</t>
  </si>
  <si>
    <t>GLORIA JIMÉNEZ-MANUEL PALACIO</t>
  </si>
  <si>
    <t>glojila@yahoo.es</t>
  </si>
  <si>
    <t>SEC ESC PEDRO DE CASTRO</t>
  </si>
  <si>
    <t>BARRIO CRISTÓBAL</t>
  </si>
  <si>
    <t>CLL. 40 N° 86 A 101</t>
  </si>
  <si>
    <t>GLORIA PATRICIA GARCIA</t>
  </si>
  <si>
    <t>GLADIS OSPINA</t>
  </si>
  <si>
    <t>epedrodecastro@gmail.com</t>
  </si>
  <si>
    <t>INST EDUC CONCEJO DE MEDELLIN - COMEDOR 2</t>
  </si>
  <si>
    <t>INST EDUC CONCEJO DE MEDELLIN - ANEXO</t>
  </si>
  <si>
    <t>CLL 47 A N° 83 38</t>
  </si>
  <si>
    <t>JADY GISELA CUESTA</t>
  </si>
  <si>
    <t>lettyblandon@gmail.com</t>
  </si>
  <si>
    <t>SEC ESC EL CORAZON</t>
  </si>
  <si>
    <t>CLL 34B N°116 D 25</t>
  </si>
  <si>
    <t>YOLANDA JIMENEZ</t>
  </si>
  <si>
    <t>yolandapjimenez@hotmail.com</t>
  </si>
  <si>
    <t>COL EL HOGAR DE SU NIÑO</t>
  </si>
  <si>
    <t>CLL. 45 N° 99 29</t>
  </si>
  <si>
    <t>LUIS ALBERTO GIRÓN</t>
  </si>
  <si>
    <t>JOSÉ ALDEMAR ACEVEDO AGUDELO</t>
  </si>
  <si>
    <t>montaneros@gmail.com</t>
  </si>
  <si>
    <t>SEC ESC PIO XII</t>
  </si>
  <si>
    <t>CR 98 Nº 44 52</t>
  </si>
  <si>
    <t>MARÍA GRACIELA ARANGO</t>
  </si>
  <si>
    <t>EUGENIA GIRALDO</t>
  </si>
  <si>
    <t>marulyn94@yahoo.es</t>
  </si>
  <si>
    <t>SEC ESC EL SOCORRO</t>
  </si>
  <si>
    <t>CR 102B Nº 47 B 32</t>
  </si>
  <si>
    <t>GUSTAVO MUÑOZ</t>
  </si>
  <si>
    <t>MARÍA ELCY GARCÍA-GLORIA RIVERA</t>
  </si>
  <si>
    <t>deschampsenix@gmail.com</t>
  </si>
  <si>
    <t>INST EDUC CARLOS VIECO ORTIZ</t>
  </si>
  <si>
    <t>CLL 40 N°105 36</t>
  </si>
  <si>
    <t>2532504 ext:103</t>
  </si>
  <si>
    <t>YOLANDA VAHOS CEBALLOS</t>
  </si>
  <si>
    <t>LUIS HERNANDO VARGAS</t>
  </si>
  <si>
    <t>vargasluis28@gmail.com</t>
  </si>
  <si>
    <t>SEC ESC JUAN DE DIOS ARANZAZU</t>
  </si>
  <si>
    <t>CLL 42 Nº 105 42</t>
  </si>
  <si>
    <t>CARLOS CASTAÑEDA</t>
  </si>
  <si>
    <t>CLAUDIA PATRICIA TOBON</t>
  </si>
  <si>
    <t>carlos.castaneda@carlosvieco.edu.co</t>
  </si>
  <si>
    <t>SEC ESC MUNICIPAL SAN JAVIER</t>
  </si>
  <si>
    <t>VEINTE DE JULIO</t>
  </si>
  <si>
    <t>CR 108 Nº 39D 07</t>
  </si>
  <si>
    <t>BEATRIZ ELENA MORA</t>
  </si>
  <si>
    <t>SEC ESC REPUBLICA DE PANAMA</t>
  </si>
  <si>
    <t>SANTA ROSA DE LIMA</t>
  </si>
  <si>
    <t>CRA. 88 NO. 49DD 70</t>
  </si>
  <si>
    <t>LEONARDO OSORIO</t>
  </si>
  <si>
    <t>ADIELA AGUDELO</t>
  </si>
  <si>
    <t>ie.santarosadelima@medellin.gov.co</t>
  </si>
  <si>
    <t>INST CORFERRINI - SEDE LA DIVISA</t>
  </si>
  <si>
    <t>CLL 49B Nº 99 EE 117</t>
  </si>
  <si>
    <t>4913526 - 4346334</t>
  </si>
  <si>
    <t>PHAYSULY BALDOSEA MENA</t>
  </si>
  <si>
    <t>LAURA BEATRIZ BUSTAMANTE</t>
  </si>
  <si>
    <t>luz.espinal.do@ferrini.edu.co</t>
  </si>
  <si>
    <t>COL ARENYS DEL MAR</t>
  </si>
  <si>
    <t>CLL 58D Nº 93 A 87</t>
  </si>
  <si>
    <t>MADRE CLAUDIA ZAMIRA AVILA</t>
  </si>
  <si>
    <t>ANA CECILIA VALLEJO</t>
  </si>
  <si>
    <t>anace235@gmail.com</t>
  </si>
  <si>
    <t>INST EDUC PRESBITERO JUAN J. ESCOBAR</t>
  </si>
  <si>
    <t>CLL. 62 N° 128 120</t>
  </si>
  <si>
    <t>JAIME ALBERTO CASTAÑO BOTERO</t>
  </si>
  <si>
    <t>ALVARO ALVAREZ</t>
  </si>
  <si>
    <t>rector.jjescobar@gmail.com</t>
  </si>
  <si>
    <t>COL GENTE UNIDA JOVENES POR LA PAZ - SEDE VILLA CAFE</t>
  </si>
  <si>
    <t>GENTE UNIDA SAGRADA FAMILIA</t>
  </si>
  <si>
    <t>VEREDA PAJARITO KILOMETRO 8</t>
  </si>
  <si>
    <t>JHON FREDY GÓMEZ</t>
  </si>
  <si>
    <t>MARÍA ISABEL RUA</t>
  </si>
  <si>
    <t>sagradafamilia@genteunida.org.co</t>
  </si>
  <si>
    <t>SEC ESC EL TIROL</t>
  </si>
  <si>
    <t>CL 66A 104 74</t>
  </si>
  <si>
    <t>INST EDUC BENJAMIN HERRERA</t>
  </si>
  <si>
    <t>TRINIDAD</t>
  </si>
  <si>
    <t>CRA 52 NO. 52 140</t>
  </si>
  <si>
    <t>2650073 - 2653004 - 2657072</t>
  </si>
  <si>
    <t>CARLOS BENGUECHEA (R )</t>
  </si>
  <si>
    <t>YOLANDA ARANGO V (D)</t>
  </si>
  <si>
    <t>benjamin.herrera1@medellin.gov.co</t>
  </si>
  <si>
    <t>SEC ESC SANTISIMA TRINIDAD</t>
  </si>
  <si>
    <t>CLL 26 NO. 65 C 100</t>
  </si>
  <si>
    <t>235 52 36 265 6646</t>
  </si>
  <si>
    <t>GONZALO VILLA ARBOLEDA (C )</t>
  </si>
  <si>
    <t>BEATRIZ ELENA GALLEGO (D)</t>
  </si>
  <si>
    <t>coortrinidad@gmail.com</t>
  </si>
  <si>
    <t>INST EDUC SANTOS ANGELES CUSTODIOS</t>
  </si>
  <si>
    <t>CALLE 17A 65G 04</t>
  </si>
  <si>
    <t>MARY LUZ RODRIGUEZ GIRALDO</t>
  </si>
  <si>
    <t>WALTER OSSA ( C) FRANCISCO CARDONA CASTAÑO (AM)- CARLOS HUGO PANIAGUA (PM)</t>
  </si>
  <si>
    <t>iacustod@une.net.co 
nancy5098@hotmail.com</t>
  </si>
  <si>
    <t>SEC ESC JUAN PABLO II</t>
  </si>
  <si>
    <t>CARRERA 65G 16A 12</t>
  </si>
  <si>
    <t>WALTER OSSA ( C) NANCY VELEZ HOYOS (A.M) MARIA ELIDA (P.M)</t>
  </si>
  <si>
    <t>iacustod@une.net.co</t>
  </si>
  <si>
    <t>INST EDUC SANTO ANGEL</t>
  </si>
  <si>
    <t>CALLE 2 SUR Nª 53 - 140</t>
  </si>
  <si>
    <t>2853623 (ext 104) - 2851411</t>
  </si>
  <si>
    <t>ALBA RUTH JARAMILLO CARDONA ( R)</t>
  </si>
  <si>
    <t>LUZ NASLY GARCIA AMADOR ( C)</t>
  </si>
  <si>
    <t>coor.academica.sa@gmail.com</t>
  </si>
  <si>
    <t>SEC ESC CARLOS FRANCO</t>
  </si>
  <si>
    <t>CRA 77 NO. 25-67</t>
  </si>
  <si>
    <t>FABIOLA J. LIZARAZO ( C)</t>
  </si>
  <si>
    <t>PIEDAD GIRALDO (A.M) GLORIA ELENA PIEDRAHITA (P.M)</t>
  </si>
  <si>
    <t>fain.lizh@gmail.com</t>
  </si>
  <si>
    <t>INST EDUC ALCALDIA DE MEDELLIN</t>
  </si>
  <si>
    <t>CRR 2B B Nº 79 - 80</t>
  </si>
  <si>
    <t>3419090 - 342 37 42</t>
  </si>
  <si>
    <t>CARLOS FERNANDO A JARAMILLO ( C )</t>
  </si>
  <si>
    <t>institucionalcaldiademedellin@gmail.com</t>
  </si>
  <si>
    <t>SEC ESC YERMO Y PARRES</t>
  </si>
  <si>
    <t>CRA.2 Nº 2 - 15</t>
  </si>
  <si>
    <t>341 65 78</t>
  </si>
  <si>
    <t>SEC ESC MUNICIPAL BELEN</t>
  </si>
  <si>
    <t>CLL 30 A NO. 80-18</t>
  </si>
  <si>
    <t>LUCERO ZAPATA ( C)</t>
  </si>
  <si>
    <t>MARTA INES LOPEZ ( C)</t>
  </si>
  <si>
    <t>iersuarez@latinmail.com</t>
  </si>
  <si>
    <t>SEC SOFIA OSPINA DE NAVARRO</t>
  </si>
  <si>
    <t>CLLE 32 NO. 65 - 20</t>
  </si>
  <si>
    <t>INST EDUC JOSE MARIA BERNAL</t>
  </si>
  <si>
    <t>CRA. 70 A NO. 13 A 19</t>
  </si>
  <si>
    <t>343 20 86 - 3104179378 ©</t>
  </si>
  <si>
    <t>JOSE HUGO CASTAÑO GARCIA (R ) MARIA FERNANDA ARCE (C )</t>
  </si>
  <si>
    <t>CLARA MAESTRE BUITRAGO</t>
  </si>
  <si>
    <t>iejmb@hotmail.com - gcmaestre@yahoo.com</t>
  </si>
  <si>
    <t>SEC ESC LAS PLAYAS</t>
  </si>
  <si>
    <t>SEC ESC MANO DE DIOS</t>
  </si>
  <si>
    <t>SECTOR NUEVO AMANECER</t>
  </si>
  <si>
    <t>CRA: 90 NO. 15-60</t>
  </si>
  <si>
    <t>GLEIDYS AVENDAÑO ( D)</t>
  </si>
  <si>
    <t>gleidysavendano@gmail.com</t>
  </si>
  <si>
    <t>INST EDUC SAN ANTONIO DE PRADO</t>
  </si>
  <si>
    <t>CRA 79 CON CALLE 42 SUR- PARQUE PPAL.</t>
  </si>
  <si>
    <t>2864285 - 2864372</t>
  </si>
  <si>
    <t>CONSUELO GIRALDO ARROYAVE (R )</t>
  </si>
  <si>
    <t>CLARA MAESTRE ( C ) HERNÁN ALVAREZ (D)</t>
  </si>
  <si>
    <t>ie.sanantoniodeprado@medellin.gov.co</t>
  </si>
  <si>
    <t>SEC ESC MANUEL MARIA MALLARINO</t>
  </si>
  <si>
    <t>C.SAN ANTONIO</t>
  </si>
  <si>
    <t>CALLE 40 SUR 75 B 101</t>
  </si>
  <si>
    <t>CARLOS AYARZA ( C)</t>
  </si>
  <si>
    <t>PATRICIA GOMEZ (P.M) LUZ MATILDE LAVERDE (A.M)</t>
  </si>
  <si>
    <t>jadumall@yahoo.com</t>
  </si>
  <si>
    <t>SEC ESC LA VERDE</t>
  </si>
  <si>
    <t>VDA. LA VERDE</t>
  </si>
  <si>
    <t>CRA 60 D 36 C SUR 2</t>
  </si>
  <si>
    <t>MARIA ISABEL ALVARES GIL ( C)</t>
  </si>
  <si>
    <t>CATALINA MOSQUERA PINO ( D)</t>
  </si>
  <si>
    <t>ie.victorwiedemann@medellin.gov.co</t>
  </si>
  <si>
    <t>INST EDUC FE Y ALEGRIA EL LIMONAR</t>
  </si>
  <si>
    <t>CALLE 55 SUR 60 A 13</t>
  </si>
  <si>
    <t>337 06 53</t>
  </si>
  <si>
    <t>EDGAR ROMÁN ( R)</t>
  </si>
  <si>
    <t>SERGIO ANDRÉS ROJAS GÓMEZ (C )</t>
  </si>
  <si>
    <t>ie.feyalegriaellimonar@medellin.gov.co</t>
  </si>
  <si>
    <t>INST EDUC COMPARTIR</t>
  </si>
  <si>
    <t>CRA 62 A 42 D SUR 26</t>
  </si>
  <si>
    <t>2865300 - 2868822</t>
  </si>
  <si>
    <t>RUBEN DARIO ISAZA GOMEZ ( R)</t>
  </si>
  <si>
    <t>BERTA LUCY AGUDELO (C )</t>
  </si>
  <si>
    <t>ccprado@une.net.co</t>
  </si>
  <si>
    <t>INST EDUC CORVIDE</t>
  </si>
  <si>
    <t>LIMONAR NO. 2</t>
  </si>
  <si>
    <t>CR 60 D 48 SUR 25</t>
  </si>
  <si>
    <t>286 55 79</t>
  </si>
  <si>
    <t>BEATRIZ GÓMEZ ( R)</t>
  </si>
  <si>
    <t>AMALIA BETANCUR ( C ) 
TATIANA ROJAS VALENCIA (D)</t>
  </si>
  <si>
    <t>cesargomez@coomulsap.com</t>
  </si>
  <si>
    <t>COL COOP SAN ANTONIO DE PRADO (AC) - COMEDOR 1</t>
  </si>
  <si>
    <t>4444262 ext. 601 y 602</t>
  </si>
  <si>
    <t>CESAR AUGUSTO</t>
  </si>
  <si>
    <t>VANESA PAOLA ROLONG (A.M) YANETH ASTRID ZAPATA (P.M)</t>
  </si>
  <si>
    <t>rubenisaza@coomulsap.com</t>
  </si>
  <si>
    <t>INST EDUC MANUEL J. BETANCUR - COMEDOR 2</t>
  </si>
  <si>
    <t>INST EDUC MANUEL J BETANCUR - ANEXO</t>
  </si>
  <si>
    <t>CALLE 44 SUR NO. 81-28</t>
  </si>
  <si>
    <t>2860078 ext 27</t>
  </si>
  <si>
    <t>GLORIA INES VALENCIA ( D)</t>
  </si>
  <si>
    <t>COLEGIO EMPRESARIAL</t>
  </si>
  <si>
    <t>VILLA LOMA</t>
  </si>
  <si>
    <t>CALLE 42 SUR 69 A 58</t>
  </si>
  <si>
    <t>RAMON ECHAVARRIA (R )</t>
  </si>
  <si>
    <t>RAMIRO CORTES (D)</t>
  </si>
  <si>
    <t>empresarial@coomulsap,com</t>
  </si>
  <si>
    <t>ID SEDE (CODIGO INTERNO INTERVENTORIA)</t>
  </si>
  <si>
    <t>NOMBRE COMEDOR</t>
  </si>
  <si>
    <t>No LOTE</t>
  </si>
  <si>
    <t>Columna250</t>
  </si>
  <si>
    <t>CONTRATISTA</t>
  </si>
  <si>
    <t>ALIRIO GÓMEZ G S.A.S</t>
  </si>
  <si>
    <t>SALAMANCA S.A.</t>
  </si>
  <si>
    <t>SERVICIOS Y SUMINISTROS DE ALIMENTACION S.A.S</t>
  </si>
  <si>
    <t>UT PAE 2019</t>
  </si>
  <si>
    <t>VISITA EFECTIVA</t>
  </si>
  <si>
    <t>R.I.T</t>
  </si>
  <si>
    <t>R.I</t>
  </si>
  <si>
    <t>V.L</t>
  </si>
  <si>
    <t>Artículo 6 (2.7)</t>
  </si>
  <si>
    <t>Artículo 6 (4.2)</t>
  </si>
  <si>
    <t>Artículo 6 (6.2)</t>
  </si>
  <si>
    <t>Artículo 6 (6.4)</t>
  </si>
  <si>
    <t>Artículo 10 (2)</t>
  </si>
  <si>
    <t>Artículo 13 Parágrafo1</t>
  </si>
  <si>
    <t>Artículo 13 Parágrafo2</t>
  </si>
  <si>
    <t>Articulo 14 (1).</t>
  </si>
  <si>
    <t>Artículo 16 (5).</t>
  </si>
  <si>
    <t>Artículo 16 (7).</t>
  </si>
  <si>
    <t>Artículo 17 (3).</t>
  </si>
  <si>
    <t>Artículo 17 (4).</t>
  </si>
  <si>
    <t>Artículo 20 (1).</t>
  </si>
  <si>
    <t>Artículo 20 (5).</t>
  </si>
  <si>
    <t>Artículo 22 (1).</t>
  </si>
  <si>
    <t>Artículo 28 (4).</t>
  </si>
  <si>
    <t>Artículo 28 (5).</t>
  </si>
  <si>
    <t>Artículo 28 (7).</t>
  </si>
  <si>
    <t>Artículo 29 (7).</t>
  </si>
  <si>
    <t>Artículo 29 (8).</t>
  </si>
  <si>
    <t>ZONA</t>
  </si>
  <si>
    <t>Columna11</t>
  </si>
  <si>
    <t>El manejo de residuos líquidos dentro del establecimiento debe realizarse de manera que impida la contaminación del alimento o de las superficies de potencial contacto con este.</t>
  </si>
  <si>
    <t>El manipulador de alimentos no podrá salir e ingresar al establecimiento con la vestimenta de trabajo.</t>
  </si>
  <si>
    <t>Usar calzado cerrado, de material resistente e impermeable y de tacón bajo.</t>
  </si>
  <si>
    <t>De ser necesario el uso de guantes, estos deben mantenerse limpios, sin roturas o desperfectos y ser tratados con el mismo cuidado higiénico de las manos sin protección. El material de los guantes, debe ser apropiado para la operación realizada y debe evitarse la acumulación de humedad y contaminación en su interior para prevenir posibles afecciones cutáneas de los operarios. El uso de guantes no exime al operario de la obligación de lavarse las manos, según lo contempla el numeral 4 del presente artículo.</t>
  </si>
  <si>
    <t>No está permitido comer, beber o masticar cualquier objeto o producto, como tampoco fumar o escupir en las áreas donde se manipulen alimentos.</t>
  </si>
  <si>
    <t>Los manipuladores no deben sentarse, acostarse, inclinarse o similares en el pasto, andenes o lugares donde la ropa de trabajo pueda contaminarse.</t>
  </si>
  <si>
    <t>Los visitantes a los establecimientos o plantas deben cumplir estrictamente todas las prácticas de higiene establecidas en esta resolución y portar la vestimenta y dotación adecuada, la cual debe ser suministrada por la empresa.</t>
  </si>
  <si>
    <t>Las materias primas conservadas por congelación que requieren ser descongeladas previo al uso, deben descongelarse a una velocidad controlada para evitar el desarrollo de microorganismos y no podrán ser recongeladas. Además, se manipularán de manera que se minimice la contaminación proveniente de otras fuentes.</t>
  </si>
  <si>
    <t>Los depósitos de materias primas y productos terminados ocuparán espacios independientes, salvo en aquellos casos en que a juicio de la autoridad sanitaria competente no se presenten peligros de contaminación para los alimentos.</t>
  </si>
  <si>
    <t>Envases y embalajes. No deben haber sido utilizados previamente para fines diferentes que puedan ocasionar la contaminación del alimento a contener.</t>
  </si>
  <si>
    <t>Los envases y embalajes que estén en contacto directo con el alimento antes de su envase, aunque sea en forma temporal, deben permanecer en buen estado, limpios y, de acuerdo con el riesgo en salud pública, deben estar debidamente desinfectados.</t>
  </si>
  <si>
    <t>El almacenamiento de los insumos, materias primas o productos terminados se realizará ordenadamente en pilas o estibas con separación mínima de 60 centímetros con respecto a las paredes perimetrales, y disponerse sobre palés o tarimas limpias y en buen estado, elevadas del piso por lo menos 15 centímetros de manera que se permita la inspección, limpieza y fumigación, si es el caso.</t>
  </si>
  <si>
    <t>En los sitios o lugares destinados al almacenamiento de materias primas, insumos y productos terminados no podrán realizarse actividades diferentes a estas.</t>
  </si>
  <si>
    <t>Se prohíbe disponer los alimentos directamente sobre el piso de los medios de transporte. Para este fin se utilizarán los recipientes, canastillas, o implementos de material adecuado, de manera que aíslen el producto de toda posibilidad de contaminación.</t>
  </si>
  <si>
    <t>REQUISITO</t>
  </si>
  <si>
    <t>No se permite la presencia de animales en los establecimientos objeto de la presente resolución, específicamente en las áreas destinadas a la fabricación, procesamiento, preparación, envase, almacenamiento y expendio.</t>
  </si>
  <si>
    <t>En las proximidades de los lavamanos se deben colocar avisos o advertencias al personal sobre la necesidad de lavarse las manos luego de usar los servicios sanitarios, después de cualquier cambio de actividad y antes de iniciar las labores de producción.</t>
  </si>
  <si>
    <t>La distancia entre los equipos y las paredes perimetrales, columnas u otros elementos de la edificación, debe ser tal que les permita funcionar adecuadamente y facilite el acceso para la inspección, mantenimiento, limpieza y desinfección.</t>
  </si>
  <si>
    <t>Para reforzar el cumplimiento de las prácticas higiénicas, se colocarán en sitios estratégicos avisos alusivos a la obligatoriedad y necesidad de su observancia durante la manipulación de alimentos.</t>
  </si>
  <si>
    <t>El manipulador de alimentos debe ser entrenado para comprender y manejar el control de los puntos del proceso que están bajo su responsabilidad y la importancia de su vigilancia o monitoreo; además, debe conocer los límites del punto del proceso y las acciones correctivas a tomar cuando existan desviaciones en dichos límites.</t>
  </si>
  <si>
    <t>Mantener una estricta limpieza e higiene personal y aplicar buenas prácticas higiénicas en sus labores, de manera que se evite la contaminación del alimento y de las superficies de contacto con este.</t>
  </si>
  <si>
    <t>Lavarse las manos con agua y jabón desinfectante, antes de comenzar su trabajo, cada vez que salga y regrese al área asignada y después de manipular cualquier material u objeto que pudiese representar un riesgo de contaminación para el alimento. Será obligatorio realizar la desinfección de las manos cuando los riesgos asociados con la etapa del proceso así lo justifiquen.</t>
  </si>
  <si>
    <t>Mantener el cabello recogido y cubierto totalmente mediante malla, gorro u otro medio efectivo y en caso de llevar barba, bigote o patillas se debe usar cubiertas para estas. No se permite el uso de maquillaje.</t>
  </si>
  <si>
    <t>3. CARACTERÍSTICAS GENERALES DE LOS ALIMENTOS</t>
  </si>
  <si>
    <t xml:space="preserve">4. CICLOS DE MENÚ  </t>
  </si>
  <si>
    <t>Columna59</t>
  </si>
  <si>
    <t>Columna61</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</si>
  <si>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</si>
  <si>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</si>
  <si>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</si>
  <si>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</si>
  <si>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</si>
  <si>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</si>
  <si>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</si>
  <si>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</si>
  <si>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</si>
  <si>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</si>
  <si>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</si>
  <si>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</si>
  <si>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</si>
  <si>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</si>
  <si>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</si>
  <si>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</si>
  <si>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</si>
  <si>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</si>
  <si>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</si>
  <si>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</si>
  <si>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</si>
  <si>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</si>
  <si>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</si>
  <si>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</si>
  <si>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</si>
  <si>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</si>
  <si>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</si>
  <si>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</si>
  <si>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</si>
  <si>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</si>
  <si>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</si>
  <si>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</si>
  <si>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</si>
  <si>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</si>
  <si>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</si>
  <si>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</si>
  <si>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</si>
  <si>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</si>
  <si>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Las operaciones de fabricación deben realizarse de forma secuencial y continua para que no se produzcan retrasos indebidos que permitan el crecimiento de microorganismos, contribuyan a otro tipo de deterioro o contaminación del alimento. Cuando se requiera esperar entre una etapa del proceso y la siguiente, el alimento debe mantenerse protegido y en el caso de alimentos susceptibles al rápido crecimiento de microorganismos durante el tiempo de espera, deben emplearse temperaturas altas (&gt;60°C) o bajas no mayores de 4°C +/- 2°C según sea el caso.</t>
  </si>
  <si>
    <t>Columna173</t>
  </si>
  <si>
    <t>Columna175</t>
  </si>
  <si>
    <t>Columna177</t>
  </si>
  <si>
    <t>Columna179</t>
  </si>
  <si>
    <t>Columna352</t>
  </si>
  <si>
    <t>Columna363</t>
  </si>
  <si>
    <t>Columna374</t>
  </si>
  <si>
    <t>Columna385</t>
  </si>
  <si>
    <t>Columna396</t>
  </si>
  <si>
    <t>Columna407</t>
  </si>
  <si>
    <t>Columna408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</si>
  <si>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</si>
  <si>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</si>
  <si>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</si>
  <si>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</si>
  <si>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</si>
  <si>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</si>
  <si>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</si>
  <si>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</si>
  <si>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</si>
  <si>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</si>
  <si>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</si>
  <si>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</si>
  <si>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</si>
  <si>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</si>
  <si>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</si>
  <si>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</si>
  <si>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</si>
  <si>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</si>
  <si>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</si>
  <si>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</si>
  <si>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</si>
  <si>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</si>
  <si>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</si>
  <si>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</si>
  <si>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</si>
  <si>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</si>
  <si>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</si>
  <si>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</si>
  <si>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</si>
  <si>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</si>
  <si>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</si>
  <si>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</si>
  <si>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</si>
  <si>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</si>
  <si>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</si>
  <si>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</si>
  <si>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</si>
  <si>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</si>
  <si>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</si>
  <si>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</si>
  <si>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</si>
  <si>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</si>
  <si>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</si>
  <si>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</si>
  <si>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</si>
  <si>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</si>
  <si>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</si>
  <si>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</si>
  <si>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</si>
  <si>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</si>
  <si>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</si>
  <si>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</si>
  <si>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</si>
  <si>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</si>
  <si>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</si>
  <si>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</si>
  <si>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</si>
  <si>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</si>
  <si>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</si>
  <si>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</si>
  <si>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</si>
  <si>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</si>
  <si>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</si>
  <si>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Columna353</t>
  </si>
  <si>
    <t>Columna354</t>
  </si>
  <si>
    <t>Columna355</t>
  </si>
  <si>
    <t>Columna356</t>
  </si>
  <si>
    <t>Columna357</t>
  </si>
  <si>
    <t>Columna358</t>
  </si>
  <si>
    <t>Columna359</t>
  </si>
  <si>
    <t>Columna360</t>
  </si>
  <si>
    <t>Columna361</t>
  </si>
  <si>
    <t>Columna362</t>
  </si>
  <si>
    <t>Columna364</t>
  </si>
  <si>
    <t>Columna365</t>
  </si>
  <si>
    <t>Columna366</t>
  </si>
  <si>
    <t>Columna367</t>
  </si>
  <si>
    <t>Columna368</t>
  </si>
  <si>
    <t>Columna369</t>
  </si>
  <si>
    <t>Columna370</t>
  </si>
  <si>
    <t>Columna371</t>
  </si>
  <si>
    <t>Columna372</t>
  </si>
  <si>
    <t>Columna373</t>
  </si>
  <si>
    <t>Columna375</t>
  </si>
  <si>
    <t>Columna376</t>
  </si>
  <si>
    <t>Columna377</t>
  </si>
  <si>
    <t>Columna378</t>
  </si>
  <si>
    <t>Columna379</t>
  </si>
  <si>
    <t>Columna380</t>
  </si>
  <si>
    <t>Columna381</t>
  </si>
  <si>
    <t>Columna382</t>
  </si>
  <si>
    <t>Columna383</t>
  </si>
  <si>
    <t>Columna384</t>
  </si>
  <si>
    <t>Columna386</t>
  </si>
  <si>
    <t>Columna387</t>
  </si>
  <si>
    <t>Columna388</t>
  </si>
  <si>
    <t>Columna389</t>
  </si>
  <si>
    <t>Columna390</t>
  </si>
  <si>
    <t>Columna391</t>
  </si>
  <si>
    <t>Columna392</t>
  </si>
  <si>
    <t>Columna393</t>
  </si>
  <si>
    <t>Columna394</t>
  </si>
  <si>
    <t>Columna395</t>
  </si>
  <si>
    <t>Columna397</t>
  </si>
  <si>
    <t>Columna398</t>
  </si>
  <si>
    <t>Columna399</t>
  </si>
  <si>
    <t>Columna400</t>
  </si>
  <si>
    <t>GRADO</t>
  </si>
  <si>
    <t>NC</t>
  </si>
  <si>
    <t>AM / PM</t>
  </si>
  <si>
    <t>ALMUERZO</t>
  </si>
  <si>
    <t>1. PRODUCTO V.L - R.I</t>
  </si>
  <si>
    <t>CONDICIONES TRASNPORTE</t>
  </si>
  <si>
    <t>CUMPLE / NO CUMPLE</t>
  </si>
  <si>
    <t>TEMPERATURA RECEPCION</t>
  </si>
  <si>
    <t>5. PRODUCTO V.L - R.I</t>
  </si>
  <si>
    <t>4. PRODUCTO V.L - R.I</t>
  </si>
  <si>
    <t>3. PRODUCTO V.L - R.I</t>
  </si>
  <si>
    <t>2. PRODUCTO V.L - R.I</t>
  </si>
  <si>
    <t>Columna401</t>
  </si>
  <si>
    <t>Columna402</t>
  </si>
  <si>
    <t>Columna403</t>
  </si>
  <si>
    <t>Columna404</t>
  </si>
  <si>
    <t>Columna405</t>
  </si>
  <si>
    <t>Columna406</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</si>
  <si>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</si>
  <si>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</si>
  <si>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</si>
  <si>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</si>
  <si>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</si>
  <si>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</si>
  <si>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</si>
  <si>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</si>
  <si>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</si>
  <si>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</si>
  <si>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</si>
  <si>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</si>
  <si>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</si>
  <si>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</si>
  <si>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</si>
  <si>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</si>
  <si>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</si>
  <si>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</si>
  <si>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</si>
  <si>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</si>
  <si>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</si>
  <si>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</si>
  <si>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</si>
  <si>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</si>
  <si>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</si>
  <si>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</si>
  <si>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</si>
  <si>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</si>
  <si>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</si>
  <si>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</si>
  <si>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</si>
  <si>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</si>
  <si>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</si>
  <si>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</si>
  <si>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</si>
  <si>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</si>
  <si>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</si>
  <si>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</si>
  <si>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</si>
  <si>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</si>
  <si>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</si>
  <si>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</si>
  <si>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</si>
  <si>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</si>
  <si>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</si>
  <si>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</si>
  <si>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</si>
  <si>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</si>
  <si>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</si>
  <si>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</si>
  <si>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</si>
  <si>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</si>
  <si>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</si>
  <si>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</si>
  <si>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</si>
  <si>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</si>
  <si>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</si>
  <si>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</si>
  <si>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</si>
  <si>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</si>
  <si>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</si>
  <si>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</si>
  <si>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</si>
  <si>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</si>
  <si>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</si>
  <si>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</si>
  <si>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</si>
  <si>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</si>
  <si>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</si>
  <si>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</si>
  <si>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</si>
  <si>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</si>
  <si>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</si>
  <si>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</si>
  <si>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</si>
  <si>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</si>
  <si>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</si>
  <si>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</si>
  <si>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</si>
  <si>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</si>
  <si>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</si>
  <si>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</si>
  <si>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</si>
  <si>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</si>
  <si>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</si>
  <si>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</si>
  <si>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</si>
  <si>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</si>
  <si>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</si>
  <si>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</si>
  <si>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</si>
  <si>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</si>
  <si>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</si>
  <si>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</si>
  <si>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</si>
  <si>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</si>
  <si>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</si>
  <si>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</si>
  <si>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</si>
  <si>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</si>
  <si>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</si>
  <si>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</si>
  <si>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</si>
  <si>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</si>
  <si>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</si>
  <si>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</si>
  <si>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</si>
  <si>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</si>
  <si>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</si>
  <si>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</si>
  <si>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</si>
  <si>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</si>
  <si>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</si>
  <si>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</si>
  <si>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</si>
  <si>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</si>
  <si>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</si>
  <si>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</si>
  <si>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</si>
  <si>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</si>
  <si>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</si>
  <si>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</si>
  <si>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</si>
  <si>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</si>
  <si>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</si>
  <si>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</si>
  <si>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</si>
  <si>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</si>
  <si>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</si>
  <si>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</si>
  <si>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</si>
  <si>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</si>
  <si>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</si>
  <si>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</si>
  <si>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</si>
  <si>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</si>
  <si>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</si>
  <si>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</si>
  <si>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</si>
  <si>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</si>
  <si>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</si>
  <si>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</si>
  <si>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</si>
  <si>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</si>
  <si>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</si>
  <si>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</si>
  <si>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</si>
  <si>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</si>
  <si>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</si>
  <si>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</si>
  <si>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</si>
  <si>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</si>
  <si>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</si>
  <si>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</si>
  <si>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</si>
  <si>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</si>
  <si>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</si>
  <si>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</si>
  <si>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</si>
  <si>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</si>
  <si>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</si>
  <si>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</si>
  <si>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</si>
  <si>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</si>
  <si>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</si>
  <si>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</si>
  <si>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</si>
  <si>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</si>
  <si>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</si>
  <si>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</si>
  <si>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</si>
  <si>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</si>
  <si>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</si>
  <si>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</si>
  <si>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</si>
  <si>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</si>
  <si>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</si>
  <si>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</si>
  <si>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</si>
  <si>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</si>
  <si>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</si>
  <si>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</si>
  <si>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</si>
  <si>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</si>
  <si>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</si>
  <si>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</si>
  <si>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</si>
  <si>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</si>
  <si>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</si>
  <si>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</si>
  <si>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</si>
  <si>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</si>
  <si>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</si>
  <si>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</si>
  <si>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</si>
  <si>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</si>
  <si>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</si>
  <si>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</si>
  <si>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</si>
  <si>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</si>
  <si>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</si>
  <si>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</si>
  <si>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</si>
  <si>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</si>
  <si>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</si>
  <si>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</si>
  <si>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</si>
  <si>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</si>
  <si>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</si>
  <si>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</si>
  <si>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</si>
  <si>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</si>
  <si>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</si>
  <si>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</si>
  <si>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</si>
  <si>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</si>
  <si>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</si>
  <si>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</si>
  <si>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</si>
  <si>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</si>
  <si>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</si>
  <si>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</si>
  <si>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</si>
  <si>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</si>
  <si>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</si>
  <si>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</si>
  <si>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</si>
  <si>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</si>
  <si>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</si>
  <si>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</si>
  <si>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</si>
  <si>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</si>
  <si>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</si>
  <si>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</si>
  <si>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</si>
  <si>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</si>
  <si>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</si>
  <si>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</si>
  <si>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</si>
  <si>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</si>
  <si>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</si>
  <si>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</si>
  <si>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</si>
  <si>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</si>
  <si>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</si>
  <si>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</si>
  <si>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</si>
  <si>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</si>
  <si>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</si>
  <si>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</si>
  <si>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</si>
  <si>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</si>
  <si>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</si>
  <si>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</si>
  <si>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</si>
  <si>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</si>
  <si>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</si>
  <si>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</si>
  <si>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</si>
  <si>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</si>
  <si>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</si>
  <si>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</si>
  <si>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</si>
  <si>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</si>
  <si>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</si>
  <si>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</si>
  <si>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</si>
  <si>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</si>
  <si>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</si>
  <si>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</si>
  <si>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</si>
  <si>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</si>
  <si>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</si>
  <si>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</si>
  <si>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</si>
  <si>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</si>
  <si>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</si>
  <si>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</si>
  <si>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</si>
  <si>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</si>
  <si>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TIPO COMPLEMENTO</t>
  </si>
  <si>
    <t xml:space="preserve">TOTAL CUPOS
</t>
  </si>
  <si>
    <t>OPERADOR2</t>
  </si>
  <si>
    <t>TIPO COMPLEMENTO2</t>
  </si>
  <si>
    <t>OPERADOR3</t>
  </si>
  <si>
    <t>TOTAL CUPOS
4</t>
  </si>
  <si>
    <t>UT MEDELLIN SOCIAL 2019</t>
  </si>
  <si>
    <t>SALAMANCA S.A</t>
  </si>
  <si>
    <t>CAM/PM</t>
  </si>
  <si>
    <t>CAM/PM
VL</t>
  </si>
  <si>
    <t>VL</t>
  </si>
  <si>
    <t>ALIRIO GOMEZ G S.A.S</t>
  </si>
  <si>
    <t>CTA</t>
  </si>
  <si>
    <t>CTA
VL</t>
  </si>
  <si>
    <t>RI</t>
  </si>
  <si>
    <t>RI
VL</t>
  </si>
  <si>
    <t>Columna689</t>
  </si>
  <si>
    <t>Columna690</t>
  </si>
  <si>
    <t>SINO</t>
  </si>
  <si>
    <t>NO</t>
  </si>
  <si>
    <t>SI</t>
  </si>
  <si>
    <t>DIRECCION OPERADOR</t>
  </si>
  <si>
    <t>Columna691</t>
  </si>
  <si>
    <t>CONTACTO INTERVENTOR</t>
  </si>
  <si>
    <t>Columna692</t>
  </si>
  <si>
    <t>Columna693</t>
  </si>
  <si>
    <t>Columna694</t>
  </si>
  <si>
    <t>Columna695</t>
  </si>
  <si>
    <t>Columna696</t>
  </si>
  <si>
    <t>Columna697</t>
  </si>
  <si>
    <t>Columna698</t>
  </si>
  <si>
    <t>Columna699</t>
  </si>
  <si>
    <t>Columna700</t>
  </si>
  <si>
    <t>Columna701</t>
  </si>
  <si>
    <t>CONTACTO</t>
  </si>
  <si>
    <t>ROA</t>
  </si>
  <si>
    <t>LENTEJA</t>
  </si>
  <si>
    <t>COLANTA</t>
  </si>
  <si>
    <t>ALPINA</t>
  </si>
  <si>
    <t>OPCION2</t>
  </si>
  <si>
    <t>Formato
FO-GESR Acta de Visita de Supervisión General en Establecimiento Educativo – Seguridad Alimentaria</t>
  </si>
  <si>
    <t>COMPLEMENTO TIPO ALMUERZO - AM / PM  - DATOS GENERALES DE LA VISITA DE INTERVENTORIA</t>
  </si>
  <si>
    <t xml:space="preserve">HORA INICIO DE VISITA HH:MM </t>
  </si>
  <si>
    <t xml:space="preserve">HORA FINALIZACION DE VISITA HH:MM </t>
  </si>
  <si>
    <t>TOTAL TITULARES POR MODALIDAD</t>
  </si>
  <si>
    <t>ACEITE VEGETAL PURO O MEZCLA DE GIRASOL,CANOLA, SOYA O MAÍZ</t>
  </si>
  <si>
    <t xml:space="preserve">ALBONDIGAS DE CARNE DE RES PRECOCIDA </t>
  </si>
  <si>
    <t>ALMOJABANA</t>
  </si>
  <si>
    <t>AREPA REDONDA</t>
  </si>
  <si>
    <t xml:space="preserve">ARROZ BLANCO FORTIFICADO     </t>
  </si>
  <si>
    <t>ATUN LOMITO EN AGUA</t>
  </si>
  <si>
    <t>CAFÉ INSTANTANEO GRANULADO</t>
  </si>
  <si>
    <t>CARNE DE CERDO PIERNA O BRAZO</t>
  </si>
  <si>
    <t>CREMA DE LECHE</t>
  </si>
  <si>
    <t>CROISSANT HOJALDRADO</t>
  </si>
  <si>
    <t xml:space="preserve">GALLETA DE SAL </t>
  </si>
  <si>
    <t>HUEVOS TIPO A</t>
  </si>
  <si>
    <t xml:space="preserve">LECHE  DE VACA ENTERA EN POLVO      </t>
  </si>
  <si>
    <t>LECHE CONDENSADA</t>
  </si>
  <si>
    <t xml:space="preserve">MANI  CUBIERTO DE CHOCOLATE </t>
  </si>
  <si>
    <t>MOSTANEZA</t>
  </si>
  <si>
    <t>NACHO DE MAIZ</t>
  </si>
  <si>
    <t>PAN HAMBURGUESA</t>
  </si>
  <si>
    <t>PECHUGA DE POLLO SIN MARINAR, SIN PIEL Y EN TROZOS</t>
  </si>
  <si>
    <t>POLVO DE BIZCOCHO</t>
  </si>
  <si>
    <t xml:space="preserve">POLVO INSTANTANEO FORTIFICADO  CON SABOR A CHOCOLATE </t>
  </si>
  <si>
    <t xml:space="preserve">PULPAS DE FRUTAS </t>
  </si>
  <si>
    <t xml:space="preserve">QUESO BLANCO O CAMPESINO EMPACADO AL VACIO   </t>
  </si>
  <si>
    <t>SALSA BARBECUE (BBQ)</t>
  </si>
  <si>
    <t>SALSA ROSADA</t>
  </si>
  <si>
    <t>WAFFLE</t>
  </si>
  <si>
    <t xml:space="preserve">YOGURT CON PROBIOTICOS Y PREBIOTICOS NATURAL O SABORIZADO UND X 200 </t>
  </si>
  <si>
    <t xml:space="preserve">YOGURT GRIEGO O TIPO GRIEGO YOGURT CON PROBIOTICOS Y PREBIOTICOS SABORIZADO UND X 100 </t>
  </si>
  <si>
    <t>ABURRÁ</t>
  </si>
  <si>
    <t>ABURRÁ / BARY</t>
  </si>
  <si>
    <t>ADEREZOS</t>
  </si>
  <si>
    <t>AGROFRUT</t>
  </si>
  <si>
    <t>ALIMENTOS NOA</t>
  </si>
  <si>
    <t>ALMOJABANAS MUNDIALES</t>
  </si>
  <si>
    <t>APANCOL</t>
  </si>
  <si>
    <t>AREPAS SARY</t>
  </si>
  <si>
    <t>AREPUES</t>
  </si>
  <si>
    <t>AROMA</t>
  </si>
  <si>
    <t>ASTEK</t>
  </si>
  <si>
    <t>AVIFRESCO</t>
  </si>
  <si>
    <t>AZTECA</t>
  </si>
  <si>
    <t>BADIA</t>
  </si>
  <si>
    <t>BARY</t>
  </si>
  <si>
    <t>BARY / ABURRÁ</t>
  </si>
  <si>
    <t>BARY/HARDYS/ABURRÁ</t>
  </si>
  <si>
    <t>BIZCOCHUELO</t>
  </si>
  <si>
    <t>BON LIFE - WALTER GIRALDO</t>
  </si>
  <si>
    <t>BUEN DIA</t>
  </si>
  <si>
    <t>CAMPI</t>
  </si>
  <si>
    <t>CAPUCCINO AL PASO</t>
  </si>
  <si>
    <t>CARNICOS EXTRA</t>
  </si>
  <si>
    <t>CATALINA / EL TRECE</t>
  </si>
  <si>
    <t>CELEMA</t>
  </si>
  <si>
    <t>CEREALES LA DESPENSA S.A.S</t>
  </si>
  <si>
    <t>CHOCODELI</t>
  </si>
  <si>
    <t>CHOCODELI / CHOCOBOYS</t>
  </si>
  <si>
    <t>CLUB SOCIAL / NABISCO</t>
  </si>
  <si>
    <t>COLOMBINA / CRAKEÑA</t>
  </si>
  <si>
    <t>COLOMBINA / NUCITA</t>
  </si>
  <si>
    <t>COLPAGRO</t>
  </si>
  <si>
    <t>COMAPAN</t>
  </si>
  <si>
    <t>COMPAÑÍA DE GALLETAS NOEL S.A.S</t>
  </si>
  <si>
    <t>CONDITODO / EL TRECE</t>
  </si>
  <si>
    <t>COOLECHES S.A.S./ DELIMILK</t>
  </si>
  <si>
    <t>COOPERATIVA COLANTA</t>
  </si>
  <si>
    <t>CORONA</t>
  </si>
  <si>
    <t>DIPSA FOOD S.A.S</t>
  </si>
  <si>
    <t>DON SANCHO</t>
  </si>
  <si>
    <t>DOÑA LUCHA</t>
  </si>
  <si>
    <t>DUA RODAS</t>
  </si>
  <si>
    <t>DUQUESA/CREMESA CON GIRASOL</t>
  </si>
  <si>
    <t>EL BIZCOCHUELO S.A.S</t>
  </si>
  <si>
    <t>EL RANCHERO</t>
  </si>
  <si>
    <t>EL TRECE</t>
  </si>
  <si>
    <t>FEDERAL</t>
  </si>
  <si>
    <t>FRIGOCARNES</t>
  </si>
  <si>
    <t>HAZ DE OROS</t>
  </si>
  <si>
    <t>HORNEADITOS</t>
  </si>
  <si>
    <t>HUEVOS KIKES</t>
  </si>
  <si>
    <t>HUEVOS ORO</t>
  </si>
  <si>
    <t>JAIME AREPAS</t>
  </si>
  <si>
    <t>JDH (Parmalat)</t>
  </si>
  <si>
    <t>LA CONSTANCIA</t>
  </si>
  <si>
    <t>LA CONSTANCIA / COLOMBINA</t>
  </si>
  <si>
    <t>LA DUQUESA S.A</t>
  </si>
  <si>
    <t>LA FONTANA</t>
  </si>
  <si>
    <t>LA NEVADA</t>
  </si>
  <si>
    <t>LACTEOS BETANIA</t>
  </si>
  <si>
    <t>LACTEOS EL RANCHERO</t>
  </si>
  <si>
    <t>LACTEOS Y CONGELADOS IDEAL / DACOTA</t>
  </si>
  <si>
    <t xml:space="preserve">LACTOLECHE / MIRAMONTE/INDUNILO   </t>
  </si>
  <si>
    <t>LAS LOLAS</t>
  </si>
  <si>
    <t xml:space="preserve">LUKAFE DE LUKER </t>
  </si>
  <si>
    <t>MANITOBA LTDA</t>
  </si>
  <si>
    <t>MANTEL DE CUADROS</t>
  </si>
  <si>
    <t xml:space="preserve">METOO </t>
  </si>
  <si>
    <t>MONTEFRIO / COOPERATIVA COLANTA</t>
  </si>
  <si>
    <t>MOUNTAIN FOOD</t>
  </si>
  <si>
    <t>NATIO</t>
  </si>
  <si>
    <t>NEBRASKA</t>
  </si>
  <si>
    <t>NOVAPAN</t>
  </si>
  <si>
    <t>NUTRISER</t>
  </si>
  <si>
    <t>PRACTIS</t>
  </si>
  <si>
    <t>PRONALCE S.A- CHOCOTOM</t>
  </si>
  <si>
    <t>PRONATURAL FOODS</t>
  </si>
  <si>
    <t xml:space="preserve">REFISAL / DOÑA BLANCA </t>
  </si>
  <si>
    <t>RICOLAC</t>
  </si>
  <si>
    <t>SAN VALENTIN / QUÍMICA AROMÁTICA ANDINA</t>
  </si>
  <si>
    <t>SANTA RITA</t>
  </si>
  <si>
    <t xml:space="preserve">SUPREMO FORTIFICADO </t>
  </si>
  <si>
    <t>SUSANITA</t>
  </si>
  <si>
    <t xml:space="preserve">TOMMY </t>
  </si>
  <si>
    <t>TRIDER FOODS</t>
  </si>
  <si>
    <t>TURKY/MILENIUM</t>
  </si>
  <si>
    <t>VITAMAR</t>
  </si>
  <si>
    <t>RIOPAILA</t>
  </si>
  <si>
    <t>AREPA BLANCA REDONDA</t>
  </si>
  <si>
    <t xml:space="preserve">CABELLO DE ANGEL </t>
  </si>
  <si>
    <t xml:space="preserve">CARNE DE RES HUEVO DE ALDANA, SOLOMO EXTRANJERO,  </t>
  </si>
  <si>
    <t>CARNE DE RES PARA DESMECHAR, PUNTA DE ESPALDILLA O FALDA , POSTA,TABLA.</t>
  </si>
  <si>
    <t>COLOR</t>
  </si>
  <si>
    <t>ESENCIA DE VAINILLA</t>
  </si>
  <si>
    <t>FRIJOL BLANQUILLO</t>
  </si>
  <si>
    <t>FRIJOL LIMA</t>
  </si>
  <si>
    <t>LECHE LIQUIDA ENTERA DE VACA  UHT UND X 1000 CC</t>
  </si>
  <si>
    <t>MARGARINA SUAVE DE MESA</t>
  </si>
  <si>
    <t>MIEL DE ABEJA</t>
  </si>
  <si>
    <t>PAN MANTEQUILLA REDONDO</t>
  </si>
  <si>
    <t>QUESO MOZARELLA EN BLOQUE</t>
  </si>
  <si>
    <t>SALSA DE TOMATE</t>
  </si>
  <si>
    <t>VINAGRE DE FRUTAS</t>
  </si>
  <si>
    <t>AGROFRUT ( CANOA)</t>
  </si>
  <si>
    <t>ARROZ CARIBE S.A</t>
  </si>
  <si>
    <t>BARY / HARDYS</t>
  </si>
  <si>
    <t>BIMBO DE COLOMBIA</t>
  </si>
  <si>
    <t>BIOPEC SAS- DEL NECTAR</t>
  </si>
  <si>
    <t>CALYPSO</t>
  </si>
  <si>
    <t>CASABLANCA</t>
  </si>
  <si>
    <t>CATALINA</t>
  </si>
  <si>
    <t>COLANTA- MONTEFRIO</t>
  </si>
  <si>
    <t>COMARRICO</t>
  </si>
  <si>
    <t>CONDIMAR</t>
  </si>
  <si>
    <t>CONDITODO</t>
  </si>
  <si>
    <t>COOLECHES SAS (DELIMILK)</t>
  </si>
  <si>
    <t>COSTA RICA</t>
  </si>
  <si>
    <t>DIANA</t>
  </si>
  <si>
    <t>DOÑA BLANCA</t>
  </si>
  <si>
    <t>EL FORTIN</t>
  </si>
  <si>
    <t>EL ZARZAL</t>
  </si>
  <si>
    <t>FRUTYSABOR</t>
  </si>
  <si>
    <t>GBM</t>
  </si>
  <si>
    <t>GOLONDRINAS</t>
  </si>
  <si>
    <t>INCAUCA</t>
  </si>
  <si>
    <t>INVERSIONES CARNES TORRENTE</t>
  </si>
  <si>
    <t>INVERSIONES PENIEL</t>
  </si>
  <si>
    <t>KLIK</t>
  </si>
  <si>
    <t>LA FINCA</t>
  </si>
  <si>
    <t>LA NIEVE</t>
  </si>
  <si>
    <t>LA SOBERANA</t>
  </si>
  <si>
    <t>LACTEOS IDEAL</t>
  </si>
  <si>
    <t>LAMB WESTON</t>
  </si>
  <si>
    <t>LISTO EL POLLO</t>
  </si>
  <si>
    <t>MOLINOS DEL ATLANTICO</t>
  </si>
  <si>
    <t>MONTEFRIO</t>
  </si>
  <si>
    <t>NUCITA</t>
  </si>
  <si>
    <t>OLEO EXPRESS</t>
  </si>
  <si>
    <t>PERMAN</t>
  </si>
  <si>
    <t>PRACTIPULPA</t>
  </si>
  <si>
    <t>PRODUCTOS EL CARIBE</t>
  </si>
  <si>
    <t>PRONALSE DEL SUR</t>
  </si>
  <si>
    <t>RAMA</t>
  </si>
  <si>
    <t>REFISAL</t>
  </si>
  <si>
    <t>RICOLIN</t>
  </si>
  <si>
    <t>SAN AMBROSIO</t>
  </si>
  <si>
    <t>SANTA ANITA NAPOLES</t>
  </si>
  <si>
    <t>SELECTA COMPAÑÍA DE CEREALES</t>
  </si>
  <si>
    <t>SERVIHUEVO</t>
  </si>
  <si>
    <t>SOBERANA</t>
  </si>
  <si>
    <t>SU DESPENSA</t>
  </si>
  <si>
    <t>SUPREMO FORTIFICADO -UNION DE ARROCEROS</t>
  </si>
  <si>
    <t>TRADER FOODS</t>
  </si>
  <si>
    <t>TURKY</t>
  </si>
  <si>
    <t>ZAFRAN</t>
  </si>
  <si>
    <t>ZONIA</t>
  </si>
  <si>
    <t>ESPAGUETIS CON ATÚN</t>
  </si>
  <si>
    <t xml:space="preserve">YOGURT </t>
  </si>
  <si>
    <t>YOGURT NATURAL</t>
  </si>
  <si>
    <t>ACEITE</t>
  </si>
  <si>
    <t>AJO</t>
  </si>
  <si>
    <t>ALBÓNDIGAS DE CARNE DE RES</t>
  </si>
  <si>
    <t>ALBÓNDIGAS EN SALSA</t>
  </si>
  <si>
    <t>ALBÓNDIGAS EN SALSA BBQ</t>
  </si>
  <si>
    <t>AREPA DE CHÓCOLO CON QUESO Y MARGARINA</t>
  </si>
  <si>
    <t>AREPA DELGADA</t>
  </si>
  <si>
    <t>AREPA DELGADA DE CHÓCOLO</t>
  </si>
  <si>
    <t xml:space="preserve">AREPA FRITA </t>
  </si>
  <si>
    <t>ARROZ  CON CABELLO DE ÁNGEL</t>
  </si>
  <si>
    <t>ARROZ BLANCO</t>
  </si>
  <si>
    <t>ARROZ CON ESPINACA</t>
  </si>
  <si>
    <t>ARROZ CON LECHE</t>
  </si>
  <si>
    <t>ARROZ CON MADURO</t>
  </si>
  <si>
    <t>ARROZ CON PIMENTÓN</t>
  </si>
  <si>
    <t>ARROZ CON ZANAHORIA</t>
  </si>
  <si>
    <t>ARROZ FORTIFICADO</t>
  </si>
  <si>
    <t>ARROZ MIXTO</t>
  </si>
  <si>
    <t>ARROZ ROJO</t>
  </si>
  <si>
    <t>ATÚN LOMITO EN AGUA (PESO DRENADO)</t>
  </si>
  <si>
    <t>ATÚN SOFRITO</t>
  </si>
  <si>
    <t>AUYAMA</t>
  </si>
  <si>
    <t xml:space="preserve">AVENA </t>
  </si>
  <si>
    <t xml:space="preserve">AVENA EN HOJUELAS </t>
  </si>
  <si>
    <t>AZÚCAR</t>
  </si>
  <si>
    <t>AZÚCAR REFINADA</t>
  </si>
  <si>
    <t>BANANO MADURO</t>
  </si>
  <si>
    <t>BANANO PELADO</t>
  </si>
  <si>
    <t>BANANO PELADO (PESO NETO)</t>
  </si>
  <si>
    <t xml:space="preserve">BATIDO DE FRUTA </t>
  </si>
  <si>
    <t xml:space="preserve">BEBIDA CHOCOLATADA </t>
  </si>
  <si>
    <t>BEBIDA CHOCOLATADA FRÍA O CALIENTE</t>
  </si>
  <si>
    <t>BISTEC DE CARNE DE RES</t>
  </si>
  <si>
    <t>BLANQUILLO</t>
  </si>
  <si>
    <t>CAFÉ CON LECHE</t>
  </si>
  <si>
    <t>CANELA EN POLVO</t>
  </si>
  <si>
    <t>CARNE DE CERDO DESMECHADA</t>
  </si>
  <si>
    <t>CARNE DE CERDO SOFRITA</t>
  </si>
  <si>
    <t>CARNE DE RES</t>
  </si>
  <si>
    <t>CARNE DE RES DESMECHADA</t>
  </si>
  <si>
    <t>CARNE DE RES SOFRITA</t>
  </si>
  <si>
    <t xml:space="preserve">CARNE PICADA </t>
  </si>
  <si>
    <t>CAZUELA DE FRÍJOLES</t>
  </si>
  <si>
    <t>CEBOLLA DE HUEVO BLANCA</t>
  </si>
  <si>
    <t xml:space="preserve">CEBOLLA JUNCA </t>
  </si>
  <si>
    <t>CEBOLLÍN</t>
  </si>
  <si>
    <t>CILANTRO</t>
  </si>
  <si>
    <t>CREMA DE PAPA</t>
  </si>
  <si>
    <t>CROISSANT HOJALDRADO CON MARGARINA Y QUESO</t>
  </si>
  <si>
    <t>CROQUETA DE ZANAHORIA</t>
  </si>
  <si>
    <t>ENSALADA DE FRUTAS</t>
  </si>
  <si>
    <t>ENSALADA DE PAPA</t>
  </si>
  <si>
    <t>ENSALADA DULCE</t>
  </si>
  <si>
    <t>ENSALADA FRESCA</t>
  </si>
  <si>
    <t>ENSALADA PARA LA HAMBURGUESA</t>
  </si>
  <si>
    <t>FRÍJOLES</t>
  </si>
  <si>
    <t>FRÍJOLES CON HOGAO</t>
  </si>
  <si>
    <t>FRUTA ENTERA</t>
  </si>
  <si>
    <t>FRUTA PICADA</t>
  </si>
  <si>
    <t>GALLETA DE SAL CON SABOR A QUESO</t>
  </si>
  <si>
    <t>GARBANZOS</t>
  </si>
  <si>
    <t xml:space="preserve">GARBANZOS GUISADOS </t>
  </si>
  <si>
    <t>GOULASH DE RES</t>
  </si>
  <si>
    <t>GUAYABA PINTONA (FRUTA)</t>
  </si>
  <si>
    <t>HABICHUELA</t>
  </si>
  <si>
    <t>HAMBURGUESA DE CARNE DE RES</t>
  </si>
  <si>
    <t>HARINA DE TRIGO FORTIFICADA</t>
  </si>
  <si>
    <t>HOGAO</t>
  </si>
  <si>
    <t>HUEVO  DE GALLINA</t>
  </si>
  <si>
    <t>HUEVO COCIDO</t>
  </si>
  <si>
    <t>HUEVO COCIDO CON SAL</t>
  </si>
  <si>
    <t>HUEVO DE GALLINA</t>
  </si>
  <si>
    <t>HUEVO REVUELTO</t>
  </si>
  <si>
    <t>HUEVO REVUELTO CON ALIÑOS</t>
  </si>
  <si>
    <t xml:space="preserve">JUGO DE FRUTA </t>
  </si>
  <si>
    <t>JUGO DE GUAYABA</t>
  </si>
  <si>
    <t>JUGO DE LIMÓN</t>
  </si>
  <si>
    <t>JUGO MIX DE PIÑA Y FRESA</t>
  </si>
  <si>
    <t>LECHE EN POLVO ENTERA</t>
  </si>
  <si>
    <t>LECHE LIQUIDA ENTERA UHT</t>
  </si>
  <si>
    <t>LECHE LIQUIDA UHT</t>
  </si>
  <si>
    <t>LENTEJAS GUISADAS</t>
  </si>
  <si>
    <t>MAÍZ TIERNO</t>
  </si>
  <si>
    <t>MANGO  TOMMY MADURO</t>
  </si>
  <si>
    <t>MANGO TOMMY PINTÓN</t>
  </si>
  <si>
    <t>MAYONESA</t>
  </si>
  <si>
    <t>MOSTAZA</t>
  </si>
  <si>
    <t>PAN BLANCO TAJADO</t>
  </si>
  <si>
    <t xml:space="preserve">PAN MANTEQUILLA </t>
  </si>
  <si>
    <t>PANELA</t>
  </si>
  <si>
    <t>PAPA CAPIRA</t>
  </si>
  <si>
    <t>PAPA CAPIRA CON CÁSCARA</t>
  </si>
  <si>
    <t>PAPA CAPIRA PELADA</t>
  </si>
  <si>
    <t>PAPA CHORRIADA</t>
  </si>
  <si>
    <t xml:space="preserve">PAPA COCIDA </t>
  </si>
  <si>
    <t>PAPA CRIOLLA</t>
  </si>
  <si>
    <t>PAPA CRIOLLA CON CÁSCARA</t>
  </si>
  <si>
    <t>PAPA CRIOLLA FRITA</t>
  </si>
  <si>
    <t>PAPA SALTEADA</t>
  </si>
  <si>
    <t>PAPAS  A LA FRANCESA</t>
  </si>
  <si>
    <t>PAPAS CRIOLLAS FRITAS</t>
  </si>
  <si>
    <t xml:space="preserve">PAPAYUELA O PAPAYA </t>
  </si>
  <si>
    <t xml:space="preserve">PATACÓN </t>
  </si>
  <si>
    <t>PECHUGA DE POLLO SIN PIEL</t>
  </si>
  <si>
    <t>PICADO DE CARNE Y MADURO</t>
  </si>
  <si>
    <t>PIERNA DE CERDO EN SALSA BBQ</t>
  </si>
  <si>
    <t>PIERNA O BRAZO DE CERDO</t>
  </si>
  <si>
    <t>PIMENTÓN</t>
  </si>
  <si>
    <t>PIMENTÓN ROJO</t>
  </si>
  <si>
    <t>PIÑA FRUTA ENTERA</t>
  </si>
  <si>
    <t>PIÑA FRUTA ENTERA SIN CORAZÓN</t>
  </si>
  <si>
    <t>PLÁTANO GUINEO</t>
  </si>
  <si>
    <t>PLÁTANO HARTÓN MADURO</t>
  </si>
  <si>
    <t>PLATANO HARTÓN VERDE</t>
  </si>
  <si>
    <t>PLÁTANO MADURO CALADO</t>
  </si>
  <si>
    <t xml:space="preserve">PLÁTANO MADURO PICADO CON QUESO </t>
  </si>
  <si>
    <t>POLLO DESMECHADO</t>
  </si>
  <si>
    <t>PULPA DE FRESA</t>
  </si>
  <si>
    <t xml:space="preserve">PULPA DE GUANÁBANA </t>
  </si>
  <si>
    <t xml:space="preserve">QUESO BLANCO O CAMPESINO </t>
  </si>
  <si>
    <t>QUESO MOZARELLA</t>
  </si>
  <si>
    <t>QUESO MOZARELLA EN LONJA</t>
  </si>
  <si>
    <t>QUESO MOZZARELLA (EN BLOQUE PARA RAYAR)</t>
  </si>
  <si>
    <t>QUESO MOZZARELLA EN LONJA</t>
  </si>
  <si>
    <t xml:space="preserve">REFRESCO DE AVENA </t>
  </si>
  <si>
    <t>REPOLLO BLANCO</t>
  </si>
  <si>
    <t xml:space="preserve">REPOLLO MORADO </t>
  </si>
  <si>
    <t>SAL</t>
  </si>
  <si>
    <t>SAL YODADA</t>
  </si>
  <si>
    <t>SAL YODADA (ARROZ)</t>
  </si>
  <si>
    <t>SAL YODADA (CARNE)</t>
  </si>
  <si>
    <t>SALSA BBQ</t>
  </si>
  <si>
    <t>SÁNDUCHE DE POLLO</t>
  </si>
  <si>
    <t>SOPA DE BLANQUILLO</t>
  </si>
  <si>
    <t>SOPA DE GUINEO</t>
  </si>
  <si>
    <t>SOPA DE PAPA</t>
  </si>
  <si>
    <t>SOPA DE VERDURAS</t>
  </si>
  <si>
    <t xml:space="preserve">SORBETE DE FRUTA </t>
  </si>
  <si>
    <t>SORBETE DE GUANÁBANA</t>
  </si>
  <si>
    <t>SORBETE DE GUAYABA</t>
  </si>
  <si>
    <t>SUDADO DE POLLO</t>
  </si>
  <si>
    <t>TAJADA DE PLÁTANO MADURO</t>
  </si>
  <si>
    <t>TAJADA DE PLÁTANO MADURO CON QUESO</t>
  </si>
  <si>
    <t>TOMATE CHONTO</t>
  </si>
  <si>
    <t>TOMATE CHONTO MADURO</t>
  </si>
  <si>
    <t>TOMATE CHONTO PINTÓN</t>
  </si>
  <si>
    <t>TOMATE CHONTO PINTÓN EN RODAJA</t>
  </si>
  <si>
    <t>TOMATE CHONTO VERDE</t>
  </si>
  <si>
    <t>TOMATE DE ALIÑO</t>
  </si>
  <si>
    <t>TOMATE EN CUBOS</t>
  </si>
  <si>
    <t>TOMATE VERDE EN RODAJAS</t>
  </si>
  <si>
    <t>TORTA DE ATÚN</t>
  </si>
  <si>
    <t>TORTA DE AUYAMA</t>
  </si>
  <si>
    <t>TORTA DE BANANO</t>
  </si>
  <si>
    <t xml:space="preserve">TORTA DE CARNE </t>
  </si>
  <si>
    <t>TORTA DE CARNE DE RES</t>
  </si>
  <si>
    <t>TORTA DE CARNE DE RES PRECOCIDA</t>
  </si>
  <si>
    <t>TORTAS DE ATÚN</t>
  </si>
  <si>
    <t>TORTICAS DE PAPA</t>
  </si>
  <si>
    <t>TORTICAS DE PAPA CON QUESO</t>
  </si>
  <si>
    <t xml:space="preserve">WAFFLE CALIENTE CON MARGARINA </t>
  </si>
  <si>
    <t>YOGURT  DE MORA, CON PROBIÓTICOS Y PREBIÓTICOS</t>
  </si>
  <si>
    <t>YOGURT GRIEGO</t>
  </si>
  <si>
    <t>YOGURT GRIEGO O TIPO GRIEGO CON  PROBIÓTICOS Y PREBIÓTICOS GRUPO # 2</t>
  </si>
  <si>
    <t>YOGURT GRIEGO O TIPO GRIEGO CON PROBIÓTICOS Y PREBIÓTICOS GRUPO # 1</t>
  </si>
  <si>
    <t>YOGURT NATURAL CON PROBIÓTICOS Y PREBIÓTICOS</t>
  </si>
  <si>
    <t>ZANAHORIA</t>
  </si>
  <si>
    <t>AREPA DE QUESO TIPO  TELA</t>
  </si>
  <si>
    <t>CASERITAS</t>
  </si>
  <si>
    <t>LA DESPENSA</t>
  </si>
  <si>
    <t>DIPSA FOOD</t>
  </si>
  <si>
    <t>PRODUCTOS RAMO</t>
  </si>
  <si>
    <t>NACIONAL DE CHOCOLATES</t>
  </si>
  <si>
    <t>EL HACENDADO</t>
  </si>
  <si>
    <t>NATURANJA</t>
  </si>
  <si>
    <t>FRUDELCA</t>
  </si>
  <si>
    <t>TUNEZ</t>
  </si>
  <si>
    <t>PRONUT</t>
  </si>
  <si>
    <t>GRECO</t>
  </si>
  <si>
    <t>TOSH-NOEL</t>
  </si>
  <si>
    <t>COLOMBINA S.A</t>
  </si>
  <si>
    <t>CRAKEÑAS</t>
  </si>
  <si>
    <t>BARQUILLO CON CREMA SABOR A CHOCOLATE</t>
  </si>
  <si>
    <t>BARRA DE CEREAL CON FRUTAS</t>
  </si>
  <si>
    <t>BROWNIE DE CHOCOLATE</t>
  </si>
  <si>
    <t xml:space="preserve">CEREAL DE MAIZ EN HOJUELAS AZUCARADO, SABOR A CHOCOLATE, ENRIQUECIDO CON VITAMINAS Y MINERALES  </t>
  </si>
  <si>
    <t>GALLETA MULTICEREAL CON MACADAMIA</t>
  </si>
  <si>
    <t>GALLETA WAFFER CUBIERTA CON CHOCOLATE</t>
  </si>
  <si>
    <t>MEZCLA DE FRUTOS SECOS (maní salado, maíz tostado y uva pasa)</t>
  </si>
  <si>
    <t>MINI CROISSANT HOJALDRADO</t>
  </si>
  <si>
    <t>PALO HOJALDRADO DE QUESO</t>
  </si>
  <si>
    <t>PANDEBONO</t>
  </si>
  <si>
    <t>PASTEL HOJALDRADO DE GUAYABA</t>
  </si>
  <si>
    <t>ROSQUILLAS HORNEADAS</t>
  </si>
  <si>
    <t>TORTA CON SABOR A LIMÓN</t>
  </si>
  <si>
    <t>TORTA DE VAINILLA CON CHIPS DE CHOCOLATE</t>
  </si>
  <si>
    <t>YOGURT  DE MELOCOTÓN, CON PROBIÓTICOS Y PREBIÓTICOS</t>
  </si>
  <si>
    <t>YOGURT  DE FRUTOS ROJOS, CON PROBIÓTICOS Y PREBIÓTICOS</t>
  </si>
  <si>
    <t>YOGURT  DE FRESA, CON PROBIÓTICOS Y PREBIÓTICOS</t>
  </si>
  <si>
    <t>PASTEL HOJALDRADO DE  QUESO</t>
  </si>
  <si>
    <t>QUESO DULCE O PANELITA DE LECHE</t>
  </si>
  <si>
    <t>JUGO NATURAL DE MANDARINA O NARANJA</t>
  </si>
  <si>
    <t>JUGO DE MANDARINA O NARANJA, 100% FRUTA SIN AZUCAR</t>
  </si>
  <si>
    <t>CROISSANT INTEGRAL HOJALDRADO DE QUESO</t>
  </si>
  <si>
    <t>MEZCLA DE FRUTOS SECOS</t>
  </si>
  <si>
    <t>MEZCLA DE MANÍ SALADO, MAÍZ TOSTADO Y UVA PASA</t>
  </si>
  <si>
    <t xml:space="preserve">SÁNDWICH DE JAMÓN Y QUESO </t>
  </si>
  <si>
    <t>YOGURT GRIEGO O TIPO GRIEGO, CON PROBIÓTICOS Y PREBIÓTICOS</t>
  </si>
  <si>
    <t>PANDEQUESO</t>
  </si>
  <si>
    <t>PAN DULCE RELLENO CON AREQUIPE</t>
  </si>
  <si>
    <t>TORTA CON SABOR A VAINILLA</t>
  </si>
  <si>
    <t>TORTA CON SABOR A VAINILLA EN FORMA CUADRADA</t>
  </si>
  <si>
    <t>MUFFIN INTEGRAL CON SABOR A COCO</t>
  </si>
  <si>
    <t>QUESO MOZZARELLA EN EMPAQUE INDIVIDUAL</t>
  </si>
  <si>
    <t xml:space="preserve">LECHE LÍQUIDA </t>
  </si>
  <si>
    <t>PASTEL HOJALDRADO DE  GUAYABA</t>
  </si>
  <si>
    <t>BROWNIE</t>
  </si>
  <si>
    <t>BROWNIE DE CHOCOLATE EN FORMA CUADRADA</t>
  </si>
  <si>
    <t>DONA RELLENA DE AREQUIPE</t>
  </si>
  <si>
    <t>YOGURT  NATURAL, CON PROBIÓTICOS Y PREBIÓTICOS</t>
  </si>
  <si>
    <t>CEREAL DULCE EN HOJUELAS</t>
  </si>
  <si>
    <t>MANÍ CUBIERTO CON CHOCOLATE</t>
  </si>
  <si>
    <t>YOGURT  DE GUANÁBANA, CON PROBIÓTICOS Y PREBIÓTICOS</t>
  </si>
  <si>
    <t>ROSCON DE GUAYABA</t>
  </si>
  <si>
    <t>MANÍ CON COBERTURA CRUJIENTE SALADO</t>
  </si>
  <si>
    <t>CEREAL TOSTADO DULCE CON SABOR A CHOCOLATE</t>
  </si>
  <si>
    <t>MANÍ CONFITADO</t>
  </si>
  <si>
    <t>YOGURT NATURAL, CON PROBIÓTICOS Y PREBIÓTICOS</t>
  </si>
  <si>
    <t>TORTA DE VAINILLA CUBIERTA CON CHOCOLATE</t>
  </si>
  <si>
    <t>MANÍ SALADO</t>
  </si>
  <si>
    <t>CROISSANT HOJALDRADO DE QUESO</t>
  </si>
  <si>
    <t>LECHE LIQUIDA ENTERA DE VACA SABORIZADA CON VAINILLA</t>
  </si>
  <si>
    <t>LECHE LIQUIDA ENTERA DE VACA- UHT</t>
  </si>
  <si>
    <t>LECHE LIQUIDA SABORIZADA</t>
  </si>
  <si>
    <t>TORTA CON SABOR A COCO</t>
  </si>
  <si>
    <t xml:space="preserve">TORTA DE VAINILLA VETEADA  CON CHOCOLATE </t>
  </si>
  <si>
    <t>TORTA VETEADA DE CHOCOLATE</t>
  </si>
  <si>
    <t>YOGURT SABOR A GUANÁBANA, CON PROBIÓTICOS Y PREBIÓTICOS</t>
  </si>
  <si>
    <t>LECHE CHOCOLATADA</t>
  </si>
  <si>
    <t>MINI CROISSANT</t>
  </si>
  <si>
    <t xml:space="preserve">LECHE LIQUIDA ENTERA DE VACA SABORIZADA CON FRESA </t>
  </si>
  <si>
    <t>GALLETA TIPO CRACKER MIEL</t>
  </si>
  <si>
    <t>LECHE LIQUIDA ENTERA DE VACA</t>
  </si>
  <si>
    <t>YOGURT   NATURAL</t>
  </si>
  <si>
    <t>GALLETA TIPO CRACKER MULTICEREAL FRUTOS ROJOS</t>
  </si>
  <si>
    <t>PONQUÉ</t>
  </si>
  <si>
    <t>YOGURT   SABOR A FRESA, CON PROBIÓTICOS Y PREBIÓTICOS</t>
  </si>
  <si>
    <t xml:space="preserve">ATÚN </t>
  </si>
  <si>
    <t>FILETE DE PECHUGA DE POLLO SIN PIEL</t>
  </si>
  <si>
    <t>PIERNA DE CERDO</t>
  </si>
  <si>
    <t>ARROZ</t>
  </si>
  <si>
    <t>CEREAL DE ARROZ TOSTADO CON SABOR A CHOCOLATE ENRIQUECIDO CON VITAMINAS Y MINERALES</t>
  </si>
  <si>
    <t>ESPAGUETIS</t>
  </si>
  <si>
    <t>HARINA DE TRIGO</t>
  </si>
  <si>
    <t>CROISSANT HOJALDRADO CON RELLENO DE CHOCOLATE</t>
  </si>
  <si>
    <t>PAN TAJADO BLANCO</t>
  </si>
  <si>
    <t>PASTEL HOJALDRADO DE QUESO</t>
  </si>
  <si>
    <t>PASTEL HOJALDRADO DE AREQUIPE Y QUESO</t>
  </si>
  <si>
    <t>TORTA HORNEADA DE BANANO</t>
  </si>
  <si>
    <t>TORTA DE SABOR A COCO</t>
  </si>
  <si>
    <t>PLÁTANO HARTÓN VERDE, PINTÓN, MADURO, GUINEO.</t>
  </si>
  <si>
    <t>CEBOLLA JUNCA, CEBOLLIN Y CEBOLLA BLANCA</t>
  </si>
  <si>
    <t>ESPINACA</t>
  </si>
  <si>
    <t>PEPINO COHOMBRO</t>
  </si>
  <si>
    <t>REPOLLO BLANCO Y MORADO</t>
  </si>
  <si>
    <t>PULPA DE FRUTA DULCE GRUPO N° 1: MANGO, GUAYABA Y GUANÁBANA</t>
  </si>
  <si>
    <t>PULPA DE FRUTA ÁCIDA GRUPO N° 2: MARACUYÁ, TOMATE DE ÁRBOL, MORA, LULO, PIÑA, MANDARINA, FRESA Y UVAS.</t>
  </si>
  <si>
    <t>MANÍ CONFITADO Y CUBIERTO CON CHOCOLATE</t>
  </si>
  <si>
    <t>MARGARINA</t>
  </si>
  <si>
    <t>LECHE LIQUIDA ENTERA NATURAL Y SABORIZADA</t>
  </si>
  <si>
    <t>YOGURT NATURAL Y SABORIZADO</t>
  </si>
  <si>
    <t>YOGURT GRIEGO O TIPO GRIEGO SABORIZADO</t>
  </si>
  <si>
    <t>AREPA BLANCA DELGADA</t>
  </si>
  <si>
    <t>AREPA DE CHÓCOLO</t>
  </si>
  <si>
    <t>AREPA DE QUESO</t>
  </si>
  <si>
    <t>GALLETA DE SAL SABOR NATURAL O QUESO</t>
  </si>
  <si>
    <t>PLÁTANO HARTÓN VERDE, PINTÓN O MADURO.</t>
  </si>
  <si>
    <t>PULPA DE FRUTA DULCE GRUPO N° 1: MANGO, GUAYABA, GUANÁBANA.</t>
  </si>
  <si>
    <t xml:space="preserve">LECHE LIQUIDA ENTERA </t>
  </si>
  <si>
    <t>LECHE LÍQUIDA ENTERA SABORIZADA</t>
  </si>
  <si>
    <t>MORTADELA JAMONADA</t>
  </si>
  <si>
    <t>CEREALES AZUCARADOS DE MAÍZ Y ARROZ</t>
  </si>
  <si>
    <t>DONA HORNEADA RELLENA DE AREQUIPE</t>
  </si>
  <si>
    <t>PAN HAMBURGUESA, PAN DANÉS</t>
  </si>
  <si>
    <t>MANÍ CRUJIENTE SALADO</t>
  </si>
  <si>
    <t>GRANOLA</t>
  </si>
  <si>
    <t>LECHE LIQUIDA ENTERA DE VACA SABORIZADA CON FRESA - UHT</t>
  </si>
  <si>
    <t>LECHE LIQUIDA ENTERA DE VACA SABORIZADA CON VAINILLA - UHT</t>
  </si>
  <si>
    <t>GUAYABA</t>
  </si>
  <si>
    <t>MANDARINA</t>
  </si>
  <si>
    <t>BANANO</t>
  </si>
  <si>
    <t>MURRAPO</t>
  </si>
  <si>
    <t>NARANJA</t>
  </si>
  <si>
    <t>MANGO MADURO</t>
  </si>
  <si>
    <t>GRANADILLA</t>
  </si>
  <si>
    <t>MANZANA</t>
  </si>
  <si>
    <t>PERA</t>
  </si>
  <si>
    <t>PIÑA ORO MIEL</t>
  </si>
  <si>
    <t>PAPAYUELA</t>
  </si>
  <si>
    <t>MELON</t>
  </si>
  <si>
    <t>SANDIA</t>
  </si>
  <si>
    <t>MANGO PINTON</t>
  </si>
  <si>
    <t>PAPAYA</t>
  </si>
  <si>
    <t>MARACUYA</t>
  </si>
  <si>
    <t>TOMATE DE ARBOL</t>
  </si>
  <si>
    <t>MORA</t>
  </si>
  <si>
    <t>LULO</t>
  </si>
  <si>
    <t>PIÑA</t>
  </si>
  <si>
    <t>FRESAS</t>
  </si>
  <si>
    <t>UVAS</t>
  </si>
  <si>
    <t>LECHE LIQUIDA ENTERA DE VACA SABORIZADA CON CHOCOLATE</t>
  </si>
  <si>
    <t>JUGO DE MARACUYA</t>
  </si>
  <si>
    <t>JUGO DE MANDARINA</t>
  </si>
  <si>
    <t>JUGO DE MANGO</t>
  </si>
  <si>
    <t>JUGO DE GUANABANA</t>
  </si>
  <si>
    <t>JUGO DE TOMATE DE ARBOL</t>
  </si>
  <si>
    <t>JUGO DE MORA</t>
  </si>
  <si>
    <t>JUGO DE LULO</t>
  </si>
  <si>
    <t>JUGO DE PIÑA</t>
  </si>
  <si>
    <t>JUGO DE FRESA</t>
  </si>
  <si>
    <t>JUGO DE UVA</t>
  </si>
  <si>
    <t>TECNÓLOGO EN MANTENIMIENTO</t>
  </si>
  <si>
    <t>COORDINADOR TECNICO</t>
  </si>
  <si>
    <t>ADRIANA MARIA TORO AMADO</t>
  </si>
  <si>
    <t>ALBANY HENAO VALENCIA</t>
  </si>
  <si>
    <t>ALEXANDRA TAMAYO VASQUEZ</t>
  </si>
  <si>
    <t>ANGELA CAROLINA GIRALDO SALAZAR</t>
  </si>
  <si>
    <t>ANGELA MARÍA JARAMILLO HINCAPIÉ</t>
  </si>
  <si>
    <t>ASTRID EUGENIA VILLA GÓMEZ</t>
  </si>
  <si>
    <t>ASTRID JOHANA GIRALDO CIRO</t>
  </si>
  <si>
    <t>BEATRIZ CELENE CARMONA CORREA</t>
  </si>
  <si>
    <t>CARMEN IRENE VALLEJO CHAUCANEZ</t>
  </si>
  <si>
    <t>CAROLINA RESTREPO QUIROZ</t>
  </si>
  <si>
    <t>CLAUDIA ELENA LOPERA MESA</t>
  </si>
  <si>
    <t>CRUZ ELENA GARCIA OCHOA</t>
  </si>
  <si>
    <t>DANNY YULIEHT LÓPEZ RESTREPO</t>
  </si>
  <si>
    <t>DIANA MARIA FONSECA FERNANDEZ</t>
  </si>
  <si>
    <t>DIEGO NAPOLEON HERRERA CADAVID</t>
  </si>
  <si>
    <t>EDDY YANED MONTOYA VASQUEZ</t>
  </si>
  <si>
    <t>EDILSON ARLEY QUINTERO YEPES</t>
  </si>
  <si>
    <t>ERIK SEBASTIAN LLANO METRIO</t>
  </si>
  <si>
    <t>ERIKA VIVIANA SUÁREZ ZULETA</t>
  </si>
  <si>
    <t>ESPERANZA DEL SOCORRO PALACIO PEREZ</t>
  </si>
  <si>
    <t>FABIO ALEJANDRO TABORDA GALLEGO</t>
  </si>
  <si>
    <t>GLORIA CRISTINA CASTAÑO ZULUAGA</t>
  </si>
  <si>
    <t>GLORIA EMILCEN GAVIRIA LLANOS</t>
  </si>
  <si>
    <t>ISABEL CRISTINA RÚA CARDONA</t>
  </si>
  <si>
    <t>JAVIER FRANCISCO SÁNCHEZ BLANCO</t>
  </si>
  <si>
    <t>JENNY ENNITH OSPINA DURANGO</t>
  </si>
  <si>
    <t>JENY MARLEN ARGUELLO LEÓN</t>
  </si>
  <si>
    <t>JESUS ALBEIRO YEPES CHALARCA</t>
  </si>
  <si>
    <t>JOHN ALEJANDRO ATEHORTÚA CORREA</t>
  </si>
  <si>
    <t>JORGE ORLANDO CORREA RODAS</t>
  </si>
  <si>
    <t>JOSE ELIBER TORRES AREIZA</t>
  </si>
  <si>
    <t>JOSE JULIÁN VALENCIA LÓPEZ</t>
  </si>
  <si>
    <t>JOSÉ UVARNEY TABORDA MARÍN</t>
  </si>
  <si>
    <t>JUAN CARLOS BARÓN PUCHE</t>
  </si>
  <si>
    <t>JUAN ESTEBAN DUQUE CARDONA</t>
  </si>
  <si>
    <t>JUAN FERNANDO CORDOBA BERMUDEZ</t>
  </si>
  <si>
    <t>JUAN PABLO SALDARRIAGA FERNANDEZ</t>
  </si>
  <si>
    <t>JULIANA JARAMILLO RODRÍGUEZ</t>
  </si>
  <si>
    <t>KELLY BERNAYS DURANGO ALEANS</t>
  </si>
  <si>
    <t>LIANA PATRICIA CAMPO RODRIGUEZ</t>
  </si>
  <si>
    <t>LILIANA PATRICIA MONSALVE OSORIO</t>
  </si>
  <si>
    <t>LUIS CARLOS PAZOS</t>
  </si>
  <si>
    <t>LUIS FELIPE ROJO ALVAREZ</t>
  </si>
  <si>
    <t>LUZ ESTELA ZAPATA JIMEMEZ</t>
  </si>
  <si>
    <t>LUZ MAGDALENA RIOS ARBELAEZ</t>
  </si>
  <si>
    <t>LUZ MARINA JIMÉNEZ DÁVILA</t>
  </si>
  <si>
    <t>MANUELITA ANGÉLICA GIL HOYOS</t>
  </si>
  <si>
    <t>MARIA ANGELA CALLE VERA</t>
  </si>
  <si>
    <t>MARIA EDILIA BONILLA SANCHEZ</t>
  </si>
  <si>
    <t>MARÍA MAGDALENA PABÓN ALVAREZ</t>
  </si>
  <si>
    <t>MARIBELL DUQUE BUILES</t>
  </si>
  <si>
    <t>MARTHA LILIANA RENDON ACEVEDO</t>
  </si>
  <si>
    <t>MIGUEL ANGEL URIBE VARGAS</t>
  </si>
  <si>
    <t>MIRYAM NATALIA TEJADA PEÑA</t>
  </si>
  <si>
    <t>PAULA ANDREA URIBE YEPES</t>
  </si>
  <si>
    <t>RONNY ANTONIO ARRIETA RIVERO</t>
  </si>
  <si>
    <t>RUBY CAROLINA VARGAS VELASQUEZ</t>
  </si>
  <si>
    <t>SANTIAGO ALBERTO VARGAS CARDONA</t>
  </si>
  <si>
    <t>SANTIAGO GIRALDO GARCÍA</t>
  </si>
  <si>
    <t>SEBASTIAN PUENTES GONZÁLEZ</t>
  </si>
  <si>
    <t>VANESA PINO GUIRALES</t>
  </si>
  <si>
    <t>ESPERADA</t>
  </si>
  <si>
    <t>COOPERATIVA COLANTA LTDA</t>
  </si>
  <si>
    <t>PROD. LACTEOS AURA S.A</t>
  </si>
  <si>
    <t>LACTEOS RIONEGRO</t>
  </si>
  <si>
    <t>PROALIMENTOS LIBER SAS</t>
  </si>
  <si>
    <t>LACTEOS Y CONGELADOS IDEAL</t>
  </si>
  <si>
    <t>LACTEOS NUTRISER</t>
  </si>
  <si>
    <t>C,I INVERSIONES PENIEL S.A</t>
  </si>
  <si>
    <t>COLANTA-MONTEFRIO</t>
  </si>
  <si>
    <t>PROLINCO</t>
  </si>
  <si>
    <t>AHUMADOS TOTO</t>
  </si>
  <si>
    <t>COMESTIBLES DAN</t>
  </si>
  <si>
    <t>COMERCIALIZADORA AGROSIGO S.A.S -CATALAN</t>
  </si>
  <si>
    <t>ALIMENTOS TOLUIS S.A.S.</t>
  </si>
  <si>
    <t>NUTRISER (NATULPAN)</t>
  </si>
  <si>
    <t>LAS CASERITAS</t>
  </si>
  <si>
    <t>CEREALES NUTRISER</t>
  </si>
  <si>
    <t>PHILIPPE PASTELERIA SAS</t>
  </si>
  <si>
    <t xml:space="preserve">DULCES DONAS </t>
  </si>
  <si>
    <t>DONAS SWEET</t>
  </si>
  <si>
    <t>BELPAGRIM</t>
  </si>
  <si>
    <t>PRODUCTOS HUMBERPAN</t>
  </si>
  <si>
    <t xml:space="preserve">TIA MIMA </t>
  </si>
  <si>
    <t>BIMBO</t>
  </si>
  <si>
    <t>DELEITE SALUDABLE</t>
  </si>
  <si>
    <t xml:space="preserve">ALMA DELEITE </t>
  </si>
  <si>
    <t>BRIDGE</t>
  </si>
  <si>
    <t>PEPSICO ALIMENTOS COLOMBIA  LTDA</t>
  </si>
  <si>
    <t>MANI MOTO</t>
  </si>
  <si>
    <t>MEGAMARKET S.A.S</t>
  </si>
  <si>
    <t>COMPAÑIA NACIONAL DE CHOCOLATES S.A.S.</t>
  </si>
  <si>
    <t>COMESTIBLES PATICOS</t>
  </si>
  <si>
    <t>MAXI MANIX</t>
  </si>
  <si>
    <t>DERIVADOS DE LA CAÑA EL HACENDADO</t>
  </si>
  <si>
    <t>DISTRIBUCIONES KASANA S.A.S.</t>
  </si>
  <si>
    <t>COLOMBINA</t>
  </si>
  <si>
    <t>SANTA FRUTA</t>
  </si>
  <si>
    <t xml:space="preserve">PIAZZA </t>
  </si>
  <si>
    <t>PRONALCE S.A</t>
  </si>
  <si>
    <t>NESTLE® Y/O FITNESS®</t>
  </si>
  <si>
    <t>GALLETA TOSH  CON SALVADO Y MIEL</t>
  </si>
  <si>
    <t xml:space="preserve">MARINELA </t>
  </si>
  <si>
    <t>SUBMARINOS</t>
  </si>
  <si>
    <t>CEREAL DE MAIZ EN HOJUELAS AZUCARADO, ENRIQUECIDO CON VITAMINAS Y MINERALES</t>
  </si>
  <si>
    <t>GALLETA TIPO CRAKER MIEL</t>
  </si>
  <si>
    <t>GALLETA TIPO CRAKER MULTICEREAL CON FRUTOS ROJOS</t>
  </si>
  <si>
    <t>GALLETA WAFFER CUBIERTA DE CHOCOLATE</t>
  </si>
  <si>
    <t>JUGO NATURAL DE MANDARINA 100% FRUTA SIN AZÚCAR</t>
  </si>
  <si>
    <t>JUGO NATURAL DE NARANJA 100% FRUTA SIN AZÚCAR</t>
  </si>
  <si>
    <t>LECHE LIQUIDA ENTERA DE VACA SABORIZADA UHT UND X 200</t>
  </si>
  <si>
    <t>LECHE LIQUIDA ENTERA DE VACA UND X 200 CC</t>
  </si>
  <si>
    <t>LECHE LIQUIDA ENTERA DE VACA, BOLSA X 200 CC</t>
  </si>
  <si>
    <t>LECHE LIQUIDA ENTERA DE VACA, SABORIZADA UND X 200 CC</t>
  </si>
  <si>
    <t>MANI CON COBERTURA CRUJIENTE SALADO</t>
  </si>
  <si>
    <t>MANI CONFITADO</t>
  </si>
  <si>
    <t>MANI CUBIERTO CON CHOCOLATE</t>
  </si>
  <si>
    <t>MANI CUBIERTO DE CHOCOLATE</t>
  </si>
  <si>
    <t>PAN DANES</t>
  </si>
  <si>
    <t xml:space="preserve">PONQUE RELLENO DE CREMA SABOR  A CHOCOLATE </t>
  </si>
  <si>
    <t>QUESO MOZARELLA EN EMPAQUE INDIVIDUAL</t>
  </si>
  <si>
    <t>YOGURT CON PROBIOTICOS Y PREBIOTICOS NATURAL O SABORIZADO UND X 200</t>
  </si>
  <si>
    <t>YOGURT GRIEGO O TIPO GRIEGO YOGURT CON PROBIOTICOS Y PREBIOTICOS SABORIZADO UND X 100</t>
  </si>
  <si>
    <t>HUMBERT</t>
  </si>
  <si>
    <t>COINCIDE CON KARDEX</t>
  </si>
  <si>
    <r>
      <t>NOTAS DE APOYO (</t>
    </r>
    <r>
      <rPr>
        <sz val="10"/>
        <color theme="1"/>
        <rFont val="Calibri"/>
        <family val="2"/>
        <scheme val="minor"/>
      </rPr>
      <t>Utilice el cuadro de Notas de Apoyo para ampliar o justificar calificaciones como NA – NO u otras variables encontradas durante de la visita de Supervisión que ameriten claridad</t>
    </r>
    <r>
      <rPr>
        <b/>
        <sz val="10"/>
        <color theme="1"/>
        <rFont val="Calibri"/>
        <family val="2"/>
        <scheme val="minor"/>
      </rPr>
      <t>.)</t>
    </r>
  </si>
  <si>
    <t>Columna702</t>
  </si>
  <si>
    <t>Columna703</t>
  </si>
  <si>
    <t>Columna704</t>
  </si>
  <si>
    <t>Columna705</t>
  </si>
  <si>
    <t>OBSERVACION</t>
  </si>
  <si>
    <t>Observaciones a Restaurantes Escolares. (PAE)</t>
  </si>
  <si>
    <t>Observaciones a Acciones Educativas.</t>
  </si>
  <si>
    <t>Observaciones a Secretaría de Educación: Todo lo concerniente a infraestructura del restaurante escolar, humedades, deterioro (alguna pared, puerta), desprendimiento de pintura. Acumulación de materiales en desuso en el área del restaurante escolar. Equipos de frio insuficientes. Menaje para el área de preparación y el servido a los titulares de derecho.</t>
  </si>
  <si>
    <t>Observaciones a Restaurantes Escolares. (PAE): Redistribución de cupos. Generación y manejo de sobras. Titulares de derecho que consumen dos modalidades.</t>
  </si>
  <si>
    <t>Observaciones a Acciones Educativas: Malos hábitos al momento de consumir los alimentos. Generación y manejo de sobras. Desorden en la fila por parte de los titulares de derecho al momento de recibir los alimentos.</t>
  </si>
  <si>
    <t>INTERVENTOR_EJECUTOR_25</t>
  </si>
  <si>
    <t>INTERVENTOR_EJECUTOR_12</t>
  </si>
  <si>
    <t>INTERVENTOR_EJECUTOR_50</t>
  </si>
  <si>
    <t>INTERVENTOR_EJECUTOR_51</t>
  </si>
  <si>
    <t>INTERVENTOR_EJECUTOR_22</t>
  </si>
  <si>
    <t>INTERVENTOR_EJECUTOR_34</t>
  </si>
  <si>
    <t>INTERVENTOR_EJECUTOR_19</t>
  </si>
  <si>
    <t>INTERVENTOR_EJECUTOR_36</t>
  </si>
  <si>
    <t>INTERVENTOR_EJECUTOR_44</t>
  </si>
  <si>
    <t>INTERVENTOR_EJECUTOR_30</t>
  </si>
  <si>
    <t>INTERVENTOR_EJECUTOR_13</t>
  </si>
  <si>
    <t>ENLACE TECNICO</t>
  </si>
  <si>
    <t>INTERVENTOR_EJECUTOR_32</t>
  </si>
  <si>
    <t>INTERVENTOR_EJECUTOR_7</t>
  </si>
  <si>
    <t>INTERVENTOR_EJECUTOR_45</t>
  </si>
  <si>
    <t>INTERVENTOR_EJECUTOR_17</t>
  </si>
  <si>
    <t>INTERVENTOR_EJECUTOR_10</t>
  </si>
  <si>
    <t>INTERVENTOR_EJECUTOR_20</t>
  </si>
  <si>
    <t>INTERVENTOR_EJECUTOR_37</t>
  </si>
  <si>
    <t>TÉCNICO EN MANTENIMIENTO</t>
  </si>
  <si>
    <t>INTERVENTOR_EJECUTOR_3</t>
  </si>
  <si>
    <t>INTERVENTOR_EJECUTOR_31</t>
  </si>
  <si>
    <t>IDIANA PATRICIA DUQUE RUA</t>
  </si>
  <si>
    <t>INTERVENTOR FINANCIERO</t>
  </si>
  <si>
    <t>INTERVENTOR_EJECUTOR_28</t>
  </si>
  <si>
    <t>INTERVENTOR_EJECUTOR_48</t>
  </si>
  <si>
    <t>INTERVENTOR_EJECUTOR_42</t>
  </si>
  <si>
    <t>INTERVENTOR_EJECUTOR_21</t>
  </si>
  <si>
    <t>INTERVENTOR_EJECUTOR_23</t>
  </si>
  <si>
    <t>INTERVENTOR_EJECUTOR_8</t>
  </si>
  <si>
    <t>INTERVENTOR_EJECUTOR_14</t>
  </si>
  <si>
    <t>INTERVENTOR_EJECUTOR_5</t>
  </si>
  <si>
    <t>INTERVENTOR_EJECUTOR_46</t>
  </si>
  <si>
    <t>INTERVENTOR_EJECUTOR_4</t>
  </si>
  <si>
    <t>INTERVENTOR_EJECUTOR_49</t>
  </si>
  <si>
    <t>INTERVENTOR_EJECUTOR_11</t>
  </si>
  <si>
    <t>INTERVENTOR_EJECUTOR_52</t>
  </si>
  <si>
    <t>KEY KABIR ORTEGA VERBEL</t>
  </si>
  <si>
    <t>INTERVENTOR_EJECUTOR_40</t>
  </si>
  <si>
    <t>INTERVENTOR_EJECUTOR_33</t>
  </si>
  <si>
    <t>INTERVENTOR_EJECUTOR_1</t>
  </si>
  <si>
    <t>INTERVENTOR_EJECUTOR_2</t>
  </si>
  <si>
    <t>INTERVENTOR_EJECUTOR_24</t>
  </si>
  <si>
    <t>INTERVENTOR_EJECUTOR_41</t>
  </si>
  <si>
    <t>INTERVENTOR_EJECUTOR_18</t>
  </si>
  <si>
    <t>INTERVENTOR_EJECUTOR_15</t>
  </si>
  <si>
    <t xml:space="preserve">MARTHA ISABEL RINCON AYA </t>
  </si>
  <si>
    <t>INTERVENTOR_EJECUTOR_29</t>
  </si>
  <si>
    <t>INTERVENTOR_EJECUTOR_47</t>
  </si>
  <si>
    <t>INTERVENTOR_EJECUTOR_26</t>
  </si>
  <si>
    <t>MONICA PATRICIA CADAVID ESTRELLA</t>
  </si>
  <si>
    <t>INTERVENTOR_EJECUTOR_38</t>
  </si>
  <si>
    <t>INTERVENTOR_EJECUTOR_9</t>
  </si>
  <si>
    <t>INTERVENTOR_EJECUTOR_16</t>
  </si>
  <si>
    <t>INTERVENTOR_EJECUTOR_43</t>
  </si>
  <si>
    <t>INTERVENTOR_EJECUTOR_35</t>
  </si>
  <si>
    <t>INTERVENTOR_EJECUTOR_27</t>
  </si>
  <si>
    <t>INTERVENTOR_EJECUTOR_6</t>
  </si>
  <si>
    <t>INTERVENTOR_EJECUTOR_39</t>
  </si>
  <si>
    <t>TEMPE</t>
  </si>
  <si>
    <t>SALAMANCA S.A SERVICIOS Y SUMINISTRO DE ALIMENTACIÓN S.A.S</t>
  </si>
  <si>
    <t>SERVICIOS Y SUMINISTRO DE ALIMENTACIÓN S.A.S</t>
  </si>
  <si>
    <t>CAM/PM / VL</t>
  </si>
  <si>
    <t>SALAMANCA S.A
SERVICIOS Y SUMINISTRO DE ALIMENTACIÓN S.A.S</t>
  </si>
  <si>
    <t>CTA/VL</t>
  </si>
  <si>
    <t>AURALAC</t>
  </si>
  <si>
    <t>CONOS Y DANNES</t>
  </si>
  <si>
    <t>HG HOLDING GROUP SAS</t>
  </si>
  <si>
    <t xml:space="preserve">PRODUCTOS DE LA FINCA	</t>
  </si>
  <si>
    <t>PONQUE RELLENO DE CREMA SABOR  A VAINILLA</t>
  </si>
  <si>
    <t>KARDEX</t>
  </si>
  <si>
    <t>200cc</t>
  </si>
  <si>
    <t>37g</t>
  </si>
  <si>
    <t>40g</t>
  </si>
  <si>
    <t>81g</t>
  </si>
  <si>
    <t>90g</t>
  </si>
  <si>
    <t>20g</t>
  </si>
  <si>
    <t>22g</t>
  </si>
  <si>
    <t>6000cc</t>
  </si>
  <si>
    <t>5880cc</t>
  </si>
  <si>
    <t>120cc</t>
  </si>
  <si>
    <t>9000g</t>
  </si>
  <si>
    <t>8720g</t>
  </si>
  <si>
    <t>280g</t>
  </si>
  <si>
    <t>5360g</t>
  </si>
  <si>
    <t>6200g</t>
  </si>
  <si>
    <t>6120g</t>
  </si>
  <si>
    <t>80g</t>
  </si>
  <si>
    <t>1800g</t>
  </si>
  <si>
    <t>1730g</t>
  </si>
  <si>
    <t>70g</t>
  </si>
  <si>
    <t>500g</t>
  </si>
  <si>
    <t>460g</t>
  </si>
  <si>
    <t>4200g</t>
  </si>
  <si>
    <t>4150g</t>
  </si>
  <si>
    <t>50g</t>
  </si>
  <si>
    <t>2200g</t>
  </si>
  <si>
    <t>2080g</t>
  </si>
  <si>
    <t>120g</t>
  </si>
  <si>
    <t>130C</t>
  </si>
  <si>
    <t>42000cc</t>
  </si>
  <si>
    <t>CALLE 103EE 65 85</t>
  </si>
  <si>
    <t>2678688 ext 107</t>
  </si>
  <si>
    <t>UT PAE 20219</t>
  </si>
  <si>
    <t>RI-VL</t>
  </si>
  <si>
    <t>INST EDUC CEFA</t>
  </si>
  <si>
    <t>BOMBONA</t>
  </si>
  <si>
    <t>Calle 50 No. 41-55</t>
  </si>
  <si>
    <t>217 5337</t>
  </si>
  <si>
    <t>SEC LIC LEON DE GREIFF</t>
  </si>
  <si>
    <t>VITAL</t>
  </si>
  <si>
    <t>CIBERCOLEGIO EL SALADO</t>
  </si>
  <si>
    <t>CONCEPTO DE SECRETARÍA DE SALUD  R.C</t>
  </si>
  <si>
    <t>FECHA CONCEPTO DE SECRETARÍA DE SALUD  R.C DD/MM/AAAA</t>
  </si>
  <si>
    <t>2. No TITULARES DE DERECHO 1 A 3</t>
  </si>
  <si>
    <t>1. No TITULARES DE DERECHO 1: TRANSICION</t>
  </si>
  <si>
    <t>3. No TITULARES DE DERECHO 4 A 5</t>
  </si>
  <si>
    <t>Columna1</t>
  </si>
  <si>
    <t>4. No TITULARES DE DERECHO 6 A 9</t>
  </si>
  <si>
    <t>5. No TITULARES DE DERECHO 10 A 11</t>
  </si>
  <si>
    <r>
      <t xml:space="preserve">LISTA DE CHEQUEO </t>
    </r>
    <r>
      <rPr>
        <sz val="8"/>
        <color theme="1"/>
        <rFont val="Calibri"/>
        <family val="2"/>
        <scheme val="minor"/>
      </rPr>
      <t xml:space="preserve">Responda a cada una de los </t>
    </r>
    <r>
      <rPr>
        <b/>
        <sz val="8"/>
        <color theme="1"/>
        <rFont val="Calibri"/>
        <family val="2"/>
        <scheme val="minor"/>
      </rPr>
      <t xml:space="preserve">Títulos de Preguntas Orientadoras </t>
    </r>
    <r>
      <rPr>
        <sz val="8"/>
        <color theme="1"/>
        <rFont val="Calibri"/>
        <family val="2"/>
        <scheme val="minor"/>
      </rPr>
      <t xml:space="preserve">en los siguientes términos: Cumple con la letra </t>
    </r>
    <r>
      <rPr>
        <b/>
        <sz val="8"/>
        <color theme="1"/>
        <rFont val="Calibri"/>
        <family val="2"/>
        <scheme val="minor"/>
      </rPr>
      <t xml:space="preserve">(C), </t>
    </r>
    <r>
      <rPr>
        <sz val="8"/>
        <color theme="1"/>
        <rFont val="Calibri"/>
        <family val="2"/>
        <scheme val="minor"/>
      </rPr>
      <t xml:space="preserve">No cumple </t>
    </r>
    <r>
      <rPr>
        <b/>
        <sz val="8"/>
        <color theme="1"/>
        <rFont val="Calibri"/>
        <family val="2"/>
        <scheme val="minor"/>
      </rPr>
      <t xml:space="preserve">(N.C), </t>
    </r>
    <r>
      <rPr>
        <sz val="8"/>
        <color theme="1"/>
        <rFont val="Calibri"/>
        <family val="2"/>
        <scheme val="minor"/>
      </rPr>
      <t xml:space="preserve">No observado </t>
    </r>
    <r>
      <rPr>
        <b/>
        <sz val="8"/>
        <color theme="1"/>
        <rFont val="Calibri"/>
        <family val="2"/>
        <scheme val="minor"/>
      </rPr>
      <t xml:space="preserve">(NO) o </t>
    </r>
    <r>
      <rPr>
        <sz val="8"/>
        <color theme="1"/>
        <rFont val="Calibri"/>
        <family val="2"/>
        <scheme val="minor"/>
      </rPr>
      <t>No Aplica (</t>
    </r>
    <r>
      <rPr>
        <b/>
        <sz val="8"/>
        <color theme="1"/>
        <rFont val="Calibri"/>
        <family val="2"/>
        <scheme val="minor"/>
      </rPr>
      <t>NA</t>
    </r>
    <r>
      <rPr>
        <sz val="8"/>
        <color theme="1"/>
        <rFont val="Calibri"/>
        <family val="2"/>
        <scheme val="minor"/>
      </rPr>
      <t>)</t>
    </r>
    <r>
      <rPr>
        <b/>
        <sz val="8"/>
        <color theme="1"/>
        <rFont val="Calibri"/>
        <family val="2"/>
        <scheme val="minor"/>
      </rPr>
      <t xml:space="preserve">. </t>
    </r>
    <r>
      <rPr>
        <sz val="8"/>
        <color theme="1"/>
        <rFont val="Calibri"/>
        <family val="2"/>
        <scheme val="minor"/>
      </rPr>
      <t xml:space="preserve">Debe respetar la casilla descrita para cada modalidad de atención: Complemento jornada AM/PM </t>
    </r>
    <r>
      <rPr>
        <b/>
        <sz val="8"/>
        <color theme="1"/>
        <rFont val="Calibri"/>
        <family val="2"/>
        <scheme val="minor"/>
      </rPr>
      <t xml:space="preserve">(AM/PM), </t>
    </r>
    <r>
      <rPr>
        <sz val="8"/>
        <color theme="1"/>
        <rFont val="Calibri"/>
        <family val="2"/>
        <scheme val="minor"/>
      </rPr>
      <t xml:space="preserve"> Complemento tipo almuerzo </t>
    </r>
    <r>
      <rPr>
        <b/>
        <sz val="8"/>
        <color theme="1"/>
        <rFont val="Calibri"/>
        <family val="2"/>
        <scheme val="minor"/>
      </rPr>
      <t xml:space="preserve">(CTA), </t>
    </r>
    <r>
      <rPr>
        <sz val="8"/>
        <color theme="1"/>
        <rFont val="Calibri"/>
        <family val="2"/>
        <scheme val="minor"/>
      </rPr>
      <t xml:space="preserve">Ración Industrializada </t>
    </r>
    <r>
      <rPr>
        <b/>
        <sz val="8"/>
        <color theme="1"/>
        <rFont val="Calibri"/>
        <family val="2"/>
        <scheme val="minor"/>
      </rPr>
      <t xml:space="preserve">(RI), </t>
    </r>
    <r>
      <rPr>
        <sz val="8"/>
        <color theme="1"/>
        <rFont val="Calibri"/>
        <family val="2"/>
        <scheme val="minor"/>
      </rPr>
      <t>Vaso de Leche (</t>
    </r>
    <r>
      <rPr>
        <b/>
        <sz val="8"/>
        <color theme="1"/>
        <rFont val="Calibri"/>
        <family val="2"/>
        <scheme val="minor"/>
      </rPr>
      <t xml:space="preserve">VL) </t>
    </r>
    <r>
      <rPr>
        <sz val="8"/>
        <color theme="1"/>
        <rFont val="Calibri"/>
        <family val="2"/>
        <scheme val="minor"/>
      </rPr>
      <t xml:space="preserve">y ración de contingencia </t>
    </r>
    <r>
      <rPr>
        <b/>
        <sz val="8"/>
        <color theme="1"/>
        <rFont val="Calibri"/>
        <family val="2"/>
        <scheme val="minor"/>
      </rPr>
      <t>(RC)</t>
    </r>
  </si>
  <si>
    <t>No</t>
  </si>
  <si>
    <t>PREGUNTAS ORIENTADORAS</t>
  </si>
  <si>
    <t>AM/PM</t>
  </si>
  <si>
    <t>RC</t>
  </si>
  <si>
    <t>¿Los vehículos cuentan con condiciones higiénico- sanitarias adecuadas según la resolución 2674 de 2013 y normatividad vigente, resolución 2505 de 2004?</t>
  </si>
  <si>
    <t>¿Los alimentos que requieren cadena de frío, la conservan durante el recibo y almacenamiento en el establecimiento educativo?</t>
  </si>
  <si>
    <t>¿Los vehículos cuentan con la documentación solicitada en las especificaciones técnicas?</t>
  </si>
  <si>
    <t>¿Los vehículos cuentan con la dotación (carretilla) solicitada en las especificaciones técnicas?</t>
  </si>
  <si>
    <t>¿Los vehículos se encuentran identificados con la imagen del Programa, según los lineamientos emitidos por el área de Comunicaciones de la Alcaldía de Medellín?</t>
  </si>
  <si>
    <t>¿El número de raciones entregadas al EE corresponde a los cupos solicitados por el ESAN acorde a la modalidad de atención?</t>
  </si>
  <si>
    <t>¿El personal distribuidor, verifica la calidad y cantidad de los alimentos entregados, los cuales deben estar acordes al ciclo de menú correspondiente, de acuerdo a la modalidad y la cantidad de cupos asignados al EE?</t>
  </si>
  <si>
    <t>¿La remisión de alimentos se encuentra acorde a la establecida por el MEN, debidamente diligenciada y es firmada por el personal distribuidor, si se presenta un faltante o devolución de alimentos queda la nota consignada en la remisión?</t>
  </si>
  <si>
    <t>¿En el transporte de los alimentos se utilizan canastillas plásticas en adecuadas condiciones de limpieza, respetando un margen mínimo de 5 cm entre el borde superior de la canastilla y el tendido del producto?</t>
  </si>
  <si>
    <t>¿Se realiza la remoción de los empaques de cartón de los comedores escolares y/o sitios de distribución?</t>
  </si>
  <si>
    <t>¿Se realiza la entrega del complemento según la modalidad en los horarios establecidos:  CTA (6:00 am - 04:00 pm) y RI - VL - RC (6:00 am -08:00 am)?</t>
  </si>
  <si>
    <t>¿El  contratista  realiza  la  entrega  de  faltantes  en  los  horarios  establecidos  según  la  modalidad:  CTA  (hasta  16  horas  antes  de  la  preparación  del  menú correspondiente) RI - VL (10:00 am para la jornada de la mañana y 12:00 m para la jornada de la tarde)?</t>
  </si>
  <si>
    <t>El contratista distribuye los complementos en los horarios establecidos: Complemento alimentario jornada de la mañana entre las 7:00 a.m. y 9:00 a.m., Complemento alimentario jornada de la tarde entre las 3:00 p.m. y 4:30 p.m, Complemento tipo almuerzo entre las 11:30 a.m. y 1:00 p.m. RI - VL - RC jornada de la mañana 7:00 a.m. y 10:00 a.m. y jornada de la tarde 3:00 p.m. y 4:30 p.m.?</t>
  </si>
  <si>
    <t>El contratista atiende a los inicios de los periodos cortos y largos de vacaciones escolares con ración de contingencia, con el  menú correspondiente para dicha semana, previa concertación del Equipo de Seguridad Alimentaria?</t>
  </si>
  <si>
    <t>¿Los alimentos entregados cumplen con las características establecidas en el Anexo B?</t>
  </si>
  <si>
    <t>¿Los alimentos que no cumplen con el anexo B, son identificados como “Producto No Conforme” y se registra el procedimiento definido para la disposición final?</t>
  </si>
  <si>
    <t>¿Todas las marcas de los alimentos entregados se encuentran incluidas en el listado de marcas aprobadas establecidas en el anexo D?</t>
  </si>
  <si>
    <t>¿Los productos panificados entregados en el EE, garantizan como mínimo, el 40% de su vida útil?</t>
  </si>
  <si>
    <t>¿Los alimentos que componen los complementos cumplen con el rotulado según la normatividad que aplique?</t>
  </si>
  <si>
    <t>¿Los alimentos suministrados cuentan con el registro sanitario, el permiso sanitario o la notificación sanitaria, excepto los  que se encuentran eximidos por la normatividad vigente? Y esta información se evidencia en el empaque?</t>
  </si>
  <si>
    <t>¿El reempaque de unidades necesarias cuentan con el sticker que contenga la siguiente información: nombre del producto, marca comercial, peso del producto entregado, unidades del empaque, número de lote, fecha de vencimiento, ¿instrucciones de conservación y número de permiso sanitario, registro sanitario o notificación sanitaria?</t>
  </si>
  <si>
    <t>¿Los excedentes de alimentos se identifican con el  sticker establecido según las especificaciones técnicas?</t>
  </si>
  <si>
    <t>¿El contratista tiene implementado la utilización del Kardex en los EE y se encuentra diligenciado y actualizado?</t>
  </si>
  <si>
    <t>¿El contratista reporta a la ESAN por escrito y recoge los alimentos sobrantes?</t>
  </si>
  <si>
    <t>¿El contratista cuenta con el Anexo A al interior del Comedor escolar para consulta del personal procesador y/o distribuidor?</t>
  </si>
  <si>
    <t>¿El contratista cumple con el ciclo de menú definido en el Anexo A, en cuanto a preparaciones y gramajes según las especificaciones técnicas?</t>
  </si>
  <si>
    <t>¿El contratista tiene publicado en un lugar visible a la comunidad educativa el anexo F?</t>
  </si>
  <si>
    <t>¿El menú cumple con el gramaje establecido según el rango de edad?</t>
  </si>
  <si>
    <t>¿Se cumple con la estandarización de utensilios para la servida del menú según el grupo de edad?</t>
  </si>
  <si>
    <t>¿El contratista cuenta y utiliza el anexo E “Guías de preparación alimentos” en el interior del comedor escolar?</t>
  </si>
  <si>
    <t>¿El contratista suministra al personal distribuidor o procesador una ración diaria según el menú del día?</t>
  </si>
  <si>
    <t>¿El EE cuenta con la lista de intercambios de acuerdo a la modalidad establecida?</t>
  </si>
  <si>
    <t>¿El comedor escolar cuenta con el termómetro, báscula y balanza con las características requeridas según especificaciones técnicas? (RI, VL y RC solo termómetro)</t>
  </si>
  <si>
    <t>¿El termómetro, la báscula  y la balanza son verificados semanalmente (RPS) y quincenalmente (RI-VL), por el personal supervisor del contratista?, se consigna esta información en la hoja de vida del equipo?</t>
  </si>
  <si>
    <t>¿Los equipos de medición, son reemplazados mientras son enviados a calibarcion cuando se detectan desviaciones en el proceso de verificación en un tiempo maximo de 5 días hábiles despues de la fecha en que se reportó el dato alterado?</t>
  </si>
  <si>
    <t>¿El comedor escolar cumple con las condiciones higiénico-sanitarias según la resolución 2674 de 2013?</t>
  </si>
  <si>
    <t>¿Se cuenta en el comedor escolar con una copia del Plan de Saneamiento Básico (PSB) que incluye los programas descritos en las especificaciones técnicas y se identifica su implementación con los formatos y registros?</t>
  </si>
  <si>
    <t>¿El contratista realiza los procesos de limpieza y desinfección establecidos según las especificaciones técnicas y  el plan de saneamiento básico?</t>
  </si>
  <si>
    <t>¿El comedor escolar cuenta con fichas técnicas y hojas de seguridad de desinfectantes y jabones biodegradables contempladas en el programa de limpieza y desinfección?</t>
  </si>
  <si>
    <t>¿Se mantienen en óptimas condiciones de higiene y limpieza las zonas altas como techos, paredes y lámparas del comedor escolar?</t>
  </si>
  <si>
    <t>¿Se implementa diariamente el uso de la cintilla correspondiente para medir la concentración del desinfectante utilizado en ppm?</t>
  </si>
  <si>
    <t>¿El EE cuenta con trampa de grasa en acero inoxidable y se realizan los procesos de limpieza y desinfección según especificación técnica, se cuenta con los formatos de seguimiento diligenciados y actualizados?</t>
  </si>
  <si>
    <t>¿Se realiza la  limpieza y desinfección de la trampa  de  grasa subterránea,  de acuerdo a  la frecuencia establecida, se cuenta con los formatos de seguimiento diligenciados y actualizados?</t>
  </si>
  <si>
    <t>¿Se aplican los procesos y procedimientos establecidos en el programa del control de plagas?</t>
  </si>
  <si>
    <t>¿Se cuenta con las fichas técnicas y hojas de seguridad de los productos químicos y control biológico a utilizar en el programa de control de plagas?</t>
  </si>
  <si>
    <t>¿Se verifica la instalación de barreras físicas y en caso de presentarse deterioro de estas, se realiza el cambio?</t>
  </si>
  <si>
    <t>¿Se realiza el adecuado manejo de residuos sólidos de acuerdo al programa y se cuenta con los formatos de seguimiento diligenciados y actualizados?</t>
  </si>
  <si>
    <t>¿El contratista ejecuta en cada comedor escolar el procedimiento para la recolección y disposición final del aceite usado de  acuerdo a la normativa ambiental Vigente?</t>
  </si>
  <si>
    <t>¿Se  verifica  la  implementación  del  programa  de  abastecimiento  y  suministro  de  agua  potable  y  se  cuenta  con  los  formatos  de  seguimiento  diligenciados  y actualizados?</t>
  </si>
  <si>
    <r>
      <t xml:space="preserve">¿El contratista implementa el </t>
    </r>
    <r>
      <rPr>
        <b/>
        <sz val="9"/>
        <color theme="1"/>
        <rFont val="Calibri"/>
        <family val="2"/>
        <scheme val="minor"/>
      </rPr>
      <t xml:space="preserve">Anexo G </t>
    </r>
    <r>
      <rPr>
        <sz val="9"/>
        <color theme="1"/>
        <rFont val="Calibri"/>
        <family val="2"/>
        <scheme val="minor"/>
      </rPr>
      <t>“Orientaciones para la higiene y manejo ambiental en los comedores escolares PAE Medellín” y Dentro del PGIRS “Plan Integral  de  Gestión  de  Residuos  Sólidos”,  se  tiene  contemplado  actividades  y/o  estrategias  para  la  reducción  de  residuos  plásticos  de  un  solo  uso  dando  así respuesta a lo normatizado en el Acuerdo 020 de diciembre de 2020 del municipio de Medellín?</t>
    </r>
  </si>
  <si>
    <t>¿Se cuenta con la permanencia de los productos incluidos en el kit de aseo, en cantidades suficientes y en perfecto estado, que garanticen la realización de los procesos de limpieza y desinfección diariamente?</t>
  </si>
  <si>
    <t>¿Se cuenta con la remisión de la entrega de los productos del kit de aseo, la cual debe contener nombre y firma de quien recibe a satisfacción?</t>
  </si>
  <si>
    <t>¿En los comedores escolares donde se cuenta con la existencia del gorro de algodón y la bata blanca, el contratista garantiza que se encuentren en adecuadas condiciones de limpieza, para el uso de visitantes?</t>
  </si>
  <si>
    <t>¿El EE cuenta con el inventario de equipos firmado y aprobado por la institución y además coincide con los equipos existentes dentro del restaurante escolar?</t>
  </si>
  <si>
    <t>¿Los equipos se encuentran identificados con la placa o el código suministrado por el municipio de Medellín o por el contratista?</t>
  </si>
  <si>
    <t>¿El contratista realiza la gestión con la rectoría de EE para el retiro de equipos y utensilios en desuso?</t>
  </si>
  <si>
    <t>¿El contratista realiza la verificación, identificación y señalización en material durable, que no deteriore la infraestructura, en material de fácil remoción y lavable en las diferentes áreas de procesos?</t>
  </si>
  <si>
    <t>¿Se encuentra en el EE la carpeta de los equipos con toda la documentación: copia del plan de mantenimiento, inventario de equipos, fichas técnicas y hojas de vida con sus actualizaciones?</t>
  </si>
  <si>
    <t>¿Se cuenta con las fichas técnicas y hojas de vida de cada uno de los equipos del comedor escolar, con la información de los mantenimientos realizados?</t>
  </si>
  <si>
    <t>¿El Contratista realiza los mantenimientos correctivos dentro de los 5 días hábiles, luego de ser reportado el daño del equipo?</t>
  </si>
  <si>
    <t>¿El contratista ha realizado las visitas de mantenimiento preventivo según el cronograma establecido?</t>
  </si>
  <si>
    <t>¿El inventario de equipos que reposa en el comedor escolar relaciona todos los equipos, codificaciones y modificaciones?</t>
  </si>
  <si>
    <t>Si durante la visita al EE el provvedor del contratista realiza mantenimiento de equipos, este se desarrolla cumplinedo con las especificaciones técnicas para cada equipo.</t>
  </si>
  <si>
    <t>¿El contratista cumple con el tiempo establecido en las especificaciones técnicas, en caso de necesitarse el reemplazo de un equipo?</t>
  </si>
  <si>
    <t>¿El personal procesador /distribuidor diligencia diariamente el formato de registro y control diario de asistencia en el EE, que se encuentra establecido por el MEN?</t>
  </si>
  <si>
    <t>¿El personal procesador/distribuidor verifica el día anterior a la preparación del menú la asistencia de los escolares y se registra en la Bitácora?</t>
  </si>
  <si>
    <t>¿El panificado suministrado está empacado en bolsa de polipropileno transparente con leyenda: “Municipio de Medellín Secretaría de Inclusión Social, Familia y Derechos Humanos; prohibida su venta o comercialización”?, ¿y además contiene el logo y el eslogan actual de la Alcaldía de Medellín acorde a los lineamientos impartidos por el área de comunicaciones de la Alcaldía?</t>
  </si>
  <si>
    <t>¿El queso de porción individual se suministra en bolsa plástica individual, transparente y sellada?</t>
  </si>
  <si>
    <t>¿El complemento RI se encuentra identificado por colores de acuerdo a las especificaciones técnicas (rojo- transición, amarillo – 1° a 3°, verde - 4° a 5°, blanco - 6° a9° y negro - 10° a 11°), cada una de las bolsas donde está empacado el panificado debe contener una servilleta en su interior?</t>
  </si>
  <si>
    <t>¿Las frutas son transportadas en canastillas plásticas perforadas que garantizan la conservación adecuada del producto?</t>
  </si>
  <si>
    <t>¿Los productos lácteos (leche, yogurt, yogurt griego y el queso en porción individual) se entregan en el EE con una temperatura entre 0°C y 6°C según normatividad vigente, siendo este el límite permisible para la entrega de estos alimentos?</t>
  </si>
  <si>
    <t>¿El sándwich y la hamburguesa se entregan a una temperatura entre 0° C y 4°C en el EE?</t>
  </si>
  <si>
    <t>¿El comedor escolar cuenta con el personal procesador y/o distribuidor exigido, de acuerdo al número de cupos y modalidad ejecutada en el EE?</t>
  </si>
  <si>
    <t>¿El personal procesador/distribuidor y de transporte cuenta con todos los elementos de protección exigidos por las especificaciones técnicas y los protocolos de bioseguridad aprobados por la ARL?</t>
  </si>
  <si>
    <t>¿El personal procesador/ distribuidor no presenta sintomatología que ponga en riesgo la inocuidad del complemento?</t>
  </si>
  <si>
    <t>¿Se verifica que se cuente con un sistema de gestión de seguridad y salud en el trabajo, este se encuentre documentado y socializado en cada EE. Incluyendo la rutade reporte inmediato en caso de accidente laboral?</t>
  </si>
  <si>
    <t>¿El personal procesador/distribuidor/y de vehículos cuenta con copia de certificados de manipulación de alimentos y de aptitud laboral en el EE?</t>
  </si>
  <si>
    <t>¿El supervisor del contratista realiza visita al comedor escolar una vez por semana en los establecimientos asignados, de manera que se verifiquen todos los procesosdurante el mes, consignando dichas visitas en la bitácora?</t>
  </si>
  <si>
    <t>¿El supervisor del contratista cuenta con balanza, termómetro, gorro y delantal de color claro con imagen corporativa de la Alcaldía de Medellín (logo y slogan) y marcado con el nombre de dicho supervisor?</t>
  </si>
  <si>
    <t>¿La bata del personal procesador / distribuidor/ y de vehículos cuenta con el logo y eslogan actual de la Alcaldía de Medellín?</t>
  </si>
  <si>
    <t>1. CARACTERISTICAS DE LOS VEHICULOS PARA EL TRANSPORTE DE ALIMENTOS</t>
  </si>
  <si>
    <t>1.1. ¿Los vehículos cuentan con condiciones higiénico- sanitarias adecuadas según la resolución 2674 de 2013 y normatividad vigente, resolución 2505 de 2004?</t>
  </si>
  <si>
    <t>No PROCESADORAS</t>
  </si>
  <si>
    <t>1.2. ¿Los alimentos que requieren cadena de frío, la conservan durante el recibo y almacenamiento en el establecimiento educativo?</t>
  </si>
  <si>
    <t>1.3. ¿Los vehículos cuentan con la documentación solicitada en las especificaciones técnicas?</t>
  </si>
  <si>
    <t>1.4. ¿Los vehículos cuentan con la dotación (carretilla) solicitada en las especificaciones técnicas?</t>
  </si>
  <si>
    <t>1.5. ¿Los vehículos se encuentran identificados con la imagen del Programa, según los lineamientos emitidos por el área de Comunicaciones de la Alcaldía de Medellín?</t>
  </si>
  <si>
    <t>tipo texto</t>
  </si>
  <si>
    <t>númerico</t>
  </si>
  <si>
    <t>2. DISTRIBUCIÓN Y TRANSPORTE</t>
  </si>
  <si>
    <t>2.1. ¿El número de raciones entregadas al EE corresponde a los cupos solicitados por el ESAN acorde a la modalidad de atención?</t>
  </si>
  <si>
    <t>2.2. ¿El personal distribuidor, verifica la calidad y cantidad de los alimentos entregados, los cuales deben estar acordes al ciclo de menú correspondiente, de acuerdo a la modalidad y la cantidad de cupos asignados al EE?</t>
  </si>
  <si>
    <t>2.3. ¿La remisión de alimentos se encuentra acorde a la establecida por el MEN, debidamente diligenciada y es firmada por el personal distribuidor, si se presenta un faltante o devolución de alimentos queda la nota consignada en la remisión?</t>
  </si>
  <si>
    <t>2.4. ¿En el transporte de los alimentos se utilizan canastillas plásticas en adecuadas condiciones de limpieza, respetando un margen mínimo de 5 cm entre el borde superior de la canastilla y el tendido del producto?</t>
  </si>
  <si>
    <t>2.5. ¿Se realiza la remoción de los empaques de cartón de los comedores escolares y/o sitios de distribución?</t>
  </si>
  <si>
    <t>2.6. ¿Se realiza la entrega del complemento según la modalidad en los horarios establecidos:  CTA (6:00 am - 04:00 pm) y RI - VL - RC (6:00 am -08:00 am)?</t>
  </si>
  <si>
    <t>2.7. ¿El  contratista  realiza  la  entrega  de  faltantes  en  los  horarios  establecidos  según  la  modalidad:  CTA  (hasta  16  horas  antes  de  la  preparación  del  menú correspondiente) RI - VL (10:00 am para la jornada de la mañana y 12:00 m para la jornada de la tarde)?</t>
  </si>
  <si>
    <t>2.8. El contratista distribuye los complementos en los horarios establecidos: Complemento alimentario jornada de la mañana entre las 7:00 a.m. y 9:00 a.m., Complemento alimentario jornada de la tarde entre las 3:00 p.m. y 4:30 p.m, Complemento tipo almuerzo entre las 11:30 a.m. y 1:00 p.m. RI - VL - RC jornada de la mañana 7:00 a.m. y 10:00 a.m. y jornada de la tarde 3:00 p.m. y 4:30 p.m.?</t>
  </si>
  <si>
    <t>2.9. El contratista atiende a los inicios de los periodos cortos y largos de vacaciones escolares con ración de contingencia, con el  menú correspondiente para dicha semana, previa concertación del Equipo de Seguridad Alimentaria?</t>
  </si>
  <si>
    <t>1. PORCENTAJE CUMPLIMIENTO</t>
  </si>
  <si>
    <t>1. PUNTAJE ESPERADO</t>
  </si>
  <si>
    <t xml:space="preserve">1. PUNTAJE OBTENIDO </t>
  </si>
  <si>
    <t>1. CUMPLIMIENTO GENERAL</t>
  </si>
  <si>
    <t>2. PUNTAJE ESPERADO</t>
  </si>
  <si>
    <t xml:space="preserve">2. PUNTAJE OBTENIDO </t>
  </si>
  <si>
    <t>2. PORCENTAJE CUMPLIMIENTO</t>
  </si>
  <si>
    <t>2. CUMPLIMIENTO GENERAL</t>
  </si>
  <si>
    <t>3. PUNTAJE ESPERADO</t>
  </si>
  <si>
    <t xml:space="preserve">3. PUNTAJE OBTENIDO </t>
  </si>
  <si>
    <t>3. PORCENTAJE CUMPLIMIENTO</t>
  </si>
  <si>
    <t>3. CUMPLIMIENTO GENERAL</t>
  </si>
  <si>
    <t>3.1. ¿Los alimentos entregados cumplen con las características establecidas en el Anexo B?</t>
  </si>
  <si>
    <t>3.2. ¿Los alimentos que no cumplen con el anexo B, son identificados como “Producto No Conforme” y se registra el procedimiento definido para la disposición final?</t>
  </si>
  <si>
    <t>3.3. ¿Todas las marcas de los alimentos entregados se encuentran incluidas en el listado de marcas aprobadas establecidas en el anexo D?</t>
  </si>
  <si>
    <t>3.4. ¿Los productos panificados entregados en el EE, garantizan como mínimo, el 40% de su vida útil?</t>
  </si>
  <si>
    <t>3.5. ¿Los alimentos que componen los complementos cumplen con el rotulado según la normatividad que aplique?</t>
  </si>
  <si>
    <t>3.6. ¿Los alimentos suministrados cuentan con el registro sanitario, el permiso sanitario o la notificación sanitaria, excepto los  que se encuentran eximidos por la normatividad vigente? Y esta información se evidencia en el empaque?</t>
  </si>
  <si>
    <t>3.7. ¿El reempaque de unidades necesarias cuentan con el sticker que contenga la siguiente información: nombre del producto, marca comercial, peso del producto entregado, unidades del empaque, número de lote, fecha de vencimiento, ¿instrucciones de conservación y número de permiso sanitario, registro sanitario o notificación sanitaria?</t>
  </si>
  <si>
    <t>3.8. ¿Los excedentes de alimentos se identifican con el  sticker establecido según las especificaciones técnicas?</t>
  </si>
  <si>
    <t>3.9. ¿El contratista tiene implementado la utilización del Kardex en los EE y se encuentra diligenciado y actualizado?</t>
  </si>
  <si>
    <t>3.10. ¿El contratista reporta a la ESAN por escrito y recoge los alimentos sobrantes?</t>
  </si>
  <si>
    <t>1. CARACTERÍSTICAS DE LOS VEHÍCULOS PARA EL TRANSPORTE DE ALIMENTOS</t>
  </si>
  <si>
    <t>4. CICLOS DE MENÚ</t>
  </si>
  <si>
    <t>¿El  comedor  escolar  cuenta  con  la  ficha  técnica  de  información  del  PAE  y  línea  de  atención  en  un  lugar  visible  a  la  comunidad  educativa,  cumpliendo  las especificaciones técnicas del MEN y Municipio de Medellín?</t>
  </si>
  <si>
    <t>4.1. ¿El contratista cuenta con el Anexo A al interior del Comedor escolar para consulta del personal procesador y/o distribuidor?</t>
  </si>
  <si>
    <t>4.2. ¿El contratista cumple con el ciclo de menú definido en el Anexo A, en cuanto a preparaciones y gramajes según las especificaciones técnicas?</t>
  </si>
  <si>
    <t>4.3. ¿El contratista tiene publicado en un lugar visible a la comunidad educativa el anexo F?</t>
  </si>
  <si>
    <t>4.4. ¿El menú cumple con el gramaje establecido según el rango de edad?</t>
  </si>
  <si>
    <t>4.5. ¿Se cumple con la estandarización de utensilios para la servida del menú según el grupo de edad?</t>
  </si>
  <si>
    <t>4.6. ¿El contratista cuenta y utiliza el anexo E “Guías de preparación alimentos” en el interior del comedor escolar?</t>
  </si>
  <si>
    <t>4.7. ¿El  comedor  escolar  cuenta  con  la  ficha  técnica  de  información  del  PAE  y  línea  de  atención  en  un  lugar  visible  a  la  comunidad  educativa,  cumpliendo  las especificaciones técnicas del MEN y Municipio de Medellín?</t>
  </si>
  <si>
    <t>4.8. ¿El contratista suministra al personal distribuidor o procesador una ración diaria según el menú del día?</t>
  </si>
  <si>
    <t>4.9. ¿El EE cuenta con la lista de intercambios de acuerdo a la modalidad establecida?</t>
  </si>
  <si>
    <t>4. PUNTAJE ESPERADO</t>
  </si>
  <si>
    <t xml:space="preserve">4. PUNTAJE OBTENIDO </t>
  </si>
  <si>
    <t>4. PORCENTAJE CUMPLIMIENTO</t>
  </si>
  <si>
    <t>4. CUMPLIMIENTO GENERAL</t>
  </si>
  <si>
    <t>5. DOTACIÓN DE EQUIPOS DE MEDICIÓN</t>
  </si>
  <si>
    <t xml:space="preserve">5. DOTACIÓN DE EQUIPOS DE MEDICIÓN   </t>
  </si>
  <si>
    <t>5.1. ¿El comedor escolar cuenta con el termómetro, báscula y balanza con las características requeridas según especificaciones técnicas? (RI, VL y RC solo termómetro)</t>
  </si>
  <si>
    <t>5.2. ¿El termómetro, la báscula  y la balanza son verificados semanalmente (RPS) y quincenalmente (RI-VL), por el personal supervisor del contratista?, se consigna esta información en la hoja de vida del equipo?</t>
  </si>
  <si>
    <t>5.3. ¿Los equipos de medición, son reemplazados mientras son enviados a calibarcion cuando se detectan desviaciones en el proceso de verificación en un tiempo maximo de 5 días hábiles despues de la fecha en que se reportó el dato alterado?</t>
  </si>
  <si>
    <t>5. PUNTAJE ESPERADO</t>
  </si>
  <si>
    <t xml:space="preserve">5. PUNTAJE OBTENIDO </t>
  </si>
  <si>
    <t>5. PORCENTAJE CUMPLIMIENTO</t>
  </si>
  <si>
    <t>5. CUMPLIMIENTO GENERAL</t>
  </si>
  <si>
    <t xml:space="preserve"> 6. MANEJO HIGIÉNICO SANITARIO</t>
  </si>
  <si>
    <t xml:space="preserve">6. MANEJO HIGIÉNICO SANITARIO    </t>
  </si>
  <si>
    <t>6. PUNTAJE ESPERADO</t>
  </si>
  <si>
    <t xml:space="preserve">6. PUNTAJE OBTENIDO </t>
  </si>
  <si>
    <t>6. PORCENTAJE CUMPLIMIENTO</t>
  </si>
  <si>
    <t>6. CUMPLIMIENTO GENERAL</t>
  </si>
  <si>
    <t>6.1. ¿El comedor escolar cumple con las condiciones higiénico-sanitarias según la resolución 2674 de 2013?</t>
  </si>
  <si>
    <t>6.2. ¿Se cuenta en el comedor escolar con una copia del Plan de Saneamiento Básico (PSB) que incluye los programas descritos en las especificaciones técnicas y se identifica su implementación con los formatos y registros?</t>
  </si>
  <si>
    <t>6.3. ¿El contratista realiza los procesos de limpieza y desinfección establecidos según las especificaciones técnicas y  el plan de saneamiento básico?</t>
  </si>
  <si>
    <t>6.4. ¿El comedor escolar cuenta con fichas técnicas y hojas de seguridad de desinfectantes y jabones biodegradables contempladas en el programa de limpieza y desinfección?</t>
  </si>
  <si>
    <t>6.5. ¿Se mantienen en óptimas condiciones de higiene y limpieza las zonas altas como techos, paredes y lámparas del comedor escolar?</t>
  </si>
  <si>
    <t>6.6. ¿Se implementa diariamente el uso de la cintilla correspondiente para medir la concentración del desinfectante utilizado en ppm?</t>
  </si>
  <si>
    <t>6.7. ¿El EE cuenta con trampa de grasa en acero inoxidable y se realizan los procesos de limpieza y desinfección según especificación técnica, se cuenta con los formatos de seguimiento diligenciados y actualizados?</t>
  </si>
  <si>
    <t>6.8. ¿Se realiza la  limpieza y desinfección de la trampa  de  grasa subterránea,  de acuerdo a  la frecuencia establecida, se cuenta con los formatos de seguimiento diligenciados y actualizados?</t>
  </si>
  <si>
    <t>6.9. ¿Se aplican los procesos y procedimientos establecidos en el programa del control de plagas?</t>
  </si>
  <si>
    <t>6.10. ¿Se cuenta con las fichas técnicas y hojas de seguridad de los productos químicos y control biológico a utilizar en el programa de control de plagas?</t>
  </si>
  <si>
    <t>6.11. ¿Se verifica la instalación de barreras físicas y en caso de presentarse deterioro de estas, se realiza el cambio?</t>
  </si>
  <si>
    <t>6.12.¿Se realiza el adecuado manejo de residuos sólidos de acuerdo al programa y se cuenta con los formatos de seguimiento diligenciados y actualizados?</t>
  </si>
  <si>
    <t>6.13. ¿El contratista ejecuta en cada comedor escolar el procedimiento para la recolección y disposición final del aceite usado de  acuerdo a la normativa ambiental Vigente?</t>
  </si>
  <si>
    <t>6.14. ¿Se  verifica  la  implementación  del  programa  de  abastecimiento  y  suministro  de  agua  potable  y  se  cuenta  con  los  formatos  de  seguimiento  diligenciados  y actualizados?</t>
  </si>
  <si>
    <r>
      <t xml:space="preserve">6.15. ¿El contratista implementa el </t>
    </r>
    <r>
      <rPr>
        <b/>
        <sz val="9"/>
        <color theme="1"/>
        <rFont val="Calibri"/>
        <family val="2"/>
        <scheme val="minor"/>
      </rPr>
      <t xml:space="preserve">Anexo G </t>
    </r>
    <r>
      <rPr>
        <sz val="9"/>
        <color theme="1"/>
        <rFont val="Calibri"/>
        <family val="2"/>
        <scheme val="minor"/>
      </rPr>
      <t>“Orientaciones para la higiene y manejo ambiental en los comedores escolares PAE Medellín” y Dentro del PGIRS “Plan Integral  de  Gestión  de  Residuos  Sólidos”,  se  tiene  contemplado  actividades  y/o  estrategias  para  la  reducción  de  residuos  plásticos  de  un  solo  uso  dando  así respuesta a lo normatizado en el Acuerdo 020 de diciembre de 2020 del municipio de Medellín?</t>
    </r>
  </si>
  <si>
    <t>7. SUMINISTRO DE IMPLEMENTOS DE ASEO</t>
  </si>
  <si>
    <t>7. PUNTAJE ESPERADO</t>
  </si>
  <si>
    <t xml:space="preserve">7. PUNTAJE OBTENIDO </t>
  </si>
  <si>
    <t>7. PORCENTAJE CUMPLIMIENTO</t>
  </si>
  <si>
    <t>7. CUMPLIMIENTO GENERAL</t>
  </si>
  <si>
    <t>7.1. ¿Se cuenta con la permanencia de los productos incluidos en el kit de aseo, en cantidades suficientes y en perfecto estado, que garanticen la realización de los procesos de limpieza y desinfección diariamente?</t>
  </si>
  <si>
    <t>7.2. ¿Se cuenta con la remisión de la entrega de los productos del kit de aseo, la cual debe contener nombre y firma de quien recibe a satisfacción?</t>
  </si>
  <si>
    <t>7.3. ¿En los comedores escolares donde se cuenta con la existencia del gorro de algodón y la bata blanca, el contratista garantiza que se encuentren en adecuadas condiciones de limpieza, para el uso de visitantes?</t>
  </si>
  <si>
    <t>8. PLANTA FÍSICA Y DOTACIÓN DE LOS ESTABLECIMIENTOS EDUCATIVOS ATENDIDOS</t>
  </si>
  <si>
    <t>8. PUNTAJE ESPERADO</t>
  </si>
  <si>
    <t xml:space="preserve">8. PUNTAJE OBTENIDO </t>
  </si>
  <si>
    <t>8. PORCENTAJE CUMPLIMIENTO</t>
  </si>
  <si>
    <t>8. CUMPLIMIENTO GENERAL</t>
  </si>
  <si>
    <t>8.1. ¿El EE cuenta con el inventario de equipos firmado y aprobado por la institución y además coincide con los equipos existentes dentro del restaurante escolar?</t>
  </si>
  <si>
    <t>8.2. ¿Los equipos se encuentran identificados con la placa o el código suministrado por el municipio de Medellín o por el contratista?</t>
  </si>
  <si>
    <t>8.3. ¿El contratista realiza la gestión con la rectoría de EE para el retiro de equipos y utensilios en desuso?</t>
  </si>
  <si>
    <t>8.4. ¿El contratista realiza la verificación, identificación y señalización en material durable, que no deteriore la infraestructura, en material de fácil remoción y lavable en las diferentes áreas de procesos?</t>
  </si>
  <si>
    <t>9. MANTENIMIENTO DE EQUIPOS</t>
  </si>
  <si>
    <t>9. PUNTAJE ESPERADO</t>
  </si>
  <si>
    <t xml:space="preserve">9. PUNTAJE OBTENIDO </t>
  </si>
  <si>
    <t>9. PORCENTAJE CUMPLIMIENTO</t>
  </si>
  <si>
    <t>9. CUMPLIMIENTO GENERAL</t>
  </si>
  <si>
    <t>10. REQUERIMIENTOS DE INFORMACIÓN</t>
  </si>
  <si>
    <t>10. PUNTAJE ESPERADO</t>
  </si>
  <si>
    <t xml:space="preserve">10. PUNTAJE OBTENIDO </t>
  </si>
  <si>
    <t>10. PORCENTAJE CUMPLIMIENTO</t>
  </si>
  <si>
    <t>10. CUMPLIMIENTO GENERAL</t>
  </si>
  <si>
    <t>9.1. ¿Se encuentra en el EE la carpeta de los equipos con toda la documentación: copia del plan de mantenimiento, inventario de equipos, fichas técnicas y hojas de vida con sus actualizaciones?</t>
  </si>
  <si>
    <t>9.2. ¿Se cuenta con las fichas técnicas y hojas de vida de cada uno de los equipos del comedor escolar, con la información de los mantenimientos realizados?</t>
  </si>
  <si>
    <t>9.3. ¿El Contratista realiza los mantenimientos correctivos dentro de los 5 días hábiles, luego de ser reportado el daño del equipo?</t>
  </si>
  <si>
    <t>9.4. ¿El contratista ha realizado las visitas de mantenimiento preventivo según el cronograma establecido?</t>
  </si>
  <si>
    <t>9.5. ¿El inventario de equipos que reposa en el comedor escolar relaciona todos los equipos, codificaciones y modificaciones?</t>
  </si>
  <si>
    <t>9.6. Si durante la visita al EE el provvedor del contratista realiza mantenimiento de equipos, este se desarrolla cumplinedo con las especificaciones técnicas para cada equipo.</t>
  </si>
  <si>
    <t>9.7. ¿El contratista cumple con el tiempo establecido en las especificaciones técnicas, en caso de necesitarse el reemplazo de un equipo?</t>
  </si>
  <si>
    <t>10.1. ¿El personal procesador /distribuidor diligencia diariamente el formato de registro y control diario de asistencia en el EE, que se encuentra establecido por el MEN?</t>
  </si>
  <si>
    <t>10.2. ¿El personal procesador/distribuidor verifica el día anterior a la preparación del menú la asistencia de los escolares y se registra en la Bitácora?</t>
  </si>
  <si>
    <t>11. TEMPERATURA Y EMPAQUE</t>
  </si>
  <si>
    <t>¿El empaque de las bebidas, tiene impresa la leyenda: “Municipio de Medellín Secretaría de Inclusión Social, Familia y Derechos Humanos; prohibida su venta o comercialización” y el logo actual de la Alcaldía de Medellín?</t>
  </si>
  <si>
    <t>11. PUNTAJE ESPERADO</t>
  </si>
  <si>
    <t xml:space="preserve">11. PUNTAJE OBTENIDO </t>
  </si>
  <si>
    <t>11. PORCENTAJE CUMPLIMIENTO</t>
  </si>
  <si>
    <t>11. CUMPLIMIENTO GENERAL</t>
  </si>
  <si>
    <t>11.1. ¿El panificado suministrado está empacado en bolsa de polipropileno transparente con leyenda: “Municipio de Medellín Secretaría de Inclusión Social, Familia y Derechos Humanos; prohibida su venta o comercialización”?, ¿y además contiene el logo y el eslogan actual de la Alcaldía de Medellín acorde a los lineamientos impartidos por el área de comunicaciones de la Alcaldía?</t>
  </si>
  <si>
    <t>11.2. ¿El empaque de las bebidas, tiene impresa la leyenda: “Municipio de Medellín Secretaría de Inclusión Social, Familia y Derechos Humanos; prohibida su venta o comercialización” y el logo actual de la Alcaldía de Medellín?</t>
  </si>
  <si>
    <t>11.3. ¿El queso de porción individual se suministra en bolsa plástica individual, transparente y sellada?</t>
  </si>
  <si>
    <t>11.4. ¿El complemento RI se encuentra identificado por colores de acuerdo a las especificaciones técnicas (rojo- transición, amarillo – 1° a 3°, verde - 4° a 5°, blanco - 6° a9° y negro - 10° a 11°), cada una de las bolsas donde está empacado el panificado debe contener una servilleta en su interior?</t>
  </si>
  <si>
    <t>11.5. ¿Las frutas son transportadas en canastillas plásticas perforadas que garantizan la conservación adecuada del producto?</t>
  </si>
  <si>
    <t>11.6. ¿Los productos lácteos (leche, yogurt, yogurt griego y el queso en porción individual) se entregan en el EE con una temperatura entre 0°C y 6°C según normatividad vigente, siendo este el límite permisible para la entrega de estos alimentos?</t>
  </si>
  <si>
    <t>11.7. ¿El sándwich y la hamburguesa se entregan a una temperatura entre 0° C y 4°C en el EE?</t>
  </si>
  <si>
    <t>12. PERSONAL REQUERIDO</t>
  </si>
  <si>
    <t>12. PUNTAJE ESPERADO</t>
  </si>
  <si>
    <t xml:space="preserve">12. PUNTAJE OBTENIDO </t>
  </si>
  <si>
    <t>12. PORCENTAJE CUMPLIMIENTO</t>
  </si>
  <si>
    <t>12. CUMPLIMIENTO GENERAL</t>
  </si>
  <si>
    <t>12.1. ¿El comedor escolar cuenta con el personal procesador y/o distribuidor exigido, de acuerdo al número de cupos y modalidad ejecutada en el EE?</t>
  </si>
  <si>
    <t>12.2. ¿El personal procesador/distribuidor y de transporte cuenta con todos los elementos de protección exigidos por las especificaciones técnicas y los protocolos de bioseguridad aprobados por la ARL?</t>
  </si>
  <si>
    <t>12.3. ¿El personal procesador/ distribuidor no presenta sintomatología que ponga en riesgo la inocuidad del complemento?</t>
  </si>
  <si>
    <t>12.4. ¿Se verifica que se cuente con un sistema de gestión de seguridad y salud en el trabajo, este se encuentre documentado y socializado en cada EE. Incluyendo la rutade reporte inmediato en caso de accidente laboral?</t>
  </si>
  <si>
    <t>12.5. ¿El personal procesador/distribuidor/y de vehículos cuenta con copia de certificados de manipulación de alimentos y de aptitud laboral en el EE?</t>
  </si>
  <si>
    <t>12.6. ¿El supervisor del contratista realiza visita al comedor escolar una vez por semana en los establecimientos asignados, de manera que se verifiquen todos los procesosdurante el mes, consignando dichas visitas en la bitácora?</t>
  </si>
  <si>
    <t>12.7. ¿El supervisor del contratista cuenta con balanza, termómetro, gorro y delantal de color claro con imagen corporativa de la Alcaldía de Medellín (logo y slogan) y marcado con el nombre de dicho supervisor?</t>
  </si>
  <si>
    <t>12.8. ¿La bata del personal procesador / distribuidor/ y de vehículos cuenta con el logo y eslogan actual de la Alcaldía de Medellín?</t>
  </si>
  <si>
    <t>13. SITUACIONES DE ALERTA</t>
  </si>
  <si>
    <t>SITUACIONES DE ALERTA</t>
  </si>
  <si>
    <t>Por necesidad de mantenimiento correctivo de equipos</t>
  </si>
  <si>
    <t>Por faltante de materia prima</t>
  </si>
  <si>
    <t>Por necesidad de control químico para plagas en E.E.</t>
  </si>
  <si>
    <t>Por necesidad de control físico contra plagas en E.E.</t>
  </si>
  <si>
    <t>Por necesidad de reemplazo de personal procesador o distribuidor de alimentos</t>
  </si>
  <si>
    <t>ACTIVIDADES A VERIFICAR</t>
  </si>
  <si>
    <t xml:space="preserve"> Recepción de los alimentos.</t>
  </si>
  <si>
    <t>Condiciones de transporte de alimentos.</t>
  </si>
  <si>
    <t>Condiciones de almacenamiento y características de los alimentos.</t>
  </si>
  <si>
    <t>Procesamiento de alimentos.</t>
  </si>
  <si>
    <t>Distribución y servicio.</t>
  </si>
  <si>
    <t>Estado de equipos y menaje.</t>
  </si>
  <si>
    <t>Condiciones del personal (número y funciones del personal, soporte documental)</t>
  </si>
  <si>
    <t>Ejecución del plan de saneamiento básico.</t>
  </si>
  <si>
    <t>Seguimiento al perfil higienico sanitario.</t>
  </si>
  <si>
    <t>Suministro de implementos de aseo</t>
  </si>
  <si>
    <t>Suministro de implementos de gas</t>
  </si>
  <si>
    <t>13.1. Por necesidad de mantenimiento correctivo de equipos</t>
  </si>
  <si>
    <t>13.2. Por faltante de materia prima</t>
  </si>
  <si>
    <t>13.4. Por necesidad de control físico contra plagas en E.E.</t>
  </si>
  <si>
    <t>13.3. Por necesidad de control químico para plagas en E.E.</t>
  </si>
  <si>
    <t>13.5. Por necesidad de reemplazo de personal procesador o distribuidor de alimentos</t>
  </si>
  <si>
    <t>13. PUNTAJE ESPERADO</t>
  </si>
  <si>
    <t xml:space="preserve">13. PUNTAJE OBTENIDO </t>
  </si>
  <si>
    <t>13. PORCENTAJE CUMPLIMIENTO</t>
  </si>
  <si>
    <t>13. CUMPLIMIENTO GENERAL</t>
  </si>
  <si>
    <t>Res 2674</t>
  </si>
  <si>
    <t>Título II De 2013</t>
  </si>
  <si>
    <t>AM/ PM</t>
  </si>
  <si>
    <t>Los servicios sanitarios deben mantenerse limpios y proveerse de los recursos requeridos para la higiene personal, tales como, pero sin limitarse a: papel higiénico, dispensador de jabón, desinfectante, implementos desechables o equipos automáticos para el secado de las manos y papeleras de accionamiento indirecto o no manual.</t>
  </si>
  <si>
    <t>Artículo 14 (3).</t>
  </si>
  <si>
    <t>Articulo 14 (4)</t>
  </si>
  <si>
    <t>Artículo 14 (5).</t>
  </si>
  <si>
    <t>Artículo 14 (7).</t>
  </si>
  <si>
    <t>Mantener las uñas cortas, limpias y sin esmalte</t>
  </si>
  <si>
    <t>Artículo 14 (8).</t>
  </si>
  <si>
    <t>No se permite utilizar reloj, anillos, aretes, joyas u otros accesorios mientras el personal realice sus labores, En caso de usar lentes, deben asegurarse a la cabeza mediante bandas, cadenas u otros medios ajustables.</t>
  </si>
  <si>
    <t>Artículo 14 (9).</t>
  </si>
  <si>
    <t>Artículo 14 (10).</t>
  </si>
  <si>
    <t>Artículo 14 (11).</t>
  </si>
  <si>
    <t>Artículo 14 (13).</t>
  </si>
  <si>
    <t>Artículo 14 (14).</t>
  </si>
  <si>
    <t>Artículo 18 (5).</t>
  </si>
  <si>
    <t>Artículo 18 (6).</t>
  </si>
  <si>
    <t>Los procedimientos mecánicos de manufactura, tales como, lavar, pelar, cortar, clasificar, desmenuzar, extraer, batir, secar, entre otros, deben realizarse de manera tal que se protejan los alimentos y las materias primas de la contaminación.</t>
  </si>
  <si>
    <t>Artículo 18 (10).</t>
  </si>
  <si>
    <t>No se permite el uso de utensilios de vidrio en las áreas de elaboración debido al riesgo de ruptura y contaminación del alimento</t>
  </si>
  <si>
    <t>Durante las operaciones de fabricación, procesamiento, envasado y almacenamiento se tomarán medidas eficaces para evitar la contaminación de los alimentos por contacto directo o indirecto con materias primas que se encuentren en las fases iníciales del proceso</t>
  </si>
  <si>
    <t>Todo equipo y utensilio que haya entrado en contacto con materias primas o con material contaminado debe limpiarse y desinfectarse cuidadosamente antes de ser nuevamente utilizado</t>
  </si>
  <si>
    <t>Especificaciones sobre las materias primas y productos terminados. Las especificaciones definen completamente la calidad de todos los productos y de todas las materias primas con los cuales son elaborados y deben incluir criterios claros para su aceptación, liberación, retención o rechazo.</t>
  </si>
  <si>
    <t>Artículo 28 (2)</t>
  </si>
  <si>
    <t>El almacenamiento de productos que requieren refrigeración o congelación se realizará teniendo en cuenta las condiciones de temperatura, humedad y circulación del aire que requiera el alimento, materia prima o insumo. Estas instalaciones se mantendrán limpias y en buenas condiciones higiénicas, además, se llevará a cabo un control de temperatura y humedad que asegure la conservación del producto. Los dispositivos de registro de la temperatura y humedad deben inspeccionarse a intervalos regulares y se debe comprobar su exactitud. La temperatura de congelación debe ser de -18ºC o menor.</t>
  </si>
  <si>
    <t>Los plaguicidas, detergentes, desinfectantes y otras sustancias peligrosas que por necesidades de uso se encuentren dentro de la fábrica, deben etiquetarse adecuadamente con un rótulo en que se informe sobre su toxicidad y empleo. Estos productos deben almacenarse en áreas independientes con separación física y su manipulación sólo podrá hacerla el personal idóneo, evitando la contaminación de otros productos. Estas áreas deben estar debidamente identificadas, organizadas, señalizadas y aireadas.</t>
  </si>
  <si>
    <t>Se prohíbe transportar conjuntamente en un mismo vehículo alimentos o materias primas con sustancias peligrosas y otras sustancias que por su naturaleza representen riesgo de contaminación del alimento o la materia prima.</t>
  </si>
  <si>
    <t>14. ACTIVIDADES A VERIFICAR</t>
  </si>
  <si>
    <t>14.1. Recepción de los alimentos.</t>
  </si>
  <si>
    <t>14.2. Condiciones de transporte de alimentos.</t>
  </si>
  <si>
    <t>14.3. Condiciones de almacenamiento y características de los alimentos.</t>
  </si>
  <si>
    <t>14.4. Procesamiento de alimentos.</t>
  </si>
  <si>
    <t>14.5. Distribución y servicio.</t>
  </si>
  <si>
    <t>14.6. Estado de equipos y menaje.</t>
  </si>
  <si>
    <t>14.7. Condiciones del personal (número y funciones del personal, soporte documental)</t>
  </si>
  <si>
    <t>14.8. Ejecución del plan de saneamiento básico.</t>
  </si>
  <si>
    <t>14.9. Seguimiento al perfil higienico sanitario.</t>
  </si>
  <si>
    <t>14.10. Suministro de implementos de aseo</t>
  </si>
  <si>
    <t>14.11. Suministro de implementos de gas</t>
  </si>
  <si>
    <t>15. REQUISITO</t>
  </si>
  <si>
    <t>15.1. No se permite la presencia de animales en los establecimientos objeto de la presente resolución, específicamente en las áreas destinadas a la fabricación, procesamiento, preparación, envase, almacenamiento y expendio.</t>
  </si>
  <si>
    <t>15.2. El manejo de residuos líquidos dentro del establecimiento debe realizarse de manera que impida la contaminación del alimento o de las superficies de potencial contacto con este.</t>
  </si>
  <si>
    <t>15.3. Los servicios sanitarios deben mantenerse limpios y proveerse de los recursos requeridos para la higiene personal, tales como, pero sin limitarse a: papel higiénico, dispensador de jabón, desinfectante, implementos desechables o equipos automáticos para el secado de las manos y papeleras de accionamiento indirecto o no manual.</t>
  </si>
  <si>
    <t>15.4. En las proximidades de los lavamanos se deben colocar avisos o advertencias al personal sobre la necesidad de lavarse las manos luego de usar los servicios sanitarios, después de cualquier cambio de actividad y antes de iniciar las labores de producción.</t>
  </si>
  <si>
    <t>15.5. La distancia entre los equipos y las paredes perimetrales, columnas u otros elementos de la edificación, debe ser tal que les permita funcionar adecuadamente y facilite el acceso para la inspección, mantenimiento, limpieza y desinfección.</t>
  </si>
  <si>
    <t>15.6. Para reforzar el cumplimiento de las prácticas higiénicas, se colocarán en sitios estratégicos avisos alusivos a la obligatoriedad y necesidad de su observancia durante la manipulación de alimentos.</t>
  </si>
  <si>
    <t>15.7. El manipulador de alimentos debe ser entrenado para comprender y manejar el control de los puntos del proceso que están bajo su responsabilidad y la importancia de su vigilancia o monitoreo; además, debe conocer los límites del punto del proceso y las acciones correctivas a tomar cuando existan desviaciones en dichos límites.</t>
  </si>
  <si>
    <t>15.8. Mantener una estricta limpieza e higiene personal y aplicar buenas prácticas higiénicas en sus labores, de manera que se evite la contaminación del alimento y de las superficies de contacto con este.</t>
  </si>
  <si>
    <t>15.9. El manipulador de alimentos no podrá salir e ingresar al establecimiento con la vestimenta de trabajo.</t>
  </si>
  <si>
    <t>15.10. Lavarse las manos con agua y jabón desinfectante, antes de comenzar su trabajo, cada vez que salga y regrese al área asignada y después de manipular cualquier material u objeto que pudiese representar un riesgo de contaminación para el alimento. Será obligatorio realizar la desinfección de las manos cuando los riesgos asociados con la etapa del proceso así lo justifiquen.</t>
  </si>
  <si>
    <t>15.11. Mantener el cabello recogido y cubierto totalmente mediante malla, gorro u otro medio efectivo y en caso de llevar barba, bigote o patillas se debe usar cubiertas para estas. No se permite el uso de maquillaje.</t>
  </si>
  <si>
    <t>15.12. Mantener las uñas cortas, limpias y sin esmalte</t>
  </si>
  <si>
    <t>15.13. No se permite utilizar reloj, anillos, aretes, joyas u otros accesorios mientras el personal realice sus labores, En caso de usar lentes, deben asegurarse a la cabeza mediante bandas, cadenas u otros medios ajustables.</t>
  </si>
  <si>
    <t>15.14. Usar calzado cerrado, de material resistente e impermeable y de tacón bajo.</t>
  </si>
  <si>
    <t>15.15. De ser necesario el uso de guantes, estos deben mantenerse limpios, sin roturas o desperfectos y ser tratados con el mismo cuidado higiénico de las manos sin protección. El material de los guantes, debe ser apropiado para la operación realizada y debe evitarse la acumulación de humedad y contaminación en su interior para prevenir posibles afecciones cutáneas de los operarios. El uso de guantes no exime al operario de la obligación de lavarse las manos, según lo contempla el numeral 4 del presente artículo.</t>
  </si>
  <si>
    <t>15.16. No está permitido comer, beber o masticar cualquier objeto o producto, como tampoco fumar o escupir en las áreas donde se manipulen alimentos.</t>
  </si>
  <si>
    <t>15.17. Los manipuladores no deben sentarse, acostarse, inclinarse o similares en el pasto, andenes o lugares donde la ropa de trabajo pueda contaminarse.</t>
  </si>
  <si>
    <t>15.18. Los visitantes a los establecimientos o plantas deben cumplir estrictamente todas las prácticas de higiene establecidas en esta resolución y portar la vestimenta y dotación adecuada, la cual debe ser suministrada por la empresa.</t>
  </si>
  <si>
    <t>15.19. Las materias primas conservadas por congelación que requieren ser descongeladas previo al uso, deben descongelarse a una velocidad controlada para evitar el desarrollo de microorganismos y no podrán ser recongeladas. Además, se manipularán de manera que se minimice la contaminación proveniente de otras fuentes.</t>
  </si>
  <si>
    <t>15.20. Los depósitos de materias primas y productos terminados ocuparán espacios independientes, salvo en aquellos casos en que a juicio de la autoridad sanitaria competente no se presenten peligros de contaminación para los alimentos.</t>
  </si>
  <si>
    <t>15.21. Envases y embalajes. No deben haber sido utilizados previamente para fines diferentes que puedan ocasionar la contaminación del alimento a contener.</t>
  </si>
  <si>
    <t>15.22. Los envases y embalajes que estén en contacto directo con el alimento antes de su envase, aunque sea en forma temporal, deben permanecer en buen estado, limpios y, de acuerdo con el riesgo en salud pública, deben estar debidamente desinfectados.</t>
  </si>
  <si>
    <t>15.23. Las operaciones de fabricación deben realizarse de forma secuencial y continua para que no se produzcan retrasos indebidos que permitan el crecimiento de microorganismos, contribuyan a otro tipo de deterioro o contaminación del alimento. Cuando se requiera esperar entre una etapa del proceso y la siguiente, el alimento debe mantenerse protegido y en el caso de alimentos susceptibles al rápido crecimiento de microorganismos durante el tiempo de espera, deben emplearse temperaturas altas (&gt;60°C) o bajas no mayores de 4°C +/- 2°C según sea el caso.</t>
  </si>
  <si>
    <t>15.24. Los procedimientos mecánicos de manufactura, tales como, lavar, pelar, cortar, clasificar, desmenuzar, extraer, batir, secar, entre otros, deben realizarse de manera tal que se protejan los alimentos y las materias primas de la contaminación.</t>
  </si>
  <si>
    <t>15.25. No se permite el uso de utensilios de vidrio en las áreas de elaboración debido al riesgo de ruptura y contaminación del alimento</t>
  </si>
  <si>
    <t>15.26. Durante las operaciones de fabricación, procesamiento, envasado y almacenamiento se tomarán medidas eficaces para evitar la contaminación de los alimentos por contacto directo o indirecto con materias primas que se encuentren en las fases iníciales del proceso</t>
  </si>
  <si>
    <t>15.27. Todo equipo y utensilio que haya entrado en contacto con materias primas o con material contaminado debe limpiarse y desinfectarse cuidadosamente antes de ser nuevamente utilizado</t>
  </si>
  <si>
    <t>15.28. Especificaciones sobre las materias primas y productos terminados. Las especificaciones definen completamente la calidad de todos los productos y de todas las materias primas con los cuales son elaborados y deben incluir criterios claros para su aceptación, liberación, retención o rechazo.</t>
  </si>
  <si>
    <t>15.29. El almacenamiento de productos que requieren refrigeración o congelación se realizará teniendo en cuenta las condiciones de temperatura, humedad y circulación del aire que requiera el alimento, materia prima o insumo. Estas instalaciones se mantendrán limpias y en buenas condiciones higiénicas, además, se llevará a cabo un control de temperatura y humedad que asegure la conservación del producto. Los dispositivos de registro de la temperatura y humedad deben inspeccionarse a intervalos regulares y se debe comprobar su exactitud. La temperatura de congelación debe ser de -18ºC o menor.</t>
  </si>
  <si>
    <t>15.30. El almacenamiento de los insumos, materias primas o productos terminados se realizará ordenadamente en pilas o estibas con separación mínima de 60 centímetros con respecto a las paredes perimetrales, y disponerse sobre palés o tarimas limpias y en buen estado, elevadas del piso por lo menos 15 centímetros de manera que se permita la inspección, limpieza y fumigación, si es el caso.</t>
  </si>
  <si>
    <t>15.31. En los sitios o lugares destinados al almacenamiento de materias primas, insumos y productos terminados no podrán realizarse actividades diferentes a estas.</t>
  </si>
  <si>
    <t>15.32. Los plaguicidas, detergentes, desinfectantes y otras sustancias peligrosas que por necesidades de uso se encuentren dentro de la fábrica, deben etiquetarse adecuadamente con un rótulo en que se informe sobre su toxicidad y empleo. Estos productos deben almacenarse en áreas independientes con separación física y su manipulación sólo podrá hacerla el personal idóneo, evitando la contaminación de otros productos. Estas áreas deben estar debidamente identificadas, organizadas, señalizadas y aireadas.</t>
  </si>
  <si>
    <t>15.33. Se prohíbe disponer los alimentos directamente sobre el piso de los medios de transporte. Para este fin se utilizarán los recipientes, canastillas, o implementos de material adecuado, de manera que aíslen el producto de toda posibilidad de contaminación.</t>
  </si>
  <si>
    <t>15.34. Se prohíbe transportar conjuntamente en un mismo vehículo alimentos o materias primas con sustancias peligrosas y otras sustancias que por su naturaleza representen riesgo de contaminación del alimento o la materia prima.</t>
  </si>
  <si>
    <t>15. PUNTAJE ESPERADO</t>
  </si>
  <si>
    <t xml:space="preserve">15. PUNTAJE OBTENIDO </t>
  </si>
  <si>
    <t>15. PORCENTAJE CUMPLIMIENTO</t>
  </si>
  <si>
    <t>15. CUMPLIMIENTO GENERAL</t>
  </si>
  <si>
    <t>OBSERVACIONES GENERALES DE LA VISITA</t>
  </si>
  <si>
    <t>1 : TRANSICION</t>
  </si>
  <si>
    <t>2 : DE 1° A 3°</t>
  </si>
  <si>
    <t>3 : DE 4° A 5°</t>
  </si>
  <si>
    <t>4: DE 6° A 9°</t>
  </si>
  <si>
    <t>5: DE 10° A 11°</t>
  </si>
  <si>
    <t>INVENTARIO DE ALIMENTOS</t>
  </si>
  <si>
    <t>1. PRODUCTO CTA</t>
  </si>
  <si>
    <t>2. PRODUCTO CTA</t>
  </si>
  <si>
    <t>3. PRODUCTO CTA</t>
  </si>
  <si>
    <t>4. PRODUCTO CTA</t>
  </si>
  <si>
    <t>5. PRODUCTO CTA</t>
  </si>
  <si>
    <t>6. PRODUCTO CTA</t>
  </si>
  <si>
    <t>7. PRODUCTO CTA</t>
  </si>
  <si>
    <t>8. PRODUCTO CTA</t>
  </si>
  <si>
    <t>9. PRODUCTO CTA</t>
  </si>
  <si>
    <t>10. PRODUCTO CTA</t>
  </si>
  <si>
    <t>INVENTARIO DE ALIMENTOS V.L - R.I</t>
  </si>
  <si>
    <t>6. PRODUCTO V.L - R.I</t>
  </si>
  <si>
    <t>7. PRODUCTO V.L - R.I</t>
  </si>
  <si>
    <t>8. PRODUCTO V.L - R.I</t>
  </si>
  <si>
    <t>9. PRODUCTO V.L - R.I</t>
  </si>
  <si>
    <t>10. PRODUCTO V.L - R.I</t>
  </si>
  <si>
    <t>INVENTARIO DE ALIMENTOS R.C.</t>
  </si>
  <si>
    <t>1. PRODUCTO R.C.</t>
  </si>
  <si>
    <t>2. PRODUCTO R.C.</t>
  </si>
  <si>
    <t>3. PRODUCTO R.C.</t>
  </si>
  <si>
    <t>4. PRODUCTO R.C.</t>
  </si>
  <si>
    <t>5. PRODUCTO R.C.</t>
  </si>
  <si>
    <t>6. PRODUCTO R.C.</t>
  </si>
  <si>
    <t>7. PRODUCTO R.C.</t>
  </si>
  <si>
    <t>8. PRODUCTO R.C.</t>
  </si>
  <si>
    <t xml:space="preserve">	
Cód. FO-GESR -1653 	
Formato
FO-GESR Acta de Visita de Supervisión General en Establecimiento Educativo  – Seguridad Alimentaria
Versión. 1		
 </t>
  </si>
  <si>
    <t>CONSORCIO PAE NIÑ@S MEDELLÍN</t>
  </si>
  <si>
    <t>GR LOGISTICA INTEGRAL S.A.S</t>
  </si>
  <si>
    <t>AMPMV1E11107</t>
  </si>
  <si>
    <t>LAURA PEREZ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</si>
</sst>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64" formatCode="_(&quot;$&quot;\ * #,##0.00_);_(&quot;$&quot;\ * \(#,##0.00\);_(&quot;$&quot;\ * &quot;-&quot;??_);_(@_)"/>
    <numFmt numFmtId="165" formatCode="_(* #,##0.00_);_(* \(#,##0.00\);_(* &quot;-&quot;??_);_(@_)"/>
    <numFmt numFmtId="166" formatCode="_-* #,##0.00\ &quot;€&quot;_-;\-* #,##0.00\ &quot;€&quot;_-;_-* &quot;-&quot;??\ &quot;€&quot;_-;_-@_-"/>
    <numFmt numFmtId="167" formatCode="_-* #,##0.00\ _€_-;\-* #,##0.00\ _€_-;_-* &quot;-&quot;??\ _€_-;_-@_-"/>
    <numFmt numFmtId="168" formatCode="_ [$€-2]\ * #,##0.00_ ;_ [$€-2]\ * \-#,##0.00_ ;_ [$€-2]\ * &quot;-&quot;??_ "/>
    <numFmt numFmtId="169" formatCode="_([$€]* #,##0.00_);_([$€]* \(#,##0.00\);_([$€]* &quot;-&quot;??_);_(@_)"/>
    <numFmt numFmtId="170" formatCode="_-* #,##0.00\ [$€]_-;\-* #,##0.00\ [$€]_-;_-* &quot;-&quot;??\ [$€]_-;_-@_-"/>
    <numFmt numFmtId="171" formatCode="_-* #,##0\ _P_t_s_-;\-* #,##0\ _P_t_s_-;_-* &quot;-&quot;\ _P_t_s_-;_-@_-"/>
    <numFmt numFmtId="172" formatCode="_ * #,##0.00_ ;_ * \-#,##0.00_ ;_ * &quot;-&quot;??_ ;_ @_ "/>
    <numFmt numFmtId="173" formatCode="_-* #,##0.00\ _P_t_s_-;\-* #,##0.00\ _P_t_s_-;_-* &quot;-&quot;??\ _P_t_s_-;_-@_-"/>
    <numFmt numFmtId="174" formatCode="_ &quot;$&quot;\ * #,##0.00_ ;_ &quot;$&quot;\ * \-#,##0.00_ ;_ &quot;$&quot;\ * &quot;-&quot;??_ ;_ @_ "/>
    <numFmt numFmtId="175" formatCode="_-* #,##0.00\ &quot;Pts&quot;_-;\-* #,##0.00\ &quot;Pts&quot;_-;_-* &quot;-&quot;??\ &quot;Pts&quot;_-;_-@_-"/>
    <numFmt numFmtId="176" formatCode="[$-240A]d&quot; de &quot;mmmm&quot; de &quot;yyyy;@"/>
    <numFmt numFmtId="177" formatCode="h:mm:ss;@"/>
  </numFmts>
  <fonts count="8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6"/>
      <color theme="1"/>
      <name val="Calibri"/>
      <family val="2"/>
      <scheme val="minor"/>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u/>
      <sz val="11"/>
      <color theme="10"/>
      <name val="Calibri"/>
      <family val="2"/>
    </font>
    <font>
      <u/>
      <sz val="12.65"/>
      <color theme="10"/>
      <name val="Calibri"/>
      <family val="2"/>
    </font>
    <font>
      <u/>
      <sz val="12.65"/>
      <color indexed="12"/>
      <name val="Calibri"/>
      <family val="2"/>
    </font>
    <font>
      <sz val="11"/>
      <color indexed="20"/>
      <name val="Calibri"/>
      <family val="2"/>
    </font>
    <font>
      <sz val="10"/>
      <name val="Zurich BT"/>
    </font>
    <font>
      <sz val="11"/>
      <color indexed="60"/>
      <name val="Calibri"/>
      <family val="2"/>
    </font>
    <font>
      <sz val="12"/>
      <color theme="1"/>
      <name val="Calibri"/>
      <family val="2"/>
      <scheme val="minor"/>
    </font>
    <font>
      <sz val="10"/>
      <color indexed="8"/>
      <name val="Arial"/>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u/>
      <sz val="11"/>
      <color theme="10"/>
      <name val="Calibri"/>
      <family val="2"/>
      <scheme val="minor"/>
    </font>
    <font>
      <u/>
      <sz val="11"/>
      <color theme="11"/>
      <name val="Calibri"/>
      <family val="2"/>
      <scheme val="minor"/>
    </font>
    <font>
      <b/>
      <sz val="10"/>
      <color theme="1"/>
      <name val="Calibri"/>
      <family val="2"/>
      <scheme val="minor"/>
    </font>
    <font>
      <sz val="10"/>
      <color theme="1"/>
      <name val="Calibri"/>
      <family val="2"/>
      <scheme val="minor"/>
    </font>
    <font>
      <sz val="11"/>
      <color indexed="8"/>
      <name val="Calibri"/>
      <family val="2"/>
      <scheme val="minor"/>
    </font>
    <font>
      <sz val="11"/>
      <name val="Calibri"/>
      <family val="2"/>
      <scheme val="minor"/>
    </font>
    <font>
      <b/>
      <sz val="11"/>
      <name val="Calibri"/>
      <family val="2"/>
      <scheme val="minor"/>
    </font>
    <font>
      <sz val="10"/>
      <color rgb="FF000000"/>
      <name val="Times New Roman"/>
      <family val="1"/>
    </font>
    <font>
      <sz val="11"/>
      <color rgb="FF000000"/>
      <name val="Calibri"/>
      <family val="2"/>
    </font>
    <font>
      <b/>
      <sz val="11"/>
      <name val="Calibri"/>
      <family val="2"/>
    </font>
    <font>
      <sz val="9"/>
      <color indexed="8"/>
      <name val="Calibri"/>
      <family val="2"/>
      <scheme val="minor"/>
    </font>
    <font>
      <b/>
      <sz val="14"/>
      <color theme="1"/>
      <name val="Calibri"/>
      <family val="2"/>
      <scheme val="minor"/>
    </font>
    <font>
      <b/>
      <sz val="18"/>
      <color theme="1"/>
      <name val="Calibri"/>
      <family val="2"/>
      <scheme val="minor"/>
    </font>
    <font>
      <sz val="10"/>
      <color rgb="FF000000"/>
      <name val="Calibri"/>
      <family val="2"/>
      <scheme val="minor"/>
    </font>
    <font>
      <b/>
      <sz val="11"/>
      <color rgb="FF000000"/>
      <name val="Calibri"/>
      <family val="2"/>
      <scheme val="minor"/>
    </font>
    <font>
      <sz val="8"/>
      <color theme="1"/>
      <name val="Calibri"/>
      <family val="2"/>
      <scheme val="minor"/>
    </font>
    <font>
      <sz val="8"/>
      <name val="Calibri"/>
      <family val="2"/>
      <scheme val="minor"/>
    </font>
    <font>
      <b/>
      <sz val="9"/>
      <name val="Arial"/>
      <family val="2"/>
    </font>
    <font>
      <b/>
      <sz val="9"/>
      <color theme="1"/>
      <name val="Calibri"/>
      <family val="2"/>
      <scheme val="minor"/>
    </font>
    <font>
      <sz val="10"/>
      <name val="MS Sans Serif"/>
      <family val="2"/>
    </font>
    <font>
      <b/>
      <sz val="9"/>
      <name val="Calibri"/>
      <family val="2"/>
      <scheme val="minor"/>
    </font>
    <font>
      <sz val="9"/>
      <name val="Arial"/>
      <family val="2"/>
    </font>
    <font>
      <sz val="9"/>
      <name val="Calibri"/>
      <family val="2"/>
      <scheme val="minor"/>
    </font>
    <font>
      <sz val="9"/>
      <name val="Calibri"/>
      <family val="2"/>
    </font>
    <font>
      <b/>
      <sz val="9"/>
      <name val="Calibri"/>
      <family val="2"/>
    </font>
    <font>
      <sz val="11"/>
      <name val="Calibri"/>
      <family val="2"/>
    </font>
    <font>
      <sz val="12"/>
      <name val="Arial"/>
      <family val="2"/>
    </font>
    <font>
      <sz val="11"/>
      <name val="Arial"/>
      <family val="2"/>
    </font>
    <font>
      <b/>
      <sz val="10"/>
      <color rgb="FF000000"/>
      <name val="Arial"/>
      <family val="2"/>
    </font>
    <font>
      <sz val="12"/>
      <name val="Times"/>
    </font>
    <font>
      <u/>
      <sz val="11"/>
      <name val="Calibri"/>
      <family val="2"/>
    </font>
    <font>
      <b/>
      <sz val="8"/>
      <color theme="1"/>
      <name val="Calibri"/>
      <family val="2"/>
      <scheme val="minor"/>
    </font>
    <font>
      <b/>
      <sz val="9"/>
      <color rgb="FF000000"/>
      <name val="Calibri"/>
      <family val="2"/>
      <scheme val="minor"/>
    </font>
    <font>
      <sz val="9"/>
      <color rgb="FF000000"/>
      <name val="Calibri"/>
      <family val="2"/>
      <scheme val="minor"/>
    </font>
    <font>
      <sz val="9"/>
      <color theme="1"/>
      <name val="Calibri"/>
      <family val="2"/>
      <scheme val="minor"/>
    </font>
    <font>
      <sz val="11"/>
      <color rgb="FF000000"/>
      <name val="Calibri"/>
      <family val="2"/>
      <scheme val="minor"/>
    </font>
    <font>
      <sz val="10"/>
      <color indexed="81"/>
      <name val="Tahoma"/>
      <family val="2"/>
    </font>
    <font>
      <b/>
      <sz val="10"/>
      <color indexed="81"/>
      <name val="Tahoma"/>
      <family val="2"/>
    </font>
    <font>
      <b/>
      <sz val="11"/>
      <color indexed="81"/>
      <name val="Tahoma"/>
      <family val="2"/>
    </font>
  </fonts>
  <fills count="8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0"/>
        <bgColor theme="4" tint="0.79998168889431442"/>
      </patternFill>
    </fill>
    <fill>
      <patternFill patternType="solid">
        <fgColor rgb="FFDBE5F1"/>
        <bgColor rgb="FFDBE5F1"/>
      </patternFill>
    </fill>
    <fill>
      <patternFill patternType="solid">
        <fgColor theme="0" tint="-0.249977111117893"/>
        <bgColor indexed="64"/>
      </patternFill>
    </fill>
    <fill>
      <patternFill patternType="solid">
        <fgColor rgb="FFFFFFCC"/>
        <bgColor indexed="64"/>
      </patternFill>
    </fill>
    <fill>
      <patternFill patternType="solid">
        <fgColor rgb="FFF2F2F2"/>
        <bgColor indexed="64"/>
      </patternFill>
    </fill>
    <fill>
      <patternFill patternType="solid">
        <fgColor rgb="FFD8D8D8"/>
        <bgColor rgb="FFD8D8D8"/>
      </patternFill>
    </fill>
    <fill>
      <patternFill patternType="solid">
        <fgColor rgb="FFA5A5A5"/>
        <bgColor rgb="FFA5A5A5"/>
      </patternFill>
    </fill>
    <fill>
      <patternFill patternType="solid">
        <fgColor rgb="FFBFBFBF"/>
        <bgColor rgb="FFBFBFBF"/>
      </patternFill>
    </fill>
    <fill>
      <patternFill patternType="solid">
        <fgColor rgb="FFFFFFFF"/>
        <bgColor rgb="FFFFFFFF"/>
      </patternFill>
    </fill>
    <fill>
      <patternFill patternType="solid">
        <fgColor rgb="FF8FAFD5"/>
        <bgColor indexed="64"/>
      </patternFill>
    </fill>
    <fill>
      <patternFill patternType="solid">
        <fgColor rgb="FFFFFF00"/>
        <bgColor rgb="FFD8D8D8"/>
      </patternFill>
    </fill>
    <fill>
      <patternFill patternType="solid">
        <fgColor rgb="FFCCCCCC"/>
        <bgColor rgb="FFCCCCCC"/>
      </patternFill>
    </fill>
    <fill>
      <patternFill patternType="solid">
        <fgColor rgb="FFFFFF00"/>
        <bgColor rgb="FFFFFF00"/>
      </patternFill>
    </fill>
    <fill>
      <patternFill patternType="solid">
        <fgColor rgb="FFFFFF00"/>
        <bgColor rgb="FFA5A5A5"/>
      </patternFill>
    </fill>
    <fill>
      <patternFill patternType="solid">
        <fgColor rgb="FFFFFF00"/>
        <bgColor rgb="FFFFFFFF"/>
      </patternFill>
    </fill>
    <fill>
      <patternFill patternType="solid">
        <fgColor rgb="FFFFFF00"/>
        <bgColor rgb="FFD9E2F3"/>
      </patternFill>
    </fill>
    <fill>
      <patternFill patternType="solid">
        <fgColor rgb="FFA6A6A6"/>
        <bgColor indexed="64"/>
      </patternFill>
    </fill>
    <fill>
      <patternFill patternType="solid">
        <fgColor rgb="FFD9D9D9"/>
        <bgColor indexed="64"/>
      </patternFill>
    </fill>
  </fills>
  <borders count="10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auto="1"/>
      </left>
      <right style="medium">
        <color auto="1"/>
      </right>
      <top style="medium">
        <color auto="1"/>
      </top>
      <bottom style="medium">
        <color auto="1"/>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medium">
        <color indexed="64"/>
      </top>
      <bottom style="medium">
        <color indexed="64"/>
      </bottom>
      <diagonal/>
    </border>
    <border>
      <left/>
      <right/>
      <top style="thin">
        <color theme="4" tint="0.39997558519241921"/>
      </top>
      <bottom style="thin">
        <color theme="4" tint="0.3999755851924192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000000"/>
      </left>
      <right style="thin">
        <color rgb="FF000000"/>
      </right>
      <top style="thin">
        <color rgb="FF000000"/>
      </top>
      <bottom style="thin">
        <color rgb="FF000000"/>
      </bottom>
      <diagonal/>
    </border>
    <border>
      <left style="thin">
        <color indexed="64"/>
      </left>
      <right style="thin">
        <color auto="1"/>
      </right>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indexed="64"/>
      </bottom>
      <diagonal/>
    </border>
    <border>
      <left/>
      <right/>
      <top/>
      <bottom style="thin">
        <color auto="1"/>
      </bottom>
      <diagonal/>
    </border>
    <border>
      <left/>
      <right style="thin">
        <color auto="1"/>
      </right>
      <top style="thin">
        <color auto="1"/>
      </top>
      <bottom style="thin">
        <color auto="1"/>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diagonal/>
    </border>
    <border>
      <left style="thin">
        <color indexed="64"/>
      </left>
      <right/>
      <top/>
      <bottom style="thin">
        <color indexed="64"/>
      </bottom>
      <diagonal/>
    </border>
    <border>
      <left/>
      <right style="thin">
        <color rgb="FF000000"/>
      </right>
      <top/>
      <bottom style="thin">
        <color rgb="FF000000"/>
      </bottom>
      <diagonal/>
    </border>
    <border>
      <left/>
      <right style="thin">
        <color rgb="FF000000"/>
      </right>
      <top style="thin">
        <color rgb="FF000000"/>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thin">
        <color rgb="FF000000"/>
      </left>
      <right/>
      <top/>
      <bottom style="thin">
        <color rgb="FF000000"/>
      </bottom>
      <diagonal/>
    </border>
    <border>
      <left style="thin">
        <color indexed="64"/>
      </left>
      <right style="medium">
        <color indexed="64"/>
      </right>
      <top style="thin">
        <color indexed="64"/>
      </top>
      <bottom/>
      <diagonal/>
    </border>
    <border>
      <left/>
      <right/>
      <top style="thin">
        <color rgb="FF000000"/>
      </top>
      <bottom style="thin">
        <color rgb="FF000000"/>
      </bottom>
      <diagonal/>
    </border>
    <border>
      <left style="thin">
        <color indexed="64"/>
      </left>
      <right style="thin">
        <color indexed="64"/>
      </right>
      <top style="thin">
        <color auto="1"/>
      </top>
      <bottom style="thin">
        <color indexed="64"/>
      </bottom>
      <diagonal/>
    </border>
    <border>
      <left/>
      <right/>
      <top style="thin">
        <color auto="1"/>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top style="thin">
        <color auto="1"/>
      </top>
      <bottom/>
      <diagonal/>
    </border>
    <border>
      <left/>
      <right style="thin">
        <color auto="1"/>
      </right>
      <top style="thin">
        <color indexed="64"/>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medium">
        <color rgb="FF000000"/>
      </right>
      <top/>
      <bottom style="thin">
        <color rgb="FF000000"/>
      </bottom>
      <diagonal/>
    </border>
    <border>
      <left/>
      <right/>
      <top style="thin">
        <color rgb="FF000000"/>
      </top>
      <bottom/>
      <diagonal/>
    </border>
    <border>
      <left style="medium">
        <color indexed="64"/>
      </left>
      <right style="thin">
        <color indexed="64"/>
      </right>
      <top style="thin">
        <color indexed="64"/>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indexed="64"/>
      </right>
      <top style="medium">
        <color indexed="64"/>
      </top>
      <bottom style="medium">
        <color indexed="64"/>
      </bottom>
      <diagonal/>
    </border>
  </borders>
  <cellStyleXfs count="406">
    <xf numFmtId="0" fontId="0" fillId="0" borderId="0"/>
    <xf numFmtId="0" fontId="20" fillId="0" borderId="0"/>
    <xf numFmtId="0" fontId="21" fillId="33" borderId="0" applyNumberFormat="0" applyBorder="0" applyAlignment="0" applyProtection="0"/>
    <xf numFmtId="0" fontId="1" fillId="10" borderId="0" applyNumberFormat="0" applyBorder="0" applyAlignment="0" applyProtection="0"/>
    <xf numFmtId="0" fontId="21" fillId="34" borderId="0" applyNumberFormat="0" applyBorder="0" applyAlignment="0" applyProtection="0"/>
    <xf numFmtId="0" fontId="1" fillId="14" borderId="0" applyNumberFormat="0" applyBorder="0" applyAlignment="0" applyProtection="0"/>
    <xf numFmtId="0" fontId="21" fillId="35" borderId="0" applyNumberFormat="0" applyBorder="0" applyAlignment="0" applyProtection="0"/>
    <xf numFmtId="0" fontId="1" fillId="18" borderId="0" applyNumberFormat="0" applyBorder="0" applyAlignment="0" applyProtection="0"/>
    <xf numFmtId="0" fontId="21" fillId="36" borderId="0" applyNumberFormat="0" applyBorder="0" applyAlignment="0" applyProtection="0"/>
    <xf numFmtId="0" fontId="1" fillId="22" borderId="0" applyNumberFormat="0" applyBorder="0" applyAlignment="0" applyProtection="0"/>
    <xf numFmtId="0" fontId="21" fillId="37" borderId="0" applyNumberFormat="0" applyBorder="0" applyAlignment="0" applyProtection="0"/>
    <xf numFmtId="0" fontId="1" fillId="26" borderId="0" applyNumberFormat="0" applyBorder="0" applyAlignment="0" applyProtection="0"/>
    <xf numFmtId="0" fontId="21" fillId="38" borderId="0" applyNumberFormat="0" applyBorder="0" applyAlignment="0" applyProtection="0"/>
    <xf numFmtId="0" fontId="1" fillId="30" borderId="0" applyNumberFormat="0" applyBorder="0" applyAlignment="0" applyProtection="0"/>
    <xf numFmtId="0" fontId="21" fillId="39" borderId="0" applyNumberFormat="0" applyBorder="0" applyAlignment="0" applyProtection="0"/>
    <xf numFmtId="0" fontId="1" fillId="11" borderId="0" applyNumberFormat="0" applyBorder="0" applyAlignment="0" applyProtection="0"/>
    <xf numFmtId="0" fontId="21" fillId="40" borderId="0" applyNumberFormat="0" applyBorder="0" applyAlignment="0" applyProtection="0"/>
    <xf numFmtId="0" fontId="1" fillId="15" borderId="0" applyNumberFormat="0" applyBorder="0" applyAlignment="0" applyProtection="0"/>
    <xf numFmtId="0" fontId="21" fillId="41" borderId="0" applyNumberFormat="0" applyBorder="0" applyAlignment="0" applyProtection="0"/>
    <xf numFmtId="0" fontId="1" fillId="19" borderId="0" applyNumberFormat="0" applyBorder="0" applyAlignment="0" applyProtection="0"/>
    <xf numFmtId="0" fontId="21" fillId="36" borderId="0" applyNumberFormat="0" applyBorder="0" applyAlignment="0" applyProtection="0"/>
    <xf numFmtId="0" fontId="1" fillId="23" borderId="0" applyNumberFormat="0" applyBorder="0" applyAlignment="0" applyProtection="0"/>
    <xf numFmtId="0" fontId="21" fillId="39" borderId="0" applyNumberFormat="0" applyBorder="0" applyAlignment="0" applyProtection="0"/>
    <xf numFmtId="0" fontId="1" fillId="27" borderId="0" applyNumberFormat="0" applyBorder="0" applyAlignment="0" applyProtection="0"/>
    <xf numFmtId="0" fontId="21" fillId="42" borderId="0" applyNumberFormat="0" applyBorder="0" applyAlignment="0" applyProtection="0"/>
    <xf numFmtId="0" fontId="1" fillId="31" borderId="0" applyNumberFormat="0" applyBorder="0" applyAlignment="0" applyProtection="0"/>
    <xf numFmtId="0" fontId="22" fillId="43" borderId="0" applyNumberFormat="0" applyBorder="0" applyAlignment="0" applyProtection="0"/>
    <xf numFmtId="0" fontId="17" fillId="12" borderId="0" applyNumberFormat="0" applyBorder="0" applyAlignment="0" applyProtection="0"/>
    <xf numFmtId="0" fontId="22" fillId="40" borderId="0" applyNumberFormat="0" applyBorder="0" applyAlignment="0" applyProtection="0"/>
    <xf numFmtId="0" fontId="17" fillId="16" borderId="0" applyNumberFormat="0" applyBorder="0" applyAlignment="0" applyProtection="0"/>
    <xf numFmtId="0" fontId="22" fillId="41" borderId="0" applyNumberFormat="0" applyBorder="0" applyAlignment="0" applyProtection="0"/>
    <xf numFmtId="0" fontId="17" fillId="20" borderId="0" applyNumberFormat="0" applyBorder="0" applyAlignment="0" applyProtection="0"/>
    <xf numFmtId="0" fontId="22" fillId="44" borderId="0" applyNumberFormat="0" applyBorder="0" applyAlignment="0" applyProtection="0"/>
    <xf numFmtId="0" fontId="17" fillId="24" borderId="0" applyNumberFormat="0" applyBorder="0" applyAlignment="0" applyProtection="0"/>
    <xf numFmtId="0" fontId="22" fillId="45" borderId="0" applyNumberFormat="0" applyBorder="0" applyAlignment="0" applyProtection="0"/>
    <xf numFmtId="0" fontId="17" fillId="28" borderId="0" applyNumberFormat="0" applyBorder="0" applyAlignment="0" applyProtection="0"/>
    <xf numFmtId="0" fontId="22" fillId="46" borderId="0" applyNumberFormat="0" applyBorder="0" applyAlignment="0" applyProtection="0"/>
    <xf numFmtId="0" fontId="17" fillId="32" borderId="0" applyNumberFormat="0" applyBorder="0" applyAlignment="0" applyProtection="0"/>
    <xf numFmtId="0" fontId="23" fillId="35" borderId="0" applyNumberFormat="0" applyBorder="0" applyAlignment="0" applyProtection="0"/>
    <xf numFmtId="0" fontId="6" fillId="2" borderId="0" applyNumberFormat="0" applyBorder="0" applyAlignment="0" applyProtection="0"/>
    <xf numFmtId="0" fontId="24" fillId="47" borderId="10" applyNumberFormat="0" applyAlignment="0" applyProtection="0"/>
    <xf numFmtId="0" fontId="11" fillId="6" borderId="4" applyNumberFormat="0" applyAlignment="0" applyProtection="0"/>
    <xf numFmtId="0" fontId="25" fillId="48" borderId="11" applyNumberFormat="0" applyAlignment="0" applyProtection="0"/>
    <xf numFmtId="0" fontId="13" fillId="7" borderId="7" applyNumberFormat="0" applyAlignment="0" applyProtection="0"/>
    <xf numFmtId="0" fontId="26" fillId="0" borderId="12" applyNumberFormat="0" applyFill="0" applyAlignment="0" applyProtection="0"/>
    <xf numFmtId="0" fontId="12" fillId="0" borderId="6"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xf numFmtId="0" fontId="22" fillId="4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22" fillId="4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22" fillId="50" borderId="0" applyNumberFormat="0" applyBorder="0" applyAlignment="0" applyProtection="0"/>
    <xf numFmtId="0" fontId="17" fillId="13" borderId="0" applyNumberFormat="0" applyBorder="0" applyAlignment="0" applyProtection="0"/>
    <xf numFmtId="0" fontId="22" fillId="51" borderId="0" applyNumberFormat="0" applyBorder="0" applyAlignment="0" applyProtection="0"/>
    <xf numFmtId="0" fontId="17" fillId="17" borderId="0" applyNumberFormat="0" applyBorder="0" applyAlignment="0" applyProtection="0"/>
    <xf numFmtId="0" fontId="22" fillId="44" borderId="0" applyNumberFormat="0" applyBorder="0" applyAlignment="0" applyProtection="0"/>
    <xf numFmtId="0" fontId="17" fillId="21" borderId="0" applyNumberFormat="0" applyBorder="0" applyAlignment="0" applyProtection="0"/>
    <xf numFmtId="0" fontId="22" fillId="45" borderId="0" applyNumberFormat="0" applyBorder="0" applyAlignment="0" applyProtection="0"/>
    <xf numFmtId="0" fontId="17" fillId="25" borderId="0" applyNumberFormat="0" applyBorder="0" applyAlignment="0" applyProtection="0"/>
    <xf numFmtId="0" fontId="22" fillId="52" borderId="0" applyNumberFormat="0" applyBorder="0" applyAlignment="0" applyProtection="0"/>
    <xf numFmtId="0" fontId="17" fillId="29" borderId="0" applyNumberFormat="0" applyBorder="0" applyAlignment="0" applyProtection="0"/>
    <xf numFmtId="0" fontId="28" fillId="38" borderId="10" applyNumberFormat="0" applyAlignment="0" applyProtection="0"/>
    <xf numFmtId="0" fontId="9" fillId="5" borderId="4" applyNumberFormat="0" applyAlignment="0" applyProtection="0"/>
    <xf numFmtId="168"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70"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0" fontId="29"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0" borderId="0" applyNumberFormat="0" applyFill="0" applyBorder="0" applyAlignment="0" applyProtection="0"/>
    <xf numFmtId="0" fontId="32" fillId="34" borderId="0" applyNumberFormat="0" applyBorder="0" applyAlignment="0" applyProtection="0"/>
    <xf numFmtId="0" fontId="7" fillId="3" borderId="0" applyNumberFormat="0" applyBorder="0" applyAlignment="0" applyProtection="0"/>
    <xf numFmtId="171"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5" fontId="33"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0"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67" fontId="1" fillId="0" borderId="0" applyFont="0" applyFill="0" applyBorder="0" applyAlignment="0" applyProtection="0"/>
    <xf numFmtId="165" fontId="20" fillId="0" borderId="0" applyFont="0" applyFill="0" applyBorder="0" applyAlignment="0" applyProtection="0"/>
    <xf numFmtId="167" fontId="20" fillId="0" borderId="0" applyFont="0" applyFill="0" applyBorder="0" applyAlignment="0" applyProtection="0"/>
    <xf numFmtId="43" fontId="20" fillId="0" borderId="0" applyFont="0" applyFill="0" applyBorder="0" applyAlignment="0" applyProtection="0"/>
    <xf numFmtId="172"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2" fontId="20" fillId="0" borderId="0" applyFont="0" applyFill="0" applyBorder="0" applyAlignment="0" applyProtection="0"/>
    <xf numFmtId="43"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43" fontId="20" fillId="0" borderId="0" applyFont="0" applyFill="0" applyBorder="0" applyAlignment="0" applyProtection="0"/>
    <xf numFmtId="165"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2"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2" fontId="20" fillId="0" borderId="0" applyFont="0" applyFill="0" applyBorder="0" applyAlignment="0" applyProtection="0"/>
    <xf numFmtId="166" fontId="20" fillId="0" borderId="0" applyFont="0" applyFill="0" applyBorder="0" applyAlignment="0" applyProtection="0"/>
    <xf numFmtId="174" fontId="33" fillId="0" borderId="0" applyFont="0" applyFill="0" applyBorder="0" applyAlignment="0" applyProtection="0"/>
    <xf numFmtId="175" fontId="20" fillId="0" borderId="0" applyFont="0" applyFill="0" applyBorder="0" applyAlignment="0" applyProtection="0"/>
    <xf numFmtId="174" fontId="20" fillId="0" borderId="0" applyFont="0" applyFill="0" applyBorder="0" applyAlignment="0" applyProtection="0"/>
    <xf numFmtId="174" fontId="33" fillId="0" borderId="0" applyFont="0" applyFill="0" applyBorder="0" applyAlignment="0" applyProtection="0"/>
    <xf numFmtId="174" fontId="20"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5" fontId="20" fillId="0" borderId="0" applyFont="0" applyFill="0" applyBorder="0" applyAlignment="0" applyProtection="0"/>
    <xf numFmtId="174" fontId="20" fillId="0" borderId="0" applyFont="0" applyFill="0" applyBorder="0" applyAlignment="0" applyProtection="0"/>
    <xf numFmtId="0" fontId="34" fillId="53" borderId="0" applyNumberFormat="0" applyBorder="0" applyAlignment="0" applyProtection="0"/>
    <xf numFmtId="0" fontId="8" fillId="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5" fillId="0" borderId="0"/>
    <xf numFmtId="0" fontId="20" fillId="0" borderId="0"/>
    <xf numFmtId="0" fontId="1" fillId="0" borderId="0"/>
    <xf numFmtId="0" fontId="20" fillId="0" borderId="0"/>
    <xf numFmtId="0" fontId="36" fillId="0" borderId="0"/>
    <xf numFmtId="0" fontId="20" fillId="0" borderId="0"/>
    <xf numFmtId="176" fontId="20" fillId="0" borderId="0"/>
    <xf numFmtId="176" fontId="20" fillId="0" borderId="0"/>
    <xf numFmtId="0" fontId="1" fillId="0" borderId="0"/>
    <xf numFmtId="0" fontId="2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5" fillId="0" borderId="0"/>
    <xf numFmtId="0" fontId="20" fillId="0" borderId="0"/>
    <xf numFmtId="0" fontId="33"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1" fillId="0" borderId="0"/>
    <xf numFmtId="0" fontId="36" fillId="0" borderId="0"/>
    <xf numFmtId="0" fontId="20" fillId="0" borderId="0" applyNumberFormat="0" applyFont="0" applyFill="0" applyBorder="0" applyAlignment="0" applyProtection="0"/>
    <xf numFmtId="0" fontId="1" fillId="0" borderId="0"/>
    <xf numFmtId="0" fontId="20" fillId="0" borderId="0" applyNumberFormat="0" applyFont="0" applyFill="0" applyBorder="0" applyAlignment="0" applyProtection="0"/>
    <xf numFmtId="0" fontId="20" fillId="0" borderId="0"/>
    <xf numFmtId="0" fontId="20" fillId="0" borderId="0" applyNumberFormat="0" applyFont="0" applyFill="0" applyBorder="0" applyAlignment="0" applyProtection="0"/>
    <xf numFmtId="0" fontId="20" fillId="0" borderId="0"/>
    <xf numFmtId="0" fontId="20" fillId="0" borderId="0"/>
    <xf numFmtId="0" fontId="1" fillId="0" borderId="0"/>
    <xf numFmtId="0" fontId="20" fillId="0" borderId="0"/>
    <xf numFmtId="0" fontId="1" fillId="8" borderId="8" applyNumberFormat="0" applyFont="0" applyAlignment="0" applyProtection="0"/>
    <xf numFmtId="0" fontId="20" fillId="54" borderId="13" applyNumberFormat="0" applyFont="0" applyAlignment="0" applyProtection="0"/>
    <xf numFmtId="0" fontId="20" fillId="54" borderId="13" applyNumberFormat="0" applyFont="0" applyAlignment="0" applyProtection="0"/>
    <xf numFmtId="0" fontId="20" fillId="0" borderId="14">
      <alignment horizontal="centerContinuous"/>
    </xf>
    <xf numFmtId="9" fontId="2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NumberFormat="0" applyFont="0" applyFill="0" applyBorder="0" applyAlignment="0" applyProtection="0"/>
    <xf numFmtId="9" fontId="20" fillId="0" borderId="0" applyNumberFormat="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37" fillId="47" borderId="15" applyNumberFormat="0" applyAlignment="0" applyProtection="0"/>
    <xf numFmtId="0" fontId="10" fillId="6" borderId="5" applyNumberFormat="0" applyAlignment="0" applyProtection="0"/>
    <xf numFmtId="0" fontId="38" fillId="0" borderId="0" applyNumberFormat="0" applyFill="0" applyBorder="0" applyAlignment="0" applyProtection="0"/>
    <xf numFmtId="0" fontId="14" fillId="0" borderId="0" applyNumberFormat="0" applyFill="0" applyBorder="0" applyAlignment="0" applyProtection="0"/>
    <xf numFmtId="0" fontId="39" fillId="0" borderId="0" applyNumberFormat="0" applyFill="0" applyBorder="0" applyAlignment="0" applyProtection="0"/>
    <xf numFmtId="0" fontId="15" fillId="0" borderId="0" applyNumberFormat="0" applyFill="0" applyBorder="0" applyAlignment="0" applyProtection="0"/>
    <xf numFmtId="0" fontId="40" fillId="0" borderId="16" applyNumberFormat="0" applyFill="0" applyAlignment="0" applyProtection="0"/>
    <xf numFmtId="0" fontId="3" fillId="0" borderId="1" applyNumberFormat="0" applyFill="0" applyAlignment="0" applyProtection="0"/>
    <xf numFmtId="0" fontId="41" fillId="0" borderId="17" applyNumberFormat="0" applyFill="0" applyAlignment="0" applyProtection="0"/>
    <xf numFmtId="0" fontId="4" fillId="0" borderId="2" applyNumberFormat="0" applyFill="0" applyAlignment="0" applyProtection="0"/>
    <xf numFmtId="0" fontId="27" fillId="0" borderId="18" applyNumberFormat="0" applyFill="0" applyAlignment="0" applyProtection="0"/>
    <xf numFmtId="0" fontId="5" fillId="0" borderId="3" applyNumberFormat="0" applyFill="0" applyAlignment="0" applyProtection="0"/>
    <xf numFmtId="0" fontId="4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2" fillId="0" borderId="0" applyNumberFormat="0" applyFill="0" applyBorder="0" applyAlignment="0" applyProtection="0"/>
    <xf numFmtId="0" fontId="43" fillId="0" borderId="19" applyNumberFormat="0" applyFill="0" applyAlignment="0" applyProtection="0"/>
    <xf numFmtId="0" fontId="16" fillId="0" borderId="9" applyNumberFormat="0" applyFill="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8" fillId="0" borderId="0"/>
    <xf numFmtId="9" fontId="1" fillId="0" borderId="0" applyFont="0" applyFill="0" applyBorder="0" applyAlignment="0" applyProtection="0"/>
    <xf numFmtId="0" fontId="51" fillId="0" borderId="0"/>
    <xf numFmtId="0" fontId="24" fillId="47" borderId="28" applyNumberFormat="0" applyAlignment="0" applyProtection="0"/>
    <xf numFmtId="0" fontId="28" fillId="38" borderId="28" applyNumberFormat="0" applyAlignment="0" applyProtection="0"/>
    <xf numFmtId="0" fontId="20" fillId="54" borderId="29" applyNumberFormat="0" applyFont="0" applyAlignment="0" applyProtection="0"/>
    <xf numFmtId="0" fontId="20" fillId="54" borderId="29" applyNumberFormat="0" applyFont="0" applyAlignment="0" applyProtection="0"/>
    <xf numFmtId="0" fontId="37" fillId="47" borderId="30" applyNumberFormat="0" applyAlignment="0" applyProtection="0"/>
    <xf numFmtId="0" fontId="43" fillId="0" borderId="31" applyNumberFormat="0" applyFill="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20" fillId="0" borderId="0"/>
    <xf numFmtId="0" fontId="52" fillId="0" borderId="0"/>
    <xf numFmtId="0" fontId="24" fillId="47" borderId="39" applyNumberFormat="0" applyAlignment="0" applyProtection="0"/>
    <xf numFmtId="0" fontId="28" fillId="38" borderId="39" applyNumberFormat="0" applyAlignment="0" applyProtection="0"/>
    <xf numFmtId="0" fontId="20" fillId="54" borderId="40" applyNumberFormat="0" applyFont="0" applyAlignment="0" applyProtection="0"/>
    <xf numFmtId="0" fontId="20" fillId="54" borderId="40" applyNumberFormat="0" applyFon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47" borderId="41" applyNumberFormat="0" applyAlignment="0" applyProtection="0"/>
    <xf numFmtId="0" fontId="43" fillId="0" borderId="42" applyNumberFormat="0" applyFill="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63" fillId="0" borderId="0"/>
  </cellStyleXfs>
  <cellXfs count="601">
    <xf numFmtId="0" fontId="0" fillId="0" borderId="0" xfId="0"/>
    <xf numFmtId="0" fontId="0" fillId="55" borderId="0" xfId="0" applyFill="1" applyProtection="1">
      <protection hidden="1"/>
    </xf>
    <xf numFmtId="0" fontId="46" fillId="57" borderId="22" xfId="0" applyFont="1" applyFill="1" applyBorder="1" applyAlignment="1" applyProtection="1">
      <alignment horizontal="center" vertical="center" wrapText="1"/>
      <protection hidden="1"/>
    </xf>
    <xf numFmtId="0" fontId="16" fillId="55" borderId="0" xfId="0" applyFont="1" applyFill="1" applyAlignment="1" applyProtection="1">
      <alignment horizontal="center" vertical="center"/>
      <protection hidden="1"/>
    </xf>
    <xf numFmtId="0" fontId="16" fillId="60" borderId="38" xfId="0" applyFont="1" applyFill="1" applyBorder="1" applyAlignment="1" applyProtection="1">
      <alignment horizontal="center" vertical="center" wrapText="1"/>
      <protection hidden="1"/>
    </xf>
    <xf numFmtId="0" fontId="0" fillId="55" borderId="0" xfId="0" applyFill="1" applyAlignment="1" applyProtection="1">
      <alignment horizontal="center" vertical="center"/>
      <protection hidden="1"/>
    </xf>
    <xf numFmtId="1" fontId="46" fillId="61" borderId="22" xfId="0" applyNumberFormat="1" applyFont="1" applyFill="1" applyBorder="1" applyAlignment="1" applyProtection="1">
      <alignment horizontal="center" vertical="center" wrapText="1"/>
      <protection hidden="1"/>
    </xf>
    <xf numFmtId="0" fontId="46" fillId="61" borderId="22" xfId="0" applyFont="1" applyFill="1" applyBorder="1" applyAlignment="1" applyProtection="1">
      <alignment horizontal="center" vertical="center" wrapText="1"/>
      <protection hidden="1"/>
    </xf>
    <xf numFmtId="0" fontId="50" fillId="57" borderId="23" xfId="0" applyFont="1" applyFill="1" applyBorder="1" applyAlignment="1" applyProtection="1">
      <alignment horizontal="center" vertical="center"/>
      <protection hidden="1"/>
    </xf>
    <xf numFmtId="1" fontId="16" fillId="55" borderId="22" xfId="0" applyNumberFormat="1" applyFont="1" applyFill="1" applyBorder="1" applyAlignment="1" applyProtection="1">
      <alignment horizontal="center" vertical="center" wrapText="1"/>
      <protection hidden="1"/>
    </xf>
    <xf numFmtId="2" fontId="16" fillId="55" borderId="22" xfId="368" applyNumberFormat="1" applyFont="1" applyFill="1" applyBorder="1" applyAlignment="1" applyProtection="1">
      <alignment horizontal="center" vertical="center" wrapText="1"/>
      <protection hidden="1"/>
    </xf>
    <xf numFmtId="0" fontId="46" fillId="60" borderId="22" xfId="0" applyFont="1" applyFill="1" applyBorder="1" applyAlignment="1" applyProtection="1">
      <alignment horizontal="center" vertical="center" wrapText="1"/>
      <protection hidden="1"/>
    </xf>
    <xf numFmtId="0" fontId="46" fillId="57" borderId="23" xfId="0" applyFont="1" applyFill="1" applyBorder="1" applyAlignment="1" applyProtection="1">
      <alignment horizontal="center" vertical="center" wrapText="1"/>
      <protection hidden="1"/>
    </xf>
    <xf numFmtId="177" fontId="46" fillId="57" borderId="23" xfId="0" applyNumberFormat="1" applyFont="1" applyFill="1" applyBorder="1" applyAlignment="1" applyProtection="1">
      <alignment horizontal="center" vertical="center" wrapText="1"/>
      <protection hidden="1"/>
    </xf>
    <xf numFmtId="1" fontId="46" fillId="60" borderId="22" xfId="0" applyNumberFormat="1" applyFont="1" applyFill="1" applyBorder="1" applyAlignment="1" applyProtection="1">
      <alignment horizontal="center" vertical="center" wrapText="1"/>
      <protection hidden="1"/>
    </xf>
    <xf numFmtId="0" fontId="16" fillId="60" borderId="51" xfId="0" applyFont="1" applyFill="1" applyBorder="1" applyAlignment="1" applyProtection="1">
      <alignment horizontal="center" vertical="center" wrapText="1"/>
      <protection hidden="1"/>
    </xf>
    <xf numFmtId="0" fontId="18" fillId="56" borderId="55" xfId="0" applyFont="1" applyFill="1" applyBorder="1" applyAlignment="1" applyProtection="1">
      <alignment horizontal="center" vertical="center"/>
      <protection hidden="1"/>
    </xf>
    <xf numFmtId="0" fontId="16" fillId="60" borderId="44" xfId="0" applyFont="1" applyFill="1" applyBorder="1" applyAlignment="1" applyProtection="1">
      <alignment horizontal="center" vertical="center" wrapText="1"/>
      <protection hidden="1"/>
    </xf>
    <xf numFmtId="1" fontId="46" fillId="57" borderId="23" xfId="0" applyNumberFormat="1" applyFont="1" applyFill="1" applyBorder="1" applyAlignment="1" applyProtection="1">
      <alignment horizontal="center" vertical="center" wrapText="1"/>
      <protection hidden="1"/>
    </xf>
    <xf numFmtId="0" fontId="62" fillId="59" borderId="23" xfId="0" applyFont="1" applyFill="1" applyBorder="1" applyAlignment="1" applyProtection="1">
      <alignment horizontal="center" vertical="center" wrapText="1"/>
      <protection hidden="1"/>
    </xf>
    <xf numFmtId="0" fontId="62" fillId="59" borderId="23" xfId="0" applyFont="1" applyFill="1" applyBorder="1" applyAlignment="1" applyProtection="1">
      <alignment horizontal="center" vertical="center"/>
      <protection hidden="1"/>
    </xf>
    <xf numFmtId="0" fontId="0" fillId="0" borderId="0" xfId="0" applyProtection="1">
      <protection hidden="1"/>
    </xf>
    <xf numFmtId="0" fontId="0" fillId="0" borderId="0" xfId="0" applyAlignment="1" applyProtection="1">
      <alignment horizontal="left" wrapText="1"/>
      <protection hidden="1"/>
    </xf>
    <xf numFmtId="0" fontId="50" fillId="55" borderId="0" xfId="0" applyFont="1" applyFill="1" applyProtection="1">
      <protection hidden="1"/>
    </xf>
    <xf numFmtId="0" fontId="16" fillId="55" borderId="22" xfId="0" applyFont="1" applyFill="1" applyBorder="1" applyAlignment="1" applyProtection="1">
      <alignment horizontal="center" vertical="center" wrapText="1"/>
      <protection hidden="1"/>
    </xf>
    <xf numFmtId="0" fontId="16" fillId="55" borderId="22" xfId="0" applyFont="1" applyFill="1" applyBorder="1" applyAlignment="1" applyProtection="1">
      <alignment horizontal="center" vertical="center" wrapText="1"/>
      <protection locked="0"/>
    </xf>
    <xf numFmtId="14" fontId="16" fillId="55" borderId="22" xfId="0" applyNumberFormat="1" applyFont="1" applyFill="1" applyBorder="1" applyAlignment="1" applyProtection="1">
      <alignment horizontal="center" vertical="center" wrapText="1"/>
      <protection locked="0"/>
    </xf>
    <xf numFmtId="0" fontId="16" fillId="55" borderId="56" xfId="0" applyFont="1" applyFill="1" applyBorder="1" applyAlignment="1" applyProtection="1">
      <alignment horizontal="center" vertical="center" wrapText="1"/>
      <protection hidden="1"/>
    </xf>
    <xf numFmtId="0" fontId="16" fillId="55" borderId="78" xfId="0" applyFont="1" applyFill="1" applyBorder="1" applyAlignment="1" applyProtection="1">
      <alignment horizontal="center" vertical="center" wrapText="1"/>
      <protection hidden="1"/>
    </xf>
    <xf numFmtId="0" fontId="16" fillId="55" borderId="78" xfId="0" applyFont="1" applyFill="1" applyBorder="1" applyAlignment="1" applyProtection="1">
      <alignment horizontal="center" vertical="center" wrapText="1"/>
      <protection locked="0"/>
    </xf>
    <xf numFmtId="1" fontId="16" fillId="55" borderId="22" xfId="0" applyNumberFormat="1" applyFont="1" applyFill="1" applyBorder="1" applyAlignment="1" applyProtection="1">
      <alignment horizontal="center" vertical="center" wrapText="1"/>
      <protection locked="0"/>
    </xf>
    <xf numFmtId="177" fontId="16" fillId="55" borderId="22" xfId="0" applyNumberFormat="1" applyFont="1" applyFill="1" applyBorder="1" applyAlignment="1" applyProtection="1">
      <alignment horizontal="center" vertical="center" wrapText="1"/>
      <protection locked="0"/>
    </xf>
    <xf numFmtId="0" fontId="16" fillId="55" borderId="78" xfId="0" applyNumberFormat="1" applyFont="1" applyFill="1" applyBorder="1" applyAlignment="1" applyProtection="1">
      <alignment horizontal="center" vertical="center" wrapText="1"/>
      <protection hidden="1"/>
    </xf>
    <xf numFmtId="1" fontId="16" fillId="55" borderId="46" xfId="0" applyNumberFormat="1" applyFont="1" applyFill="1" applyBorder="1" applyAlignment="1" applyProtection="1">
      <alignment horizontal="center" vertical="center" wrapText="1"/>
      <protection locked="0"/>
    </xf>
    <xf numFmtId="0" fontId="16" fillId="55" borderId="56" xfId="0" applyFont="1" applyFill="1" applyBorder="1" applyAlignment="1" applyProtection="1">
      <alignment horizontal="center" vertical="center" wrapText="1"/>
      <protection locked="0"/>
    </xf>
    <xf numFmtId="9" fontId="16" fillId="55" borderId="22" xfId="0" applyNumberFormat="1" applyFont="1" applyFill="1" applyBorder="1" applyAlignment="1" applyProtection="1">
      <alignment horizontal="center" vertical="center" wrapText="1"/>
      <protection hidden="1"/>
    </xf>
    <xf numFmtId="0" fontId="55" fillId="57" borderId="56" xfId="0" applyFont="1" applyFill="1" applyBorder="1" applyAlignment="1" applyProtection="1">
      <alignment horizontal="center" vertical="center" wrapText="1"/>
      <protection hidden="1"/>
    </xf>
    <xf numFmtId="0" fontId="18" fillId="71" borderId="48" xfId="0" applyFont="1" applyFill="1" applyBorder="1" applyAlignment="1" applyProtection="1">
      <alignment horizontal="center" vertical="center" wrapText="1"/>
      <protection hidden="1"/>
    </xf>
    <xf numFmtId="0" fontId="57" fillId="0" borderId="0" xfId="369" applyFont="1" applyFill="1" applyBorder="1" applyAlignment="1" applyProtection="1">
      <alignment horizontal="left" vertical="center"/>
      <protection hidden="1"/>
    </xf>
    <xf numFmtId="0" fontId="16" fillId="58" borderId="0" xfId="0" applyFont="1" applyFill="1" applyProtection="1">
      <protection hidden="1"/>
    </xf>
    <xf numFmtId="0" fontId="0" fillId="58" borderId="0" xfId="0" applyFill="1" applyProtection="1">
      <protection hidden="1"/>
    </xf>
    <xf numFmtId="0" fontId="16" fillId="58" borderId="0" xfId="0" applyFont="1" applyFill="1" applyAlignment="1" applyProtection="1">
      <alignment horizontal="center"/>
      <protection hidden="1"/>
    </xf>
    <xf numFmtId="0" fontId="0" fillId="0" borderId="0" xfId="0" applyAlignment="1" applyProtection="1">
      <alignment horizontal="left"/>
      <protection hidden="1"/>
    </xf>
    <xf numFmtId="0" fontId="48" fillId="62" borderId="27" xfId="367" applyFill="1" applyBorder="1" applyProtection="1">
      <protection hidden="1"/>
    </xf>
    <xf numFmtId="0" fontId="0" fillId="0" borderId="0" xfId="0" applyAlignment="1" applyProtection="1">
      <alignment horizontal="center"/>
      <protection hidden="1"/>
    </xf>
    <xf numFmtId="0" fontId="50" fillId="58" borderId="0" xfId="0" applyFont="1" applyFill="1" applyProtection="1">
      <protection hidden="1"/>
    </xf>
    <xf numFmtId="0" fontId="49" fillId="58" borderId="0" xfId="0" applyFont="1" applyFill="1" applyProtection="1">
      <protection hidden="1"/>
    </xf>
    <xf numFmtId="0" fontId="49" fillId="0" borderId="0" xfId="0" applyFont="1" applyProtection="1">
      <protection hidden="1"/>
    </xf>
    <xf numFmtId="0" fontId="53" fillId="63" borderId="33" xfId="382" applyFont="1" applyFill="1" applyBorder="1" applyAlignment="1" applyProtection="1">
      <alignment horizontal="center" vertical="center" wrapText="1"/>
      <protection hidden="1"/>
    </xf>
    <xf numFmtId="0" fontId="53" fillId="63" borderId="33" xfId="208" applyFont="1" applyFill="1" applyBorder="1" applyAlignment="1" applyProtection="1">
      <alignment horizontal="center" vertical="center" wrapText="1"/>
      <protection hidden="1"/>
    </xf>
    <xf numFmtId="0" fontId="52" fillId="0" borderId="0" xfId="382" applyFont="1" applyFill="1" applyBorder="1" applyAlignment="1" applyProtection="1">
      <alignment vertical="center"/>
      <protection hidden="1"/>
    </xf>
    <xf numFmtId="0" fontId="49" fillId="0" borderId="0" xfId="0" applyFont="1" applyBorder="1" applyAlignment="1" applyProtection="1">
      <alignment horizontal="left"/>
      <protection hidden="1"/>
    </xf>
    <xf numFmtId="0" fontId="72" fillId="57" borderId="78" xfId="0" applyFont="1" applyFill="1" applyBorder="1" applyAlignment="1" applyProtection="1">
      <alignment horizontal="center"/>
      <protection hidden="1"/>
    </xf>
    <xf numFmtId="0" fontId="0" fillId="55" borderId="23" xfId="0" applyFont="1" applyFill="1" applyBorder="1" applyAlignment="1" applyProtection="1">
      <alignment horizontal="center" vertical="center" wrapText="1"/>
      <protection locked="0"/>
    </xf>
    <xf numFmtId="0" fontId="0" fillId="55" borderId="22" xfId="0" applyFont="1" applyFill="1" applyBorder="1" applyAlignment="1" applyProtection="1">
      <alignment horizontal="center" vertical="center" wrapText="1"/>
      <protection locked="0"/>
    </xf>
    <xf numFmtId="0" fontId="58" fillId="57" borderId="78" xfId="0" applyFont="1" applyFill="1" applyBorder="1" applyAlignment="1" applyProtection="1">
      <alignment horizontal="center"/>
      <protection hidden="1"/>
    </xf>
    <xf numFmtId="1" fontId="16" fillId="55" borderId="78" xfId="0" applyNumberFormat="1" applyFont="1" applyFill="1" applyBorder="1" applyAlignment="1" applyProtection="1">
      <alignment horizontal="center" vertical="center" wrapText="1"/>
      <protection locked="0"/>
    </xf>
    <xf numFmtId="0" fontId="16" fillId="55" borderId="22" xfId="0" applyNumberFormat="1" applyFont="1" applyFill="1" applyBorder="1" applyAlignment="1" applyProtection="1">
      <alignment horizontal="center" vertical="center" wrapText="1"/>
      <protection locked="0"/>
    </xf>
    <xf numFmtId="0" fontId="16" fillId="55" borderId="22" xfId="0" applyNumberFormat="1" applyFont="1" applyFill="1" applyBorder="1" applyAlignment="1" applyProtection="1">
      <alignment horizontal="center" vertical="center" wrapText="1"/>
      <protection hidden="1"/>
    </xf>
    <xf numFmtId="0" fontId="0" fillId="55" borderId="22" xfId="0" applyNumberFormat="1" applyFont="1" applyFill="1" applyBorder="1" applyAlignment="1" applyProtection="1">
      <alignment horizontal="center" vertical="center" wrapText="1"/>
      <protection locked="0"/>
    </xf>
    <xf numFmtId="0" fontId="0" fillId="55" borderId="0" xfId="0" applyFont="1" applyFill="1" applyAlignment="1" applyProtection="1">
      <alignment horizontal="center" vertical="center"/>
      <protection hidden="1"/>
    </xf>
    <xf numFmtId="0" fontId="16" fillId="55" borderId="0" xfId="0" applyFont="1" applyFill="1" applyAlignment="1" applyProtection="1">
      <alignment horizontal="center" vertical="center" wrapText="1"/>
      <protection hidden="1"/>
    </xf>
    <xf numFmtId="49" fontId="0" fillId="55" borderId="0" xfId="0" applyNumberFormat="1" applyFill="1" applyProtection="1">
      <protection hidden="1"/>
    </xf>
    <xf numFmtId="1" fontId="0" fillId="55" borderId="0" xfId="0" applyNumberFormat="1" applyFill="1" applyProtection="1">
      <protection hidden="1"/>
    </xf>
    <xf numFmtId="177" fontId="0" fillId="55" borderId="0" xfId="0" applyNumberFormat="1" applyFill="1" applyProtection="1">
      <protection hidden="1"/>
    </xf>
    <xf numFmtId="0" fontId="16" fillId="57" borderId="56" xfId="0" applyFont="1" applyFill="1" applyBorder="1" applyAlignment="1" applyProtection="1">
      <alignment horizontal="center" vertical="center"/>
      <protection hidden="1"/>
    </xf>
    <xf numFmtId="1" fontId="16" fillId="57" borderId="56" xfId="0" applyNumberFormat="1" applyFont="1" applyFill="1" applyBorder="1" applyAlignment="1" applyProtection="1">
      <alignment horizontal="center" vertical="center"/>
      <protection hidden="1"/>
    </xf>
    <xf numFmtId="0" fontId="64" fillId="58" borderId="56" xfId="405" applyFont="1" applyFill="1" applyBorder="1" applyAlignment="1" applyProtection="1">
      <alignment horizontal="center" vertical="center" wrapText="1"/>
      <protection hidden="1"/>
    </xf>
    <xf numFmtId="0" fontId="64" fillId="59" borderId="56" xfId="405" applyFont="1" applyFill="1" applyBorder="1" applyAlignment="1" applyProtection="1">
      <alignment horizontal="center" vertical="center" wrapText="1"/>
      <protection hidden="1"/>
    </xf>
    <xf numFmtId="0" fontId="64" fillId="56" borderId="56" xfId="405" applyFont="1" applyFill="1" applyBorder="1" applyAlignment="1" applyProtection="1">
      <alignment horizontal="center" vertical="center" wrapText="1"/>
      <protection hidden="1"/>
    </xf>
    <xf numFmtId="0" fontId="64" fillId="66" borderId="64" xfId="0" applyFont="1" applyFill="1" applyBorder="1" applyAlignment="1" applyProtection="1">
      <alignment horizontal="center" vertical="center" wrapText="1"/>
      <protection hidden="1"/>
    </xf>
    <xf numFmtId="0" fontId="64" fillId="66" borderId="64" xfId="0" applyFont="1" applyFill="1" applyBorder="1" applyAlignment="1" applyProtection="1">
      <alignment horizontal="center" vertical="center" textRotation="90" wrapText="1"/>
      <protection hidden="1"/>
    </xf>
    <xf numFmtId="0" fontId="64" fillId="56" borderId="56" xfId="405" applyNumberFormat="1" applyFont="1" applyFill="1" applyBorder="1" applyAlignment="1" applyProtection="1">
      <alignment horizontal="center" vertical="center" wrapText="1"/>
      <protection hidden="1"/>
    </xf>
    <xf numFmtId="3" fontId="64" fillId="56" borderId="56" xfId="0" applyNumberFormat="1" applyFont="1" applyFill="1" applyBorder="1" applyAlignment="1" applyProtection="1">
      <alignment horizontal="center" vertical="center" textRotation="90" wrapText="1"/>
      <protection hidden="1"/>
    </xf>
    <xf numFmtId="3" fontId="64" fillId="64" borderId="56" xfId="0" applyNumberFormat="1" applyFont="1" applyFill="1" applyBorder="1" applyAlignment="1" applyProtection="1">
      <alignment horizontal="center" vertical="center" wrapText="1"/>
      <protection hidden="1"/>
    </xf>
    <xf numFmtId="3" fontId="64" fillId="56" borderId="23" xfId="405" applyNumberFormat="1" applyFont="1" applyFill="1" applyBorder="1" applyAlignment="1" applyProtection="1">
      <alignment horizontal="center" vertical="center" textRotation="90" wrapText="1"/>
      <protection hidden="1"/>
    </xf>
    <xf numFmtId="3" fontId="64" fillId="56" borderId="23" xfId="0" applyNumberFormat="1" applyFont="1" applyFill="1" applyBorder="1" applyAlignment="1" applyProtection="1">
      <alignment horizontal="center" vertical="center" textRotation="90" wrapText="1"/>
      <protection hidden="1"/>
    </xf>
    <xf numFmtId="0" fontId="1" fillId="0" borderId="0" xfId="0" applyFont="1" applyFill="1" applyProtection="1">
      <protection hidden="1"/>
    </xf>
    <xf numFmtId="0" fontId="54" fillId="0" borderId="0" xfId="0" applyFont="1" applyFill="1" applyAlignment="1" applyProtection="1">
      <alignment horizontal="center"/>
      <protection hidden="1"/>
    </xf>
    <xf numFmtId="1" fontId="0" fillId="0" borderId="0" xfId="0" applyNumberFormat="1" applyAlignment="1" applyProtection="1">
      <alignment horizontal="center"/>
      <protection hidden="1"/>
    </xf>
    <xf numFmtId="0" fontId="0" fillId="0" borderId="0" xfId="0" applyAlignment="1" applyProtection="1">
      <alignment horizontal="center" wrapText="1"/>
      <protection hidden="1"/>
    </xf>
    <xf numFmtId="0" fontId="49" fillId="0" borderId="78" xfId="0" applyFont="1" applyFill="1" applyBorder="1" applyAlignment="1"/>
    <xf numFmtId="1" fontId="49" fillId="0" borderId="78" xfId="0" applyNumberFormat="1" applyFont="1" applyFill="1" applyBorder="1" applyAlignment="1">
      <alignment horizontal="center" vertical="center"/>
    </xf>
    <xf numFmtId="0" fontId="49" fillId="0" borderId="78" xfId="0" applyFont="1" applyFill="1" applyBorder="1" applyAlignment="1">
      <alignment horizontal="right"/>
    </xf>
    <xf numFmtId="0" fontId="0" fillId="0" borderId="78" xfId="0" applyFont="1" applyFill="1" applyBorder="1" applyAlignment="1"/>
    <xf numFmtId="1" fontId="0" fillId="0" borderId="78" xfId="0" applyNumberFormat="1" applyFont="1" applyFill="1" applyBorder="1" applyAlignment="1">
      <alignment horizontal="center" vertical="center"/>
    </xf>
    <xf numFmtId="0" fontId="49" fillId="0" borderId="78" xfId="0" applyFont="1" applyBorder="1" applyAlignment="1"/>
    <xf numFmtId="1" fontId="49" fillId="0" borderId="78" xfId="0" applyNumberFormat="1" applyFont="1" applyBorder="1" applyAlignment="1">
      <alignment horizontal="center" vertical="center"/>
    </xf>
    <xf numFmtId="0" fontId="49" fillId="0" borderId="78" xfId="0" applyFont="1" applyBorder="1" applyAlignment="1">
      <alignment horizontal="right"/>
    </xf>
    <xf numFmtId="0" fontId="0" fillId="0" borderId="78" xfId="0" applyFont="1" applyBorder="1"/>
    <xf numFmtId="1" fontId="0" fillId="0" borderId="78" xfId="0" applyNumberFormat="1" applyFont="1" applyBorder="1" applyAlignment="1">
      <alignment horizontal="center" vertical="center"/>
    </xf>
    <xf numFmtId="0" fontId="49" fillId="0" borderId="78" xfId="0" applyFont="1" applyFill="1" applyBorder="1" applyAlignment="1">
      <alignment horizontal="right" vertical="center"/>
    </xf>
    <xf numFmtId="0" fontId="0" fillId="0" borderId="78" xfId="0" applyFont="1" applyBorder="1" applyAlignment="1"/>
    <xf numFmtId="14" fontId="16" fillId="55" borderId="0" xfId="0" applyNumberFormat="1" applyFont="1" applyFill="1" applyAlignment="1" applyProtection="1">
      <alignment horizontal="center" vertical="center"/>
      <protection hidden="1"/>
    </xf>
    <xf numFmtId="14" fontId="0" fillId="55" borderId="0" xfId="0" applyNumberFormat="1" applyFill="1" applyAlignment="1" applyProtection="1">
      <alignment horizontal="center" vertical="center"/>
      <protection hidden="1"/>
    </xf>
    <xf numFmtId="0" fontId="0" fillId="0" borderId="78" xfId="0" applyFont="1" applyBorder="1" applyAlignment="1">
      <alignment horizontal="center" vertical="center"/>
    </xf>
    <xf numFmtId="0" fontId="0" fillId="0" borderId="78" xfId="0" applyFont="1" applyBorder="1" applyAlignment="1">
      <alignment horizontal="center" vertical="center" wrapText="1"/>
    </xf>
    <xf numFmtId="0" fontId="65" fillId="0" borderId="78" xfId="0" applyFont="1" applyBorder="1" applyAlignment="1">
      <alignment vertical="center" wrapText="1"/>
    </xf>
    <xf numFmtId="1" fontId="65" fillId="0" borderId="78" xfId="0" applyNumberFormat="1" applyFont="1" applyBorder="1" applyAlignment="1">
      <alignment horizontal="center" vertical="center" wrapText="1"/>
    </xf>
    <xf numFmtId="0" fontId="65" fillId="0" borderId="78" xfId="0" applyFont="1" applyBorder="1" applyAlignment="1">
      <alignment horizontal="center" vertical="center" wrapText="1"/>
    </xf>
    <xf numFmtId="0" fontId="0" fillId="0" borderId="43" xfId="0" applyFont="1" applyBorder="1" applyAlignment="1">
      <alignment horizontal="center" vertical="center"/>
    </xf>
    <xf numFmtId="0" fontId="0" fillId="0" borderId="43" xfId="0" applyFont="1" applyBorder="1" applyAlignment="1">
      <alignment horizontal="center" vertical="center" wrapText="1"/>
    </xf>
    <xf numFmtId="0" fontId="65" fillId="70" borderId="65" xfId="0" applyFont="1" applyFill="1" applyBorder="1" applyAlignment="1">
      <alignment horizontal="center" vertical="center" wrapText="1"/>
    </xf>
    <xf numFmtId="0" fontId="65" fillId="70" borderId="43" xfId="0" applyFont="1" applyFill="1" applyBorder="1" applyAlignment="1">
      <alignment horizontal="center" vertical="center" wrapText="1"/>
    </xf>
    <xf numFmtId="0" fontId="65" fillId="0" borderId="43" xfId="0" applyFont="1" applyBorder="1" applyAlignment="1">
      <alignment vertical="center" wrapText="1"/>
    </xf>
    <xf numFmtId="1" fontId="65" fillId="0" borderId="43" xfId="0" applyNumberFormat="1" applyFont="1" applyBorder="1" applyAlignment="1">
      <alignment horizontal="center" vertical="center" wrapText="1"/>
    </xf>
    <xf numFmtId="0" fontId="65" fillId="0" borderId="43" xfId="0" applyFont="1" applyBorder="1" applyAlignment="1">
      <alignment horizontal="center" vertical="center" wrapText="1"/>
    </xf>
    <xf numFmtId="0" fontId="65" fillId="0" borderId="43" xfId="0" applyFont="1" applyBorder="1" applyAlignment="1">
      <alignment horizontal="left" vertical="center" wrapText="1"/>
    </xf>
    <xf numFmtId="0" fontId="65" fillId="0" borderId="34" xfId="0" applyFont="1" applyBorder="1" applyAlignment="1">
      <alignment vertical="center" wrapText="1"/>
    </xf>
    <xf numFmtId="3" fontId="67" fillId="0" borderId="84" xfId="0" applyNumberFormat="1" applyFont="1" applyBorder="1" applyAlignment="1">
      <alignment horizontal="center" vertical="center" wrapText="1"/>
    </xf>
    <xf numFmtId="3" fontId="67" fillId="0" borderId="43" xfId="0" applyNumberFormat="1" applyFont="1" applyBorder="1" applyAlignment="1">
      <alignment horizontal="center" vertical="center" wrapText="1"/>
    </xf>
    <xf numFmtId="3" fontId="67" fillId="0" borderId="34" xfId="0" applyNumberFormat="1" applyFont="1" applyBorder="1" applyAlignment="1">
      <alignment horizontal="center" vertical="center" wrapText="1"/>
    </xf>
    <xf numFmtId="3" fontId="68" fillId="67" borderId="85" xfId="0" applyNumberFormat="1" applyFont="1" applyFill="1" applyBorder="1" applyAlignment="1">
      <alignment horizontal="center" vertical="center" wrapText="1"/>
    </xf>
    <xf numFmtId="3" fontId="68" fillId="68" borderId="65" xfId="0" applyNumberFormat="1" applyFont="1" applyFill="1" applyBorder="1" applyAlignment="1">
      <alignment horizontal="center" vertical="center" wrapText="1"/>
    </xf>
    <xf numFmtId="0" fontId="69" fillId="0" borderId="43" xfId="0" applyFont="1" applyBorder="1" applyAlignment="1">
      <alignment horizontal="center" vertical="center" wrapText="1"/>
    </xf>
    <xf numFmtId="0" fontId="69" fillId="0" borderId="43" xfId="0" applyFont="1" applyBorder="1" applyAlignment="1">
      <alignment vertical="center" wrapText="1"/>
    </xf>
    <xf numFmtId="0" fontId="65" fillId="67" borderId="65" xfId="0" applyFont="1" applyFill="1" applyBorder="1" applyAlignment="1">
      <alignment horizontal="center" vertical="center" wrapText="1"/>
    </xf>
    <xf numFmtId="0" fontId="65" fillId="73" borderId="43" xfId="0" applyFont="1" applyFill="1" applyBorder="1" applyAlignment="1">
      <alignment vertical="center" wrapText="1"/>
    </xf>
    <xf numFmtId="0" fontId="65" fillId="67" borderId="43" xfId="0" applyFont="1" applyFill="1" applyBorder="1" applyAlignment="1">
      <alignment vertical="center" wrapText="1"/>
    </xf>
    <xf numFmtId="1" fontId="65" fillId="67" borderId="43" xfId="0" applyNumberFormat="1" applyFont="1" applyFill="1" applyBorder="1" applyAlignment="1">
      <alignment horizontal="center" vertical="center" wrapText="1"/>
    </xf>
    <xf numFmtId="0" fontId="65" fillId="67" borderId="43" xfId="0" applyFont="1" applyFill="1" applyBorder="1" applyAlignment="1">
      <alignment horizontal="center" vertical="center" wrapText="1"/>
    </xf>
    <xf numFmtId="0" fontId="65" fillId="73" borderId="43" xfId="0" applyFont="1" applyFill="1" applyBorder="1" applyAlignment="1">
      <alignment horizontal="center" vertical="center" wrapText="1"/>
    </xf>
    <xf numFmtId="0" fontId="65" fillId="67" borderId="43" xfId="0" applyFont="1" applyFill="1" applyBorder="1" applyAlignment="1">
      <alignment horizontal="left" vertical="center" wrapText="1"/>
    </xf>
    <xf numFmtId="0" fontId="65" fillId="67" borderId="34" xfId="0" applyFont="1" applyFill="1" applyBorder="1" applyAlignment="1">
      <alignment vertical="center" wrapText="1"/>
    </xf>
    <xf numFmtId="3" fontId="67" fillId="67" borderId="84" xfId="0" applyNumberFormat="1" applyFont="1" applyFill="1" applyBorder="1" applyAlignment="1">
      <alignment horizontal="center" vertical="center" wrapText="1"/>
    </xf>
    <xf numFmtId="3" fontId="67" fillId="67" borderId="43" xfId="0" applyNumberFormat="1" applyFont="1" applyFill="1" applyBorder="1" applyAlignment="1">
      <alignment horizontal="center" vertical="center" wrapText="1"/>
    </xf>
    <xf numFmtId="3" fontId="68" fillId="67" borderId="65" xfId="0" applyNumberFormat="1" applyFont="1" applyFill="1" applyBorder="1" applyAlignment="1">
      <alignment horizontal="center" vertical="center" wrapText="1"/>
    </xf>
    <xf numFmtId="0" fontId="69" fillId="67" borderId="43" xfId="0" applyFont="1" applyFill="1" applyBorder="1" applyAlignment="1">
      <alignment horizontal="center" vertical="center" wrapText="1"/>
    </xf>
    <xf numFmtId="0" fontId="69" fillId="67" borderId="43" xfId="0" applyFont="1" applyFill="1" applyBorder="1" applyAlignment="1">
      <alignment vertical="center" wrapText="1"/>
    </xf>
    <xf numFmtId="0" fontId="52" fillId="0" borderId="43" xfId="0" applyFont="1" applyBorder="1" applyAlignment="1">
      <alignment horizontal="center" vertical="center" wrapText="1"/>
    </xf>
    <xf numFmtId="0" fontId="20" fillId="0" borderId="34" xfId="0" applyFont="1" applyBorder="1" applyAlignment="1">
      <alignment vertical="center" wrapText="1"/>
    </xf>
    <xf numFmtId="3" fontId="67" fillId="0" borderId="84" xfId="0" applyNumberFormat="1" applyFont="1" applyBorder="1" applyAlignment="1">
      <alignment horizontal="center" vertical="center"/>
    </xf>
    <xf numFmtId="3" fontId="67" fillId="0" borderId="43" xfId="0" applyNumberFormat="1" applyFont="1" applyBorder="1" applyAlignment="1">
      <alignment horizontal="center" vertical="center"/>
    </xf>
    <xf numFmtId="0" fontId="69" fillId="67" borderId="67" xfId="0" applyFont="1" applyFill="1" applyBorder="1" applyAlignment="1">
      <alignment horizontal="center" vertical="center" wrapText="1"/>
    </xf>
    <xf numFmtId="0" fontId="69" fillId="67" borderId="66" xfId="0" applyFont="1" applyFill="1" applyBorder="1" applyAlignment="1">
      <alignment horizontal="center" vertical="center" wrapText="1"/>
    </xf>
    <xf numFmtId="0" fontId="69" fillId="67" borderId="65" xfId="0" applyFont="1" applyFill="1" applyBorder="1" applyAlignment="1">
      <alignment horizontal="center" vertical="center" wrapText="1"/>
    </xf>
    <xf numFmtId="0" fontId="69" fillId="0" borderId="34" xfId="0" applyFont="1" applyBorder="1" applyAlignment="1">
      <alignment vertical="center" wrapText="1"/>
    </xf>
    <xf numFmtId="0" fontId="61" fillId="0" borderId="43" xfId="0" applyFont="1" applyBorder="1" applyAlignment="1">
      <alignment horizontal="center" vertical="center" wrapText="1"/>
    </xf>
    <xf numFmtId="3" fontId="67" fillId="70" borderId="84" xfId="0" applyNumberFormat="1" applyFont="1" applyFill="1" applyBorder="1" applyAlignment="1">
      <alignment horizontal="center" vertical="center" wrapText="1"/>
    </xf>
    <xf numFmtId="3" fontId="67" fillId="70" borderId="43" xfId="0" applyNumberFormat="1" applyFont="1" applyFill="1" applyBorder="1" applyAlignment="1">
      <alignment horizontal="center" vertical="center" wrapText="1"/>
    </xf>
    <xf numFmtId="1" fontId="67" fillId="70" borderId="43" xfId="0" applyNumberFormat="1" applyFont="1" applyFill="1" applyBorder="1" applyAlignment="1">
      <alignment horizontal="center" vertical="center" wrapText="1"/>
    </xf>
    <xf numFmtId="0" fontId="69" fillId="70" borderId="65" xfId="0" applyFont="1" applyFill="1" applyBorder="1" applyAlignment="1">
      <alignment horizontal="center" vertical="center" wrapText="1"/>
    </xf>
    <xf numFmtId="3" fontId="68" fillId="67" borderId="85" xfId="0" applyNumberFormat="1" applyFont="1" applyFill="1" applyBorder="1" applyAlignment="1">
      <alignment horizontal="center" vertical="center"/>
    </xf>
    <xf numFmtId="0" fontId="65" fillId="70" borderId="65" xfId="0" applyFont="1" applyFill="1" applyBorder="1" applyAlignment="1">
      <alignment horizontal="center" vertical="center"/>
    </xf>
    <xf numFmtId="0" fontId="65" fillId="0" borderId="43" xfId="0" applyFont="1" applyBorder="1" applyAlignment="1">
      <alignment vertical="center"/>
    </xf>
    <xf numFmtId="1" fontId="65" fillId="0" borderId="43" xfId="0" applyNumberFormat="1" applyFont="1" applyBorder="1" applyAlignment="1">
      <alignment vertical="center"/>
    </xf>
    <xf numFmtId="1" fontId="65" fillId="0" borderId="43" xfId="0" applyNumberFormat="1" applyFont="1" applyBorder="1" applyAlignment="1">
      <alignment horizontal="center" vertical="center"/>
    </xf>
    <xf numFmtId="0" fontId="65" fillId="0" borderId="43" xfId="0" applyFont="1" applyBorder="1" applyAlignment="1">
      <alignment horizontal="center" vertical="center"/>
    </xf>
    <xf numFmtId="0" fontId="65" fillId="0" borderId="43" xfId="0" applyFont="1" applyBorder="1" applyAlignment="1">
      <alignment horizontal="left" vertical="center"/>
    </xf>
    <xf numFmtId="0" fontId="65" fillId="0" borderId="34" xfId="0" applyFont="1" applyBorder="1" applyAlignment="1">
      <alignment vertical="center"/>
    </xf>
    <xf numFmtId="3" fontId="68" fillId="68" borderId="65" xfId="0" applyNumberFormat="1" applyFont="1" applyFill="1" applyBorder="1" applyAlignment="1">
      <alignment horizontal="center" vertical="center"/>
    </xf>
    <xf numFmtId="1" fontId="65" fillId="0" borderId="34" xfId="0" applyNumberFormat="1" applyFont="1" applyBorder="1" applyAlignment="1">
      <alignment horizontal="center" vertical="center"/>
    </xf>
    <xf numFmtId="0" fontId="69" fillId="0" borderId="43" xfId="0" applyFont="1" applyBorder="1"/>
    <xf numFmtId="0" fontId="65" fillId="67" borderId="65" xfId="0" applyFont="1" applyFill="1" applyBorder="1" applyAlignment="1">
      <alignment horizontal="center" vertical="center"/>
    </xf>
    <xf numFmtId="0" fontId="65" fillId="67" borderId="43" xfId="0" applyFont="1" applyFill="1" applyBorder="1" applyAlignment="1">
      <alignment vertical="center"/>
    </xf>
    <xf numFmtId="1" fontId="65" fillId="67" borderId="43" xfId="0" applyNumberFormat="1" applyFont="1" applyFill="1" applyBorder="1" applyAlignment="1">
      <alignment vertical="center"/>
    </xf>
    <xf numFmtId="1" fontId="65" fillId="67" borderId="43" xfId="0" applyNumberFormat="1" applyFont="1" applyFill="1" applyBorder="1" applyAlignment="1">
      <alignment horizontal="center" vertical="center"/>
    </xf>
    <xf numFmtId="0" fontId="65" fillId="67" borderId="43" xfId="0" applyFont="1" applyFill="1" applyBorder="1" applyAlignment="1">
      <alignment horizontal="center" vertical="center"/>
    </xf>
    <xf numFmtId="0" fontId="65" fillId="67" borderId="43" xfId="0" applyFont="1" applyFill="1" applyBorder="1" applyAlignment="1">
      <alignment horizontal="left" vertical="center"/>
    </xf>
    <xf numFmtId="0" fontId="65" fillId="67" borderId="34" xfId="0" applyFont="1" applyFill="1" applyBorder="1" applyAlignment="1">
      <alignment vertical="center"/>
    </xf>
    <xf numFmtId="3" fontId="67" fillId="67" borderId="84" xfId="0" applyNumberFormat="1" applyFont="1" applyFill="1" applyBorder="1" applyAlignment="1">
      <alignment horizontal="center" vertical="center"/>
    </xf>
    <xf numFmtId="3" fontId="67" fillId="67" borderId="43" xfId="0" applyNumberFormat="1" applyFont="1" applyFill="1" applyBorder="1" applyAlignment="1">
      <alignment horizontal="center" vertical="center"/>
    </xf>
    <xf numFmtId="1" fontId="65" fillId="67" borderId="34" xfId="0" applyNumberFormat="1" applyFont="1" applyFill="1" applyBorder="1" applyAlignment="1">
      <alignment horizontal="center" vertical="center"/>
    </xf>
    <xf numFmtId="3" fontId="67" fillId="70" borderId="84" xfId="0" applyNumberFormat="1" applyFont="1" applyFill="1" applyBorder="1" applyAlignment="1">
      <alignment horizontal="center" vertical="center"/>
    </xf>
    <xf numFmtId="3" fontId="67" fillId="70" borderId="43" xfId="0" applyNumberFormat="1" applyFont="1" applyFill="1" applyBorder="1" applyAlignment="1">
      <alignment horizontal="center" vertical="center"/>
    </xf>
    <xf numFmtId="0" fontId="69" fillId="0" borderId="34" xfId="0" applyFont="1" applyBorder="1" applyAlignment="1">
      <alignment horizontal="center" vertical="center"/>
    </xf>
    <xf numFmtId="0" fontId="65" fillId="69" borderId="43" xfId="0" applyFont="1" applyFill="1" applyBorder="1" applyAlignment="1">
      <alignment vertical="center"/>
    </xf>
    <xf numFmtId="0" fontId="65" fillId="69" borderId="43" xfId="0" applyFont="1" applyFill="1" applyBorder="1" applyAlignment="1">
      <alignment horizontal="center" vertical="center"/>
    </xf>
    <xf numFmtId="3" fontId="68" fillId="67" borderId="65" xfId="0" applyNumberFormat="1" applyFont="1" applyFill="1" applyBorder="1" applyAlignment="1">
      <alignment horizontal="center" vertical="center"/>
    </xf>
    <xf numFmtId="0" fontId="65" fillId="0" borderId="34" xfId="0" applyFont="1" applyBorder="1" applyAlignment="1">
      <alignment horizontal="center" vertical="center"/>
    </xf>
    <xf numFmtId="3" fontId="73" fillId="70" borderId="86" xfId="0" applyNumberFormat="1" applyFont="1" applyFill="1" applyBorder="1" applyAlignment="1">
      <alignment horizontal="center" vertical="top"/>
    </xf>
    <xf numFmtId="3" fontId="73" fillId="70" borderId="59" xfId="0" applyNumberFormat="1" applyFont="1" applyFill="1" applyBorder="1" applyAlignment="1">
      <alignment horizontal="center" vertical="top"/>
    </xf>
    <xf numFmtId="1" fontId="67" fillId="0" borderId="43" xfId="0" applyNumberFormat="1" applyFont="1" applyBorder="1" applyAlignment="1">
      <alignment horizontal="center" vertical="center"/>
    </xf>
    <xf numFmtId="0" fontId="69" fillId="0" borderId="43" xfId="0" applyFont="1" applyBorder="1" applyAlignment="1">
      <alignment vertical="center"/>
    </xf>
    <xf numFmtId="1" fontId="69" fillId="0" borderId="43" xfId="0" applyNumberFormat="1" applyFont="1" applyBorder="1" applyAlignment="1">
      <alignment vertical="center"/>
    </xf>
    <xf numFmtId="1" fontId="67" fillId="0" borderId="66" xfId="0" applyNumberFormat="1" applyFont="1" applyBorder="1" applyAlignment="1">
      <alignment horizontal="center" vertical="center"/>
    </xf>
    <xf numFmtId="0" fontId="65" fillId="0" borderId="73" xfId="0" applyFont="1" applyBorder="1" applyAlignment="1">
      <alignment vertical="center"/>
    </xf>
    <xf numFmtId="0" fontId="65" fillId="0" borderId="73" xfId="0" applyFont="1" applyBorder="1" applyAlignment="1">
      <alignment horizontal="center" vertical="center"/>
    </xf>
    <xf numFmtId="0" fontId="65" fillId="70" borderId="43" xfId="0" applyFont="1" applyFill="1" applyBorder="1" applyAlignment="1">
      <alignment vertical="center"/>
    </xf>
    <xf numFmtId="0" fontId="65" fillId="70" borderId="43" xfId="0" applyFont="1" applyFill="1" applyBorder="1" applyAlignment="1">
      <alignment horizontal="left" vertical="center"/>
    </xf>
    <xf numFmtId="1" fontId="65" fillId="70" borderId="43" xfId="0" applyNumberFormat="1" applyFont="1" applyFill="1" applyBorder="1" applyAlignment="1">
      <alignment horizontal="center" vertical="center"/>
    </xf>
    <xf numFmtId="0" fontId="65" fillId="70" borderId="43" xfId="0" applyFont="1" applyFill="1" applyBorder="1" applyAlignment="1">
      <alignment horizontal="center" vertical="center"/>
    </xf>
    <xf numFmtId="0" fontId="65" fillId="70" borderId="34" xfId="0" applyFont="1" applyFill="1" applyBorder="1" applyAlignment="1">
      <alignment vertical="center"/>
    </xf>
    <xf numFmtId="0" fontId="69" fillId="70" borderId="43" xfId="0" applyFont="1" applyFill="1" applyBorder="1" applyAlignment="1">
      <alignment vertical="center" wrapText="1"/>
    </xf>
    <xf numFmtId="0" fontId="65" fillId="70" borderId="60" xfId="0" applyFont="1" applyFill="1" applyBorder="1" applyAlignment="1">
      <alignment horizontal="center" vertical="center"/>
    </xf>
    <xf numFmtId="0" fontId="65" fillId="0" borderId="67" xfId="0" applyFont="1" applyBorder="1" applyAlignment="1">
      <alignment horizontal="left" vertical="center"/>
    </xf>
    <xf numFmtId="1" fontId="65" fillId="0" borderId="67" xfId="0" applyNumberFormat="1" applyFont="1" applyBorder="1" applyAlignment="1">
      <alignment horizontal="center" vertical="center"/>
    </xf>
    <xf numFmtId="0" fontId="65" fillId="0" borderId="67" xfId="0" applyFont="1" applyBorder="1" applyAlignment="1">
      <alignment horizontal="center" vertical="center"/>
    </xf>
    <xf numFmtId="0" fontId="65" fillId="0" borderId="67" xfId="0" applyFont="1" applyBorder="1" applyAlignment="1">
      <alignment vertical="center"/>
    </xf>
    <xf numFmtId="0" fontId="65" fillId="0" borderId="68" xfId="0" applyFont="1" applyBorder="1" applyAlignment="1">
      <alignment vertical="center"/>
    </xf>
    <xf numFmtId="3" fontId="67" fillId="0" borderId="87" xfId="0" applyNumberFormat="1" applyFont="1" applyBorder="1" applyAlignment="1">
      <alignment horizontal="center" vertical="center"/>
    </xf>
    <xf numFmtId="3" fontId="67" fillId="0" borderId="67" xfId="0" applyNumberFormat="1" applyFont="1" applyBorder="1" applyAlignment="1">
      <alignment horizontal="center" vertical="center"/>
    </xf>
    <xf numFmtId="3" fontId="68" fillId="67" borderId="88" xfId="0" applyNumberFormat="1" applyFont="1" applyFill="1" applyBorder="1" applyAlignment="1">
      <alignment horizontal="center" vertical="center"/>
    </xf>
    <xf numFmtId="3" fontId="68" fillId="68" borderId="60" xfId="0" applyNumberFormat="1" applyFont="1" applyFill="1" applyBorder="1" applyAlignment="1">
      <alignment horizontal="center" vertical="center"/>
    </xf>
    <xf numFmtId="0" fontId="69" fillId="0" borderId="67" xfId="0" applyFont="1" applyBorder="1" applyAlignment="1">
      <alignment vertical="center"/>
    </xf>
    <xf numFmtId="0" fontId="65" fillId="67" borderId="69" xfId="0" applyFont="1" applyFill="1" applyBorder="1" applyAlignment="1">
      <alignment horizontal="center" vertical="center"/>
    </xf>
    <xf numFmtId="0" fontId="65" fillId="67" borderId="70" xfId="0" applyFont="1" applyFill="1" applyBorder="1" applyAlignment="1">
      <alignment horizontal="left" vertical="center"/>
    </xf>
    <xf numFmtId="1" fontId="65" fillId="67" borderId="70" xfId="0" applyNumberFormat="1" applyFont="1" applyFill="1" applyBorder="1" applyAlignment="1">
      <alignment horizontal="center" vertical="center"/>
    </xf>
    <xf numFmtId="0" fontId="65" fillId="67" borderId="70" xfId="0" applyFont="1" applyFill="1" applyBorder="1" applyAlignment="1">
      <alignment horizontal="center" vertical="center"/>
    </xf>
    <xf numFmtId="0" fontId="65" fillId="67" borderId="70" xfId="0" applyFont="1" applyFill="1" applyBorder="1" applyAlignment="1">
      <alignment vertical="center"/>
    </xf>
    <xf numFmtId="0" fontId="65" fillId="67" borderId="71" xfId="0" applyFont="1" applyFill="1" applyBorder="1" applyAlignment="1">
      <alignment vertical="center"/>
    </xf>
    <xf numFmtId="3" fontId="67" fillId="67" borderId="89" xfId="0" applyNumberFormat="1" applyFont="1" applyFill="1" applyBorder="1" applyAlignment="1">
      <alignment horizontal="center" vertical="center"/>
    </xf>
    <xf numFmtId="3" fontId="67" fillId="67" borderId="70" xfId="0" applyNumberFormat="1" applyFont="1" applyFill="1" applyBorder="1" applyAlignment="1">
      <alignment horizontal="center" vertical="center"/>
    </xf>
    <xf numFmtId="3" fontId="68" fillId="67" borderId="90" xfId="0" applyNumberFormat="1" applyFont="1" applyFill="1" applyBorder="1" applyAlignment="1">
      <alignment horizontal="center" vertical="center"/>
    </xf>
    <xf numFmtId="3" fontId="68" fillId="67" borderId="69" xfId="0" applyNumberFormat="1" applyFont="1" applyFill="1" applyBorder="1" applyAlignment="1">
      <alignment horizontal="center" vertical="center"/>
    </xf>
    <xf numFmtId="1" fontId="67" fillId="67" borderId="70" xfId="0" applyNumberFormat="1" applyFont="1" applyFill="1" applyBorder="1" applyAlignment="1">
      <alignment horizontal="center" vertical="center"/>
    </xf>
    <xf numFmtId="1" fontId="67" fillId="67" borderId="70" xfId="0" applyNumberFormat="1" applyFont="1" applyFill="1" applyBorder="1" applyAlignment="1">
      <alignment horizontal="center" vertical="center" wrapText="1"/>
    </xf>
    <xf numFmtId="0" fontId="65" fillId="67" borderId="72" xfId="0" applyFont="1" applyFill="1" applyBorder="1" applyAlignment="1">
      <alignment horizontal="center" vertical="center"/>
    </xf>
    <xf numFmtId="0" fontId="65" fillId="67" borderId="73" xfId="0" applyFont="1" applyFill="1" applyBorder="1" applyAlignment="1">
      <alignment horizontal="left" vertical="center"/>
    </xf>
    <xf numFmtId="1" fontId="65" fillId="67" borderId="73" xfId="0" applyNumberFormat="1" applyFont="1" applyFill="1" applyBorder="1" applyAlignment="1">
      <alignment horizontal="center" vertical="center"/>
    </xf>
    <xf numFmtId="0" fontId="65" fillId="67" borderId="73" xfId="0" applyFont="1" applyFill="1" applyBorder="1" applyAlignment="1">
      <alignment horizontal="center" vertical="center"/>
    </xf>
    <xf numFmtId="0" fontId="65" fillId="67" borderId="73" xfId="0" applyFont="1" applyFill="1" applyBorder="1" applyAlignment="1">
      <alignment vertical="center"/>
    </xf>
    <xf numFmtId="0" fontId="65" fillId="67" borderId="74" xfId="0" applyFont="1" applyFill="1" applyBorder="1" applyAlignment="1">
      <alignment vertical="center"/>
    </xf>
    <xf numFmtId="3" fontId="67" fillId="67" borderId="91" xfId="0" applyNumberFormat="1" applyFont="1" applyFill="1" applyBorder="1" applyAlignment="1">
      <alignment horizontal="center" vertical="center"/>
    </xf>
    <xf numFmtId="3" fontId="67" fillId="67" borderId="73" xfId="0" applyNumberFormat="1" applyFont="1" applyFill="1" applyBorder="1" applyAlignment="1">
      <alignment horizontal="center" vertical="center"/>
    </xf>
    <xf numFmtId="3" fontId="68" fillId="67" borderId="92" xfId="0" applyNumberFormat="1" applyFont="1" applyFill="1" applyBorder="1" applyAlignment="1">
      <alignment horizontal="center" vertical="center"/>
    </xf>
    <xf numFmtId="3" fontId="68" fillId="67" borderId="72" xfId="0" applyNumberFormat="1" applyFont="1" applyFill="1" applyBorder="1" applyAlignment="1">
      <alignment horizontal="center" vertical="center"/>
    </xf>
    <xf numFmtId="0" fontId="69" fillId="67" borderId="74" xfId="0" applyFont="1" applyFill="1" applyBorder="1" applyAlignment="1">
      <alignment vertical="center" wrapText="1"/>
    </xf>
    <xf numFmtId="0" fontId="65" fillId="70" borderId="59" xfId="0" applyFont="1" applyFill="1" applyBorder="1" applyAlignment="1">
      <alignment horizontal="center" vertical="center"/>
    </xf>
    <xf numFmtId="0" fontId="65" fillId="0" borderId="66" xfId="0" applyFont="1" applyBorder="1" applyAlignment="1">
      <alignment horizontal="left" vertical="center"/>
    </xf>
    <xf numFmtId="1" fontId="65" fillId="0" borderId="66" xfId="0" applyNumberFormat="1" applyFont="1" applyBorder="1" applyAlignment="1">
      <alignment horizontal="center" vertical="center"/>
    </xf>
    <xf numFmtId="0" fontId="65" fillId="0" borderId="66" xfId="0" applyFont="1" applyBorder="1" applyAlignment="1">
      <alignment horizontal="center" vertical="center"/>
    </xf>
    <xf numFmtId="0" fontId="65" fillId="0" borderId="66" xfId="0" applyFont="1" applyBorder="1" applyAlignment="1">
      <alignment vertical="center"/>
    </xf>
    <xf numFmtId="0" fontId="65" fillId="0" borderId="75" xfId="0" applyFont="1" applyBorder="1" applyAlignment="1">
      <alignment vertical="center"/>
    </xf>
    <xf numFmtId="3" fontId="67" fillId="0" borderId="86" xfId="0" applyNumberFormat="1" applyFont="1" applyBorder="1" applyAlignment="1">
      <alignment horizontal="center" vertical="center"/>
    </xf>
    <xf numFmtId="3" fontId="67" fillId="0" borderId="66" xfId="0" applyNumberFormat="1" applyFont="1" applyBorder="1" applyAlignment="1">
      <alignment horizontal="center" vertical="center"/>
    </xf>
    <xf numFmtId="3" fontId="68" fillId="67" borderId="93" xfId="0" applyNumberFormat="1" applyFont="1" applyFill="1" applyBorder="1" applyAlignment="1">
      <alignment horizontal="center" vertical="center"/>
    </xf>
    <xf numFmtId="3" fontId="68" fillId="68" borderId="59" xfId="0" applyNumberFormat="1" applyFont="1" applyFill="1" applyBorder="1" applyAlignment="1">
      <alignment horizontal="center" vertical="center"/>
    </xf>
    <xf numFmtId="0" fontId="69" fillId="0" borderId="66" xfId="0" applyFont="1" applyBorder="1" applyAlignment="1">
      <alignment vertical="center"/>
    </xf>
    <xf numFmtId="0" fontId="65" fillId="0" borderId="43" xfId="0" applyFont="1" applyBorder="1" applyAlignment="1">
      <alignment wrapText="1"/>
    </xf>
    <xf numFmtId="0" fontId="74" fillId="0" borderId="34" xfId="0" applyFont="1" applyBorder="1" applyAlignment="1">
      <alignment wrapText="1"/>
    </xf>
    <xf numFmtId="0" fontId="65" fillId="0" borderId="34" xfId="0" applyFont="1" applyBorder="1" applyAlignment="1">
      <alignment wrapText="1"/>
    </xf>
    <xf numFmtId="0" fontId="69" fillId="70" borderId="43" xfId="0" applyFont="1" applyFill="1" applyBorder="1" applyAlignment="1">
      <alignment horizontal="center" vertical="center" wrapText="1"/>
    </xf>
    <xf numFmtId="0" fontId="0" fillId="74" borderId="43" xfId="0" applyFont="1" applyFill="1" applyBorder="1" applyAlignment="1">
      <alignment horizontal="center" vertical="center"/>
    </xf>
    <xf numFmtId="0" fontId="52" fillId="74" borderId="43" xfId="0" applyFont="1" applyFill="1" applyBorder="1" applyAlignment="1">
      <alignment horizontal="center" vertical="center" wrapText="1"/>
    </xf>
    <xf numFmtId="0" fontId="65" fillId="74" borderId="65" xfId="0" applyFont="1" applyFill="1" applyBorder="1" applyAlignment="1">
      <alignment horizontal="center" vertical="center" wrapText="1"/>
    </xf>
    <xf numFmtId="0" fontId="65" fillId="74" borderId="43" xfId="0" applyFont="1" applyFill="1" applyBorder="1" applyAlignment="1"/>
    <xf numFmtId="1" fontId="65" fillId="74" borderId="43" xfId="0" applyNumberFormat="1" applyFont="1" applyFill="1" applyBorder="1" applyAlignment="1">
      <alignment horizontal="center"/>
    </xf>
    <xf numFmtId="0" fontId="65" fillId="74" borderId="43" xfId="0" applyFont="1" applyFill="1" applyBorder="1" applyAlignment="1">
      <alignment horizontal="center" vertical="center" wrapText="1"/>
    </xf>
    <xf numFmtId="0" fontId="69" fillId="74" borderId="43" xfId="0" applyFont="1" applyFill="1" applyBorder="1" applyAlignment="1">
      <alignment vertical="center" wrapText="1"/>
    </xf>
    <xf numFmtId="0" fontId="65" fillId="74" borderId="43" xfId="0" applyFont="1" applyFill="1" applyBorder="1" applyAlignment="1">
      <alignment vertical="center" wrapText="1"/>
    </xf>
    <xf numFmtId="0" fontId="65" fillId="74" borderId="34" xfId="0" applyFont="1" applyFill="1" applyBorder="1" applyAlignment="1">
      <alignment vertical="center" wrapText="1"/>
    </xf>
    <xf numFmtId="3" fontId="67" fillId="74" borderId="84" xfId="0" applyNumberFormat="1" applyFont="1" applyFill="1" applyBorder="1" applyAlignment="1">
      <alignment horizontal="center" vertical="center" wrapText="1"/>
    </xf>
    <xf numFmtId="3" fontId="67" fillId="74" borderId="43" xfId="0" applyNumberFormat="1" applyFont="1" applyFill="1" applyBorder="1" applyAlignment="1">
      <alignment horizontal="center" vertical="center" wrapText="1"/>
    </xf>
    <xf numFmtId="3" fontId="67" fillId="74" borderId="34" xfId="0" applyNumberFormat="1" applyFont="1" applyFill="1" applyBorder="1" applyAlignment="1">
      <alignment horizontal="center" vertical="center"/>
    </xf>
    <xf numFmtId="3" fontId="67" fillId="74" borderId="34" xfId="0" applyNumberFormat="1" applyFont="1" applyFill="1" applyBorder="1" applyAlignment="1">
      <alignment horizontal="center" vertical="top" wrapText="1"/>
    </xf>
    <xf numFmtId="3" fontId="68" fillId="74" borderId="85" xfId="0" applyNumberFormat="1" applyFont="1" applyFill="1" applyBorder="1" applyAlignment="1">
      <alignment horizontal="center" vertical="center" wrapText="1"/>
    </xf>
    <xf numFmtId="3" fontId="67" fillId="74" borderId="34" xfId="0" applyNumberFormat="1" applyFont="1" applyFill="1" applyBorder="1" applyAlignment="1">
      <alignment horizontal="center" vertical="center" wrapText="1"/>
    </xf>
    <xf numFmtId="3" fontId="68" fillId="75" borderId="65" xfId="0" applyNumberFormat="1" applyFont="1" applyFill="1" applyBorder="1" applyAlignment="1">
      <alignment horizontal="center" vertical="center" wrapText="1"/>
    </xf>
    <xf numFmtId="0" fontId="0" fillId="74" borderId="67" xfId="0" applyFont="1" applyFill="1" applyBorder="1"/>
    <xf numFmtId="0" fontId="0" fillId="58" borderId="43" xfId="0" applyFont="1" applyFill="1" applyBorder="1" applyAlignment="1">
      <alignment horizontal="center" vertical="center"/>
    </xf>
    <xf numFmtId="0" fontId="0" fillId="58" borderId="43" xfId="0" applyFont="1" applyFill="1" applyBorder="1" applyAlignment="1">
      <alignment horizontal="center" vertical="center" wrapText="1"/>
    </xf>
    <xf numFmtId="0" fontId="0" fillId="74" borderId="43" xfId="0" applyFont="1" applyFill="1" applyBorder="1" applyAlignment="1">
      <alignment horizontal="center" vertical="center" wrapText="1"/>
    </xf>
    <xf numFmtId="3" fontId="67" fillId="58" borderId="34" xfId="0" applyNumberFormat="1" applyFont="1" applyFill="1" applyBorder="1" applyAlignment="1">
      <alignment horizontal="center" vertical="center" wrapText="1"/>
    </xf>
    <xf numFmtId="0" fontId="65" fillId="76" borderId="65" xfId="0" applyFont="1" applyFill="1" applyBorder="1" applyAlignment="1">
      <alignment horizontal="center" vertical="center"/>
    </xf>
    <xf numFmtId="0" fontId="65" fillId="58" borderId="43" xfId="0" applyFont="1" applyFill="1" applyBorder="1" applyAlignment="1">
      <alignment vertical="center"/>
    </xf>
    <xf numFmtId="0" fontId="65" fillId="58" borderId="43" xfId="0" applyFont="1" applyFill="1" applyBorder="1" applyAlignment="1">
      <alignment horizontal="left" vertical="center"/>
    </xf>
    <xf numFmtId="1" fontId="65" fillId="58" borderId="43" xfId="0" applyNumberFormat="1" applyFont="1" applyFill="1" applyBorder="1" applyAlignment="1">
      <alignment horizontal="center" vertical="center"/>
    </xf>
    <xf numFmtId="0" fontId="65" fillId="58" borderId="43" xfId="0" applyFont="1" applyFill="1" applyBorder="1" applyAlignment="1">
      <alignment horizontal="center" vertical="center"/>
    </xf>
    <xf numFmtId="0" fontId="65" fillId="58" borderId="34" xfId="0" applyFont="1" applyFill="1" applyBorder="1" applyAlignment="1">
      <alignment vertical="center"/>
    </xf>
    <xf numFmtId="3" fontId="67" fillId="58" borderId="84" xfId="0" applyNumberFormat="1" applyFont="1" applyFill="1" applyBorder="1" applyAlignment="1">
      <alignment horizontal="center" vertical="center"/>
    </xf>
    <xf numFmtId="3" fontId="67" fillId="58" borderId="43" xfId="0" applyNumberFormat="1" applyFont="1" applyFill="1" applyBorder="1" applyAlignment="1">
      <alignment horizontal="center" vertical="center"/>
    </xf>
    <xf numFmtId="3" fontId="68" fillId="72" borderId="85" xfId="0" applyNumberFormat="1" applyFont="1" applyFill="1" applyBorder="1" applyAlignment="1">
      <alignment horizontal="center" vertical="center"/>
    </xf>
    <xf numFmtId="1" fontId="67" fillId="58" borderId="43" xfId="0" applyNumberFormat="1" applyFont="1" applyFill="1" applyBorder="1" applyAlignment="1">
      <alignment horizontal="center" vertical="center"/>
    </xf>
    <xf numFmtId="0" fontId="52" fillId="58" borderId="43" xfId="0" applyFont="1" applyFill="1" applyBorder="1" applyAlignment="1">
      <alignment horizontal="center" vertical="center" wrapText="1"/>
    </xf>
    <xf numFmtId="1" fontId="67" fillId="58" borderId="84" xfId="0" applyNumberFormat="1" applyFont="1" applyFill="1" applyBorder="1" applyAlignment="1">
      <alignment horizontal="center" vertical="center"/>
    </xf>
    <xf numFmtId="1" fontId="67" fillId="58" borderId="34" xfId="0" applyNumberFormat="1" applyFont="1" applyFill="1" applyBorder="1" applyAlignment="1">
      <alignment horizontal="center" vertical="center" wrapText="1"/>
    </xf>
    <xf numFmtId="1" fontId="68" fillId="72" borderId="85" xfId="0" applyNumberFormat="1" applyFont="1" applyFill="1" applyBorder="1" applyAlignment="1">
      <alignment horizontal="center" vertical="center"/>
    </xf>
    <xf numFmtId="1" fontId="68" fillId="75" borderId="65" xfId="0" applyNumberFormat="1" applyFont="1" applyFill="1" applyBorder="1" applyAlignment="1">
      <alignment horizontal="center" vertical="center"/>
    </xf>
    <xf numFmtId="0" fontId="69" fillId="58" borderId="43" xfId="0" applyFont="1" applyFill="1" applyBorder="1"/>
    <xf numFmtId="0" fontId="65" fillId="72" borderId="65" xfId="0" applyFont="1" applyFill="1" applyBorder="1" applyAlignment="1">
      <alignment horizontal="center" vertical="center"/>
    </xf>
    <xf numFmtId="0" fontId="65" fillId="72" borderId="43" xfId="0" applyFont="1" applyFill="1" applyBorder="1" applyAlignment="1">
      <alignment vertical="center"/>
    </xf>
    <xf numFmtId="1" fontId="65" fillId="72" borderId="43" xfId="0" applyNumberFormat="1" applyFont="1" applyFill="1" applyBorder="1" applyAlignment="1">
      <alignment vertical="center"/>
    </xf>
    <xf numFmtId="1" fontId="65" fillId="72" borderId="43" xfId="0" applyNumberFormat="1" applyFont="1" applyFill="1" applyBorder="1" applyAlignment="1">
      <alignment horizontal="center" vertical="center"/>
    </xf>
    <xf numFmtId="0" fontId="65" fillId="72" borderId="43" xfId="0" applyFont="1" applyFill="1" applyBorder="1" applyAlignment="1">
      <alignment horizontal="center" vertical="center"/>
    </xf>
    <xf numFmtId="0" fontId="65" fillId="72" borderId="43" xfId="0" applyFont="1" applyFill="1" applyBorder="1" applyAlignment="1">
      <alignment horizontal="left" vertical="center"/>
    </xf>
    <xf numFmtId="0" fontId="65" fillId="72" borderId="34" xfId="0" applyFont="1" applyFill="1" applyBorder="1" applyAlignment="1">
      <alignment vertical="center"/>
    </xf>
    <xf numFmtId="3" fontId="67" fillId="72" borderId="84" xfId="0" applyNumberFormat="1" applyFont="1" applyFill="1" applyBorder="1" applyAlignment="1">
      <alignment horizontal="center" vertical="center"/>
    </xf>
    <xf numFmtId="3" fontId="67" fillId="72" borderId="43" xfId="0" applyNumberFormat="1" applyFont="1" applyFill="1" applyBorder="1" applyAlignment="1">
      <alignment horizontal="center" vertical="center"/>
    </xf>
    <xf numFmtId="3" fontId="67" fillId="58" borderId="34" xfId="0" applyNumberFormat="1" applyFont="1" applyFill="1" applyBorder="1" applyAlignment="1">
      <alignment horizontal="center" vertical="center"/>
    </xf>
    <xf numFmtId="3" fontId="68" fillId="75" borderId="65" xfId="0" applyNumberFormat="1" applyFont="1" applyFill="1" applyBorder="1" applyAlignment="1">
      <alignment horizontal="center" vertical="center"/>
    </xf>
    <xf numFmtId="0" fontId="0" fillId="58" borderId="43" xfId="0" applyFont="1" applyFill="1" applyBorder="1"/>
    <xf numFmtId="0" fontId="65" fillId="58" borderId="65" xfId="0" applyFont="1" applyFill="1" applyBorder="1" applyAlignment="1">
      <alignment horizontal="center" vertical="center" wrapText="1"/>
    </xf>
    <xf numFmtId="0" fontId="65" fillId="58" borderId="43" xfId="0" applyFont="1" applyFill="1" applyBorder="1" applyAlignment="1">
      <alignment vertical="center" wrapText="1"/>
    </xf>
    <xf numFmtId="1" fontId="65" fillId="58" borderId="43" xfId="0" applyNumberFormat="1" applyFont="1" applyFill="1" applyBorder="1" applyAlignment="1">
      <alignment horizontal="center" vertical="center" wrapText="1"/>
    </xf>
    <xf numFmtId="0" fontId="65" fillId="58" borderId="43" xfId="0" applyFont="1" applyFill="1" applyBorder="1" applyAlignment="1">
      <alignment horizontal="center" vertical="center" wrapText="1"/>
    </xf>
    <xf numFmtId="0" fontId="65" fillId="58" borderId="43" xfId="0" applyFont="1" applyFill="1" applyBorder="1" applyAlignment="1">
      <alignment horizontal="left" vertical="center" wrapText="1"/>
    </xf>
    <xf numFmtId="0" fontId="65" fillId="58" borderId="34" xfId="0" applyFont="1" applyFill="1" applyBorder="1" applyAlignment="1">
      <alignment vertical="center" wrapText="1"/>
    </xf>
    <xf numFmtId="3" fontId="67" fillId="58" borderId="84" xfId="0" applyNumberFormat="1" applyFont="1" applyFill="1" applyBorder="1" applyAlignment="1">
      <alignment horizontal="center" vertical="center" wrapText="1"/>
    </xf>
    <xf numFmtId="3" fontId="67" fillId="58" borderId="43" xfId="0" applyNumberFormat="1" applyFont="1" applyFill="1" applyBorder="1" applyAlignment="1">
      <alignment horizontal="center" vertical="center" wrapText="1"/>
    </xf>
    <xf numFmtId="3" fontId="68" fillId="58" borderId="85" xfId="0" applyNumberFormat="1" applyFont="1" applyFill="1" applyBorder="1" applyAlignment="1">
      <alignment horizontal="center" vertical="center" wrapText="1"/>
    </xf>
    <xf numFmtId="3" fontId="68" fillId="58" borderId="65" xfId="0" applyNumberFormat="1" applyFont="1" applyFill="1" applyBorder="1" applyAlignment="1">
      <alignment horizontal="center" vertical="center" wrapText="1"/>
    </xf>
    <xf numFmtId="0" fontId="69" fillId="58" borderId="43" xfId="0" applyFont="1" applyFill="1" applyBorder="1" applyAlignment="1">
      <alignment horizontal="center" vertical="center" wrapText="1"/>
    </xf>
    <xf numFmtId="0" fontId="69" fillId="58" borderId="43" xfId="0" applyFont="1" applyFill="1" applyBorder="1" applyAlignment="1">
      <alignment vertical="center" wrapText="1"/>
    </xf>
    <xf numFmtId="3" fontId="68" fillId="72" borderId="85" xfId="0" applyNumberFormat="1" applyFont="1" applyFill="1" applyBorder="1" applyAlignment="1">
      <alignment horizontal="center" vertical="center" wrapText="1"/>
    </xf>
    <xf numFmtId="1" fontId="65" fillId="73" borderId="43" xfId="0" applyNumberFormat="1" applyFont="1" applyFill="1" applyBorder="1" applyAlignment="1">
      <alignment horizontal="center" vertical="center" wrapText="1"/>
    </xf>
    <xf numFmtId="0" fontId="65" fillId="73" borderId="43" xfId="0" applyFont="1" applyFill="1" applyBorder="1" applyAlignment="1">
      <alignment horizontal="left" vertical="center" wrapText="1"/>
    </xf>
    <xf numFmtId="0" fontId="65" fillId="73" borderId="34" xfId="0" applyFont="1" applyFill="1" applyBorder="1" applyAlignment="1">
      <alignment vertical="center" wrapText="1"/>
    </xf>
    <xf numFmtId="1" fontId="67" fillId="73" borderId="84" xfId="0" applyNumberFormat="1" applyFont="1" applyFill="1" applyBorder="1" applyAlignment="1">
      <alignment horizontal="center" vertical="center" wrapText="1"/>
    </xf>
    <xf numFmtId="1" fontId="67" fillId="73" borderId="43" xfId="0" applyNumberFormat="1" applyFont="1" applyFill="1" applyBorder="1" applyAlignment="1">
      <alignment horizontal="center" vertical="center" wrapText="1"/>
    </xf>
    <xf numFmtId="1" fontId="67" fillId="0" borderId="34" xfId="0" applyNumberFormat="1" applyFont="1" applyBorder="1" applyAlignment="1">
      <alignment horizontal="center" vertical="center" wrapText="1"/>
    </xf>
    <xf numFmtId="1" fontId="68" fillId="67" borderId="85" xfId="0" applyNumberFormat="1" applyFont="1" applyFill="1" applyBorder="1" applyAlignment="1">
      <alignment horizontal="center" vertical="center" wrapText="1"/>
    </xf>
    <xf numFmtId="1" fontId="68" fillId="68" borderId="65" xfId="0" applyNumberFormat="1" applyFont="1" applyFill="1" applyBorder="1" applyAlignment="1">
      <alignment horizontal="center" vertical="center" wrapText="1"/>
    </xf>
    <xf numFmtId="0" fontId="69" fillId="73" borderId="43" xfId="0" applyFont="1" applyFill="1" applyBorder="1" applyAlignment="1">
      <alignment horizontal="center" vertical="center" wrapText="1"/>
    </xf>
    <xf numFmtId="0" fontId="69" fillId="73" borderId="43" xfId="0" applyFont="1" applyFill="1" applyBorder="1" applyAlignment="1">
      <alignment vertical="center" wrapText="1"/>
    </xf>
    <xf numFmtId="1" fontId="67" fillId="0" borderId="84" xfId="0" applyNumberFormat="1" applyFont="1" applyBorder="1" applyAlignment="1">
      <alignment horizontal="center" vertical="center" wrapText="1"/>
    </xf>
    <xf numFmtId="1" fontId="67" fillId="0" borderId="43" xfId="0" applyNumberFormat="1" applyFont="1" applyBorder="1" applyAlignment="1">
      <alignment horizontal="center" vertical="center" wrapText="1"/>
    </xf>
    <xf numFmtId="1" fontId="67" fillId="0" borderId="84" xfId="0" applyNumberFormat="1" applyFont="1" applyBorder="1" applyAlignment="1">
      <alignment horizontal="center" vertical="center"/>
    </xf>
    <xf numFmtId="0" fontId="69" fillId="0" borderId="43" xfId="0" applyFont="1" applyBorder="1" applyAlignment="1">
      <alignment wrapText="1"/>
    </xf>
    <xf numFmtId="0" fontId="53" fillId="0" borderId="43" xfId="0" applyFont="1" applyBorder="1" applyAlignment="1">
      <alignment vertical="center" wrapText="1"/>
    </xf>
    <xf numFmtId="1" fontId="68" fillId="68" borderId="84" xfId="0" applyNumberFormat="1" applyFont="1" applyFill="1" applyBorder="1" applyAlignment="1">
      <alignment horizontal="center" vertical="center" wrapText="1"/>
    </xf>
    <xf numFmtId="0" fontId="69" fillId="0" borderId="34" xfId="0" applyFont="1" applyBorder="1" applyAlignment="1">
      <alignment horizontal="center" vertical="center" wrapText="1"/>
    </xf>
    <xf numFmtId="0" fontId="65" fillId="69" borderId="43" xfId="0" applyFont="1" applyFill="1" applyBorder="1" applyAlignment="1">
      <alignment vertical="center" wrapText="1"/>
    </xf>
    <xf numFmtId="0" fontId="65" fillId="69" borderId="43" xfId="0" applyFont="1" applyFill="1" applyBorder="1" applyAlignment="1">
      <alignment horizontal="center" vertical="center" wrapText="1"/>
    </xf>
    <xf numFmtId="1" fontId="67" fillId="67" borderId="84" xfId="0" applyNumberFormat="1" applyFont="1" applyFill="1" applyBorder="1" applyAlignment="1">
      <alignment horizontal="center" vertical="center" wrapText="1"/>
    </xf>
    <xf numFmtId="1" fontId="67" fillId="67" borderId="43" xfId="0" applyNumberFormat="1" applyFont="1" applyFill="1" applyBorder="1" applyAlignment="1">
      <alignment horizontal="center" vertical="center" wrapText="1"/>
    </xf>
    <xf numFmtId="1" fontId="68" fillId="67" borderId="65" xfId="0" applyNumberFormat="1" applyFont="1" applyFill="1" applyBorder="1" applyAlignment="1">
      <alignment horizontal="center" vertical="center" wrapText="1"/>
    </xf>
    <xf numFmtId="1" fontId="67" fillId="67" borderId="34" xfId="0" applyNumberFormat="1" applyFont="1" applyFill="1" applyBorder="1" applyAlignment="1">
      <alignment horizontal="center" vertical="center" wrapText="1"/>
    </xf>
    <xf numFmtId="1" fontId="68" fillId="67" borderId="85" xfId="0" applyNumberFormat="1" applyFont="1" applyFill="1" applyBorder="1" applyAlignment="1">
      <alignment horizontal="center" vertical="center"/>
    </xf>
    <xf numFmtId="1" fontId="68" fillId="68" borderId="65" xfId="0" applyNumberFormat="1" applyFont="1" applyFill="1" applyBorder="1" applyAlignment="1">
      <alignment horizontal="center" vertical="center"/>
    </xf>
    <xf numFmtId="1" fontId="67" fillId="70" borderId="84" xfId="0" applyNumberFormat="1" applyFont="1" applyFill="1" applyBorder="1" applyAlignment="1">
      <alignment horizontal="center" vertical="center"/>
    </xf>
    <xf numFmtId="1" fontId="67" fillId="70" borderId="43" xfId="0" applyNumberFormat="1" applyFont="1" applyFill="1" applyBorder="1" applyAlignment="1">
      <alignment horizontal="center" vertical="center"/>
    </xf>
    <xf numFmtId="1" fontId="65" fillId="70" borderId="34" xfId="0" applyNumberFormat="1" applyFont="1" applyFill="1" applyBorder="1" applyAlignment="1">
      <alignment horizontal="center" vertical="center"/>
    </xf>
    <xf numFmtId="1" fontId="65" fillId="70" borderId="43" xfId="0" applyNumberFormat="1" applyFont="1" applyFill="1" applyBorder="1" applyAlignment="1">
      <alignment vertical="center"/>
    </xf>
    <xf numFmtId="0" fontId="69" fillId="70" borderId="43" xfId="0" applyFont="1" applyFill="1" applyBorder="1"/>
    <xf numFmtId="1" fontId="67" fillId="0" borderId="43" xfId="0" applyNumberFormat="1" applyFont="1" applyBorder="1" applyAlignment="1">
      <alignment horizontal="left" vertical="center"/>
    </xf>
    <xf numFmtId="0" fontId="70" fillId="0" borderId="43" xfId="0" applyFont="1" applyBorder="1" applyAlignment="1">
      <alignment horizontal="center" vertical="center"/>
    </xf>
    <xf numFmtId="1" fontId="68" fillId="67" borderId="43" xfId="0" applyNumberFormat="1" applyFont="1" applyFill="1" applyBorder="1" applyAlignment="1">
      <alignment horizontal="center" vertical="center"/>
    </xf>
    <xf numFmtId="1" fontId="68" fillId="68" borderId="43" xfId="0" applyNumberFormat="1" applyFont="1" applyFill="1" applyBorder="1" applyAlignment="1">
      <alignment horizontal="center" vertical="center"/>
    </xf>
    <xf numFmtId="1" fontId="67" fillId="67" borderId="84" xfId="0" applyNumberFormat="1" applyFont="1" applyFill="1" applyBorder="1" applyAlignment="1">
      <alignment horizontal="center" vertical="center"/>
    </xf>
    <xf numFmtId="1" fontId="67" fillId="67" borderId="43" xfId="0" applyNumberFormat="1" applyFont="1" applyFill="1" applyBorder="1" applyAlignment="1">
      <alignment horizontal="center" vertical="center"/>
    </xf>
    <xf numFmtId="1" fontId="68" fillId="67" borderId="65" xfId="0" applyNumberFormat="1" applyFont="1" applyFill="1" applyBorder="1" applyAlignment="1">
      <alignment horizontal="center" vertical="center"/>
    </xf>
    <xf numFmtId="0" fontId="69" fillId="67" borderId="43" xfId="0" applyFont="1" applyFill="1" applyBorder="1" applyAlignment="1">
      <alignment vertical="center"/>
    </xf>
    <xf numFmtId="0" fontId="65" fillId="67" borderId="34" xfId="0" applyFont="1" applyFill="1" applyBorder="1" applyAlignment="1">
      <alignment horizontal="left" vertical="center"/>
    </xf>
    <xf numFmtId="0" fontId="65" fillId="67" borderId="84" xfId="0" applyFont="1" applyFill="1" applyBorder="1" applyAlignment="1">
      <alignment horizontal="center" vertical="center"/>
    </xf>
    <xf numFmtId="0" fontId="65" fillId="67" borderId="85" xfId="0" applyFont="1" applyFill="1" applyBorder="1" applyAlignment="1">
      <alignment horizontal="center" vertical="center"/>
    </xf>
    <xf numFmtId="1" fontId="65" fillId="0" borderId="67" xfId="0" applyNumberFormat="1" applyFont="1" applyBorder="1" applyAlignment="1">
      <alignment vertical="center"/>
    </xf>
    <xf numFmtId="1" fontId="67" fillId="0" borderId="87" xfId="0" applyNumberFormat="1" applyFont="1" applyBorder="1" applyAlignment="1">
      <alignment horizontal="center" vertical="center"/>
    </xf>
    <xf numFmtId="1" fontId="67" fillId="0" borderId="67" xfId="0" applyNumberFormat="1" applyFont="1" applyBorder="1" applyAlignment="1">
      <alignment horizontal="center" vertical="center"/>
    </xf>
    <xf numFmtId="1" fontId="68" fillId="67" borderId="88" xfId="0" applyNumberFormat="1" applyFont="1" applyFill="1" applyBorder="1" applyAlignment="1">
      <alignment horizontal="center" vertical="center"/>
    </xf>
    <xf numFmtId="1" fontId="68" fillId="68" borderId="60" xfId="0" applyNumberFormat="1" applyFont="1" applyFill="1" applyBorder="1" applyAlignment="1">
      <alignment horizontal="center" vertical="center"/>
    </xf>
    <xf numFmtId="0" fontId="69" fillId="70" borderId="43" xfId="0" applyFont="1" applyFill="1" applyBorder="1" applyAlignment="1">
      <alignment wrapText="1"/>
    </xf>
    <xf numFmtId="0" fontId="65" fillId="0" borderId="66" xfId="0" applyFont="1" applyBorder="1" applyAlignment="1">
      <alignment vertical="center" wrapText="1"/>
    </xf>
    <xf numFmtId="0" fontId="69" fillId="0" borderId="66" xfId="0" applyFont="1" applyBorder="1" applyAlignment="1">
      <alignment vertical="center" wrapText="1"/>
    </xf>
    <xf numFmtId="0" fontId="69" fillId="0" borderId="0" xfId="0" applyFont="1" applyBorder="1" applyAlignment="1">
      <alignment vertical="center" wrapText="1"/>
    </xf>
    <xf numFmtId="0" fontId="69" fillId="0" borderId="67" xfId="0" applyFont="1" applyBorder="1" applyAlignment="1">
      <alignment horizontal="center" vertical="center" wrapText="1"/>
    </xf>
    <xf numFmtId="0" fontId="65" fillId="0" borderId="66" xfId="0" applyFont="1" applyBorder="1" applyAlignment="1">
      <alignment horizontal="center" vertical="center" wrapText="1"/>
    </xf>
    <xf numFmtId="1" fontId="65" fillId="74" borderId="43" xfId="0" applyNumberFormat="1" applyFont="1" applyFill="1" applyBorder="1" applyAlignment="1">
      <alignment horizontal="center" vertical="center" wrapText="1"/>
    </xf>
    <xf numFmtId="0" fontId="0" fillId="74" borderId="0" xfId="0" applyFont="1" applyFill="1" applyBorder="1"/>
    <xf numFmtId="0" fontId="69" fillId="76" borderId="65" xfId="0" applyFont="1" applyFill="1" applyBorder="1" applyAlignment="1">
      <alignment horizontal="center" vertical="center" wrapText="1"/>
    </xf>
    <xf numFmtId="0" fontId="65" fillId="72" borderId="43" xfId="0" applyFont="1" applyFill="1" applyBorder="1" applyAlignment="1">
      <alignment vertical="center" wrapText="1"/>
    </xf>
    <xf numFmtId="1" fontId="65" fillId="72" borderId="43" xfId="0" applyNumberFormat="1" applyFont="1" applyFill="1" applyBorder="1" applyAlignment="1">
      <alignment horizontal="center" vertical="center" wrapText="1"/>
    </xf>
    <xf numFmtId="0" fontId="65" fillId="72" borderId="43" xfId="0" applyFont="1" applyFill="1" applyBorder="1" applyAlignment="1">
      <alignment horizontal="center" vertical="center" wrapText="1"/>
    </xf>
    <xf numFmtId="0" fontId="69" fillId="72" borderId="43" xfId="0" applyFont="1" applyFill="1" applyBorder="1" applyAlignment="1">
      <alignment vertical="center" wrapText="1"/>
    </xf>
    <xf numFmtId="0" fontId="65" fillId="72" borderId="43" xfId="0" applyFont="1" applyFill="1" applyBorder="1" applyAlignment="1">
      <alignment horizontal="left" vertical="center" wrapText="1"/>
    </xf>
    <xf numFmtId="0" fontId="65" fillId="72" borderId="34" xfId="0" applyFont="1" applyFill="1" applyBorder="1" applyAlignment="1">
      <alignment vertical="center" wrapText="1"/>
    </xf>
    <xf numFmtId="3" fontId="67" fillId="72" borderId="84" xfId="0" applyNumberFormat="1" applyFont="1" applyFill="1" applyBorder="1" applyAlignment="1">
      <alignment horizontal="center" vertical="center" wrapText="1"/>
    </xf>
    <xf numFmtId="3" fontId="67" fillId="72" borderId="43" xfId="0" applyNumberFormat="1" applyFont="1" applyFill="1" applyBorder="1" applyAlignment="1">
      <alignment horizontal="center" vertical="center" wrapText="1"/>
    </xf>
    <xf numFmtId="0" fontId="69" fillId="72" borderId="43" xfId="0" applyFont="1" applyFill="1" applyBorder="1" applyAlignment="1">
      <alignment horizontal="center" vertical="center" wrapText="1"/>
    </xf>
    <xf numFmtId="0" fontId="69" fillId="72" borderId="0" xfId="0" applyFont="1" applyFill="1" applyBorder="1" applyAlignment="1">
      <alignment horizontal="center" vertical="center" wrapText="1"/>
    </xf>
    <xf numFmtId="0" fontId="69" fillId="76" borderId="43" xfId="0" applyFont="1" applyFill="1" applyBorder="1" applyAlignment="1">
      <alignment vertical="center" wrapText="1"/>
    </xf>
    <xf numFmtId="0" fontId="0" fillId="58" borderId="0" xfId="0" applyFont="1" applyFill="1" applyBorder="1"/>
    <xf numFmtId="0" fontId="65" fillId="76" borderId="65" xfId="0" applyFont="1" applyFill="1" applyBorder="1" applyAlignment="1">
      <alignment horizontal="center" vertical="center" wrapText="1"/>
    </xf>
    <xf numFmtId="0" fontId="65" fillId="76" borderId="43" xfId="0" applyFont="1" applyFill="1" applyBorder="1" applyAlignment="1">
      <alignment horizontal="center" vertical="center" wrapText="1"/>
    </xf>
    <xf numFmtId="0" fontId="69" fillId="76" borderId="0" xfId="0" applyFont="1" applyFill="1" applyBorder="1" applyAlignment="1">
      <alignment vertical="center" wrapText="1"/>
    </xf>
    <xf numFmtId="0" fontId="0" fillId="74" borderId="67" xfId="0" applyFont="1" applyFill="1" applyBorder="1" applyAlignment="1">
      <alignment horizontal="center" vertical="center" wrapText="1"/>
    </xf>
    <xf numFmtId="0" fontId="0" fillId="58" borderId="67" xfId="0" applyFont="1" applyFill="1" applyBorder="1" applyAlignment="1">
      <alignment horizontal="center" vertical="center" wrapText="1"/>
    </xf>
    <xf numFmtId="0" fontId="0" fillId="58" borderId="67" xfId="0" applyFont="1" applyFill="1" applyBorder="1" applyAlignment="1">
      <alignment horizontal="center" vertical="center"/>
    </xf>
    <xf numFmtId="0" fontId="65" fillId="58" borderId="60" xfId="0" applyFont="1" applyFill="1" applyBorder="1" applyAlignment="1">
      <alignment horizontal="center" vertical="center" wrapText="1"/>
    </xf>
    <xf numFmtId="0" fontId="65" fillId="58" borderId="67" xfId="0" applyFont="1" applyFill="1" applyBorder="1" applyAlignment="1">
      <alignment vertical="center" wrapText="1"/>
    </xf>
    <xf numFmtId="1" fontId="65" fillId="58" borderId="67" xfId="0" applyNumberFormat="1" applyFont="1" applyFill="1" applyBorder="1" applyAlignment="1">
      <alignment horizontal="center" vertical="center" wrapText="1"/>
    </xf>
    <xf numFmtId="0" fontId="65" fillId="58" borderId="67" xfId="0" applyFont="1" applyFill="1" applyBorder="1" applyAlignment="1">
      <alignment horizontal="center" vertical="center" wrapText="1"/>
    </xf>
    <xf numFmtId="0" fontId="69" fillId="58" borderId="67" xfId="0" applyFont="1" applyFill="1" applyBorder="1" applyAlignment="1">
      <alignment vertical="center" wrapText="1"/>
    </xf>
    <xf numFmtId="0" fontId="65" fillId="58" borderId="68" xfId="0" applyFont="1" applyFill="1" applyBorder="1" applyAlignment="1">
      <alignment vertical="center" wrapText="1"/>
    </xf>
    <xf numFmtId="3" fontId="67" fillId="58" borderId="87" xfId="0" applyNumberFormat="1" applyFont="1" applyFill="1" applyBorder="1" applyAlignment="1">
      <alignment horizontal="center" vertical="center" wrapText="1"/>
    </xf>
    <xf numFmtId="3" fontId="67" fillId="58" borderId="67" xfId="0" applyNumberFormat="1" applyFont="1" applyFill="1" applyBorder="1" applyAlignment="1">
      <alignment horizontal="center" vertical="center" wrapText="1"/>
    </xf>
    <xf numFmtId="3" fontId="67" fillId="58" borderId="68" xfId="0" applyNumberFormat="1" applyFont="1" applyFill="1" applyBorder="1" applyAlignment="1">
      <alignment horizontal="center" vertical="center"/>
    </xf>
    <xf numFmtId="3" fontId="67" fillId="74" borderId="68" xfId="0" applyNumberFormat="1" applyFont="1" applyFill="1" applyBorder="1" applyAlignment="1">
      <alignment horizontal="center" vertical="center"/>
    </xf>
    <xf numFmtId="3" fontId="68" fillId="72" borderId="88" xfId="0" applyNumberFormat="1" applyFont="1" applyFill="1" applyBorder="1" applyAlignment="1">
      <alignment horizontal="center" vertical="center" wrapText="1"/>
    </xf>
    <xf numFmtId="3" fontId="67" fillId="58" borderId="68" xfId="0" applyNumberFormat="1" applyFont="1" applyFill="1" applyBorder="1" applyAlignment="1">
      <alignment horizontal="center" vertical="center" wrapText="1"/>
    </xf>
    <xf numFmtId="3" fontId="68" fillId="75" borderId="60" xfId="0" applyNumberFormat="1" applyFont="1" applyFill="1" applyBorder="1" applyAlignment="1">
      <alignment horizontal="center" vertical="center" wrapText="1"/>
    </xf>
    <xf numFmtId="0" fontId="69" fillId="76" borderId="67" xfId="0" applyFont="1" applyFill="1" applyBorder="1" applyAlignment="1">
      <alignment vertical="center" wrapText="1"/>
    </xf>
    <xf numFmtId="0" fontId="0" fillId="74" borderId="43" xfId="0" applyFill="1" applyBorder="1" applyAlignment="1">
      <alignment horizontal="center" vertical="center"/>
    </xf>
    <xf numFmtId="0" fontId="52" fillId="77" borderId="43" xfId="0" applyFont="1" applyFill="1" applyBorder="1" applyAlignment="1">
      <alignment horizontal="center" vertical="center" wrapText="1"/>
    </xf>
    <xf numFmtId="0" fontId="0" fillId="58" borderId="43" xfId="0" applyFill="1" applyBorder="1" applyAlignment="1">
      <alignment horizontal="center" vertical="center" wrapText="1"/>
    </xf>
    <xf numFmtId="0" fontId="0" fillId="58" borderId="43" xfId="0" applyFill="1" applyBorder="1" applyAlignment="1">
      <alignment horizontal="center" vertical="center"/>
    </xf>
    <xf numFmtId="1" fontId="67" fillId="77" borderId="34" xfId="0" applyNumberFormat="1" applyFont="1" applyFill="1" applyBorder="1" applyAlignment="1">
      <alignment horizontal="center" vertical="center" wrapText="1"/>
    </xf>
    <xf numFmtId="0" fontId="0" fillId="58" borderId="0" xfId="0" applyFill="1" applyBorder="1"/>
    <xf numFmtId="0" fontId="1" fillId="58" borderId="43" xfId="0" applyFont="1" applyFill="1" applyBorder="1" applyAlignment="1" applyProtection="1">
      <alignment horizontal="center" vertical="center"/>
      <protection hidden="1"/>
    </xf>
    <xf numFmtId="0" fontId="65" fillId="58" borderId="65" xfId="0" applyFont="1" applyFill="1" applyBorder="1" applyAlignment="1" applyProtection="1">
      <alignment horizontal="center" vertical="center" wrapText="1"/>
      <protection hidden="1"/>
    </xf>
    <xf numFmtId="0" fontId="65" fillId="58" borderId="43" xfId="0" applyFont="1" applyFill="1" applyBorder="1" applyAlignment="1" applyProtection="1">
      <alignment vertical="center" wrapText="1"/>
      <protection hidden="1"/>
    </xf>
    <xf numFmtId="1" fontId="65" fillId="58" borderId="43" xfId="0" applyNumberFormat="1" applyFont="1" applyFill="1" applyBorder="1" applyAlignment="1" applyProtection="1">
      <alignment horizontal="center" vertical="center" wrapText="1"/>
      <protection hidden="1"/>
    </xf>
    <xf numFmtId="0" fontId="65" fillId="58" borderId="43" xfId="0" applyFont="1" applyFill="1" applyBorder="1" applyAlignment="1" applyProtection="1">
      <alignment horizontal="center" vertical="center" wrapText="1"/>
      <protection hidden="1"/>
    </xf>
    <xf numFmtId="0" fontId="65" fillId="58" borderId="43" xfId="0" applyFont="1" applyFill="1" applyBorder="1" applyAlignment="1" applyProtection="1">
      <alignment horizontal="left" vertical="center" wrapText="1"/>
      <protection hidden="1"/>
    </xf>
    <xf numFmtId="0" fontId="65" fillId="58" borderId="34" xfId="0" applyFont="1" applyFill="1" applyBorder="1" applyAlignment="1" applyProtection="1">
      <alignment vertical="center" wrapText="1"/>
      <protection hidden="1"/>
    </xf>
    <xf numFmtId="3" fontId="66" fillId="58" borderId="84" xfId="0" applyNumberFormat="1" applyFont="1" applyFill="1" applyBorder="1" applyAlignment="1" applyProtection="1">
      <alignment horizontal="center" vertical="center" wrapText="1"/>
      <protection hidden="1"/>
    </xf>
    <xf numFmtId="3" fontId="66" fillId="58" borderId="43" xfId="0" applyNumberFormat="1" applyFont="1" applyFill="1" applyBorder="1" applyAlignment="1" applyProtection="1">
      <alignment horizontal="center" vertical="center" wrapText="1"/>
      <protection hidden="1"/>
    </xf>
    <xf numFmtId="3" fontId="64" fillId="58" borderId="85" xfId="0" applyNumberFormat="1" applyFont="1" applyFill="1" applyBorder="1" applyAlignment="1" applyProtection="1">
      <alignment horizontal="center" vertical="center" wrapText="1"/>
      <protection hidden="1"/>
    </xf>
    <xf numFmtId="3" fontId="66" fillId="58" borderId="34" xfId="0" applyNumberFormat="1" applyFont="1" applyFill="1" applyBorder="1" applyAlignment="1" applyProtection="1">
      <alignment horizontal="center" vertical="center" wrapText="1"/>
      <protection hidden="1"/>
    </xf>
    <xf numFmtId="3" fontId="64" fillId="58" borderId="65" xfId="0" applyNumberFormat="1" applyFont="1" applyFill="1" applyBorder="1" applyAlignment="1" applyProtection="1">
      <alignment horizontal="center" vertical="center" wrapText="1"/>
      <protection hidden="1"/>
    </xf>
    <xf numFmtId="0" fontId="49" fillId="58" borderId="43" xfId="0" applyFont="1" applyFill="1" applyBorder="1" applyAlignment="1" applyProtection="1">
      <alignment horizontal="center" vertical="center" wrapText="1"/>
      <protection hidden="1"/>
    </xf>
    <xf numFmtId="0" fontId="49" fillId="58" borderId="0" xfId="0" applyFont="1" applyFill="1" applyBorder="1" applyAlignment="1" applyProtection="1">
      <alignment horizontal="center" vertical="center" wrapText="1"/>
      <protection hidden="1"/>
    </xf>
    <xf numFmtId="3" fontId="67" fillId="0" borderId="34" xfId="0" applyNumberFormat="1" applyFont="1" applyBorder="1" applyAlignment="1">
      <alignment horizontal="center" vertical="center"/>
    </xf>
    <xf numFmtId="0" fontId="0" fillId="0" borderId="0" xfId="0" applyFont="1"/>
    <xf numFmtId="0" fontId="65" fillId="0" borderId="65" xfId="0" applyFont="1" applyBorder="1" applyAlignment="1">
      <alignment horizontal="center" vertical="center" wrapText="1"/>
    </xf>
    <xf numFmtId="0" fontId="65" fillId="73" borderId="65" xfId="0" applyFont="1" applyFill="1" applyBorder="1" applyAlignment="1">
      <alignment horizontal="center" vertical="center" wrapText="1"/>
    </xf>
    <xf numFmtId="3" fontId="67" fillId="73" borderId="84" xfId="0" applyNumberFormat="1" applyFont="1" applyFill="1" applyBorder="1" applyAlignment="1">
      <alignment horizontal="center" vertical="center" wrapText="1"/>
    </xf>
    <xf numFmtId="3" fontId="67" fillId="73" borderId="43" xfId="0" applyNumberFormat="1" applyFont="1" applyFill="1" applyBorder="1" applyAlignment="1">
      <alignment horizontal="center" vertical="center" wrapText="1"/>
    </xf>
    <xf numFmtId="0" fontId="71" fillId="70" borderId="43" xfId="0" applyFont="1" applyFill="1" applyBorder="1" applyAlignment="1">
      <alignment wrapText="1"/>
    </xf>
    <xf numFmtId="3" fontId="67" fillId="0" borderId="65" xfId="0" applyNumberFormat="1" applyFont="1" applyBorder="1" applyAlignment="1">
      <alignment horizontal="center" vertical="center" wrapText="1"/>
    </xf>
    <xf numFmtId="3" fontId="68" fillId="68" borderId="77" xfId="0" applyNumberFormat="1" applyFont="1" applyFill="1" applyBorder="1" applyAlignment="1">
      <alignment horizontal="center" vertical="center" wrapText="1"/>
    </xf>
    <xf numFmtId="0" fontId="65" fillId="0" borderId="72" xfId="0" applyFont="1" applyBorder="1" applyAlignment="1">
      <alignment horizontal="center" vertical="center" wrapText="1"/>
    </xf>
    <xf numFmtId="0" fontId="65" fillId="0" borderId="73" xfId="0" applyFont="1" applyBorder="1" applyAlignment="1">
      <alignment vertical="center" wrapText="1"/>
    </xf>
    <xf numFmtId="1" fontId="65" fillId="0" borderId="73" xfId="0" applyNumberFormat="1" applyFont="1" applyBorder="1" applyAlignment="1">
      <alignment horizontal="center" vertical="center" wrapText="1"/>
    </xf>
    <xf numFmtId="0" fontId="65" fillId="0" borderId="73" xfId="0" applyFont="1" applyBorder="1" applyAlignment="1">
      <alignment horizontal="center" vertical="center" wrapText="1"/>
    </xf>
    <xf numFmtId="0" fontId="65" fillId="0" borderId="73" xfId="0" applyFont="1" applyBorder="1" applyAlignment="1">
      <alignment horizontal="left" vertical="center" wrapText="1"/>
    </xf>
    <xf numFmtId="0" fontId="65" fillId="0" borderId="74" xfId="0" applyFont="1" applyBorder="1" applyAlignment="1">
      <alignment vertical="center" wrapText="1"/>
    </xf>
    <xf numFmtId="3" fontId="67" fillId="0" borderId="91" xfId="0" applyNumberFormat="1" applyFont="1" applyBorder="1" applyAlignment="1">
      <alignment horizontal="center" vertical="center" wrapText="1"/>
    </xf>
    <xf numFmtId="3" fontId="67" fillId="0" borderId="73" xfId="0" applyNumberFormat="1" applyFont="1" applyBorder="1" applyAlignment="1">
      <alignment horizontal="center" vertical="center" wrapText="1"/>
    </xf>
    <xf numFmtId="3" fontId="68" fillId="67" borderId="88" xfId="0" applyNumberFormat="1" applyFont="1" applyFill="1" applyBorder="1" applyAlignment="1">
      <alignment horizontal="center" vertical="center" wrapText="1"/>
    </xf>
    <xf numFmtId="3" fontId="68" fillId="67" borderId="92" xfId="0" applyNumberFormat="1" applyFont="1" applyFill="1" applyBorder="1" applyAlignment="1">
      <alignment horizontal="center" vertical="center" wrapText="1"/>
    </xf>
    <xf numFmtId="3" fontId="68" fillId="68" borderId="94" xfId="0" applyNumberFormat="1" applyFont="1" applyFill="1" applyBorder="1" applyAlignment="1">
      <alignment horizontal="center" vertical="center" wrapText="1"/>
    </xf>
    <xf numFmtId="0" fontId="65" fillId="0" borderId="0" xfId="0" applyFont="1" applyBorder="1" applyAlignment="1">
      <alignment horizontal="center" vertical="center" wrapText="1"/>
    </xf>
    <xf numFmtId="0" fontId="65" fillId="70" borderId="43" xfId="0" applyFont="1" applyFill="1" applyBorder="1" applyAlignment="1">
      <alignment vertical="center" wrapText="1"/>
    </xf>
    <xf numFmtId="1" fontId="68" fillId="70" borderId="84" xfId="0" applyNumberFormat="1" applyFont="1" applyFill="1" applyBorder="1" applyAlignment="1">
      <alignment horizontal="center" vertical="center" wrapText="1"/>
    </xf>
    <xf numFmtId="0" fontId="69" fillId="0" borderId="65" xfId="0" applyFont="1" applyBorder="1" applyAlignment="1">
      <alignment horizontal="center" vertical="center"/>
    </xf>
    <xf numFmtId="3" fontId="68" fillId="68" borderId="77" xfId="0" applyNumberFormat="1" applyFont="1" applyFill="1" applyBorder="1" applyAlignment="1">
      <alignment horizontal="center" vertical="center"/>
    </xf>
    <xf numFmtId="0" fontId="65" fillId="0" borderId="65" xfId="0" applyFont="1" applyBorder="1" applyAlignment="1">
      <alignment horizontal="center" vertical="center"/>
    </xf>
    <xf numFmtId="0" fontId="69" fillId="0" borderId="66" xfId="0" applyFont="1" applyBorder="1"/>
    <xf numFmtId="3" fontId="67" fillId="0" borderId="68" xfId="0" applyNumberFormat="1" applyFont="1" applyBorder="1" applyAlignment="1">
      <alignment horizontal="center" vertical="center" wrapText="1"/>
    </xf>
    <xf numFmtId="3" fontId="67" fillId="0" borderId="68" xfId="0" applyNumberFormat="1" applyFont="1" applyBorder="1" applyAlignment="1">
      <alignment horizontal="center" vertical="center"/>
    </xf>
    <xf numFmtId="3" fontId="68" fillId="0" borderId="85" xfId="0" applyNumberFormat="1" applyFont="1" applyBorder="1" applyAlignment="1">
      <alignment horizontal="center" vertical="center" wrapText="1"/>
    </xf>
    <xf numFmtId="3" fontId="68" fillId="68" borderId="60" xfId="0" applyNumberFormat="1" applyFont="1" applyFill="1" applyBorder="1" applyAlignment="1">
      <alignment horizontal="center" vertical="center" wrapText="1"/>
    </xf>
    <xf numFmtId="0" fontId="0" fillId="0" borderId="66" xfId="0" applyFont="1" applyBorder="1"/>
    <xf numFmtId="0" fontId="0" fillId="0" borderId="67" xfId="0" applyFont="1" applyBorder="1" applyAlignment="1">
      <alignment horizontal="center" vertical="center"/>
    </xf>
    <xf numFmtId="0" fontId="0" fillId="0" borderId="67" xfId="0" applyFont="1" applyBorder="1" applyAlignment="1">
      <alignment horizontal="center" vertical="center" wrapText="1"/>
    </xf>
    <xf numFmtId="0" fontId="65" fillId="0" borderId="60" xfId="0" applyFont="1" applyBorder="1" applyAlignment="1">
      <alignment horizontal="center" vertical="center" wrapText="1"/>
    </xf>
    <xf numFmtId="0" fontId="65" fillId="0" borderId="67" xfId="0" applyFont="1" applyBorder="1" applyAlignment="1">
      <alignment vertical="center" wrapText="1"/>
    </xf>
    <xf numFmtId="1" fontId="65" fillId="0" borderId="67" xfId="0" applyNumberFormat="1" applyFont="1" applyBorder="1" applyAlignment="1">
      <alignment horizontal="center" vertical="center" wrapText="1"/>
    </xf>
    <xf numFmtId="0" fontId="65" fillId="0" borderId="67" xfId="0" applyFont="1" applyBorder="1" applyAlignment="1">
      <alignment horizontal="center" vertical="center" wrapText="1"/>
    </xf>
    <xf numFmtId="0" fontId="69" fillId="0" borderId="67" xfId="0" applyFont="1" applyBorder="1" applyAlignment="1">
      <alignment vertical="center" wrapText="1"/>
    </xf>
    <xf numFmtId="0" fontId="65" fillId="0" borderId="68" xfId="0" applyFont="1" applyBorder="1" applyAlignment="1">
      <alignment vertical="center" wrapText="1"/>
    </xf>
    <xf numFmtId="3" fontId="67" fillId="0" borderId="87" xfId="0" applyNumberFormat="1" applyFont="1" applyBorder="1" applyAlignment="1">
      <alignment horizontal="center" vertical="center" wrapText="1"/>
    </xf>
    <xf numFmtId="3" fontId="67" fillId="0" borderId="67" xfId="0" applyNumberFormat="1" applyFont="1" applyBorder="1" applyAlignment="1">
      <alignment horizontal="center" vertical="center" wrapText="1"/>
    </xf>
    <xf numFmtId="0" fontId="0" fillId="0" borderId="0" xfId="0" applyFont="1" applyBorder="1"/>
    <xf numFmtId="0" fontId="69" fillId="70" borderId="67" xfId="0" applyFont="1" applyFill="1" applyBorder="1" applyAlignment="1">
      <alignment vertical="center" wrapText="1"/>
    </xf>
    <xf numFmtId="0" fontId="0" fillId="0" borderId="67" xfId="0" applyFont="1" applyBorder="1"/>
    <xf numFmtId="0" fontId="0" fillId="0" borderId="43" xfId="0" applyFont="1" applyBorder="1"/>
    <xf numFmtId="0" fontId="69" fillId="0" borderId="78" xfId="0" applyFont="1" applyBorder="1" applyAlignment="1">
      <alignment vertical="center" wrapText="1"/>
    </xf>
    <xf numFmtId="3" fontId="67" fillId="0" borderId="78" xfId="0" applyNumberFormat="1" applyFont="1" applyBorder="1" applyAlignment="1">
      <alignment horizontal="center" vertical="center" wrapText="1"/>
    </xf>
    <xf numFmtId="3" fontId="67" fillId="0" borderId="78" xfId="0" applyNumberFormat="1" applyFont="1" applyBorder="1" applyAlignment="1">
      <alignment horizontal="center" vertical="center"/>
    </xf>
    <xf numFmtId="3" fontId="68" fillId="67" borderId="78" xfId="0" applyNumberFormat="1" applyFont="1" applyFill="1" applyBorder="1" applyAlignment="1">
      <alignment horizontal="center" vertical="center" wrapText="1"/>
    </xf>
    <xf numFmtId="3" fontId="68" fillId="68" borderId="78" xfId="0" applyNumberFormat="1" applyFont="1" applyFill="1" applyBorder="1" applyAlignment="1">
      <alignment horizontal="center" vertical="center" wrapText="1"/>
    </xf>
    <xf numFmtId="0" fontId="0" fillId="0" borderId="81" xfId="0" applyFont="1" applyBorder="1" applyAlignment="1">
      <alignment horizontal="center" vertical="center"/>
    </xf>
    <xf numFmtId="0" fontId="0" fillId="0" borderId="81" xfId="0" applyFont="1" applyBorder="1" applyAlignment="1">
      <alignment horizontal="center" vertical="center" wrapText="1"/>
    </xf>
    <xf numFmtId="0" fontId="65" fillId="0" borderId="81" xfId="0" applyFont="1" applyBorder="1" applyAlignment="1">
      <alignment horizontal="center" vertical="center" wrapText="1"/>
    </xf>
    <xf numFmtId="0" fontId="65" fillId="0" borderId="81" xfId="0" applyFont="1" applyBorder="1" applyAlignment="1">
      <alignment vertical="center" wrapText="1"/>
    </xf>
    <xf numFmtId="1" fontId="65" fillId="0" borderId="81" xfId="0" applyNumberFormat="1" applyFont="1" applyBorder="1" applyAlignment="1">
      <alignment horizontal="center" vertical="center" wrapText="1"/>
    </xf>
    <xf numFmtId="0" fontId="69" fillId="0" borderId="81" xfId="0" applyFont="1" applyBorder="1" applyAlignment="1">
      <alignment vertical="center" wrapText="1"/>
    </xf>
    <xf numFmtId="3" fontId="67" fillId="0" borderId="81" xfId="0" applyNumberFormat="1" applyFont="1" applyBorder="1" applyAlignment="1">
      <alignment horizontal="center" vertical="center" wrapText="1"/>
    </xf>
    <xf numFmtId="3" fontId="67" fillId="0" borderId="81" xfId="0" applyNumberFormat="1" applyFont="1" applyBorder="1" applyAlignment="1">
      <alignment horizontal="center" vertical="center"/>
    </xf>
    <xf numFmtId="3" fontId="68" fillId="67" borderId="81" xfId="0" applyNumberFormat="1" applyFont="1" applyFill="1" applyBorder="1" applyAlignment="1">
      <alignment horizontal="center" vertical="center" wrapText="1"/>
    </xf>
    <xf numFmtId="3" fontId="68" fillId="68" borderId="81" xfId="0" applyNumberFormat="1" applyFont="1" applyFill="1" applyBorder="1" applyAlignment="1">
      <alignment horizontal="center" vertical="center" wrapText="1"/>
    </xf>
    <xf numFmtId="0" fontId="0" fillId="0" borderId="81" xfId="0" applyFont="1" applyBorder="1"/>
    <xf numFmtId="0" fontId="65" fillId="0" borderId="83" xfId="0" applyFont="1" applyBorder="1" applyAlignment="1">
      <alignment horizontal="center" vertical="center" wrapText="1"/>
    </xf>
    <xf numFmtId="0" fontId="65" fillId="0" borderId="82" xfId="0" applyFont="1" applyBorder="1" applyAlignment="1">
      <alignment vertical="center" wrapText="1"/>
    </xf>
    <xf numFmtId="3" fontId="67" fillId="0" borderId="95" xfId="0" applyNumberFormat="1" applyFont="1" applyBorder="1" applyAlignment="1">
      <alignment horizontal="center" vertical="center" wrapText="1"/>
    </xf>
    <xf numFmtId="3" fontId="68" fillId="67" borderId="76" xfId="0" applyNumberFormat="1" applyFont="1" applyFill="1" applyBorder="1" applyAlignment="1">
      <alignment horizontal="center" vertical="center" wrapText="1"/>
    </xf>
    <xf numFmtId="3" fontId="67" fillId="0" borderId="82" xfId="0" applyNumberFormat="1" applyFont="1" applyBorder="1" applyAlignment="1">
      <alignment horizontal="center" vertical="center" wrapText="1"/>
    </xf>
    <xf numFmtId="3" fontId="67" fillId="0" borderId="82" xfId="0" applyNumberFormat="1" applyFont="1" applyBorder="1" applyAlignment="1">
      <alignment horizontal="center" vertical="center"/>
    </xf>
    <xf numFmtId="3" fontId="68" fillId="68" borderId="83" xfId="0" applyNumberFormat="1" applyFont="1" applyFill="1" applyBorder="1" applyAlignment="1">
      <alignment horizontal="center" vertical="center" wrapText="1"/>
    </xf>
    <xf numFmtId="0" fontId="52" fillId="74" borderId="67" xfId="0" applyFont="1" applyFill="1" applyBorder="1" applyAlignment="1">
      <alignment horizontal="center" vertical="center" wrapText="1"/>
    </xf>
    <xf numFmtId="0" fontId="65" fillId="76" borderId="60" xfId="0" applyFont="1" applyFill="1" applyBorder="1" applyAlignment="1">
      <alignment horizontal="center" vertical="center"/>
    </xf>
    <xf numFmtId="0" fontId="65" fillId="58" borderId="67" xfId="0" applyFont="1" applyFill="1" applyBorder="1" applyAlignment="1">
      <alignment vertical="center"/>
    </xf>
    <xf numFmtId="1" fontId="65" fillId="58" borderId="67" xfId="0" applyNumberFormat="1" applyFont="1" applyFill="1" applyBorder="1" applyAlignment="1">
      <alignment vertical="center"/>
    </xf>
    <xf numFmtId="1" fontId="65" fillId="58" borderId="67" xfId="0" applyNumberFormat="1" applyFont="1" applyFill="1" applyBorder="1" applyAlignment="1">
      <alignment horizontal="center" vertical="center"/>
    </xf>
    <xf numFmtId="0" fontId="65" fillId="58" borderId="67" xfId="0" applyFont="1" applyFill="1" applyBorder="1" applyAlignment="1">
      <alignment horizontal="center" vertical="center"/>
    </xf>
    <xf numFmtId="0" fontId="65" fillId="58" borderId="67" xfId="0" applyFont="1" applyFill="1" applyBorder="1" applyAlignment="1">
      <alignment horizontal="left" vertical="center"/>
    </xf>
    <xf numFmtId="0" fontId="65" fillId="58" borderId="68" xfId="0" applyFont="1" applyFill="1" applyBorder="1" applyAlignment="1">
      <alignment vertical="center"/>
    </xf>
    <xf numFmtId="3" fontId="67" fillId="76" borderId="87" xfId="0" applyNumberFormat="1" applyFont="1" applyFill="1" applyBorder="1" applyAlignment="1">
      <alignment horizontal="center" vertical="center"/>
    </xf>
    <xf numFmtId="3" fontId="67" fillId="76" borderId="67" xfId="0" applyNumberFormat="1" applyFont="1" applyFill="1" applyBorder="1" applyAlignment="1">
      <alignment horizontal="center" vertical="center"/>
    </xf>
    <xf numFmtId="3" fontId="68" fillId="72" borderId="88" xfId="0" applyNumberFormat="1" applyFont="1" applyFill="1" applyBorder="1" applyAlignment="1">
      <alignment horizontal="center" vertical="center"/>
    </xf>
    <xf numFmtId="3" fontId="67" fillId="58" borderId="67" xfId="0" applyNumberFormat="1" applyFont="1" applyFill="1" applyBorder="1" applyAlignment="1">
      <alignment horizontal="center" vertical="center"/>
    </xf>
    <xf numFmtId="3" fontId="68" fillId="75" borderId="60" xfId="0" applyNumberFormat="1" applyFont="1" applyFill="1" applyBorder="1" applyAlignment="1">
      <alignment horizontal="center" vertical="center"/>
    </xf>
    <xf numFmtId="0" fontId="69" fillId="58" borderId="0" xfId="0" applyFont="1" applyFill="1" applyBorder="1"/>
    <xf numFmtId="1" fontId="65" fillId="58" borderId="43" xfId="0" applyNumberFormat="1" applyFont="1" applyFill="1" applyBorder="1" applyAlignment="1">
      <alignment vertical="center"/>
    </xf>
    <xf numFmtId="0" fontId="69" fillId="58" borderId="43" xfId="0" applyFont="1" applyFill="1" applyBorder="1" applyAlignment="1">
      <alignment vertical="center"/>
    </xf>
    <xf numFmtId="0" fontId="0" fillId="58" borderId="0" xfId="0" applyFont="1" applyFill="1"/>
    <xf numFmtId="0" fontId="18" fillId="56" borderId="36" xfId="0" applyFont="1" applyFill="1" applyBorder="1" applyAlignment="1" applyProtection="1">
      <alignment horizontal="center" vertical="center"/>
      <protection hidden="1"/>
    </xf>
    <xf numFmtId="0" fontId="76" fillId="78" borderId="96" xfId="0" applyFont="1" applyFill="1" applyBorder="1" applyAlignment="1">
      <alignment horizontal="justify" vertical="center" wrapText="1"/>
    </xf>
    <xf numFmtId="0" fontId="76" fillId="78" borderId="97" xfId="0" applyFont="1" applyFill="1" applyBorder="1" applyAlignment="1">
      <alignment horizontal="center" vertical="center" wrapText="1"/>
    </xf>
    <xf numFmtId="0" fontId="76" fillId="78" borderId="97" xfId="0" applyFont="1" applyFill="1" applyBorder="1" applyAlignment="1">
      <alignment horizontal="center" vertical="center" textRotation="90" wrapText="1"/>
    </xf>
    <xf numFmtId="0" fontId="76" fillId="78" borderId="97" xfId="0" applyFont="1" applyFill="1" applyBorder="1" applyAlignment="1">
      <alignment horizontal="justify" vertical="center" textRotation="90" wrapText="1"/>
    </xf>
    <xf numFmtId="0" fontId="0" fillId="0" borderId="0" xfId="0" applyAlignment="1">
      <alignment vertical="top"/>
    </xf>
    <xf numFmtId="0" fontId="76" fillId="79" borderId="100" xfId="0" applyFont="1" applyFill="1" applyBorder="1" applyAlignment="1">
      <alignment horizontal="center" vertical="center" wrapText="1"/>
    </xf>
    <xf numFmtId="0" fontId="77" fillId="79" borderId="100" xfId="0" applyFont="1" applyFill="1" applyBorder="1" applyAlignment="1">
      <alignment horizontal="justify" vertical="center" wrapText="1"/>
    </xf>
    <xf numFmtId="0" fontId="76" fillId="0" borderId="98" xfId="0" applyFont="1" applyBorder="1" applyAlignment="1">
      <alignment horizontal="justify" vertical="center"/>
    </xf>
    <xf numFmtId="0" fontId="78" fillId="0" borderId="100" xfId="0" applyFont="1" applyBorder="1" applyAlignment="1">
      <alignment horizontal="justify" vertical="center" wrapText="1"/>
    </xf>
    <xf numFmtId="0" fontId="77" fillId="0" borderId="100" xfId="0" applyFont="1" applyBorder="1" applyAlignment="1">
      <alignment horizontal="justify" vertical="center" wrapText="1"/>
    </xf>
    <xf numFmtId="0" fontId="76" fillId="79" borderId="100" xfId="0" applyFont="1" applyFill="1" applyBorder="1" applyAlignment="1">
      <alignment horizontal="justify" vertical="center" wrapText="1"/>
    </xf>
    <xf numFmtId="0" fontId="76" fillId="0" borderId="98" xfId="0" applyFont="1" applyBorder="1" applyAlignment="1">
      <alignment horizontal="center" vertical="center"/>
    </xf>
    <xf numFmtId="0" fontId="77" fillId="0" borderId="101" xfId="0" applyFont="1" applyBorder="1" applyAlignment="1">
      <alignment horizontal="justify" vertical="center" wrapText="1"/>
    </xf>
    <xf numFmtId="0" fontId="76" fillId="0" borderId="99" xfId="0" applyFont="1" applyBorder="1" applyAlignment="1">
      <alignment horizontal="center" vertical="center"/>
    </xf>
    <xf numFmtId="0" fontId="77" fillId="0" borderId="102" xfId="0" applyFont="1" applyBorder="1" applyAlignment="1">
      <alignment horizontal="justify" vertical="center" wrapText="1"/>
    </xf>
    <xf numFmtId="0" fontId="78" fillId="0" borderId="101" xfId="0" applyFont="1" applyBorder="1" applyAlignment="1">
      <alignment horizontal="justify" vertical="center" wrapText="1"/>
    </xf>
    <xf numFmtId="0" fontId="79" fillId="0" borderId="101" xfId="0" applyFont="1" applyBorder="1" applyAlignment="1">
      <alignment horizontal="justify" vertical="center" wrapText="1"/>
    </xf>
    <xf numFmtId="0" fontId="46" fillId="57" borderId="78" xfId="0" applyFont="1" applyFill="1" applyBorder="1" applyAlignment="1" applyProtection="1">
      <alignment horizontal="center" vertical="center" wrapText="1"/>
      <protection hidden="1"/>
    </xf>
    <xf numFmtId="0" fontId="0" fillId="0" borderId="78" xfId="0" applyBorder="1" applyAlignment="1">
      <alignment horizontal="center" vertical="center"/>
    </xf>
    <xf numFmtId="0" fontId="47" fillId="57" borderId="23" xfId="0" applyFont="1" applyFill="1" applyBorder="1" applyAlignment="1" applyProtection="1">
      <alignment horizontal="center" vertical="center" wrapText="1"/>
      <protection hidden="1"/>
    </xf>
    <xf numFmtId="0" fontId="78" fillId="57" borderId="100" xfId="0" applyFont="1" applyFill="1" applyBorder="1" applyAlignment="1">
      <alignment horizontal="center" vertical="center" wrapText="1"/>
    </xf>
    <xf numFmtId="0" fontId="76" fillId="0" borderId="104" xfId="0" applyFont="1" applyBorder="1" applyAlignment="1">
      <alignment horizontal="center" vertical="center"/>
    </xf>
    <xf numFmtId="0" fontId="77" fillId="0" borderId="104" xfId="0" applyFont="1" applyBorder="1" applyAlignment="1">
      <alignment horizontal="justify" vertical="center" wrapText="1"/>
    </xf>
    <xf numFmtId="0" fontId="0" fillId="0" borderId="105" xfId="0" applyBorder="1" applyAlignment="1">
      <alignment vertical="top"/>
    </xf>
    <xf numFmtId="0" fontId="78" fillId="0" borderId="100" xfId="0" applyFont="1" applyBorder="1" applyAlignment="1">
      <alignment horizontal="center" vertical="center" wrapText="1"/>
    </xf>
    <xf numFmtId="0" fontId="77" fillId="57" borderId="101" xfId="0" applyFont="1" applyFill="1" applyBorder="1" applyAlignment="1">
      <alignment horizontal="center" vertical="center" wrapText="1"/>
    </xf>
    <xf numFmtId="0" fontId="77" fillId="57" borderId="102" xfId="0" applyFont="1" applyFill="1" applyBorder="1" applyAlignment="1">
      <alignment horizontal="center" vertical="center" wrapText="1"/>
    </xf>
    <xf numFmtId="0" fontId="46" fillId="60" borderId="48" xfId="0" applyFont="1" applyFill="1" applyBorder="1" applyAlignment="1" applyProtection="1">
      <alignment horizontal="center" vertical="center" wrapText="1"/>
      <protection hidden="1"/>
    </xf>
    <xf numFmtId="0" fontId="78" fillId="57" borderId="78" xfId="0" applyFont="1" applyFill="1" applyBorder="1" applyAlignment="1">
      <alignment horizontal="center" vertical="center" wrapText="1"/>
    </xf>
    <xf numFmtId="0" fontId="78" fillId="57" borderId="101" xfId="0" applyFont="1" applyFill="1" applyBorder="1" applyAlignment="1">
      <alignment horizontal="center" vertical="center" wrapText="1"/>
    </xf>
    <xf numFmtId="0" fontId="79" fillId="57" borderId="101" xfId="0" applyFont="1" applyFill="1" applyBorder="1" applyAlignment="1">
      <alignment horizontal="center" vertical="center" wrapText="1"/>
    </xf>
    <xf numFmtId="0" fontId="77" fillId="79" borderId="104" xfId="0" applyFont="1" applyFill="1" applyBorder="1" applyAlignment="1">
      <alignment horizontal="justify" vertical="center" wrapText="1"/>
    </xf>
    <xf numFmtId="0" fontId="76" fillId="79" borderId="96" xfId="0" applyFont="1" applyFill="1" applyBorder="1" applyAlignment="1">
      <alignment horizontal="center" vertical="center" wrapText="1"/>
    </xf>
    <xf numFmtId="0" fontId="76" fillId="79" borderId="97" xfId="0" applyFont="1" applyFill="1" applyBorder="1" applyAlignment="1">
      <alignment horizontal="center" vertical="center" wrapText="1"/>
    </xf>
    <xf numFmtId="0" fontId="76" fillId="79" borderId="97" xfId="0" applyFont="1" applyFill="1" applyBorder="1" applyAlignment="1">
      <alignment horizontal="center" vertical="center" textRotation="90" wrapText="1"/>
    </xf>
    <xf numFmtId="0" fontId="62" fillId="0" borderId="98" xfId="0" applyFont="1" applyBorder="1" applyAlignment="1">
      <alignment horizontal="center" vertical="center" wrapText="1"/>
    </xf>
    <xf numFmtId="0" fontId="78" fillId="0" borderId="100" xfId="0" applyFont="1" applyBorder="1" applyAlignment="1">
      <alignment horizontal="left" vertical="center" wrapText="1"/>
    </xf>
    <xf numFmtId="0" fontId="76" fillId="79" borderId="98" xfId="0" applyFont="1" applyFill="1" applyBorder="1" applyAlignment="1">
      <alignment horizontal="center" vertical="center" wrapText="1"/>
    </xf>
    <xf numFmtId="0" fontId="76" fillId="79" borderId="100" xfId="0" applyFont="1" applyFill="1" applyBorder="1" applyAlignment="1">
      <alignment horizontal="center" vertical="center" textRotation="90" wrapText="1"/>
    </xf>
    <xf numFmtId="0" fontId="56" fillId="57" borderId="0" xfId="0" applyFont="1" applyFill="1" applyBorder="1" applyAlignment="1" applyProtection="1">
      <alignment horizontal="center" vertical="center"/>
      <protection hidden="1"/>
    </xf>
    <xf numFmtId="0" fontId="0" fillId="57" borderId="0" xfId="0" applyFill="1" applyBorder="1" applyAlignment="1" applyProtection="1">
      <alignment horizontal="center" vertical="center"/>
      <protection hidden="1"/>
    </xf>
    <xf numFmtId="0" fontId="76" fillId="79" borderId="104" xfId="0" applyFont="1" applyFill="1" applyBorder="1" applyAlignment="1">
      <alignment horizontal="center" vertical="center" wrapText="1"/>
    </xf>
    <xf numFmtId="0" fontId="62" fillId="0" borderId="98" xfId="0" applyFont="1" applyBorder="1" applyAlignment="1">
      <alignment horizontal="left" vertical="center" wrapText="1"/>
    </xf>
    <xf numFmtId="0" fontId="77" fillId="79" borderId="100" xfId="0" applyFont="1" applyFill="1" applyBorder="1" applyAlignment="1">
      <alignment horizontal="left" vertical="center" wrapText="1"/>
    </xf>
    <xf numFmtId="0" fontId="62" fillId="57" borderId="98" xfId="0" applyFont="1" applyFill="1" applyBorder="1" applyAlignment="1">
      <alignment horizontal="center" vertical="center" wrapText="1"/>
    </xf>
    <xf numFmtId="0" fontId="46" fillId="58" borderId="23" xfId="0" applyFont="1" applyFill="1" applyBorder="1" applyAlignment="1" applyProtection="1">
      <alignment horizontal="center" vertical="center" wrapText="1"/>
      <protection hidden="1"/>
    </xf>
    <xf numFmtId="49" fontId="46" fillId="58" borderId="23" xfId="0" applyNumberFormat="1" applyFont="1" applyFill="1" applyBorder="1" applyAlignment="1" applyProtection="1">
      <alignment horizontal="center" vertical="center" wrapText="1"/>
      <protection hidden="1"/>
    </xf>
    <xf numFmtId="0" fontId="19" fillId="57" borderId="35" xfId="0" applyFont="1" applyFill="1" applyBorder="1" applyAlignment="1" applyProtection="1">
      <alignment horizontal="center" vertical="center"/>
      <protection hidden="1"/>
    </xf>
    <xf numFmtId="0" fontId="19" fillId="57" borderId="36" xfId="0" applyFont="1" applyFill="1" applyBorder="1" applyAlignment="1" applyProtection="1">
      <alignment horizontal="center" vertical="center"/>
      <protection hidden="1"/>
    </xf>
    <xf numFmtId="0" fontId="16" fillId="65" borderId="54" xfId="0" applyFont="1" applyFill="1" applyBorder="1" applyAlignment="1" applyProtection="1">
      <alignment horizontal="center" vertical="center" wrapText="1"/>
      <protection hidden="1"/>
    </xf>
    <xf numFmtId="0" fontId="16" fillId="60" borderId="23" xfId="0" applyFont="1" applyFill="1" applyBorder="1" applyAlignment="1" applyProtection="1">
      <alignment horizontal="center" vertical="center" wrapText="1"/>
      <protection hidden="1"/>
    </xf>
    <xf numFmtId="0" fontId="16" fillId="60" borderId="45" xfId="0" applyFont="1" applyFill="1" applyBorder="1" applyAlignment="1" applyProtection="1">
      <alignment horizontal="center" vertical="center" wrapText="1"/>
      <protection hidden="1"/>
    </xf>
    <xf numFmtId="0" fontId="16" fillId="59" borderId="61" xfId="0" applyFont="1" applyFill="1" applyBorder="1" applyAlignment="1" applyProtection="1">
      <alignment horizontal="center" vertical="center" wrapText="1"/>
      <protection hidden="1"/>
    </xf>
    <xf numFmtId="0" fontId="16" fillId="59" borderId="62" xfId="0" applyFont="1" applyFill="1" applyBorder="1" applyAlignment="1" applyProtection="1">
      <alignment horizontal="center" vertical="center" wrapText="1"/>
      <protection hidden="1"/>
    </xf>
    <xf numFmtId="0" fontId="16" fillId="59" borderId="63" xfId="0" applyFont="1" applyFill="1" applyBorder="1" applyAlignment="1" applyProtection="1">
      <alignment horizontal="center" vertical="center" wrapText="1"/>
      <protection hidden="1"/>
    </xf>
    <xf numFmtId="0" fontId="19" fillId="57" borderId="106" xfId="0" applyFont="1" applyFill="1" applyBorder="1" applyAlignment="1" applyProtection="1">
      <alignment horizontal="center" vertical="center"/>
      <protection hidden="1"/>
    </xf>
    <xf numFmtId="0" fontId="16" fillId="59" borderId="54" xfId="0" applyFont="1" applyFill="1" applyBorder="1" applyAlignment="1" applyProtection="1">
      <alignment horizontal="center" vertical="center" wrapText="1"/>
      <protection hidden="1"/>
    </xf>
    <xf numFmtId="0" fontId="55" fillId="0" borderId="78" xfId="0" applyFont="1" applyFill="1" applyBorder="1" applyAlignment="1" applyProtection="1">
      <alignment horizontal="center" vertical="center" wrapText="1"/>
      <protection hidden="1"/>
    </xf>
    <xf numFmtId="0" fontId="19" fillId="56" borderId="35" xfId="0" applyFont="1" applyFill="1" applyBorder="1" applyAlignment="1" applyProtection="1">
      <alignment horizontal="center" vertical="center"/>
      <protection hidden="1"/>
    </xf>
    <xf numFmtId="0" fontId="19" fillId="56" borderId="36" xfId="0" applyFont="1" applyFill="1" applyBorder="1" applyAlignment="1" applyProtection="1">
      <alignment horizontal="center" vertical="center"/>
      <protection hidden="1"/>
    </xf>
    <xf numFmtId="0" fontId="16" fillId="65" borderId="23" xfId="0" applyFont="1" applyFill="1" applyBorder="1" applyAlignment="1" applyProtection="1">
      <alignment horizontal="center" vertical="center" wrapText="1"/>
      <protection hidden="1"/>
    </xf>
    <xf numFmtId="14" fontId="16" fillId="60" borderId="23" xfId="0" applyNumberFormat="1" applyFont="1" applyFill="1" applyBorder="1" applyAlignment="1" applyProtection="1">
      <alignment horizontal="center" vertical="center" wrapText="1"/>
      <protection hidden="1"/>
    </xf>
    <xf numFmtId="14" fontId="16" fillId="60" borderId="45" xfId="0" applyNumberFormat="1" applyFont="1" applyFill="1" applyBorder="1" applyAlignment="1" applyProtection="1">
      <alignment horizontal="center" vertical="center" wrapText="1"/>
      <protection hidden="1"/>
    </xf>
    <xf numFmtId="0" fontId="19" fillId="60" borderId="35" xfId="0" applyFont="1" applyFill="1" applyBorder="1" applyAlignment="1" applyProtection="1">
      <alignment horizontal="center" vertical="center"/>
      <protection hidden="1"/>
    </xf>
    <xf numFmtId="0" fontId="19" fillId="60" borderId="36" xfId="0" applyFont="1" applyFill="1" applyBorder="1" applyAlignment="1" applyProtection="1">
      <alignment horizontal="center" vertical="center"/>
      <protection hidden="1"/>
    </xf>
    <xf numFmtId="0" fontId="16" fillId="61" borderId="37" xfId="0" applyFont="1" applyFill="1" applyBorder="1" applyAlignment="1" applyProtection="1">
      <alignment horizontal="center" vertical="center" wrapText="1"/>
      <protection hidden="1"/>
    </xf>
    <xf numFmtId="0" fontId="16" fillId="61" borderId="54" xfId="0" applyFont="1" applyFill="1" applyBorder="1" applyAlignment="1" applyProtection="1">
      <alignment horizontal="center" vertical="center" wrapText="1"/>
      <protection hidden="1"/>
    </xf>
    <xf numFmtId="0" fontId="18" fillId="56" borderId="52" xfId="0" applyFont="1" applyFill="1" applyBorder="1" applyAlignment="1" applyProtection="1">
      <alignment horizontal="center" vertical="center"/>
      <protection hidden="1"/>
    </xf>
    <xf numFmtId="0" fontId="18" fillId="56" borderId="36" xfId="0" applyFont="1" applyFill="1" applyBorder="1" applyAlignment="1" applyProtection="1">
      <alignment horizontal="center" vertical="center"/>
      <protection hidden="1"/>
    </xf>
    <xf numFmtId="0" fontId="18" fillId="56" borderId="53" xfId="0" applyFont="1" applyFill="1" applyBorder="1" applyAlignment="1" applyProtection="1">
      <alignment horizontal="center" vertical="center"/>
      <protection hidden="1"/>
    </xf>
    <xf numFmtId="0" fontId="18" fillId="60" borderId="26" xfId="0" applyFont="1" applyFill="1" applyBorder="1" applyAlignment="1" applyProtection="1">
      <alignment horizontal="center" vertical="center"/>
      <protection hidden="1"/>
    </xf>
    <xf numFmtId="0" fontId="18" fillId="60" borderId="52" xfId="0" applyFont="1" applyFill="1" applyBorder="1" applyAlignment="1" applyProtection="1">
      <alignment horizontal="center" vertical="center"/>
      <protection hidden="1"/>
    </xf>
    <xf numFmtId="0" fontId="55" fillId="57" borderId="24" xfId="0" applyFont="1" applyFill="1" applyBorder="1" applyAlignment="1" applyProtection="1">
      <alignment horizontal="center" vertical="center" wrapText="1"/>
      <protection hidden="1"/>
    </xf>
    <xf numFmtId="0" fontId="55" fillId="57" borderId="24" xfId="0" applyFont="1" applyFill="1" applyBorder="1" applyAlignment="1" applyProtection="1">
      <alignment horizontal="center" vertical="center"/>
      <protection hidden="1"/>
    </xf>
    <xf numFmtId="0" fontId="55" fillId="57" borderId="25" xfId="0" applyFont="1" applyFill="1" applyBorder="1" applyAlignment="1" applyProtection="1">
      <alignment horizontal="center" vertical="center"/>
      <protection hidden="1"/>
    </xf>
    <xf numFmtId="0" fontId="55" fillId="0" borderId="49" xfId="0" applyFont="1" applyFill="1" applyBorder="1" applyAlignment="1" applyProtection="1">
      <alignment horizontal="center" vertical="center" wrapText="1"/>
      <protection hidden="1"/>
    </xf>
    <xf numFmtId="0" fontId="55" fillId="0" borderId="32" xfId="0" applyFont="1" applyFill="1" applyBorder="1" applyAlignment="1" applyProtection="1">
      <alignment horizontal="center" vertical="center" wrapText="1"/>
      <protection hidden="1"/>
    </xf>
    <xf numFmtId="0" fontId="55" fillId="0" borderId="50" xfId="0" applyFont="1" applyFill="1" applyBorder="1" applyAlignment="1" applyProtection="1">
      <alignment horizontal="center" vertical="center" wrapText="1"/>
      <protection hidden="1"/>
    </xf>
    <xf numFmtId="0" fontId="55" fillId="0" borderId="48" xfId="0" applyFont="1" applyFill="1" applyBorder="1" applyAlignment="1" applyProtection="1">
      <alignment horizontal="center" vertical="center" wrapText="1"/>
      <protection hidden="1"/>
    </xf>
    <xf numFmtId="0" fontId="55" fillId="71" borderId="20" xfId="0" applyFont="1" applyFill="1" applyBorder="1" applyAlignment="1" applyProtection="1">
      <alignment horizontal="center" vertical="center" wrapText="1"/>
      <protection hidden="1"/>
    </xf>
    <xf numFmtId="0" fontId="55" fillId="71" borderId="32" xfId="0" applyFont="1" applyFill="1" applyBorder="1" applyAlignment="1" applyProtection="1">
      <alignment horizontal="center" vertical="center" wrapText="1"/>
      <protection hidden="1"/>
    </xf>
    <xf numFmtId="0" fontId="55" fillId="71" borderId="21" xfId="0" applyFont="1" applyFill="1" applyBorder="1" applyAlignment="1" applyProtection="1">
      <alignment horizontal="center" vertical="center" wrapText="1"/>
      <protection hidden="1"/>
    </xf>
    <xf numFmtId="0" fontId="16" fillId="0" borderId="22" xfId="0" applyFont="1" applyBorder="1" applyAlignment="1" applyProtection="1">
      <alignment horizontal="center" vertical="center"/>
      <protection hidden="1"/>
    </xf>
    <xf numFmtId="0" fontId="56" fillId="57" borderId="79" xfId="0" applyFont="1" applyFill="1" applyBorder="1" applyAlignment="1" applyProtection="1">
      <alignment horizontal="center" vertical="center"/>
      <protection hidden="1"/>
    </xf>
    <xf numFmtId="0" fontId="56" fillId="57" borderId="47" xfId="0" applyFont="1" applyFill="1" applyBorder="1" applyAlignment="1" applyProtection="1">
      <alignment horizontal="center" vertical="center"/>
      <protection hidden="1"/>
    </xf>
    <xf numFmtId="0" fontId="55" fillId="0" borderId="20" xfId="0" applyFont="1" applyFill="1" applyBorder="1" applyAlignment="1" applyProtection="1">
      <alignment horizontal="center" vertical="center" wrapText="1"/>
      <protection hidden="1"/>
    </xf>
    <xf numFmtId="0" fontId="55" fillId="0" borderId="21" xfId="0" applyFont="1" applyFill="1" applyBorder="1" applyAlignment="1" applyProtection="1">
      <alignment horizontal="center" vertical="center" wrapText="1"/>
      <protection hidden="1"/>
    </xf>
    <xf numFmtId="0" fontId="55" fillId="0" borderId="20" xfId="0" applyFont="1" applyBorder="1" applyAlignment="1" applyProtection="1">
      <alignment horizontal="center" vertical="center" wrapText="1"/>
      <protection hidden="1"/>
    </xf>
    <xf numFmtId="0" fontId="55" fillId="0" borderId="32" xfId="0" applyFont="1" applyBorder="1" applyAlignment="1" applyProtection="1">
      <alignment horizontal="center" vertical="center" wrapText="1"/>
      <protection hidden="1"/>
    </xf>
    <xf numFmtId="0" fontId="55" fillId="0" borderId="21" xfId="0" applyFont="1" applyBorder="1" applyAlignment="1" applyProtection="1">
      <alignment horizontal="center" vertical="center" wrapText="1"/>
      <protection hidden="1"/>
    </xf>
    <xf numFmtId="0" fontId="19" fillId="71" borderId="57" xfId="0" applyFont="1" applyFill="1" applyBorder="1" applyAlignment="1" applyProtection="1">
      <alignment horizontal="center" vertical="center"/>
      <protection hidden="1"/>
    </xf>
    <xf numFmtId="0" fontId="19" fillId="71" borderId="44" xfId="0" applyFont="1" applyFill="1" applyBorder="1" applyAlignment="1" applyProtection="1">
      <alignment horizontal="center" vertical="center"/>
      <protection hidden="1"/>
    </xf>
    <xf numFmtId="0" fontId="19" fillId="71" borderId="23" xfId="0" applyFont="1" applyFill="1" applyBorder="1" applyAlignment="1" applyProtection="1">
      <alignment horizontal="center" vertical="center"/>
      <protection hidden="1"/>
    </xf>
    <xf numFmtId="0" fontId="19" fillId="57" borderId="49" xfId="0" applyFont="1" applyFill="1" applyBorder="1" applyAlignment="1" applyProtection="1">
      <alignment horizontal="center" vertical="center" wrapText="1"/>
      <protection hidden="1"/>
    </xf>
    <xf numFmtId="0" fontId="19" fillId="57" borderId="50" xfId="0" applyFont="1" applyFill="1" applyBorder="1" applyAlignment="1" applyProtection="1">
      <alignment horizontal="center" vertical="center" wrapText="1"/>
      <protection hidden="1"/>
    </xf>
    <xf numFmtId="0" fontId="19" fillId="57" borderId="32" xfId="0" applyFont="1" applyFill="1" applyBorder="1" applyAlignment="1" applyProtection="1">
      <alignment horizontal="center" vertical="center" wrapText="1"/>
      <protection hidden="1"/>
    </xf>
    <xf numFmtId="0" fontId="18" fillId="71" borderId="80" xfId="0" applyFont="1" applyFill="1" applyBorder="1" applyAlignment="1" applyProtection="1">
      <alignment horizontal="center" vertical="center"/>
      <protection hidden="1"/>
    </xf>
    <xf numFmtId="0" fontId="18" fillId="71" borderId="79" xfId="0" applyFont="1" applyFill="1" applyBorder="1" applyAlignment="1" applyProtection="1">
      <alignment horizontal="center" vertical="center"/>
      <protection hidden="1"/>
    </xf>
    <xf numFmtId="0" fontId="18" fillId="71" borderId="58" xfId="0" applyFont="1" applyFill="1" applyBorder="1" applyAlignment="1" applyProtection="1">
      <alignment horizontal="center" vertical="center"/>
      <protection hidden="1"/>
    </xf>
    <xf numFmtId="0" fontId="18" fillId="71" borderId="47" xfId="0" applyFont="1" applyFill="1" applyBorder="1" applyAlignment="1" applyProtection="1">
      <alignment horizontal="center" vertical="center"/>
      <protection hidden="1"/>
    </xf>
    <xf numFmtId="0" fontId="55" fillId="71" borderId="49" xfId="0" applyFont="1" applyFill="1" applyBorder="1" applyAlignment="1" applyProtection="1">
      <alignment horizontal="center" vertical="center" wrapText="1"/>
      <protection hidden="1"/>
    </xf>
    <xf numFmtId="0" fontId="55" fillId="71" borderId="48" xfId="0" applyFont="1" applyFill="1" applyBorder="1" applyAlignment="1" applyProtection="1">
      <alignment horizontal="center" vertical="center" wrapText="1"/>
      <protection hidden="1"/>
    </xf>
    <xf numFmtId="0" fontId="55" fillId="71" borderId="50" xfId="0" applyFont="1" applyFill="1" applyBorder="1" applyAlignment="1" applyProtection="1">
      <alignment horizontal="center" vertical="center" wrapText="1"/>
      <protection hidden="1"/>
    </xf>
    <xf numFmtId="0" fontId="76" fillId="79" borderId="104" xfId="0" applyFont="1" applyFill="1" applyBorder="1" applyAlignment="1">
      <alignment horizontal="center" vertical="center" textRotation="90" wrapText="1"/>
    </xf>
    <xf numFmtId="0" fontId="76" fillId="79" borderId="98" xfId="0" applyFont="1" applyFill="1" applyBorder="1" applyAlignment="1">
      <alignment horizontal="center" vertical="center" textRotation="90" wrapText="1"/>
    </xf>
    <xf numFmtId="0" fontId="76" fillId="79" borderId="103" xfId="0" applyFont="1" applyFill="1" applyBorder="1" applyAlignment="1">
      <alignment horizontal="center" vertical="center" wrapText="1"/>
    </xf>
    <xf numFmtId="0" fontId="76" fillId="79" borderId="97" xfId="0" applyFont="1" applyFill="1" applyBorder="1" applyAlignment="1">
      <alignment horizontal="center" vertical="center" wrapText="1"/>
    </xf>
    <xf numFmtId="0" fontId="76" fillId="79" borderId="104" xfId="0" applyFont="1" applyFill="1" applyBorder="1" applyAlignment="1">
      <alignment horizontal="center" vertical="center" wrapText="1"/>
    </xf>
    <xf numFmtId="0" fontId="76" fillId="79" borderId="98" xfId="0" applyFont="1" applyFill="1" applyBorder="1" applyAlignment="1">
      <alignment horizontal="center" vertical="center" wrapText="1"/>
    </xf>
    <xf numFmtId="0" fontId="76" fillId="79" borderId="99" xfId="0" applyFont="1" applyFill="1" applyBorder="1" applyAlignment="1">
      <alignment horizontal="center" vertical="center" wrapText="1"/>
    </xf>
    <xf numFmtId="0" fontId="76" fillId="79" borderId="100" xfId="0" applyFont="1" applyFill="1" applyBorder="1" applyAlignment="1">
      <alignment horizontal="center" vertical="center" wrapText="1"/>
    </xf>
    <xf numFmtId="0" fontId="75" fillId="0" borderId="0" xfId="0" applyFont="1" applyAlignment="1">
      <alignment horizontal="justify" vertical="center" wrapText="1"/>
    </xf>
  </cellXfs>
  <cellStyles count="406">
    <cellStyle name="20% - Énfasis1 2" xfId="2" xr:uid="{00000000-0005-0000-0000-000000000000}"/>
    <cellStyle name="20% - Énfasis1 3" xfId="3" xr:uid="{00000000-0005-0000-0000-000001000000}"/>
    <cellStyle name="20% - Énfasis2 2" xfId="4" xr:uid="{00000000-0005-0000-0000-000002000000}"/>
    <cellStyle name="20% - Énfasis2 3" xfId="5" xr:uid="{00000000-0005-0000-0000-000003000000}"/>
    <cellStyle name="20% - Énfasis3 2" xfId="6" xr:uid="{00000000-0005-0000-0000-000004000000}"/>
    <cellStyle name="20% - Énfasis3 3" xfId="7" xr:uid="{00000000-0005-0000-0000-000005000000}"/>
    <cellStyle name="20% - Énfasis4 2" xfId="8" xr:uid="{00000000-0005-0000-0000-000006000000}"/>
    <cellStyle name="20% - Énfasis4 3" xfId="9" xr:uid="{00000000-0005-0000-0000-000007000000}"/>
    <cellStyle name="20% - Énfasis5 2" xfId="10" xr:uid="{00000000-0005-0000-0000-000008000000}"/>
    <cellStyle name="20% - Énfasis5 3" xfId="11" xr:uid="{00000000-0005-0000-0000-000009000000}"/>
    <cellStyle name="20% - Énfasis6 2" xfId="12" xr:uid="{00000000-0005-0000-0000-00000A000000}"/>
    <cellStyle name="20% - Énfasis6 3" xfId="13" xr:uid="{00000000-0005-0000-0000-00000B000000}"/>
    <cellStyle name="40% - Énfasis1 2" xfId="14" xr:uid="{00000000-0005-0000-0000-00000C000000}"/>
    <cellStyle name="40% - Énfasis1 3" xfId="15" xr:uid="{00000000-0005-0000-0000-00000D000000}"/>
    <cellStyle name="40% - Énfasis2 2" xfId="16" xr:uid="{00000000-0005-0000-0000-00000E000000}"/>
    <cellStyle name="40% - Énfasis2 3" xfId="17" xr:uid="{00000000-0005-0000-0000-00000F000000}"/>
    <cellStyle name="40% - Énfasis3 2" xfId="18" xr:uid="{00000000-0005-0000-0000-000010000000}"/>
    <cellStyle name="40% - Énfasis3 3" xfId="19" xr:uid="{00000000-0005-0000-0000-000011000000}"/>
    <cellStyle name="40% - Énfasis4 2" xfId="20" xr:uid="{00000000-0005-0000-0000-000012000000}"/>
    <cellStyle name="40% - Énfasis4 3" xfId="21" xr:uid="{00000000-0005-0000-0000-000013000000}"/>
    <cellStyle name="40% - Énfasis5 2" xfId="22" xr:uid="{00000000-0005-0000-0000-000014000000}"/>
    <cellStyle name="40% - Énfasis5 3" xfId="23" xr:uid="{00000000-0005-0000-0000-000015000000}"/>
    <cellStyle name="40% - Énfasis6 2" xfId="24" xr:uid="{00000000-0005-0000-0000-000016000000}"/>
    <cellStyle name="40% - Énfasis6 3" xfId="25" xr:uid="{00000000-0005-0000-0000-000017000000}"/>
    <cellStyle name="60% - Énfasis1 2" xfId="26" xr:uid="{00000000-0005-0000-0000-000018000000}"/>
    <cellStyle name="60% - Énfasis1 3" xfId="27" xr:uid="{00000000-0005-0000-0000-000019000000}"/>
    <cellStyle name="60% - Énfasis2 2" xfId="28" xr:uid="{00000000-0005-0000-0000-00001A000000}"/>
    <cellStyle name="60% - Énfasis2 3" xfId="29" xr:uid="{00000000-0005-0000-0000-00001B000000}"/>
    <cellStyle name="60% - Énfasis3 2" xfId="30" xr:uid="{00000000-0005-0000-0000-00001C000000}"/>
    <cellStyle name="60% - Énfasis3 3" xfId="31" xr:uid="{00000000-0005-0000-0000-00001D000000}"/>
    <cellStyle name="60% - Énfasis4 2" xfId="32" xr:uid="{00000000-0005-0000-0000-00001E000000}"/>
    <cellStyle name="60% - Énfasis4 3" xfId="33" xr:uid="{00000000-0005-0000-0000-00001F000000}"/>
    <cellStyle name="60% - Énfasis5 2" xfId="34" xr:uid="{00000000-0005-0000-0000-000020000000}"/>
    <cellStyle name="60% - Énfasis5 3" xfId="35" xr:uid="{00000000-0005-0000-0000-000021000000}"/>
    <cellStyle name="60% - Énfasis6 2" xfId="36" xr:uid="{00000000-0005-0000-0000-000022000000}"/>
    <cellStyle name="60% - Énfasis6 3" xfId="37" xr:uid="{00000000-0005-0000-0000-000023000000}"/>
    <cellStyle name="Buena 2" xfId="38" xr:uid="{00000000-0005-0000-0000-000024000000}"/>
    <cellStyle name="Buena 3" xfId="39" xr:uid="{00000000-0005-0000-0000-000025000000}"/>
    <cellStyle name="Cálculo 2" xfId="40" xr:uid="{00000000-0005-0000-0000-000026000000}"/>
    <cellStyle name="Cálculo 2 2" xfId="370" xr:uid="{00000000-0005-0000-0000-000027000000}"/>
    <cellStyle name="Cálculo 2 3" xfId="384" xr:uid="{00000000-0005-0000-0000-000028000000}"/>
    <cellStyle name="Cálculo 3" xfId="41" xr:uid="{00000000-0005-0000-0000-000029000000}"/>
    <cellStyle name="Celda de comprobación 2" xfId="42" xr:uid="{00000000-0005-0000-0000-00002A000000}"/>
    <cellStyle name="Celda de comprobación 3" xfId="43" xr:uid="{00000000-0005-0000-0000-00002B000000}"/>
    <cellStyle name="Celda vinculada 2" xfId="44" xr:uid="{00000000-0005-0000-0000-00002C000000}"/>
    <cellStyle name="Celda vinculada 3" xfId="45" xr:uid="{00000000-0005-0000-0000-00002D000000}"/>
    <cellStyle name="Encabezado 4 2" xfId="46" xr:uid="{00000000-0005-0000-0000-00002E000000}"/>
    <cellStyle name="Encabezado 4 3" xfId="47" xr:uid="{00000000-0005-0000-0000-00002F000000}"/>
    <cellStyle name="Énfasis1 2" xfId="48" xr:uid="{00000000-0005-0000-0000-000030000000}"/>
    <cellStyle name="Énfasis1 2 2" xfId="49" xr:uid="{00000000-0005-0000-0000-000031000000}"/>
    <cellStyle name="Énfasis1 3" xfId="50" xr:uid="{00000000-0005-0000-0000-000032000000}"/>
    <cellStyle name="Énfasis1 3 2" xfId="51" xr:uid="{00000000-0005-0000-0000-000033000000}"/>
    <cellStyle name="Énfasis1 3 2 2" xfId="52" xr:uid="{00000000-0005-0000-0000-000034000000}"/>
    <cellStyle name="Énfasis1 3 3" xfId="53" xr:uid="{00000000-0005-0000-0000-000035000000}"/>
    <cellStyle name="Énfasis2 2" xfId="54" xr:uid="{00000000-0005-0000-0000-000036000000}"/>
    <cellStyle name="Énfasis2 3" xfId="55" xr:uid="{00000000-0005-0000-0000-000037000000}"/>
    <cellStyle name="Énfasis3 2" xfId="56" xr:uid="{00000000-0005-0000-0000-000038000000}"/>
    <cellStyle name="Énfasis3 3" xfId="57" xr:uid="{00000000-0005-0000-0000-000039000000}"/>
    <cellStyle name="Énfasis4 2" xfId="58" xr:uid="{00000000-0005-0000-0000-00003A000000}"/>
    <cellStyle name="Énfasis4 3" xfId="59" xr:uid="{00000000-0005-0000-0000-00003B000000}"/>
    <cellStyle name="Énfasis5 2" xfId="60" xr:uid="{00000000-0005-0000-0000-00003C000000}"/>
    <cellStyle name="Énfasis5 3" xfId="61" xr:uid="{00000000-0005-0000-0000-00003D000000}"/>
    <cellStyle name="Énfasis6 2" xfId="62" xr:uid="{00000000-0005-0000-0000-00003E000000}"/>
    <cellStyle name="Énfasis6 3" xfId="63" xr:uid="{00000000-0005-0000-0000-00003F000000}"/>
    <cellStyle name="Entrada 2" xfId="64" xr:uid="{00000000-0005-0000-0000-000040000000}"/>
    <cellStyle name="Entrada 2 2" xfId="371" xr:uid="{00000000-0005-0000-0000-000041000000}"/>
    <cellStyle name="Entrada 2 3" xfId="385" xr:uid="{00000000-0005-0000-0000-000042000000}"/>
    <cellStyle name="Entrada 3" xfId="65" xr:uid="{00000000-0005-0000-0000-000043000000}"/>
    <cellStyle name="Euro" xfId="66" xr:uid="{00000000-0005-0000-0000-000044000000}"/>
    <cellStyle name="Euro 10" xfId="67" xr:uid="{00000000-0005-0000-0000-000045000000}"/>
    <cellStyle name="Euro 10 2" xfId="68" xr:uid="{00000000-0005-0000-0000-000046000000}"/>
    <cellStyle name="Euro 11" xfId="69" xr:uid="{00000000-0005-0000-0000-000047000000}"/>
    <cellStyle name="Euro 11 2" xfId="70" xr:uid="{00000000-0005-0000-0000-000048000000}"/>
    <cellStyle name="Euro 12" xfId="71" xr:uid="{00000000-0005-0000-0000-000049000000}"/>
    <cellStyle name="Euro 12 2" xfId="72" xr:uid="{00000000-0005-0000-0000-00004A000000}"/>
    <cellStyle name="Euro 13" xfId="73" xr:uid="{00000000-0005-0000-0000-00004B000000}"/>
    <cellStyle name="Euro 13 2" xfId="74" xr:uid="{00000000-0005-0000-0000-00004C000000}"/>
    <cellStyle name="Euro 14" xfId="75" xr:uid="{00000000-0005-0000-0000-00004D000000}"/>
    <cellStyle name="Euro 14 2" xfId="76" xr:uid="{00000000-0005-0000-0000-00004E000000}"/>
    <cellStyle name="Euro 15" xfId="77" xr:uid="{00000000-0005-0000-0000-00004F000000}"/>
    <cellStyle name="Euro 15 2" xfId="78" xr:uid="{00000000-0005-0000-0000-000050000000}"/>
    <cellStyle name="Euro 16" xfId="79" xr:uid="{00000000-0005-0000-0000-000051000000}"/>
    <cellStyle name="Euro 17" xfId="80" xr:uid="{00000000-0005-0000-0000-000052000000}"/>
    <cellStyle name="Euro 2" xfId="81" xr:uid="{00000000-0005-0000-0000-000053000000}"/>
    <cellStyle name="Euro 2 2" xfId="82" xr:uid="{00000000-0005-0000-0000-000054000000}"/>
    <cellStyle name="Euro 3" xfId="83" xr:uid="{00000000-0005-0000-0000-000055000000}"/>
    <cellStyle name="Euro 3 2" xfId="84" xr:uid="{00000000-0005-0000-0000-000056000000}"/>
    <cellStyle name="Euro 4" xfId="85" xr:uid="{00000000-0005-0000-0000-000057000000}"/>
    <cellStyle name="Euro 4 2" xfId="86" xr:uid="{00000000-0005-0000-0000-000058000000}"/>
    <cellStyle name="Euro 5" xfId="87" xr:uid="{00000000-0005-0000-0000-000059000000}"/>
    <cellStyle name="Euro 5 2" xfId="88" xr:uid="{00000000-0005-0000-0000-00005A000000}"/>
    <cellStyle name="Euro 6" xfId="89" xr:uid="{00000000-0005-0000-0000-00005B000000}"/>
    <cellStyle name="Euro 6 2" xfId="90" xr:uid="{00000000-0005-0000-0000-00005C000000}"/>
    <cellStyle name="Euro 7" xfId="91" xr:uid="{00000000-0005-0000-0000-00005D000000}"/>
    <cellStyle name="Euro 7 2" xfId="92" xr:uid="{00000000-0005-0000-0000-00005E000000}"/>
    <cellStyle name="Euro 8" xfId="93" xr:uid="{00000000-0005-0000-0000-00005F000000}"/>
    <cellStyle name="Euro 8 2" xfId="94" xr:uid="{00000000-0005-0000-0000-000060000000}"/>
    <cellStyle name="Euro 9" xfId="95" xr:uid="{00000000-0005-0000-0000-000061000000}"/>
    <cellStyle name="Euro 9 2" xfId="96" xr:uid="{00000000-0005-0000-0000-000062000000}"/>
    <cellStyle name="Euro_010910HS" xfId="97" xr:uid="{00000000-0005-0000-0000-000063000000}"/>
    <cellStyle name="Hipervínculo" xfId="378" builtinId="8" hidden="1"/>
    <cellStyle name="Hipervínculo" xfId="380" builtinId="8" hidden="1"/>
    <cellStyle name="Hipervínculo" xfId="365" builtinId="8" hidden="1"/>
    <cellStyle name="Hipervínculo" xfId="376" builtinId="8" hidden="1"/>
    <cellStyle name="Hipervínculo" xfId="363" builtinId="8" hidden="1"/>
    <cellStyle name="Hipervínculo" xfId="361" builtinId="8" hidden="1"/>
    <cellStyle name="Hipervínculo 2" xfId="98" xr:uid="{00000000-0005-0000-0000-00006A000000}"/>
    <cellStyle name="Hipervínculo 2 2" xfId="99" xr:uid="{00000000-0005-0000-0000-00006B000000}"/>
    <cellStyle name="Hipervínculo 3" xfId="100" xr:uid="{00000000-0005-0000-0000-00006C000000}"/>
    <cellStyle name="Hipervínculo 4" xfId="392" xr:uid="{00000000-0005-0000-0000-00006D000000}"/>
    <cellStyle name="Hipervínculo 5" xfId="394" xr:uid="{00000000-0005-0000-0000-00006E000000}"/>
    <cellStyle name="Hipervínculo 6" xfId="396" xr:uid="{00000000-0005-0000-0000-00006F000000}"/>
    <cellStyle name="Hipervínculo visitado" xfId="400" builtinId="9" hidden="1"/>
    <cellStyle name="Hipervínculo visitado" xfId="401" builtinId="9" hidden="1"/>
    <cellStyle name="Hipervínculo visitado" xfId="402" builtinId="9" hidden="1"/>
    <cellStyle name="Hipervínculo visitado" xfId="388" builtinId="9" hidden="1"/>
    <cellStyle name="Hipervínculo visitado" xfId="389" builtinId="9" hidden="1"/>
    <cellStyle name="Hipervínculo visitado" xfId="398" builtinId="9" hidden="1"/>
    <cellStyle name="Hipervínculo visitado" xfId="399" builtinId="9" hidden="1"/>
    <cellStyle name="Hipervínculo visitado" xfId="404" builtinId="9" hidden="1"/>
    <cellStyle name="Hipervínculo visitado" xfId="403" builtinId="9" hidden="1"/>
    <cellStyle name="Hipervínculo visitado" xfId="379" builtinId="9" hidden="1"/>
    <cellStyle name="Hipervínculo visitado" xfId="381" builtinId="9" hidden="1"/>
    <cellStyle name="Hipervínculo visitado" xfId="393" builtinId="9" hidden="1"/>
    <cellStyle name="Hipervínculo visitado" xfId="395" builtinId="9" hidden="1"/>
    <cellStyle name="Hipervínculo visitado" xfId="397" builtinId="9" hidden="1"/>
    <cellStyle name="Hipervínculo visitado" xfId="366" builtinId="9" hidden="1"/>
    <cellStyle name="Hipervínculo visitado" xfId="377" builtinId="9" hidden="1"/>
    <cellStyle name="Hipervínculo visitado" xfId="364" builtinId="9" hidden="1"/>
    <cellStyle name="Hipervínculo visitado" xfId="362" builtinId="9" hidden="1"/>
    <cellStyle name="Incorrecto 2" xfId="101" xr:uid="{00000000-0005-0000-0000-000082000000}"/>
    <cellStyle name="Incorrecto 3" xfId="102" xr:uid="{00000000-0005-0000-0000-000083000000}"/>
    <cellStyle name="Millares [0] 2" xfId="103" xr:uid="{00000000-0005-0000-0000-000084000000}"/>
    <cellStyle name="Millares 10" xfId="104" xr:uid="{00000000-0005-0000-0000-000085000000}"/>
    <cellStyle name="Millares 11" xfId="105" xr:uid="{00000000-0005-0000-0000-000086000000}"/>
    <cellStyle name="Millares 12" xfId="106" xr:uid="{00000000-0005-0000-0000-000087000000}"/>
    <cellStyle name="Millares 13" xfId="107" xr:uid="{00000000-0005-0000-0000-000088000000}"/>
    <cellStyle name="Millares 14" xfId="108" xr:uid="{00000000-0005-0000-0000-000089000000}"/>
    <cellStyle name="Millares 15" xfId="109" xr:uid="{00000000-0005-0000-0000-00008A000000}"/>
    <cellStyle name="Millares 16" xfId="110" xr:uid="{00000000-0005-0000-0000-00008B000000}"/>
    <cellStyle name="Millares 17" xfId="111" xr:uid="{00000000-0005-0000-0000-00008C000000}"/>
    <cellStyle name="Millares 18" xfId="112" xr:uid="{00000000-0005-0000-0000-00008D000000}"/>
    <cellStyle name="Millares 19" xfId="113" xr:uid="{00000000-0005-0000-0000-00008E000000}"/>
    <cellStyle name="Millares 2" xfId="114" xr:uid="{00000000-0005-0000-0000-00008F000000}"/>
    <cellStyle name="Millares 2 2" xfId="115" xr:uid="{00000000-0005-0000-0000-000090000000}"/>
    <cellStyle name="Millares 2 2 2" xfId="116" xr:uid="{00000000-0005-0000-0000-000091000000}"/>
    <cellStyle name="Millares 2 3" xfId="117" xr:uid="{00000000-0005-0000-0000-000092000000}"/>
    <cellStyle name="Millares 2 3 2" xfId="118" xr:uid="{00000000-0005-0000-0000-000093000000}"/>
    <cellStyle name="Millares 2 4" xfId="119" xr:uid="{00000000-0005-0000-0000-000094000000}"/>
    <cellStyle name="Millares 2 4 2" xfId="120" xr:uid="{00000000-0005-0000-0000-000095000000}"/>
    <cellStyle name="Millares 2 5" xfId="121" xr:uid="{00000000-0005-0000-0000-000096000000}"/>
    <cellStyle name="Millares 2 5 2" xfId="122" xr:uid="{00000000-0005-0000-0000-000097000000}"/>
    <cellStyle name="Millares 2 6" xfId="123" xr:uid="{00000000-0005-0000-0000-000098000000}"/>
    <cellStyle name="Millares 2 7" xfId="124" xr:uid="{00000000-0005-0000-0000-000099000000}"/>
    <cellStyle name="Millares 2 8" xfId="125" xr:uid="{00000000-0005-0000-0000-00009A000000}"/>
    <cellStyle name="Millares 2 9" xfId="126" xr:uid="{00000000-0005-0000-0000-00009B000000}"/>
    <cellStyle name="Millares 20" xfId="127" xr:uid="{00000000-0005-0000-0000-00009C000000}"/>
    <cellStyle name="Millares 21" xfId="128" xr:uid="{00000000-0005-0000-0000-00009D000000}"/>
    <cellStyle name="Millares 22" xfId="129" xr:uid="{00000000-0005-0000-0000-00009E000000}"/>
    <cellStyle name="Millares 23" xfId="130" xr:uid="{00000000-0005-0000-0000-00009F000000}"/>
    <cellStyle name="Millares 24" xfId="131" xr:uid="{00000000-0005-0000-0000-0000A0000000}"/>
    <cellStyle name="Millares 25" xfId="132" xr:uid="{00000000-0005-0000-0000-0000A1000000}"/>
    <cellStyle name="Millares 26" xfId="133" xr:uid="{00000000-0005-0000-0000-0000A2000000}"/>
    <cellStyle name="Millares 27" xfId="134" xr:uid="{00000000-0005-0000-0000-0000A3000000}"/>
    <cellStyle name="Millares 28" xfId="135" xr:uid="{00000000-0005-0000-0000-0000A4000000}"/>
    <cellStyle name="Millares 29" xfId="136" xr:uid="{00000000-0005-0000-0000-0000A5000000}"/>
    <cellStyle name="Millares 3" xfId="137" xr:uid="{00000000-0005-0000-0000-0000A6000000}"/>
    <cellStyle name="Millares 3 2" xfId="138" xr:uid="{00000000-0005-0000-0000-0000A7000000}"/>
    <cellStyle name="Millares 3 3" xfId="139" xr:uid="{00000000-0005-0000-0000-0000A8000000}"/>
    <cellStyle name="Millares 3 4" xfId="140" xr:uid="{00000000-0005-0000-0000-0000A9000000}"/>
    <cellStyle name="Millares 30" xfId="141" xr:uid="{00000000-0005-0000-0000-0000AA000000}"/>
    <cellStyle name="Millares 31" xfId="142" xr:uid="{00000000-0005-0000-0000-0000AB000000}"/>
    <cellStyle name="Millares 32" xfId="143" xr:uid="{00000000-0005-0000-0000-0000AC000000}"/>
    <cellStyle name="Millares 33" xfId="144" xr:uid="{00000000-0005-0000-0000-0000AD000000}"/>
    <cellStyle name="Millares 34" xfId="145" xr:uid="{00000000-0005-0000-0000-0000AE000000}"/>
    <cellStyle name="Millares 35" xfId="146" xr:uid="{00000000-0005-0000-0000-0000AF000000}"/>
    <cellStyle name="Millares 36" xfId="147" xr:uid="{00000000-0005-0000-0000-0000B0000000}"/>
    <cellStyle name="Millares 37" xfId="148" xr:uid="{00000000-0005-0000-0000-0000B1000000}"/>
    <cellStyle name="Millares 38" xfId="149" xr:uid="{00000000-0005-0000-0000-0000B2000000}"/>
    <cellStyle name="Millares 39" xfId="150" xr:uid="{00000000-0005-0000-0000-0000B3000000}"/>
    <cellStyle name="Millares 4" xfId="151" xr:uid="{00000000-0005-0000-0000-0000B4000000}"/>
    <cellStyle name="Millares 40" xfId="152" xr:uid="{00000000-0005-0000-0000-0000B5000000}"/>
    <cellStyle name="Millares 41" xfId="153" xr:uid="{00000000-0005-0000-0000-0000B6000000}"/>
    <cellStyle name="Millares 42" xfId="154" xr:uid="{00000000-0005-0000-0000-0000B7000000}"/>
    <cellStyle name="Millares 43" xfId="155" xr:uid="{00000000-0005-0000-0000-0000B8000000}"/>
    <cellStyle name="Millares 44" xfId="156" xr:uid="{00000000-0005-0000-0000-0000B9000000}"/>
    <cellStyle name="Millares 45" xfId="157" xr:uid="{00000000-0005-0000-0000-0000BA000000}"/>
    <cellStyle name="Millares 46" xfId="158" xr:uid="{00000000-0005-0000-0000-0000BB000000}"/>
    <cellStyle name="Millares 47" xfId="159" xr:uid="{00000000-0005-0000-0000-0000BC000000}"/>
    <cellStyle name="Millares 48" xfId="160" xr:uid="{00000000-0005-0000-0000-0000BD000000}"/>
    <cellStyle name="Millares 49" xfId="161" xr:uid="{00000000-0005-0000-0000-0000BE000000}"/>
    <cellStyle name="Millares 5" xfId="162" xr:uid="{00000000-0005-0000-0000-0000BF000000}"/>
    <cellStyle name="Millares 50" xfId="163" xr:uid="{00000000-0005-0000-0000-0000C0000000}"/>
    <cellStyle name="Millares 51" xfId="164" xr:uid="{00000000-0005-0000-0000-0000C1000000}"/>
    <cellStyle name="Millares 52" xfId="165" xr:uid="{00000000-0005-0000-0000-0000C2000000}"/>
    <cellStyle name="Millares 53" xfId="166" xr:uid="{00000000-0005-0000-0000-0000C3000000}"/>
    <cellStyle name="Millares 54" xfId="167" xr:uid="{00000000-0005-0000-0000-0000C4000000}"/>
    <cellStyle name="Millares 55" xfId="168" xr:uid="{00000000-0005-0000-0000-0000C5000000}"/>
    <cellStyle name="Millares 56" xfId="169" xr:uid="{00000000-0005-0000-0000-0000C6000000}"/>
    <cellStyle name="Millares 56 2" xfId="170" xr:uid="{00000000-0005-0000-0000-0000C7000000}"/>
    <cellStyle name="Millares 57" xfId="171" xr:uid="{00000000-0005-0000-0000-0000C8000000}"/>
    <cellStyle name="Millares 57 2" xfId="172" xr:uid="{00000000-0005-0000-0000-0000C9000000}"/>
    <cellStyle name="Millares 58" xfId="173" xr:uid="{00000000-0005-0000-0000-0000CA000000}"/>
    <cellStyle name="Millares 59" xfId="174" xr:uid="{00000000-0005-0000-0000-0000CB000000}"/>
    <cellStyle name="Millares 6" xfId="175" xr:uid="{00000000-0005-0000-0000-0000CC000000}"/>
    <cellStyle name="Millares 60" xfId="176" xr:uid="{00000000-0005-0000-0000-0000CD000000}"/>
    <cellStyle name="Millares 61" xfId="177" xr:uid="{00000000-0005-0000-0000-0000CE000000}"/>
    <cellStyle name="Millares 62" xfId="178" xr:uid="{00000000-0005-0000-0000-0000CF000000}"/>
    <cellStyle name="Millares 63" xfId="179" xr:uid="{00000000-0005-0000-0000-0000D0000000}"/>
    <cellStyle name="Millares 64" xfId="180" xr:uid="{00000000-0005-0000-0000-0000D1000000}"/>
    <cellStyle name="Millares 7" xfId="181" xr:uid="{00000000-0005-0000-0000-0000D2000000}"/>
    <cellStyle name="Millares 8" xfId="182" xr:uid="{00000000-0005-0000-0000-0000D3000000}"/>
    <cellStyle name="Millares 9" xfId="183" xr:uid="{00000000-0005-0000-0000-0000D4000000}"/>
    <cellStyle name="Moneda 10" xfId="184" xr:uid="{00000000-0005-0000-0000-0000D5000000}"/>
    <cellStyle name="Moneda 2" xfId="185" xr:uid="{00000000-0005-0000-0000-0000D6000000}"/>
    <cellStyle name="Moneda 2 2" xfId="186" xr:uid="{00000000-0005-0000-0000-0000D7000000}"/>
    <cellStyle name="Moneda 2 3" xfId="187" xr:uid="{00000000-0005-0000-0000-0000D8000000}"/>
    <cellStyle name="Moneda 3" xfId="188" xr:uid="{00000000-0005-0000-0000-0000D9000000}"/>
    <cellStyle name="Moneda 3 2" xfId="189" xr:uid="{00000000-0005-0000-0000-0000DA000000}"/>
    <cellStyle name="Moneda 4" xfId="190" xr:uid="{00000000-0005-0000-0000-0000DB000000}"/>
    <cellStyle name="Moneda 4 2" xfId="191" xr:uid="{00000000-0005-0000-0000-0000DC000000}"/>
    <cellStyle name="Moneda 4 3" xfId="192" xr:uid="{00000000-0005-0000-0000-0000DD000000}"/>
    <cellStyle name="Moneda 5" xfId="193" xr:uid="{00000000-0005-0000-0000-0000DE000000}"/>
    <cellStyle name="Moneda 6" xfId="194" xr:uid="{00000000-0005-0000-0000-0000DF000000}"/>
    <cellStyle name="Moneda 7" xfId="195" xr:uid="{00000000-0005-0000-0000-0000E0000000}"/>
    <cellStyle name="Moneda 8" xfId="196" xr:uid="{00000000-0005-0000-0000-0000E1000000}"/>
    <cellStyle name="Moneda 9" xfId="197" xr:uid="{00000000-0005-0000-0000-0000E2000000}"/>
    <cellStyle name="Moneda 9 2" xfId="198" xr:uid="{00000000-0005-0000-0000-0000E3000000}"/>
    <cellStyle name="Neutral 2" xfId="199" xr:uid="{00000000-0005-0000-0000-0000E4000000}"/>
    <cellStyle name="Neutral 3" xfId="200" xr:uid="{00000000-0005-0000-0000-0000E5000000}"/>
    <cellStyle name="Normal" xfId="0" builtinId="0"/>
    <cellStyle name="Normal 10" xfId="201" xr:uid="{00000000-0005-0000-0000-0000E7000000}"/>
    <cellStyle name="Normal 11" xfId="202" xr:uid="{00000000-0005-0000-0000-0000E8000000}"/>
    <cellStyle name="Normal 12" xfId="203" xr:uid="{00000000-0005-0000-0000-0000E9000000}"/>
    <cellStyle name="Normal 13" xfId="204" xr:uid="{00000000-0005-0000-0000-0000EA000000}"/>
    <cellStyle name="Normal 14" xfId="205" xr:uid="{00000000-0005-0000-0000-0000EB000000}"/>
    <cellStyle name="Normal 15" xfId="206" xr:uid="{00000000-0005-0000-0000-0000EC000000}"/>
    <cellStyle name="Normal 16" xfId="207" xr:uid="{00000000-0005-0000-0000-0000ED000000}"/>
    <cellStyle name="Normal 17" xfId="208" xr:uid="{00000000-0005-0000-0000-0000EE000000}"/>
    <cellStyle name="Normal 18" xfId="209" xr:uid="{00000000-0005-0000-0000-0000EF000000}"/>
    <cellStyle name="Normal 19" xfId="210" xr:uid="{00000000-0005-0000-0000-0000F0000000}"/>
    <cellStyle name="Normal 2" xfId="1" xr:uid="{00000000-0005-0000-0000-0000F1000000}"/>
    <cellStyle name="Normal 2 10" xfId="382" xr:uid="{00000000-0005-0000-0000-0000F2000000}"/>
    <cellStyle name="Normal 2 11" xfId="383" xr:uid="{00000000-0005-0000-0000-0000F3000000}"/>
    <cellStyle name="Normal 2 2" xfId="211" xr:uid="{00000000-0005-0000-0000-0000F4000000}"/>
    <cellStyle name="Normal 2 2 2" xfId="212" xr:uid="{00000000-0005-0000-0000-0000F5000000}"/>
    <cellStyle name="Normal 2 3" xfId="213" xr:uid="{00000000-0005-0000-0000-0000F6000000}"/>
    <cellStyle name="Normal 2 3 2" xfId="214" xr:uid="{00000000-0005-0000-0000-0000F7000000}"/>
    <cellStyle name="Normal 2 4" xfId="215" xr:uid="{00000000-0005-0000-0000-0000F8000000}"/>
    <cellStyle name="Normal 2 4 2" xfId="216" xr:uid="{00000000-0005-0000-0000-0000F9000000}"/>
    <cellStyle name="Normal 2 5" xfId="217" xr:uid="{00000000-0005-0000-0000-0000FA000000}"/>
    <cellStyle name="Normal 2 5 2" xfId="218" xr:uid="{00000000-0005-0000-0000-0000FB000000}"/>
    <cellStyle name="Normal 2 6" xfId="219" xr:uid="{00000000-0005-0000-0000-0000FC000000}"/>
    <cellStyle name="Normal 2 7" xfId="220" xr:uid="{00000000-0005-0000-0000-0000FD000000}"/>
    <cellStyle name="Normal 2 8" xfId="221" xr:uid="{00000000-0005-0000-0000-0000FE000000}"/>
    <cellStyle name="Normal 2 9" xfId="222" xr:uid="{00000000-0005-0000-0000-0000FF000000}"/>
    <cellStyle name="Normal 20" xfId="223" xr:uid="{00000000-0005-0000-0000-000000010000}"/>
    <cellStyle name="Normal 21" xfId="224" xr:uid="{00000000-0005-0000-0000-000001010000}"/>
    <cellStyle name="Normal 22" xfId="225" xr:uid="{00000000-0005-0000-0000-000002010000}"/>
    <cellStyle name="Normal 23" xfId="226" xr:uid="{00000000-0005-0000-0000-000003010000}"/>
    <cellStyle name="Normal 24" xfId="227" xr:uid="{00000000-0005-0000-0000-000004010000}"/>
    <cellStyle name="Normal 25" xfId="228" xr:uid="{00000000-0005-0000-0000-000005010000}"/>
    <cellStyle name="Normal 26" xfId="229" xr:uid="{00000000-0005-0000-0000-000006010000}"/>
    <cellStyle name="Normal 27" xfId="230" xr:uid="{00000000-0005-0000-0000-000007010000}"/>
    <cellStyle name="Normal 28" xfId="231" xr:uid="{00000000-0005-0000-0000-000008010000}"/>
    <cellStyle name="Normal 29" xfId="232" xr:uid="{00000000-0005-0000-0000-000009010000}"/>
    <cellStyle name="Normal 3" xfId="233" xr:uid="{00000000-0005-0000-0000-00000A010000}"/>
    <cellStyle name="Normal 3 2" xfId="234" xr:uid="{00000000-0005-0000-0000-00000B010000}"/>
    <cellStyle name="Normal 3 3" xfId="235" xr:uid="{00000000-0005-0000-0000-00000C010000}"/>
    <cellStyle name="Normal 3 3 2" xfId="236" xr:uid="{00000000-0005-0000-0000-00000D010000}"/>
    <cellStyle name="Normal 3 4" xfId="237" xr:uid="{00000000-0005-0000-0000-00000E010000}"/>
    <cellStyle name="Normal 30" xfId="238" xr:uid="{00000000-0005-0000-0000-00000F010000}"/>
    <cellStyle name="Normal 31" xfId="239" xr:uid="{00000000-0005-0000-0000-000010010000}"/>
    <cellStyle name="Normal 32" xfId="240" xr:uid="{00000000-0005-0000-0000-000011010000}"/>
    <cellStyle name="Normal 33" xfId="241" xr:uid="{00000000-0005-0000-0000-000012010000}"/>
    <cellStyle name="Normal 34" xfId="242" xr:uid="{00000000-0005-0000-0000-000013010000}"/>
    <cellStyle name="Normal 35" xfId="243" xr:uid="{00000000-0005-0000-0000-000014010000}"/>
    <cellStyle name="Normal 36" xfId="244" xr:uid="{00000000-0005-0000-0000-000015010000}"/>
    <cellStyle name="Normal 37" xfId="245" xr:uid="{00000000-0005-0000-0000-000016010000}"/>
    <cellStyle name="Normal 38" xfId="246" xr:uid="{00000000-0005-0000-0000-000017010000}"/>
    <cellStyle name="Normal 39" xfId="247" xr:uid="{00000000-0005-0000-0000-000018010000}"/>
    <cellStyle name="Normal 4" xfId="248" xr:uid="{00000000-0005-0000-0000-000019010000}"/>
    <cellStyle name="Normal 4 2" xfId="249" xr:uid="{00000000-0005-0000-0000-00001A010000}"/>
    <cellStyle name="Normal 4 2 2" xfId="250" xr:uid="{00000000-0005-0000-0000-00001B010000}"/>
    <cellStyle name="Normal 4 3" xfId="251" xr:uid="{00000000-0005-0000-0000-00001C010000}"/>
    <cellStyle name="Normal 4 4" xfId="252" xr:uid="{00000000-0005-0000-0000-00001D010000}"/>
    <cellStyle name="Normal 40" xfId="253" xr:uid="{00000000-0005-0000-0000-00001E010000}"/>
    <cellStyle name="Normal 41" xfId="254" xr:uid="{00000000-0005-0000-0000-00001F010000}"/>
    <cellStyle name="Normal 42" xfId="255" xr:uid="{00000000-0005-0000-0000-000020010000}"/>
    <cellStyle name="Normal 43" xfId="256" xr:uid="{00000000-0005-0000-0000-000021010000}"/>
    <cellStyle name="Normal 44" xfId="257" xr:uid="{00000000-0005-0000-0000-000022010000}"/>
    <cellStyle name="Normal 45" xfId="258" xr:uid="{00000000-0005-0000-0000-000023010000}"/>
    <cellStyle name="Normal 46" xfId="259" xr:uid="{00000000-0005-0000-0000-000024010000}"/>
    <cellStyle name="Normal 47" xfId="260" xr:uid="{00000000-0005-0000-0000-000025010000}"/>
    <cellStyle name="Normal 48" xfId="261" xr:uid="{00000000-0005-0000-0000-000026010000}"/>
    <cellStyle name="Normal 48 2" xfId="262" xr:uid="{00000000-0005-0000-0000-000027010000}"/>
    <cellStyle name="Normal 49" xfId="263" xr:uid="{00000000-0005-0000-0000-000028010000}"/>
    <cellStyle name="Normal 5" xfId="264" xr:uid="{00000000-0005-0000-0000-000029010000}"/>
    <cellStyle name="Normal 5 2" xfId="265" xr:uid="{00000000-0005-0000-0000-00002A010000}"/>
    <cellStyle name="Normal 5 3" xfId="266" xr:uid="{00000000-0005-0000-0000-00002B010000}"/>
    <cellStyle name="Normal 50" xfId="267" xr:uid="{00000000-0005-0000-0000-00002C010000}"/>
    <cellStyle name="Normal 51" xfId="268" xr:uid="{00000000-0005-0000-0000-00002D010000}"/>
    <cellStyle name="Normal 52" xfId="269" xr:uid="{00000000-0005-0000-0000-00002E010000}"/>
    <cellStyle name="Normal 52 2" xfId="270" xr:uid="{00000000-0005-0000-0000-00002F010000}"/>
    <cellStyle name="Normal 53" xfId="271" xr:uid="{00000000-0005-0000-0000-000030010000}"/>
    <cellStyle name="Normal 54" xfId="272" xr:uid="{00000000-0005-0000-0000-000031010000}"/>
    <cellStyle name="Normal 55" xfId="273" xr:uid="{00000000-0005-0000-0000-000032010000}"/>
    <cellStyle name="Normal 56" xfId="274" xr:uid="{00000000-0005-0000-0000-000033010000}"/>
    <cellStyle name="Normal 57" xfId="275" xr:uid="{00000000-0005-0000-0000-000034010000}"/>
    <cellStyle name="Normal 58" xfId="276" xr:uid="{00000000-0005-0000-0000-000035010000}"/>
    <cellStyle name="Normal 59" xfId="277" xr:uid="{00000000-0005-0000-0000-000036010000}"/>
    <cellStyle name="Normal 6" xfId="278" xr:uid="{00000000-0005-0000-0000-000037010000}"/>
    <cellStyle name="Normal 6 2" xfId="279" xr:uid="{00000000-0005-0000-0000-000038010000}"/>
    <cellStyle name="Normal 60" xfId="280" xr:uid="{00000000-0005-0000-0000-000039010000}"/>
    <cellStyle name="Normal 61" xfId="281" xr:uid="{00000000-0005-0000-0000-00003A010000}"/>
    <cellStyle name="Normal 62" xfId="282" xr:uid="{00000000-0005-0000-0000-00003B010000}"/>
    <cellStyle name="Normal 63" xfId="283" xr:uid="{00000000-0005-0000-0000-00003C010000}"/>
    <cellStyle name="Normal 64" xfId="284" xr:uid="{00000000-0005-0000-0000-00003D010000}"/>
    <cellStyle name="Normal 65" xfId="285" xr:uid="{00000000-0005-0000-0000-00003E010000}"/>
    <cellStyle name="Normal 66" xfId="286" xr:uid="{00000000-0005-0000-0000-00003F010000}"/>
    <cellStyle name="Normal 67" xfId="287" xr:uid="{00000000-0005-0000-0000-000040010000}"/>
    <cellStyle name="Normal 68" xfId="288" xr:uid="{00000000-0005-0000-0000-000041010000}"/>
    <cellStyle name="Normal 69" xfId="289" xr:uid="{00000000-0005-0000-0000-000042010000}"/>
    <cellStyle name="Normal 7" xfId="290" xr:uid="{00000000-0005-0000-0000-000043010000}"/>
    <cellStyle name="Normal 70" xfId="291" xr:uid="{00000000-0005-0000-0000-000044010000}"/>
    <cellStyle name="Normal 71" xfId="292" xr:uid="{00000000-0005-0000-0000-000045010000}"/>
    <cellStyle name="Normal 72" xfId="293" xr:uid="{00000000-0005-0000-0000-000046010000}"/>
    <cellStyle name="Normal 73" xfId="294" xr:uid="{00000000-0005-0000-0000-000047010000}"/>
    <cellStyle name="Normal 74" xfId="295" xr:uid="{00000000-0005-0000-0000-000048010000}"/>
    <cellStyle name="Normal 75" xfId="296" xr:uid="{00000000-0005-0000-0000-000049010000}"/>
    <cellStyle name="Normal 76" xfId="297" xr:uid="{00000000-0005-0000-0000-00004A010000}"/>
    <cellStyle name="Normal 77" xfId="298" xr:uid="{00000000-0005-0000-0000-00004B010000}"/>
    <cellStyle name="Normal 78" xfId="299" xr:uid="{00000000-0005-0000-0000-00004C010000}"/>
    <cellStyle name="Normal 79" xfId="300" xr:uid="{00000000-0005-0000-0000-00004D010000}"/>
    <cellStyle name="Normal 8" xfId="301" xr:uid="{00000000-0005-0000-0000-00004E010000}"/>
    <cellStyle name="Normal 80" xfId="302" xr:uid="{00000000-0005-0000-0000-00004F010000}"/>
    <cellStyle name="Normal 81" xfId="303" xr:uid="{00000000-0005-0000-0000-000050010000}"/>
    <cellStyle name="Normal 82" xfId="304" xr:uid="{00000000-0005-0000-0000-000051010000}"/>
    <cellStyle name="Normal 83" xfId="305" xr:uid="{00000000-0005-0000-0000-000052010000}"/>
    <cellStyle name="Normal 84" xfId="367" xr:uid="{00000000-0005-0000-0000-000053010000}"/>
    <cellStyle name="Normal 85" xfId="369" xr:uid="{00000000-0005-0000-0000-000054010000}"/>
    <cellStyle name="Normal 9" xfId="306" xr:uid="{00000000-0005-0000-0000-000055010000}"/>
    <cellStyle name="Normal_Directorio 2003 Decretos Nuevos" xfId="405" xr:uid="{00000000-0005-0000-0000-000056010000}"/>
    <cellStyle name="Notas 2" xfId="307" xr:uid="{00000000-0005-0000-0000-000057010000}"/>
    <cellStyle name="Notas 2 2" xfId="308" xr:uid="{00000000-0005-0000-0000-000058010000}"/>
    <cellStyle name="Notas 2 2 2" xfId="372" xr:uid="{00000000-0005-0000-0000-000059010000}"/>
    <cellStyle name="Notas 2 2 3" xfId="386" xr:uid="{00000000-0005-0000-0000-00005A010000}"/>
    <cellStyle name="Notas 3" xfId="309" xr:uid="{00000000-0005-0000-0000-00005B010000}"/>
    <cellStyle name="Notas 3 2" xfId="373" xr:uid="{00000000-0005-0000-0000-00005C010000}"/>
    <cellStyle name="Notas 3 3" xfId="387" xr:uid="{00000000-0005-0000-0000-00005D010000}"/>
    <cellStyle name="OKBENE2.XLS" xfId="310" xr:uid="{00000000-0005-0000-0000-00005E010000}"/>
    <cellStyle name="Porcentaje" xfId="368" builtinId="5"/>
    <cellStyle name="Porcentaje 10" xfId="311" xr:uid="{00000000-0005-0000-0000-000060010000}"/>
    <cellStyle name="Porcentaje 2" xfId="312" xr:uid="{00000000-0005-0000-0000-000061010000}"/>
    <cellStyle name="Porcentaje 2 2" xfId="313" xr:uid="{00000000-0005-0000-0000-000062010000}"/>
    <cellStyle name="Porcentaje 2 2 2" xfId="314" xr:uid="{00000000-0005-0000-0000-000063010000}"/>
    <cellStyle name="Porcentaje 2 3" xfId="315" xr:uid="{00000000-0005-0000-0000-000064010000}"/>
    <cellStyle name="Porcentaje 3" xfId="316" xr:uid="{00000000-0005-0000-0000-000065010000}"/>
    <cellStyle name="Porcentaje 3 2" xfId="317" xr:uid="{00000000-0005-0000-0000-000066010000}"/>
    <cellStyle name="Porcentaje 3 3" xfId="318" xr:uid="{00000000-0005-0000-0000-000067010000}"/>
    <cellStyle name="Porcentaje 4" xfId="319" xr:uid="{00000000-0005-0000-0000-000068010000}"/>
    <cellStyle name="Porcentaje 4 2" xfId="320" xr:uid="{00000000-0005-0000-0000-000069010000}"/>
    <cellStyle name="Porcentaje 5" xfId="321" xr:uid="{00000000-0005-0000-0000-00006A010000}"/>
    <cellStyle name="Porcentaje 6" xfId="322" xr:uid="{00000000-0005-0000-0000-00006B010000}"/>
    <cellStyle name="Porcentaje 7" xfId="323" xr:uid="{00000000-0005-0000-0000-00006C010000}"/>
    <cellStyle name="Porcentaje 8" xfId="324" xr:uid="{00000000-0005-0000-0000-00006D010000}"/>
    <cellStyle name="Porcentaje 9" xfId="325" xr:uid="{00000000-0005-0000-0000-00006E010000}"/>
    <cellStyle name="Porcentual 2" xfId="326" xr:uid="{00000000-0005-0000-0000-00006F010000}"/>
    <cellStyle name="Porcentual 2 2" xfId="327" xr:uid="{00000000-0005-0000-0000-000070010000}"/>
    <cellStyle name="Porcentual 2 2 2" xfId="328" xr:uid="{00000000-0005-0000-0000-000071010000}"/>
    <cellStyle name="Porcentual 2 3" xfId="329" xr:uid="{00000000-0005-0000-0000-000072010000}"/>
    <cellStyle name="Porcentual 2 3 2" xfId="330" xr:uid="{00000000-0005-0000-0000-000073010000}"/>
    <cellStyle name="Porcentual 2 4" xfId="331" xr:uid="{00000000-0005-0000-0000-000074010000}"/>
    <cellStyle name="Porcentual 2 4 2" xfId="332" xr:uid="{00000000-0005-0000-0000-000075010000}"/>
    <cellStyle name="Porcentual 2 5" xfId="333" xr:uid="{00000000-0005-0000-0000-000076010000}"/>
    <cellStyle name="Porcentual 2 5 2" xfId="334" xr:uid="{00000000-0005-0000-0000-000077010000}"/>
    <cellStyle name="Porcentual 2 6" xfId="335" xr:uid="{00000000-0005-0000-0000-000078010000}"/>
    <cellStyle name="Porcentual 2 6 2" xfId="336" xr:uid="{00000000-0005-0000-0000-000079010000}"/>
    <cellStyle name="Porcentual 2 7" xfId="337" xr:uid="{00000000-0005-0000-0000-00007A010000}"/>
    <cellStyle name="Porcentual 2 7 2" xfId="338" xr:uid="{00000000-0005-0000-0000-00007B010000}"/>
    <cellStyle name="Porcentual 2 8" xfId="339" xr:uid="{00000000-0005-0000-0000-00007C010000}"/>
    <cellStyle name="Porcentual 3" xfId="340" xr:uid="{00000000-0005-0000-0000-00007D010000}"/>
    <cellStyle name="Porcentual 4" xfId="341" xr:uid="{00000000-0005-0000-0000-00007E010000}"/>
    <cellStyle name="Porcentual 5" xfId="342" xr:uid="{00000000-0005-0000-0000-00007F010000}"/>
    <cellStyle name="Salida 2" xfId="343" xr:uid="{00000000-0005-0000-0000-000080010000}"/>
    <cellStyle name="Salida 2 2" xfId="374" xr:uid="{00000000-0005-0000-0000-000081010000}"/>
    <cellStyle name="Salida 2 3" xfId="390" xr:uid="{00000000-0005-0000-0000-000082010000}"/>
    <cellStyle name="Salida 3" xfId="344" xr:uid="{00000000-0005-0000-0000-000083010000}"/>
    <cellStyle name="Texto de advertencia 2" xfId="345" xr:uid="{00000000-0005-0000-0000-000084010000}"/>
    <cellStyle name="Texto de advertencia 3" xfId="346" xr:uid="{00000000-0005-0000-0000-000085010000}"/>
    <cellStyle name="Texto explicativo 2" xfId="347" xr:uid="{00000000-0005-0000-0000-000086010000}"/>
    <cellStyle name="Texto explicativo 3" xfId="348" xr:uid="{00000000-0005-0000-0000-000087010000}"/>
    <cellStyle name="Título 1 2" xfId="349" xr:uid="{00000000-0005-0000-0000-000088010000}"/>
    <cellStyle name="Título 1 3" xfId="350" xr:uid="{00000000-0005-0000-0000-000089010000}"/>
    <cellStyle name="Título 2 2" xfId="351" xr:uid="{00000000-0005-0000-0000-00008A010000}"/>
    <cellStyle name="Título 2 3" xfId="352" xr:uid="{00000000-0005-0000-0000-00008B010000}"/>
    <cellStyle name="Título 3 2" xfId="353" xr:uid="{00000000-0005-0000-0000-00008C010000}"/>
    <cellStyle name="Título 3 3" xfId="354" xr:uid="{00000000-0005-0000-0000-00008D010000}"/>
    <cellStyle name="Título 4" xfId="355" xr:uid="{00000000-0005-0000-0000-00008E010000}"/>
    <cellStyle name="Título 4 2" xfId="356" xr:uid="{00000000-0005-0000-0000-00008F010000}"/>
    <cellStyle name="Título 5" xfId="357" xr:uid="{00000000-0005-0000-0000-000090010000}"/>
    <cellStyle name="Título 5 2" xfId="358" xr:uid="{00000000-0005-0000-0000-000091010000}"/>
    <cellStyle name="Total 2" xfId="359" xr:uid="{00000000-0005-0000-0000-000092010000}"/>
    <cellStyle name="Total 2 2" xfId="375" xr:uid="{00000000-0005-0000-0000-000093010000}"/>
    <cellStyle name="Total 2 3" xfId="391" xr:uid="{00000000-0005-0000-0000-000094010000}"/>
    <cellStyle name="Total 3" xfId="360" xr:uid="{00000000-0005-0000-0000-000095010000}"/>
  </cellStyles>
  <dxfs count="883">
    <dxf>
      <font>
        <b val="0"/>
        <i val="0"/>
        <strike val="0"/>
        <condense val="0"/>
        <extend val="0"/>
        <outline val="0"/>
        <shadow val="0"/>
        <u val="none"/>
        <vertAlign val="baseline"/>
        <sz val="10"/>
        <color auto="1"/>
        <name val="Arial"/>
        <scheme val="none"/>
      </font>
      <fill>
        <patternFill patternType="none">
          <fgColor indexed="64"/>
          <bgColor auto="1"/>
        </patternFill>
      </fill>
      <alignment horizontal="left" vertical="bottom"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left" vertical="bottom"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sz val="11"/>
        <color auto="1"/>
        <name val="Calibri"/>
        <scheme val="none"/>
      </font>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auto="1"/>
        </top>
        <bottom style="thin">
          <color indexed="64"/>
        </bottom>
      </border>
      <protection locked="1" hidden="1"/>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auto="1"/>
        </top>
        <bottom style="thin">
          <color indexed="64"/>
        </bottom>
      </border>
      <protection locked="1" hidden="1"/>
    </dxf>
    <dxf>
      <border outline="0">
        <right style="thin">
          <color rgb="FF000000"/>
        </right>
        <top style="thin">
          <color rgb="FF000000"/>
        </top>
        <bottom style="thin">
          <color rgb="FF000000"/>
        </bottom>
      </border>
    </dxf>
    <dxf>
      <fill>
        <patternFill patternType="none">
          <fgColor indexed="64"/>
          <bgColor auto="1"/>
        </patternFill>
      </fill>
      <protection locked="1" hidden="1"/>
    </dxf>
    <dxf>
      <font>
        <b/>
        <i val="0"/>
        <strike val="0"/>
        <condense val="0"/>
        <extend val="0"/>
        <outline val="0"/>
        <shadow val="0"/>
        <u val="none"/>
        <vertAlign val="baseline"/>
        <sz val="11"/>
        <color auto="1"/>
        <name val="Calibri"/>
        <scheme val="none"/>
      </font>
      <fill>
        <patternFill patternType="solid">
          <fgColor rgb="FFDBE5F1"/>
          <bgColor rgb="FFDBE5F1"/>
        </patternFill>
      </fill>
      <alignment horizontal="center" vertical="center" textRotation="0" wrapText="1" indent="0" justifyLastLine="0" shrinkToFit="0" readingOrder="0"/>
      <border diagonalUp="0" diagonalDown="0">
        <left style="thin">
          <color rgb="FF000000"/>
        </left>
        <right style="thin">
          <color rgb="FF000000"/>
        </right>
        <top/>
        <bottom/>
      </border>
      <protection locked="1" hidden="1"/>
    </dxf>
    <dxf>
      <font>
        <strike val="0"/>
        <outline val="0"/>
        <shadow val="0"/>
        <u val="none"/>
        <vertAlign val="baseline"/>
        <sz val="11"/>
        <color auto="1"/>
        <name val="Calibri"/>
        <scheme val="minor"/>
      </font>
      <protection locked="1" hidden="1"/>
    </dxf>
    <dxf>
      <font>
        <strike val="0"/>
        <outline val="0"/>
        <shadow val="0"/>
        <u val="none"/>
        <vertAlign val="baseline"/>
        <sz val="11"/>
        <color auto="1"/>
        <name val="Calibri"/>
        <scheme val="minor"/>
      </font>
      <protection locked="1" hidden="1"/>
    </dxf>
    <dxf>
      <font>
        <strike val="0"/>
        <outline val="0"/>
        <shadow val="0"/>
        <u val="none"/>
        <vertAlign val="baseline"/>
        <sz val="11"/>
        <color auto="1"/>
        <name val="Calibri"/>
        <scheme val="minor"/>
      </font>
      <protection locked="1" hidden="1"/>
    </dxf>
    <dxf>
      <font>
        <strike val="0"/>
        <outline val="0"/>
        <shadow val="0"/>
        <u val="none"/>
        <vertAlign val="baseline"/>
        <sz val="11"/>
        <color auto="1"/>
        <name val="Calibri"/>
        <scheme val="minor"/>
      </font>
      <protection locked="1" hidden="1"/>
    </dxf>
    <dxf>
      <font>
        <b val="0"/>
        <i val="0"/>
        <strike val="0"/>
        <condense val="0"/>
        <extend val="0"/>
        <outline val="0"/>
        <shadow val="0"/>
        <u val="none"/>
        <vertAlign val="baseline"/>
        <sz val="9"/>
        <color auto="1"/>
        <name val="Calibri"/>
        <scheme val="none"/>
      </font>
      <fill>
        <patternFill patternType="solid">
          <fgColor indexed="64"/>
          <bgColor rgb="FFFFFF00"/>
        </patternFill>
      </fill>
      <alignment horizontal="center" textRotation="0" indent="0" justifyLastLine="0" shrinkToFit="0" readingOrder="0"/>
      <protection locked="1" hidden="1"/>
    </dxf>
    <dxf>
      <font>
        <b val="0"/>
        <i val="0"/>
        <strike val="0"/>
        <condense val="0"/>
        <extend val="0"/>
        <outline val="0"/>
        <shadow val="0"/>
        <u val="none"/>
        <vertAlign val="baseline"/>
        <sz val="9"/>
        <color auto="1"/>
        <name val="Arial"/>
        <scheme val="none"/>
      </font>
      <numFmt numFmtId="1" formatCode="0"/>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i val="0"/>
        <strike val="0"/>
        <condense val="0"/>
        <extend val="0"/>
        <outline val="0"/>
        <shadow val="0"/>
        <u val="none"/>
        <vertAlign val="baseline"/>
        <sz val="9"/>
        <color auto="1"/>
        <name val="Calibri"/>
        <scheme val="none"/>
      </font>
      <numFmt numFmtId="3" formatCode="#,##0"/>
      <fill>
        <patternFill patternType="solid">
          <fgColor rgb="FFA5A5A5"/>
          <bgColor rgb="FFFFFF00"/>
        </patternFill>
      </fill>
      <alignment horizontal="center" vertical="center" textRotation="0" wrapText="0" indent="0" justifyLastLine="0" shrinkToFit="0" readingOrder="0"/>
      <border diagonalUp="0" diagonalDown="0">
        <left/>
        <right style="thin">
          <color rgb="FF000000"/>
        </right>
        <top style="thin">
          <color rgb="FF000000"/>
        </top>
        <bottom/>
        <vertical/>
        <horizontal/>
      </border>
      <protection locked="1" hidden="1"/>
    </dxf>
    <dxf>
      <font>
        <b/>
        <i val="0"/>
        <strike val="0"/>
        <condense val="0"/>
        <extend val="0"/>
        <outline val="0"/>
        <shadow val="0"/>
        <u val="none"/>
        <vertAlign val="baseline"/>
        <sz val="9"/>
        <color auto="1"/>
        <name val="Calibri"/>
        <scheme val="none"/>
      </font>
      <numFmt numFmtId="3" formatCode="#,##0"/>
      <fill>
        <patternFill patternType="solid">
          <fgColor rgb="FFD8D8D8"/>
          <bgColor rgb="FFFFFF00"/>
        </patternFill>
      </fill>
      <alignment horizontal="center" vertical="center" textRotation="0" wrapText="0" indent="0" justifyLastLine="0" shrinkToFit="0" readingOrder="0"/>
      <border diagonalUp="0" diagonalDown="0">
        <left style="thin">
          <color rgb="FF000000"/>
        </left>
        <right style="medium">
          <color rgb="FF000000"/>
        </right>
        <top style="thin">
          <color rgb="FF000000"/>
        </top>
        <bottom/>
        <vertical/>
        <horizontal/>
      </border>
      <protection locked="1" hidden="1"/>
    </dxf>
    <dxf>
      <font>
        <b val="0"/>
        <i val="0"/>
        <strike val="0"/>
        <condense val="0"/>
        <extend val="0"/>
        <outline val="0"/>
        <shadow val="0"/>
        <u val="none"/>
        <vertAlign val="baseline"/>
        <sz val="9"/>
        <color auto="1"/>
        <name val="Calibri"/>
        <scheme val="none"/>
      </font>
      <numFmt numFmtId="3" formatCode="#,##0"/>
      <fill>
        <patternFill patternType="solid">
          <fgColor indexed="64"/>
          <bgColor rgb="FFFFFF00"/>
        </patternFill>
      </fill>
      <alignment horizontal="center" vertical="center" textRotation="0" wrapText="1" indent="0" justifyLastLine="0" shrinkToFit="0" readingOrder="0"/>
      <border diagonalUp="0" diagonalDown="0">
        <left style="thin">
          <color rgb="FF000000"/>
        </left>
        <right/>
        <top style="thin">
          <color rgb="FF000000"/>
        </top>
        <bottom/>
        <vertical/>
        <horizontal/>
      </border>
      <protection locked="1" hidden="1"/>
    </dxf>
    <dxf>
      <font>
        <b val="0"/>
        <i val="0"/>
        <strike val="0"/>
        <condense val="0"/>
        <extend val="0"/>
        <outline val="0"/>
        <shadow val="0"/>
        <u val="none"/>
        <vertAlign val="baseline"/>
        <sz val="9"/>
        <color auto="1"/>
        <name val="Calibri"/>
        <scheme val="none"/>
      </font>
      <numFmt numFmtId="3" formatCode="#,##0"/>
      <fill>
        <patternFill patternType="solid">
          <fgColor indexed="64"/>
          <bgColor rgb="FFFFFF00"/>
        </patternFill>
      </fill>
      <alignment horizontal="center" vertical="center" textRotation="0" wrapText="1" indent="0" justifyLastLine="0" shrinkToFit="0" readingOrder="0"/>
      <border diagonalUp="0" diagonalDown="0">
        <left style="thin">
          <color rgb="FF000000"/>
        </left>
        <right/>
        <top style="thin">
          <color rgb="FF000000"/>
        </top>
        <bottom/>
        <vertical/>
        <horizontal/>
      </border>
      <protection locked="1" hidden="1"/>
    </dxf>
    <dxf>
      <font>
        <b val="0"/>
        <i val="0"/>
        <strike val="0"/>
        <condense val="0"/>
        <extend val="0"/>
        <outline val="0"/>
        <shadow val="0"/>
        <u val="none"/>
        <vertAlign val="baseline"/>
        <sz val="9"/>
        <color auto="1"/>
        <name val="Dialog"/>
        <scheme val="none"/>
      </font>
      <numFmt numFmtId="3" formatCode="#,##0"/>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Calibri"/>
        <scheme val="none"/>
      </font>
      <numFmt numFmtId="3" formatCode="#,##0"/>
      <fill>
        <patternFill patternType="solid">
          <fgColor rgb="FFFFFFFF"/>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Calibri"/>
        <scheme val="none"/>
      </font>
      <numFmt numFmtId="3" formatCode="#,##0"/>
      <fill>
        <patternFill patternType="solid">
          <fgColor rgb="FFFFFFFF"/>
          <bgColor rgb="FFFFFF00"/>
        </patternFill>
      </fill>
      <alignment horizontal="center" vertical="center" textRotation="0" wrapText="0" indent="0" justifyLastLine="0" shrinkToFit="0" readingOrder="0"/>
      <border diagonalUp="0" diagonalDown="0">
        <left style="medium">
          <color rgb="FF000000"/>
        </left>
        <right style="thin">
          <color rgb="FF000000"/>
        </right>
        <top style="thin">
          <color rgb="FF000000"/>
        </top>
        <bottom/>
        <vertical/>
        <horizontal/>
      </border>
      <protection locked="1" hidden="1"/>
    </dxf>
    <dxf>
      <font>
        <b/>
        <i val="0"/>
        <strike val="0"/>
        <condense val="0"/>
        <extend val="0"/>
        <outline val="0"/>
        <shadow val="0"/>
        <u val="none"/>
        <vertAlign val="baseline"/>
        <sz val="9"/>
        <color auto="1"/>
        <name val="Calibri"/>
        <scheme val="none"/>
      </font>
      <numFmt numFmtId="3" formatCode="#,##0"/>
      <fill>
        <patternFill patternType="solid">
          <fgColor rgb="FFD8D8D8"/>
          <bgColor rgb="FFFFFF00"/>
        </patternFill>
      </fill>
      <alignment horizontal="center" vertical="center" textRotation="0" wrapText="0" indent="0" justifyLastLine="0" shrinkToFit="0" readingOrder="0"/>
      <border diagonalUp="0" diagonalDown="0">
        <left style="thin">
          <color rgb="FF000000"/>
        </left>
        <right style="medium">
          <color rgb="FF000000"/>
        </right>
        <top style="thin">
          <color rgb="FF000000"/>
        </top>
        <bottom/>
        <vertical/>
        <horizontal/>
      </border>
      <protection locked="1" hidden="1"/>
    </dxf>
    <dxf>
      <font>
        <b val="0"/>
        <i val="0"/>
        <strike val="0"/>
        <condense val="0"/>
        <extend val="0"/>
        <outline val="0"/>
        <shadow val="0"/>
        <u val="none"/>
        <vertAlign val="baseline"/>
        <sz val="9"/>
        <color auto="1"/>
        <name val="Calibri"/>
        <scheme val="none"/>
      </font>
      <numFmt numFmtId="3" formatCode="#,##0"/>
      <fill>
        <patternFill patternType="solid">
          <fgColor rgb="FFFFFF00"/>
          <bgColor rgb="FFFFFF00"/>
        </patternFill>
      </fill>
      <alignment horizontal="center" vertical="center" textRotation="0" wrapText="0" indent="0" justifyLastLine="0" shrinkToFit="0" readingOrder="0"/>
      <border diagonalUp="0" diagonalDown="0">
        <left style="thin">
          <color rgb="FF000000"/>
        </left>
        <right/>
        <top style="thin">
          <color rgb="FF000000"/>
        </top>
        <bottom/>
        <vertical/>
        <horizontal/>
      </border>
      <protection locked="1" hidden="1"/>
    </dxf>
    <dxf>
      <font>
        <b val="0"/>
        <i val="0"/>
        <strike val="0"/>
        <condense val="0"/>
        <extend val="0"/>
        <outline val="0"/>
        <shadow val="0"/>
        <u val="none"/>
        <vertAlign val="baseline"/>
        <sz val="9"/>
        <color auto="1"/>
        <name val="Calibri"/>
        <scheme val="none"/>
      </font>
      <numFmt numFmtId="3" formatCode="#,##0"/>
      <fill>
        <patternFill patternType="solid">
          <fgColor rgb="FFFFFF00"/>
          <bgColor rgb="FFFFFF00"/>
        </patternFill>
      </fill>
      <alignment horizontal="center" vertical="center" textRotation="0" wrapText="0" indent="0" justifyLastLine="0" shrinkToFit="0" readingOrder="0"/>
      <border diagonalUp="0" diagonalDown="0">
        <left style="thin">
          <color rgb="FF000000"/>
        </left>
        <right/>
        <top style="thin">
          <color rgb="FF000000"/>
        </top>
        <bottom/>
        <vertical/>
        <horizontal/>
      </border>
      <protection locked="1" hidden="1"/>
    </dxf>
    <dxf>
      <font>
        <b val="0"/>
        <i val="0"/>
        <strike val="0"/>
        <condense val="0"/>
        <extend val="0"/>
        <outline val="0"/>
        <shadow val="0"/>
        <u val="none"/>
        <vertAlign val="baseline"/>
        <sz val="9"/>
        <color auto="1"/>
        <name val="Dialog"/>
        <scheme val="none"/>
      </font>
      <numFmt numFmtId="3" formatCode="#,##0"/>
      <fill>
        <patternFill patternType="solid">
          <fgColor rgb="FFFFFFFF"/>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Dialog"/>
        <scheme val="none"/>
      </font>
      <numFmt numFmtId="3" formatCode="#,##0"/>
      <fill>
        <patternFill patternType="solid">
          <fgColor rgb="FFFFFFFF"/>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Dialog"/>
        <scheme val="none"/>
      </font>
      <numFmt numFmtId="3" formatCode="#,##0"/>
      <fill>
        <patternFill patternType="solid">
          <fgColor rgb="FFFFFFFF"/>
          <bgColor rgb="FFFFFF00"/>
        </patternFill>
      </fill>
      <alignment horizontal="center" vertical="center" textRotation="0" wrapText="0" indent="0" justifyLastLine="0" shrinkToFit="0" readingOrder="0"/>
      <border diagonalUp="0" diagonalDown="0">
        <left style="medium">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general" vertical="center" textRotation="0" wrapText="0" indent="0" justifyLastLine="0" shrinkToFit="0" readingOrder="0"/>
      <border diagonalUp="0" diagonalDown="0">
        <left style="thin">
          <color rgb="FF000000"/>
        </left>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left"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numFmt numFmtId="0" formatCode="General"/>
      <fill>
        <patternFill patternType="solid">
          <fgColor indexed="64"/>
          <bgColor rgb="FFFFFF0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left"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numFmt numFmtId="1" formatCode="0"/>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numFmt numFmtId="1" formatCode="0"/>
      <fill>
        <patternFill patternType="solid">
          <fgColor indexed="64"/>
          <bgColor rgb="FFFFFF0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numFmt numFmtId="1" formatCode="0"/>
      <fill>
        <patternFill patternType="solid">
          <fgColor indexed="64"/>
          <bgColor rgb="FFFFFF0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auto="1"/>
        <name val="Arial"/>
        <scheme val="none"/>
      </font>
      <fill>
        <patternFill patternType="solid">
          <fgColor rgb="FFFFFFFF"/>
          <bgColor rgb="FFFFFFFF"/>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1"/>
    </dxf>
    <dxf>
      <font>
        <b val="0"/>
        <i val="0"/>
        <strike val="0"/>
        <condense val="0"/>
        <extend val="0"/>
        <outline val="0"/>
        <shadow val="0"/>
        <u val="none"/>
        <vertAlign val="baseline"/>
        <sz val="9"/>
        <color auto="1"/>
        <name val="Arial"/>
        <scheme val="none"/>
      </font>
      <numFmt numFmtId="0" formatCode="General"/>
      <fill>
        <patternFill patternType="solid">
          <fgColor rgb="FFFFFFFF"/>
          <bgColor rgb="FFFFFF00"/>
        </patternFill>
      </fill>
      <alignment horizontal="center" vertical="center" textRotation="0" wrapText="0" indent="0" justifyLastLine="0" shrinkToFit="0" readingOrder="0"/>
      <border diagonalUp="0" diagonalDown="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indexed="8"/>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rgb="FF000000"/>
        <name val="Dialog"/>
        <scheme val="none"/>
      </font>
      <fill>
        <patternFill patternType="solid">
          <fgColor rgb="FFFFFF00"/>
          <bgColor rgb="FFFFFF00"/>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protection locked="1" hidden="1"/>
    </dxf>
    <dxf>
      <font>
        <b val="0"/>
        <i val="0"/>
        <strike val="0"/>
        <condense val="0"/>
        <extend val="0"/>
        <outline val="0"/>
        <shadow val="0"/>
        <u val="none"/>
        <vertAlign val="baseline"/>
        <sz val="9"/>
        <color indexed="8"/>
        <name val="Calibri"/>
        <scheme val="minor"/>
      </font>
      <fill>
        <patternFill patternType="solid">
          <fgColor rgb="FFFFFF00"/>
          <bgColor rgb="FFFFFF00"/>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1" hidden="1"/>
    </dxf>
    <dxf>
      <font>
        <b val="0"/>
        <i val="0"/>
        <strike val="0"/>
        <condense val="0"/>
        <extend val="0"/>
        <outline val="0"/>
        <shadow val="0"/>
        <u val="none"/>
        <vertAlign val="baseline"/>
        <sz val="9"/>
        <color rgb="FF000000"/>
        <name val="Dialog"/>
        <scheme val="none"/>
      </font>
      <fill>
        <patternFill patternType="solid">
          <fgColor rgb="FFFFFF00"/>
          <bgColor rgb="FFFFFF00"/>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vertical/>
        <horizontal/>
      </border>
      <protection locked="1" hidden="1"/>
    </dxf>
    <dxf>
      <font>
        <sz val="9"/>
        <color indexed="8"/>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vertical/>
        <horizontal/>
      </border>
      <protection locked="1" hidden="1"/>
    </dxf>
    <dxf>
      <border outline="0">
        <bottom style="thin">
          <color indexed="64"/>
        </bottom>
      </border>
    </dxf>
    <dxf>
      <font>
        <b/>
        <i val="0"/>
        <strike val="0"/>
        <condense val="0"/>
        <extend val="0"/>
        <outline val="0"/>
        <shadow val="0"/>
        <u val="none"/>
        <vertAlign val="baseline"/>
        <sz val="9"/>
        <color auto="1"/>
        <name val="Calibri"/>
        <scheme val="minor"/>
      </font>
      <numFmt numFmtId="3" formatCode="#,##0"/>
      <fill>
        <patternFill patternType="solid">
          <fgColor indexed="64"/>
          <bgColor theme="0" tint="-4.9989318521683403E-2"/>
        </patternFill>
      </fill>
      <alignment horizontal="center" vertical="center" textRotation="90" wrapText="1" indent="0" justifyLastLine="0" shrinkToFit="0" readingOrder="0"/>
      <border diagonalUp="0" diagonalDown="0">
        <left style="thin">
          <color indexed="64"/>
        </left>
        <right style="thin">
          <color indexed="64"/>
        </right>
        <top/>
        <bottom/>
      </border>
      <protection locked="1" hidden="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alignment horizontal="center" vertical="center" textRotation="0" wrapText="1" indent="0" justifyLastLine="0" shrinkToFit="0" readingOrder="0"/>
      <protection locked="0" hidden="0"/>
    </dxf>
    <dxf>
      <font>
        <b/>
      </font>
      <alignment horizontal="center" vertical="center" textRotation="0" wrapText="1" indent="0" justifyLastLine="0" shrinkToFit="0" readingOrder="0"/>
      <protection locked="0" hidden="0"/>
    </dxf>
    <dxf>
      <font>
        <b val="0"/>
      </font>
      <numFmt numFmtId="0" formatCode="General"/>
      <alignment horizontal="center" vertical="center" textRotation="0" wrapText="1" indent="0" justifyLastLine="0" shrinkToFit="0" readingOrder="0"/>
      <border>
        <left style="thin">
          <color indexed="64"/>
        </left>
      </border>
      <protection locked="0" hidden="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1"/>
    </dxf>
    <dxf>
      <font>
        <b/>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border>
      <protection locked="0" hidden="0"/>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alignment horizontal="center" vertical="center" textRotation="0" wrapText="1" indent="0" justifyLastLine="0" shrinkToFit="0" readingOrder="0"/>
      <protection locked="0" hidden="0"/>
    </dxf>
    <dxf>
      <font>
        <b val="0"/>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1"/>
    </dxf>
    <dxf>
      <font>
        <b/>
        <i val="0"/>
        <strike val="0"/>
        <condense val="0"/>
        <extend val="0"/>
        <outline val="0"/>
        <shadow val="0"/>
        <u val="none"/>
        <vertAlign val="baseline"/>
        <sz val="11"/>
        <color theme="1"/>
        <name val="Calibri"/>
        <scheme val="minor"/>
      </font>
      <numFmt numFmtId="177" formatCode="h:mm:ss;@"/>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77" formatCode="h:mm:ss;@"/>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0" hidden="0"/>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border>
      <protection locked="1" hidden="1"/>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indexed="64"/>
        </bottom>
      </border>
      <protection locked="1" hidden="1"/>
    </dxf>
    <dxf>
      <border outline="0">
        <top style="thin">
          <color auto="1"/>
        </top>
      </border>
    </dxf>
    <dxf>
      <border outline="0">
        <left style="thin">
          <color indexed="64"/>
        </left>
        <right style="thin">
          <color indexed="64"/>
        </right>
        <top style="thin">
          <color auto="1"/>
        </top>
        <bottom style="thin">
          <color auto="1"/>
        </bottom>
      </border>
    </dxf>
    <dxf>
      <font>
        <b/>
      </font>
      <alignment horizontal="center" vertical="center" textRotation="0" wrapText="1" indent="0" justifyLastLine="0" shrinkToFit="0" readingOrder="0"/>
      <protection locked="0" hidden="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1"/>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s>
  <tableStyles count="0" defaultTableStyle="TableStyleMedium2" defaultPivotStyle="PivotStyleLight16"/>
  <colors>
    <mruColors>
      <color rgb="FFFFFFCC"/>
      <color rgb="FF8FAFD5"/>
      <color rgb="FF008080"/>
      <color rgb="FFFFFF00"/>
      <color rgb="FF009999"/>
      <color rgb="FF6893C6"/>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896980</xdr:colOff>
      <xdr:row>0</xdr:row>
      <xdr:rowOff>179469</xdr:rowOff>
    </xdr:from>
    <xdr:to>
      <xdr:col>1</xdr:col>
      <xdr:colOff>647700</xdr:colOff>
      <xdr:row>1</xdr:row>
      <xdr:rowOff>50800</xdr:rowOff>
    </xdr:to>
    <xdr:pic>
      <xdr:nvPicPr>
        <xdr:cNvPr id="4" name="3 Image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6980" y="179469"/>
          <a:ext cx="1427120" cy="557131"/>
        </a:xfrm>
        <a:prstGeom prst="rect">
          <a:avLst/>
        </a:prstGeom>
      </xdr:spPr>
    </xdr:pic>
    <xdr:clientData/>
  </xdr:twoCellAnchor>
  <xdr:oneCellAnchor>
    <xdr:from>
      <xdr:col>9</xdr:col>
      <xdr:colOff>1797838</xdr:colOff>
      <xdr:row>0</xdr:row>
      <xdr:rowOff>119066</xdr:rowOff>
    </xdr:from>
    <xdr:ext cx="1344214" cy="953466"/>
    <xdr:sp macro="" textlink="">
      <xdr:nvSpPr>
        <xdr:cNvPr id="6" name="5 CuadroTexto">
          <a:extLst>
            <a:ext uri="{FF2B5EF4-FFF2-40B4-BE49-F238E27FC236}">
              <a16:creationId xmlns:a16="http://schemas.microsoft.com/office/drawing/2014/main" id="{00000000-0008-0000-0000-000006000000}"/>
            </a:ext>
          </a:extLst>
        </xdr:cNvPr>
        <xdr:cNvSpPr txBox="1"/>
      </xdr:nvSpPr>
      <xdr:spPr>
        <a:xfrm>
          <a:off x="17430744" y="119066"/>
          <a:ext cx="1344214"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100" b="1"/>
            <a:t>1 = Cumple</a:t>
          </a:r>
        </a:p>
        <a:p>
          <a:r>
            <a:rPr lang="es-CO" sz="1100" b="1"/>
            <a:t>0 = No</a:t>
          </a:r>
          <a:r>
            <a:rPr lang="es-CO" sz="1100" b="1" baseline="0"/>
            <a:t> Cumple</a:t>
          </a:r>
        </a:p>
        <a:p>
          <a:r>
            <a:rPr lang="es-CO" sz="1100" b="1" baseline="0"/>
            <a:t>NA = No Aplica</a:t>
          </a:r>
        </a:p>
        <a:p>
          <a:r>
            <a:rPr lang="es-CO" sz="1100" b="1" baseline="0"/>
            <a:t>NO = No Observado</a:t>
          </a:r>
        </a:p>
        <a:p>
          <a:endParaRPr lang="es-CO" sz="1100" b="1"/>
        </a:p>
      </xdr:txBody>
    </xdr:sp>
    <xdr:clientData/>
  </xdr:oneCellAnchor>
  <xdr:twoCellAnchor>
    <xdr:from>
      <xdr:col>7</xdr:col>
      <xdr:colOff>2619374</xdr:colOff>
      <xdr:row>0</xdr:row>
      <xdr:rowOff>130970</xdr:rowOff>
    </xdr:from>
    <xdr:to>
      <xdr:col>8</xdr:col>
      <xdr:colOff>362701</xdr:colOff>
      <xdr:row>1</xdr:row>
      <xdr:rowOff>26113</xdr:rowOff>
    </xdr:to>
    <xdr:pic>
      <xdr:nvPicPr>
        <xdr:cNvPr id="5" name="3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68312" y="130970"/>
          <a:ext cx="1208045" cy="657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QUIPO/Dropbox/FORMATOS/SED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DES"/>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4" displayName="Tabla4" ref="A5:AAC6" totalsRowShown="0" headerRowDxfId="761" dataDxfId="759" headerRowBorderDxfId="760" tableBorderDxfId="758" totalsRowBorderDxfId="757">
  <autoFilter ref="A5:AAC6" xr:uid="{00000000-0009-0000-0100-000002000000}"/>
  <tableColumns count="705">
    <tableColumn id="2" xr3:uid="{00000000-0010-0000-0000-000002000000}" name="Columna1" dataDxfId="756"/>
    <tableColumn id="3" xr3:uid="{00000000-0010-0000-0000-000003000000}" name="Columna2" dataDxfId="755"/>
    <tableColumn id="4" xr3:uid="{00000000-0010-0000-0000-000004000000}" name="Columna3" dataDxfId="754"/>
    <tableColumn id="5" xr3:uid="{00000000-0010-0000-0000-000005000000}" name="Columna4" dataDxfId="753"/>
    <tableColumn id="158" xr3:uid="{00000000-0010-0000-0000-00009E000000}" name="Columna5" dataDxfId="752">
      <calculatedColumnFormula>IFERROR(VLOOKUP(D6,Tabla1[],5,FALSE),"Dato")</calculatedColumnFormula>
    </tableColumn>
    <tableColumn id="10" xr3:uid="{00000000-0010-0000-0000-00000A000000}" name="Columna6" dataDxfId="751">
      <calculatedColumnFormula>IFERROR(VLOOKUP(D6,Tabla1[],6,FALSE),"Dato")</calculatedColumnFormula>
    </tableColumn>
    <tableColumn id="6" xr3:uid="{00000000-0010-0000-0000-000006000000}" name="Columna7" dataDxfId="750">
      <calculatedColumnFormula>IFERROR(VLOOKUP(D6,Tabla1[],9,FALSE),"Dato")</calculatedColumnFormula>
    </tableColumn>
    <tableColumn id="7" xr3:uid="{00000000-0010-0000-0000-000007000000}" name="Columna8" dataDxfId="749">
      <calculatedColumnFormula>IFERROR(VLOOKUP(D6,Tabla1[],8,FALSE),"Sin Dato")</calculatedColumnFormula>
    </tableColumn>
    <tableColumn id="8" xr3:uid="{00000000-0010-0000-0000-000008000000}" name="Columna9" dataDxfId="748">
      <calculatedColumnFormula>IFERROR(VLOOKUP(D6,Tabla1[],10,FALSE),"Sin Dato")</calculatedColumnFormula>
    </tableColumn>
    <tableColumn id="9" xr3:uid="{00000000-0010-0000-0000-000009000000}" name="Columna10" dataDxfId="747"/>
    <tableColumn id="689" xr3:uid="{00000000-0010-0000-0000-0000B1020000}" name="Columna11" dataDxfId="746"/>
    <tableColumn id="690" xr3:uid="{00000000-0010-0000-0000-0000B2020000}" name="Columna12" dataDxfId="745"/>
    <tableColumn id="11" xr3:uid="{00000000-0010-0000-0000-00000B000000}" name="Columna13" dataDxfId="744">
      <calculatedColumnFormula>IFERROR(VLOOKUP(D6,Tabla1[],25,FALSE),"Sin Dato")</calculatedColumnFormula>
    </tableColumn>
    <tableColumn id="12" xr3:uid="{00000000-0010-0000-0000-00000C000000}" name="Columna14" dataDxfId="743">
      <calculatedColumnFormula>IFERROR(VLOOKUP(D6,Tabla1[],19,FALSE),"Sin Dato")</calculatedColumnFormula>
    </tableColumn>
    <tableColumn id="13" xr3:uid="{00000000-0010-0000-0000-00000D000000}" name="Columna15" dataDxfId="742"/>
    <tableColumn id="14" xr3:uid="{00000000-0010-0000-0000-00000E000000}" name="Columna16" dataDxfId="741"/>
    <tableColumn id="15" xr3:uid="{00000000-0010-0000-0000-00000F000000}" name="Columna17" dataDxfId="740"/>
    <tableColumn id="16" xr3:uid="{00000000-0010-0000-0000-000010000000}" name="Columna18" dataDxfId="739"/>
    <tableColumn id="17" xr3:uid="{00000000-0010-0000-0000-000011000000}" name="Columna19" dataDxfId="738"/>
    <tableColumn id="716" xr3:uid="{F0387E50-B9F5-41E0-8BB0-F8E0F5FEE4B6}" name="Columna20" dataDxfId="737"/>
    <tableColumn id="715" xr3:uid="{5A8F1241-1865-437B-B3D5-980538807C5A}" name="Columna21" dataDxfId="736"/>
    <tableColumn id="234" xr3:uid="{00000000-0010-0000-0000-0000EA000000}" name="Columna22" dataDxfId="735"/>
    <tableColumn id="238" xr3:uid="{00000000-0010-0000-0000-0000EE000000}" name="Columna23" dataDxfId="734"/>
    <tableColumn id="233" xr3:uid="{00000000-0010-0000-0000-0000E9000000}" name="Columna24" dataDxfId="733"/>
    <tableColumn id="224" xr3:uid="{00000000-0010-0000-0000-0000E0000000}" name="Columna25" dataDxfId="732"/>
    <tableColumn id="691" xr3:uid="{00000000-0010-0000-0000-0000B3020000}" name="Columna26" dataDxfId="731">
      <calculatedColumnFormula>IFERROR(VLOOKUP(D6,Tabla1[],15,FALSE),"Sin Dato")</calculatedColumnFormula>
    </tableColumn>
    <tableColumn id="239" xr3:uid="{00000000-0010-0000-0000-0000EF000000}" name="Columna27" dataDxfId="730"/>
    <tableColumn id="240" xr3:uid="{00000000-0010-0000-0000-0000F0000000}" name="Columna28" dataDxfId="729"/>
    <tableColumn id="241" xr3:uid="{00000000-0010-0000-0000-0000F1000000}" name="Columna29" dataDxfId="728"/>
    <tableColumn id="717" xr3:uid="{E9AE59EB-3FCE-4C11-AFA3-2676A14F4C08}" name="Columna30" dataDxfId="727"/>
    <tableColumn id="718" xr3:uid="{CBD91E21-A49B-4FC5-82A5-AA07895DA7D0}" name="Columna31" dataDxfId="726"/>
    <tableColumn id="721" xr3:uid="{46C769C4-0C96-466C-8ACD-7D0DBBD54ABB}" name="Columna32" dataDxfId="725"/>
    <tableColumn id="243" xr3:uid="{00000000-0010-0000-0000-0000F3000000}" name="Columna33" dataDxfId="724"/>
    <tableColumn id="244" xr3:uid="{00000000-0010-0000-0000-0000F4000000}" name="Columna34" dataDxfId="723"/>
    <tableColumn id="18" xr3:uid="{00000000-0010-0000-0000-000012000000}" name="Columna35" dataDxfId="722"/>
    <tableColumn id="252" xr3:uid="{00000000-0010-0000-0000-0000FC000000}" name="Columna36" dataDxfId="721">
      <calculatedColumnFormula>IFERROR(VLOOKUP(AI6,Tabla3[],3,FALSE),"Sin Dato")</calculatedColumnFormula>
    </tableColumn>
    <tableColumn id="692" xr3:uid="{00000000-0010-0000-0000-0000B4020000}" name="Columna37" dataDxfId="720">
      <calculatedColumnFormula>IFERROR(VLOOKUP(AI6,Tabla3[],4,FALSE),"Sin Dato")</calculatedColumnFormula>
    </tableColumn>
    <tableColumn id="212" xr3:uid="{00000000-0010-0000-0000-0000D4000000}" name="Columna38" dataDxfId="719">
      <calculatedColumnFormula>IFERROR(VLOOKUP(AI6,Tabla3[],2,FALSE),"Sin Dato")</calculatedColumnFormula>
    </tableColumn>
    <tableColumn id="19" xr3:uid="{00000000-0010-0000-0000-000013000000}" name="Columna39" dataDxfId="718"/>
    <tableColumn id="27" xr3:uid="{00000000-0010-0000-0000-00001B000000}" name="Columna40" dataDxfId="717"/>
    <tableColumn id="22" xr3:uid="{00000000-0010-0000-0000-000016000000}" name="Columna41" dataDxfId="716"/>
    <tableColumn id="724" xr3:uid="{F8B109F5-A31E-4F8A-997D-96E110DA8A51}" name="Columna42" dataDxfId="715"/>
    <tableColumn id="723" xr3:uid="{01D2CBD8-E3E3-4908-A909-6AF72C297E0A}" name="Columna43" dataDxfId="714"/>
    <tableColumn id="722" xr3:uid="{7C7A0334-F95E-4653-B9A1-0FD6ADD513AC}" name="Columna44" dataDxfId="713"/>
    <tableColumn id="24" xr3:uid="{00000000-0010-0000-0000-000018000000}" name="Columna45" dataDxfId="712"/>
    <tableColumn id="28" xr3:uid="{00000000-0010-0000-0000-00001C000000}" name="Columna46" dataDxfId="711">
      <calculatedColumnFormula>COUNTIF(Tabla4[[#This Row],[Columna41]:[Columna45]],"&gt;=0")</calculatedColumnFormula>
    </tableColumn>
    <tableColumn id="29" xr3:uid="{00000000-0010-0000-0000-00001D000000}" name="Columna47" dataDxfId="710">
      <calculatedColumnFormula>SUM(Tabla4[[#This Row],[Columna41]:[Columna45]])</calculatedColumnFormula>
    </tableColumn>
    <tableColumn id="30" xr3:uid="{00000000-0010-0000-0000-00001E000000}" name="Columna48" dataDxfId="709" dataCellStyle="Porcentaje">
      <calculatedColumnFormula>IFERROR((AU6/AT6)*100,"NA")</calculatedColumnFormula>
    </tableColumn>
    <tableColumn id="31" xr3:uid="{00000000-0010-0000-0000-00001F000000}" name="Columna49" dataDxfId="708">
      <calculatedColumnFormula>IF(AV6&lt;&gt;"NA",IF(AV6&lt;60,"No Cumple",IF(AV6&lt;=94.99,"Cumple Parcialmente",IF(AV6&gt;=95,"Cumple",""))),CELL("contenido",AV6))</calculatedColumnFormula>
    </tableColumn>
    <tableColumn id="32" xr3:uid="{00000000-0010-0000-0000-000020000000}" name="Columna50" dataDxfId="707"/>
    <tableColumn id="735" xr3:uid="{32CEDBFE-0BA2-4D5B-AA2B-FEFCF1FD13F6}" name="Columna51" dataDxfId="706"/>
    <tableColumn id="736" xr3:uid="{70DC1D27-F041-4863-8873-D6A204AFDA37}" name="Columna52" dataDxfId="705"/>
    <tableColumn id="738" xr3:uid="{67820DF9-60CF-46AA-B247-EBBFDB2A9A28}" name="Columna53" dataDxfId="704"/>
    <tableColumn id="739" xr3:uid="{D4B456BD-3CC4-4687-85A8-889A89486B92}" name="Columna54" dataDxfId="703"/>
    <tableColumn id="737" xr3:uid="{C7A13369-728B-4A9D-A0ED-F85EC4D1A71E}" name="Columna55" dataDxfId="702"/>
    <tableColumn id="729" xr3:uid="{27F1CC40-556D-4F8F-A98A-3B0A4699FBD6}" name="Columna56" dataDxfId="701"/>
    <tableColumn id="730" xr3:uid="{CB97C0C7-0366-44A0-96B0-5ADAC4285CDD}" name="Columna57" dataDxfId="700"/>
    <tableColumn id="728" xr3:uid="{C27723C0-06CD-4C47-81B0-2ECBB557E91A}" name="Columna58" dataDxfId="699"/>
    <tableColumn id="742" xr3:uid="{C6BC0870-F4FB-4FE8-A397-10FC0715974B}" name="Columna59" dataDxfId="698">
      <calculatedColumnFormula>COUNTIF(Tabla4[[#This Row],[Columna50]:[Columna58]],"&gt;=0")</calculatedColumnFormula>
    </tableColumn>
    <tableColumn id="743" xr3:uid="{D3EA1546-B092-4014-8968-F47B1A355163}" name="Columna60" dataDxfId="697">
      <calculatedColumnFormula>SUM(Tabla4[[#This Row],[Columna50]:[Columna58]])</calculatedColumnFormula>
    </tableColumn>
    <tableColumn id="741" xr3:uid="{521FB727-CBA4-4F6A-B66D-8EC9009BA8EA}" name="Columna61" dataDxfId="696" dataCellStyle="Porcentaje">
      <calculatedColumnFormula>IFERROR((BH6/BG6)*100,"NA")</calculatedColumnFormula>
    </tableColumn>
    <tableColumn id="740" xr3:uid="{F4702C32-8DB9-4040-A9BD-A30E02D32A24}" name="Columna62" dataDxfId="695">
      <calculatedColumnFormula>IF(BI6&lt;&gt;"NA",IF(BI6&lt;60,"No Cumple",IF(BI6&lt;=94.99,"Cumple Parcialmente",IF(BI6&gt;=95,"Cumple",""))),CELL("contenido",BI6))</calculatedColumnFormula>
    </tableColumn>
    <tableColumn id="727" xr3:uid="{DE247770-9DC3-4E6B-B3E6-FEFB04719BDC}" name="Columna63" dataDxfId="694"/>
    <tableColumn id="34" xr3:uid="{00000000-0010-0000-0000-000022000000}" name="Columna64" dataDxfId="693"/>
    <tableColumn id="744" xr3:uid="{C22E8D9C-0C5A-4911-ABD1-969B01608EB8}" name="Columna65" dataDxfId="692"/>
    <tableColumn id="745" xr3:uid="{07466E2C-63F2-4ACE-8CB9-EE6929378766}" name="Columna66" dataDxfId="691"/>
    <tableColumn id="747" xr3:uid="{615AD746-12B1-4B0C-84EC-5B6600B5738E}" name="Columna67" dataDxfId="690"/>
    <tableColumn id="748" xr3:uid="{DBF8CA2A-5809-422D-9664-A7CF45F994DB}" name="Columna68" dataDxfId="689"/>
    <tableColumn id="746" xr3:uid="{4294AC2C-161B-43EB-B680-2AA04286F8EB}" name="Columna69" dataDxfId="688"/>
    <tableColumn id="36" xr3:uid="{00000000-0010-0000-0000-000024000000}" name="Columna70" dataDxfId="687"/>
    <tableColumn id="38" xr3:uid="{00000000-0010-0000-0000-000026000000}" name="Columna71" dataDxfId="686"/>
    <tableColumn id="40" xr3:uid="{00000000-0010-0000-0000-000028000000}" name="Columna72" dataDxfId="685"/>
    <tableColumn id="48" xr3:uid="{00000000-0010-0000-0000-000030000000}" name="Columna73" dataDxfId="684">
      <calculatedColumnFormula>COUNTIF(Tabla4[[#This Row],[Columna63]:[Columna72]],"&gt;=0")</calculatedColumnFormula>
    </tableColumn>
    <tableColumn id="49" xr3:uid="{00000000-0010-0000-0000-000031000000}" name="Columna74" dataDxfId="683">
      <calculatedColumnFormula>SUM(Tabla4[[#This Row],[Columna63]:[Columna72]])</calculatedColumnFormula>
    </tableColumn>
    <tableColumn id="50" xr3:uid="{00000000-0010-0000-0000-000032000000}" name="Columna75" dataDxfId="682" dataCellStyle="Porcentaje">
      <calculatedColumnFormula>IFERROR((BV6/BU6)*100,"NA")</calculatedColumnFormula>
    </tableColumn>
    <tableColumn id="51" xr3:uid="{00000000-0010-0000-0000-000033000000}" name="Columna76" dataDxfId="681">
      <calculatedColumnFormula>IF(BW6&lt;&gt;"NA",IF(BW6&lt;60,"No Cumple",IF(BW6&lt;=94.99,"Cumple Parcialmente",IF(BW6&gt;=95,"Cumple",""))),CELL("contenido",BW6))</calculatedColumnFormula>
    </tableColumn>
    <tableColumn id="52" xr3:uid="{00000000-0010-0000-0000-000034000000}" name="Columna77" dataDxfId="680"/>
    <tableColumn id="54" xr3:uid="{00000000-0010-0000-0000-000036000000}" name="Columna78" dataDxfId="679"/>
    <tableColumn id="56" xr3:uid="{00000000-0010-0000-0000-000038000000}" name="Columna79" dataDxfId="678"/>
    <tableColumn id="58" xr3:uid="{00000000-0010-0000-0000-00003A000000}" name="Columna80" dataDxfId="677"/>
    <tableColumn id="60" xr3:uid="{00000000-0010-0000-0000-00003C000000}" name="Columna81" dataDxfId="676"/>
    <tableColumn id="62" xr3:uid="{00000000-0010-0000-0000-00003E000000}" name="Columna82" dataDxfId="675"/>
    <tableColumn id="64" xr3:uid="{00000000-0010-0000-0000-000040000000}" name="Columna83" dataDxfId="674"/>
    <tableColumn id="66" xr3:uid="{00000000-0010-0000-0000-000042000000}" name="Columna84" dataDxfId="673"/>
    <tableColumn id="42" xr3:uid="{00000000-0010-0000-0000-00002A000000}" name="Columna85" dataDxfId="672"/>
    <tableColumn id="72" xr3:uid="{00000000-0010-0000-0000-000048000000}" name="Columna86" dataDxfId="671">
      <calculatedColumnFormula>COUNTIF(Tabla4[[#This Row],[Columna77]:[Columna85]],"&gt;=0")</calculatedColumnFormula>
    </tableColumn>
    <tableColumn id="73" xr3:uid="{00000000-0010-0000-0000-000049000000}" name="Columna87" dataDxfId="670">
      <calculatedColumnFormula>SUM(Tabla4[[#This Row],[Columna77]:[Columna85]])</calculatedColumnFormula>
    </tableColumn>
    <tableColumn id="74" xr3:uid="{00000000-0010-0000-0000-00004A000000}" name="Columna88" dataDxfId="669" dataCellStyle="Porcentaje">
      <calculatedColumnFormula>IFERROR((CI6/CH6)*100,"NA")</calculatedColumnFormula>
    </tableColumn>
    <tableColumn id="75" xr3:uid="{00000000-0010-0000-0000-00004B000000}" name="Columna89" dataDxfId="668">
      <calculatedColumnFormula>IF(CJ6&lt;&gt;"NA",IF(CJ6&lt;60,"No Cumple",IF(CJ6&lt;=94.99,"Cumple Parcialmente",IF(CJ6&gt;=95,"Cumple",""))),CELL("contenido",CJ6))</calculatedColumnFormula>
    </tableColumn>
    <tableColumn id="88" xr3:uid="{00000000-0010-0000-0000-000058000000}" name="Columna90" dataDxfId="667"/>
    <tableColumn id="90" xr3:uid="{00000000-0010-0000-0000-00005A000000}" name="Columna91" dataDxfId="666"/>
    <tableColumn id="92" xr3:uid="{00000000-0010-0000-0000-00005C000000}" name="Columna92" dataDxfId="665"/>
    <tableColumn id="300" xr3:uid="{00000000-0010-0000-0000-00002C010000}" name="Columna93" dataDxfId="664">
      <calculatedColumnFormula>COUNTIF(Tabla4[[#This Row],[Columna90]:[Columna92]],"&gt;=0")</calculatedColumnFormula>
    </tableColumn>
    <tableColumn id="299" xr3:uid="{00000000-0010-0000-0000-00002B010000}" name="Columna94" dataDxfId="663">
      <calculatedColumnFormula>SUM(Tabla4[[#This Row],[Columna90]:[Columna92]])</calculatedColumnFormula>
    </tableColumn>
    <tableColumn id="298" xr3:uid="{00000000-0010-0000-0000-00002A010000}" name="Columna95" dataDxfId="662" dataCellStyle="Porcentaje">
      <calculatedColumnFormula>IFERROR((CP6/CO6)*100,"NA")</calculatedColumnFormula>
    </tableColumn>
    <tableColumn id="297" xr3:uid="{00000000-0010-0000-0000-000029010000}" name="Columna96" dataDxfId="661">
      <calculatedColumnFormula>IF(CQ6&lt;&gt;"NA",IF(CQ6&lt;60,"No Cumple",IF(CQ6&lt;=94.99,"Cumple Parcialmente",IF(CQ6&gt;=95,"Cumple",""))),CELL("contenido",CQ6))</calculatedColumnFormula>
    </tableColumn>
    <tableColumn id="94" xr3:uid="{00000000-0010-0000-0000-00005E000000}" name="Columna97" dataDxfId="660"/>
    <tableColumn id="755" xr3:uid="{323550A1-0966-465C-B953-C0130465FCAB}" name="Columna98" dataDxfId="659"/>
    <tableColumn id="756" xr3:uid="{D450E54A-6BD7-4534-A4F6-717574CC6580}" name="Columna99" dataDxfId="658"/>
    <tableColumn id="757" xr3:uid="{C27B06A0-45BE-47F6-8042-C37C33AA8FAA}" name="Columna100" dataDxfId="657"/>
    <tableColumn id="758" xr3:uid="{DE025B5F-AA89-44DD-BAC8-C968305423E8}" name="Columna101" dataDxfId="656"/>
    <tableColumn id="759" xr3:uid="{3CB31183-138B-4BDD-A980-7E99109484EE}" name="Columna102" dataDxfId="655"/>
    <tableColumn id="760" xr3:uid="{E15B47AD-F7C6-4CFB-8AE2-2405267BE83D}" name="Columna103" dataDxfId="654"/>
    <tableColumn id="761" xr3:uid="{9ABD7995-7BD2-4649-9905-14BEAFAFF0C6}" name="Columna104" dataDxfId="653"/>
    <tableColumn id="752" xr3:uid="{E743670E-1430-4167-991B-4893909079B6}" name="Columna105" dataDxfId="652"/>
    <tableColumn id="753" xr3:uid="{7CA54DF6-E1CD-4A8A-89EB-51C8E1B4FBCC}" name="Columna106" dataDxfId="651"/>
    <tableColumn id="754" xr3:uid="{B8F593DC-C2A0-4863-A7F3-A100193DCAFD}" name="Columna107" dataDxfId="650"/>
    <tableColumn id="750" xr3:uid="{37956FAC-D450-4BBF-8815-9A4D683F4F73}" name="Columna108" dataDxfId="649"/>
    <tableColumn id="751" xr3:uid="{CDA4DD3D-B76D-4566-82DD-316D20A42903}" name="Columna109" dataDxfId="648"/>
    <tableColumn id="749" xr3:uid="{25918DAD-6E28-4B98-BF70-9F29CA55117A}" name="Columna110" dataDxfId="647"/>
    <tableColumn id="96" xr3:uid="{00000000-0010-0000-0000-000060000000}" name="Columna111" dataDxfId="646"/>
    <tableColumn id="106" xr3:uid="{00000000-0010-0000-0000-00006A000000}" name="Columna112" dataDxfId="645">
      <calculatedColumnFormula>COUNTIF(Tabla4[[#This Row],[Columna97]:[Columna111]],"&gt;=0")</calculatedColumnFormula>
    </tableColumn>
    <tableColumn id="107" xr3:uid="{00000000-0010-0000-0000-00006B000000}" name="Columna113" dataDxfId="644">
      <calculatedColumnFormula>SUM(Tabla4[[#This Row],[Columna97]:[Columna111]])</calculatedColumnFormula>
    </tableColumn>
    <tableColumn id="108" xr3:uid="{00000000-0010-0000-0000-00006C000000}" name="Columna114" dataDxfId="643" dataCellStyle="Porcentaje">
      <calculatedColumnFormula>IFERROR((DI6/DH6)*100,"NA")</calculatedColumnFormula>
    </tableColumn>
    <tableColumn id="109" xr3:uid="{00000000-0010-0000-0000-00006D000000}" name="Columna115" dataDxfId="642">
      <calculatedColumnFormula>IF(DJ6&lt;&gt;"NA",IF(DJ6&lt;60,"No Cumple",IF(DJ6&lt;=94.99,"Cumple Parcialmente",IF(DJ6&gt;=95,"Cumple",""))),CELL("contenido",DJ6))</calculatedColumnFormula>
    </tableColumn>
    <tableColumn id="110" xr3:uid="{00000000-0010-0000-0000-00006E000000}" name="Columna116" dataDxfId="641"/>
    <tableColumn id="762" xr3:uid="{F114080F-0475-4293-95B5-4036BFD885B4}" name="Columna117" dataDxfId="640"/>
    <tableColumn id="112" xr3:uid="{00000000-0010-0000-0000-000070000000}" name="Columna118" dataDxfId="639"/>
    <tableColumn id="126" xr3:uid="{00000000-0010-0000-0000-00007E000000}" name="Columna119" dataDxfId="638">
      <calculatedColumnFormula>COUNTIF(Tabla4[[#This Row],[Columna116]:[Columna118]],"&gt;=0")</calculatedColumnFormula>
    </tableColumn>
    <tableColumn id="127" xr3:uid="{00000000-0010-0000-0000-00007F000000}" name="Columna120" dataDxfId="637">
      <calculatedColumnFormula>SUM(Tabla4[[#This Row],[Columna116]:[Columna118]])</calculatedColumnFormula>
    </tableColumn>
    <tableColumn id="128" xr3:uid="{00000000-0010-0000-0000-000080000000}" name="Columna121" dataDxfId="636" dataCellStyle="Porcentaje">
      <calculatedColumnFormula>IFERROR((DP6/DO6)*100,"NA")</calculatedColumnFormula>
    </tableColumn>
    <tableColumn id="129" xr3:uid="{00000000-0010-0000-0000-000081000000}" name="Columna122" dataDxfId="635">
      <calculatedColumnFormula>IF(DQ6&lt;&gt;"NA",IF(DQ6&lt;60,"No Cumple",IF(DQ6&lt;=94.99,"Cumple Parcialmente",IF(DQ6&gt;=95,"Cumple",""))),CELL("contenido",DQ6))</calculatedColumnFormula>
    </tableColumn>
    <tableColumn id="130" xr3:uid="{00000000-0010-0000-0000-000082000000}" name="Columna123" dataDxfId="634"/>
    <tableColumn id="132" xr3:uid="{00000000-0010-0000-0000-000084000000}" name="Columna124" dataDxfId="633"/>
    <tableColumn id="134" xr3:uid="{00000000-0010-0000-0000-000086000000}" name="Columna125" dataDxfId="632"/>
    <tableColumn id="136" xr3:uid="{00000000-0010-0000-0000-000088000000}" name="Columna126" dataDxfId="631"/>
    <tableColumn id="160" xr3:uid="{00000000-0010-0000-0000-0000A0000000}" name="Columna127" dataDxfId="630">
      <calculatedColumnFormula>COUNTIF(Tabla4[[#This Row],[Columna123]:[Columna126]],"&gt;=0")</calculatedColumnFormula>
    </tableColumn>
    <tableColumn id="161" xr3:uid="{00000000-0010-0000-0000-0000A1000000}" name="Columna128" dataDxfId="629">
      <calculatedColumnFormula>SUM(Tabla4[[#This Row],[Columna123]:[Columna126]])</calculatedColumnFormula>
    </tableColumn>
    <tableColumn id="162" xr3:uid="{00000000-0010-0000-0000-0000A2000000}" name="Columna129" dataDxfId="628" dataCellStyle="Porcentaje">
      <calculatedColumnFormula>IFERROR((DX6/DW6)*100,"NA")</calculatedColumnFormula>
    </tableColumn>
    <tableColumn id="163" xr3:uid="{00000000-0010-0000-0000-0000A3000000}" name="Columna130" dataDxfId="627">
      <calculatedColumnFormula>IF(DY6&lt;&gt;"NA",IF(DY6&lt;60,"No Cumple",IF(DY6&lt;=94.99,"Cumple Parcialmente",IF(DY6&gt;=95,"Cumple",""))),CELL("contenido",DY6))</calculatedColumnFormula>
    </tableColumn>
    <tableColumn id="164" xr3:uid="{00000000-0010-0000-0000-0000A4000000}" name="Columna131" dataDxfId="626"/>
    <tableColumn id="766" xr3:uid="{ADEA4C54-EFCE-4CE3-9A3F-F236E33F6307}" name="Columna132" dataDxfId="625"/>
    <tableColumn id="767" xr3:uid="{3E2A52FD-1116-438E-A903-256400370C41}" name="Columna133" dataDxfId="624"/>
    <tableColumn id="764" xr3:uid="{92372B09-FB21-4AC1-B71A-6CB2A516AA51}" name="Columna134" dataDxfId="623"/>
    <tableColumn id="765" xr3:uid="{B3F9C04C-1890-44B3-B94A-FF54140EDB3D}" name="Columna135" dataDxfId="622"/>
    <tableColumn id="763" xr3:uid="{5CD94A2F-7569-4EE7-9C8D-E6784262AD2C}" name="Columna136" dataDxfId="621"/>
    <tableColumn id="166" xr3:uid="{00000000-0010-0000-0000-0000A6000000}" name="Columna137" dataDxfId="620"/>
    <tableColumn id="170" xr3:uid="{00000000-0010-0000-0000-0000AA000000}" name="Columna138" dataDxfId="619">
      <calculatedColumnFormula>COUNTIF(Tabla4[[#This Row],[Columna131]:[Columna137]],"&gt;=0")</calculatedColumnFormula>
    </tableColumn>
    <tableColumn id="171" xr3:uid="{00000000-0010-0000-0000-0000AB000000}" name="Columna139" dataDxfId="618">
      <calculatedColumnFormula>SUM(Tabla4[[#This Row],[Columna131]:[Columna137]])</calculatedColumnFormula>
    </tableColumn>
    <tableColumn id="172" xr3:uid="{00000000-0010-0000-0000-0000AC000000}" name="Columna140" dataDxfId="617" dataCellStyle="Porcentaje">
      <calculatedColumnFormula>IFERROR((EI6/EH6)*100,"NA")</calculatedColumnFormula>
    </tableColumn>
    <tableColumn id="173" xr3:uid="{00000000-0010-0000-0000-0000AD000000}" name="Columna141" dataDxfId="616">
      <calculatedColumnFormula>IF(EJ6&lt;&gt;"NA",IF(EJ6&lt;60,"No Cumple",IF(EJ6&lt;=94.99,"Cumple Parcialmente",IF(EJ6&gt;=95,"Cumple",""))),CELL("contenido",EJ6))</calculatedColumnFormula>
    </tableColumn>
    <tableColumn id="174" xr3:uid="{00000000-0010-0000-0000-0000AE000000}" name="Columna142" dataDxfId="615"/>
    <tableColumn id="176" xr3:uid="{00000000-0010-0000-0000-0000B0000000}" name="Columna143" dataDxfId="614"/>
    <tableColumn id="180" xr3:uid="{00000000-0010-0000-0000-0000B4000000}" name="Columna144" dataDxfId="613">
      <calculatedColumnFormula>COUNTIF(Tabla4[[#This Row],[Columna142]:[Columna143]],"&gt;=0")</calculatedColumnFormula>
    </tableColumn>
    <tableColumn id="181" xr3:uid="{00000000-0010-0000-0000-0000B5000000}" name="Columna145" dataDxfId="612">
      <calculatedColumnFormula>SUM(Tabla4[[#This Row],[Columna142]:[Columna143]])</calculatedColumnFormula>
    </tableColumn>
    <tableColumn id="182" xr3:uid="{00000000-0010-0000-0000-0000B6000000}" name="Columna146" dataDxfId="611" dataCellStyle="Porcentaje">
      <calculatedColumnFormula>IFERROR((EO6/EN6)*100,"NA")</calculatedColumnFormula>
    </tableColumn>
    <tableColumn id="183" xr3:uid="{00000000-0010-0000-0000-0000B7000000}" name="Columna147" dataDxfId="610">
      <calculatedColumnFormula>IF(EP6&lt;&gt;"NA",IF(EP6&lt;60,"No Cumple",IF(EP6&lt;=94.99,"Cumple Parcialmente",IF(EP6&gt;=95,"Cumple",""))),CELL("contenido",EP6))</calculatedColumnFormula>
    </tableColumn>
    <tableColumn id="184" xr3:uid="{00000000-0010-0000-0000-0000B8000000}" name="Columna148" dataDxfId="609"/>
    <tableColumn id="186" xr3:uid="{00000000-0010-0000-0000-0000BA000000}" name="Columna149" dataDxfId="608"/>
    <tableColumn id="188" xr3:uid="{00000000-0010-0000-0000-0000BC000000}" name="Columna150" dataDxfId="607"/>
    <tableColumn id="190" xr3:uid="{00000000-0010-0000-0000-0000BE000000}" name="Columna151" dataDxfId="606"/>
    <tableColumn id="192" xr3:uid="{00000000-0010-0000-0000-0000C0000000}" name="Columna152" dataDxfId="605"/>
    <tableColumn id="194" xr3:uid="{00000000-0010-0000-0000-0000C2000000}" name="Columna153" dataDxfId="604"/>
    <tableColumn id="196" xr3:uid="{00000000-0010-0000-0000-0000C4000000}" name="Columna154" dataDxfId="603"/>
    <tableColumn id="204" xr3:uid="{00000000-0010-0000-0000-0000CC000000}" name="Columna155" dataDxfId="602">
      <calculatedColumnFormula>COUNTIF(Tabla4[[#This Row],[Columna148]:[Columna154]],"&gt;=0")</calculatedColumnFormula>
    </tableColumn>
    <tableColumn id="205" xr3:uid="{00000000-0010-0000-0000-0000CD000000}" name="Columna156" dataDxfId="601">
      <calculatedColumnFormula>SUM(Tabla4[[#This Row],[Columna148]:[Columna154]])</calculatedColumnFormula>
    </tableColumn>
    <tableColumn id="206" xr3:uid="{00000000-0010-0000-0000-0000CE000000}" name="Columna157" dataDxfId="600" dataCellStyle="Porcentaje">
      <calculatedColumnFormula>IFERROR((EZ6/EY6)*100,"NA")</calculatedColumnFormula>
    </tableColumn>
    <tableColumn id="207" xr3:uid="{00000000-0010-0000-0000-0000CF000000}" name="Columna158" dataDxfId="599">
      <calculatedColumnFormula>IF(FA6&lt;&gt;"NA",IF(FA6&lt;60,"No Cumple",IF(FA6&lt;=94.99,"Cumple Parcialmente",IF(FA6&gt;=95,"Cumple",""))),CELL("contenido",FA6))</calculatedColumnFormula>
    </tableColumn>
    <tableColumn id="71" xr3:uid="{00000000-0010-0000-0000-000047000000}" name="Columna159" dataDxfId="598"/>
    <tableColumn id="768" xr3:uid="{EA52E906-0EEA-43B8-9782-1E0D052D68A1}" name="Columna160" dataDxfId="597"/>
    <tableColumn id="771" xr3:uid="{7FCAD6B8-058B-490A-B1E5-0448B27C8B7D}" name="Columna161" dataDxfId="596"/>
    <tableColumn id="769" xr3:uid="{3ECB9319-7D9E-4EBF-BF06-F440876FA27B}" name="Columna162" dataDxfId="595"/>
    <tableColumn id="770" xr3:uid="{8D7D4BFA-245C-4F2B-AE3F-CF332B7F3F3A}" name="Columna163" dataDxfId="594"/>
    <tableColumn id="100" xr3:uid="{00000000-0010-0000-0000-000064000000}" name="Columna164" dataDxfId="593"/>
    <tableColumn id="98" xr3:uid="{00000000-0010-0000-0000-000062000000}" name="Columna165" dataDxfId="592"/>
    <tableColumn id="69" xr3:uid="{00000000-0010-0000-0000-000045000000}" name="Columna166" dataDxfId="591"/>
    <tableColumn id="105" xr3:uid="{00000000-0010-0000-0000-000069000000}" name="Columna167" dataDxfId="590">
      <calculatedColumnFormula>COUNTIF(Tabla4[[#This Row],[Columna159]:[Columna166]],"&gt;=0")</calculatedColumnFormula>
    </tableColumn>
    <tableColumn id="104" xr3:uid="{00000000-0010-0000-0000-000068000000}" name="Columna168" dataDxfId="589">
      <calculatedColumnFormula>SUM(Tabla4[[#This Row],[Columna159]:[Columna166]])</calculatedColumnFormula>
    </tableColumn>
    <tableColumn id="103" xr3:uid="{00000000-0010-0000-0000-000067000000}" name="Columna169" dataDxfId="588" dataCellStyle="Porcentaje">
      <calculatedColumnFormula>IFERROR((FL6/FK6)*100,"NA")</calculatedColumnFormula>
    </tableColumn>
    <tableColumn id="102" xr3:uid="{00000000-0010-0000-0000-000066000000}" name="Columna170" dataDxfId="587">
      <calculatedColumnFormula>IF(FM6&lt;&gt;"NA",IF(FM6&lt;60,"No Cumple",IF(FM6&lt;=94.99,"Cumple Parcialmente",IF(FM6&gt;=95,"Cumple",""))),CELL("contenido",FM6))</calculatedColumnFormula>
    </tableColumn>
    <tableColumn id="327" xr3:uid="{00000000-0010-0000-0000-000047010000}" name="Columna171" dataDxfId="586"/>
    <tableColumn id="323" xr3:uid="{00000000-0010-0000-0000-000043010000}" name="Columna172" dataDxfId="585"/>
    <tableColumn id="325" xr3:uid="{00000000-0010-0000-0000-000045010000}" name="Columna173" dataDxfId="584"/>
    <tableColumn id="319" xr3:uid="{00000000-0010-0000-0000-00003F010000}" name="Columna174" dataDxfId="583"/>
    <tableColumn id="321" xr3:uid="{00000000-0010-0000-0000-000041010000}" name="Columna175" dataDxfId="582"/>
    <tableColumn id="317" xr3:uid="{00000000-0010-0000-0000-00003D010000}" name="Columna176" dataDxfId="581">
      <calculatedColumnFormula>COUNTIF(Tabla4[[#This Row],[Columna171]:[Columna175]],"&gt;=0")</calculatedColumnFormula>
    </tableColumn>
    <tableColumn id="318" xr3:uid="{00000000-0010-0000-0000-00003E010000}" name="Columna177" dataDxfId="580">
      <calculatedColumnFormula>SUM(Tabla4[[#This Row],[Columna171]:[Columna175]])</calculatedColumnFormula>
    </tableColumn>
    <tableColumn id="316" xr3:uid="{00000000-0010-0000-0000-00003C010000}" name="Columna178" dataDxfId="579" dataCellStyle="Porcentaje">
      <calculatedColumnFormula>IFERROR((FU6/FT6)*100,"NA")</calculatedColumnFormula>
    </tableColumn>
    <tableColumn id="315" xr3:uid="{00000000-0010-0000-0000-00003B010000}" name="Columna179" dataDxfId="578">
      <calculatedColumnFormula>IF(FV6&lt;&gt;"NA",IF(FV6&lt;60,"No Cumple",IF(FV6&lt;=94.99,"Cumple Parcialmente",IF(FV6&gt;=95,"Cumple",""))),CELL("contenido",FV6))</calculatedColumnFormula>
    </tableColumn>
    <tableColumn id="772" xr3:uid="{BE4DD1CE-A57E-4FC0-8FBE-747EEE69EFA3}" name="Columna180" dataDxfId="577"/>
    <tableColumn id="781" xr3:uid="{729A8A62-FBC2-4526-AA44-928D37FB711C}" name="Columna181" dataDxfId="576"/>
    <tableColumn id="782" xr3:uid="{C6861F75-BD7E-49D4-B128-6A50A6BF3068}" name="Columna182" dataDxfId="575"/>
    <tableColumn id="777" xr3:uid="{DA7BE2BA-4938-4819-AC18-40CDFEDEE9FA}" name="Columna183" dataDxfId="574"/>
    <tableColumn id="778" xr3:uid="{44BBB7DE-30C0-49FD-88BB-CD4183D9DD1D}" name="Columna184" dataDxfId="573"/>
    <tableColumn id="779" xr3:uid="{B0D7E792-2EBA-4253-9A4B-AC0154593836}" name="Columna185" dataDxfId="572"/>
    <tableColumn id="780" xr3:uid="{F022C734-C113-4C55-9DDF-0753184427F6}" name="Columna186" dataDxfId="571"/>
    <tableColumn id="775" xr3:uid="{30DDCBBB-1184-4EAF-AC95-741C8F602243}" name="Columna187" dataDxfId="570"/>
    <tableColumn id="776" xr3:uid="{4B1AF888-0D24-4737-B3ED-0B96FEFF0362}" name="Columna188" dataDxfId="569"/>
    <tableColumn id="774" xr3:uid="{7739239B-D947-4BBD-A5CF-A5914CE30A72}" name="Columna189" dataDxfId="568"/>
    <tableColumn id="773" xr3:uid="{E1F24341-1B53-4662-96D2-97D474EA6937}" name="Columna190" dataDxfId="567"/>
    <tableColumn id="391" xr3:uid="{00000000-0010-0000-0000-000087010000}" name="Columna191" dataDxfId="566"/>
    <tableColumn id="393" xr3:uid="{00000000-0010-0000-0000-000089010000}" name="Columna192" dataDxfId="565"/>
    <tableColumn id="395" xr3:uid="{00000000-0010-0000-0000-00008B010000}" name="Columna193" dataDxfId="564"/>
    <tableColumn id="397" xr3:uid="{00000000-0010-0000-0000-00008D010000}" name="Columna194" dataDxfId="563"/>
    <tableColumn id="399" xr3:uid="{00000000-0010-0000-0000-00008F010000}" name="Columna195" dataDxfId="562"/>
    <tableColumn id="381" xr3:uid="{00000000-0010-0000-0000-00007D010000}" name="Columna196" dataDxfId="561"/>
    <tableColumn id="383" xr3:uid="{00000000-0010-0000-0000-00007F010000}" name="Columna197" dataDxfId="560"/>
    <tableColumn id="385" xr3:uid="{00000000-0010-0000-0000-000081010000}" name="Columna198" dataDxfId="559"/>
    <tableColumn id="387" xr3:uid="{00000000-0010-0000-0000-000083010000}" name="Columna199" dataDxfId="558"/>
    <tableColumn id="389" xr3:uid="{00000000-0010-0000-0000-000085010000}" name="Columna200" dataDxfId="557"/>
    <tableColumn id="371" xr3:uid="{00000000-0010-0000-0000-000073010000}" name="Columna201" dataDxfId="556"/>
    <tableColumn id="373" xr3:uid="{00000000-0010-0000-0000-000075010000}" name="Columna202" dataDxfId="555"/>
    <tableColumn id="375" xr3:uid="{00000000-0010-0000-0000-000077010000}" name="Columna203" dataDxfId="554"/>
    <tableColumn id="377" xr3:uid="{00000000-0010-0000-0000-000079010000}" name="Columna204" dataDxfId="553"/>
    <tableColumn id="379" xr3:uid="{00000000-0010-0000-0000-00007B010000}" name="Columna205" dataDxfId="552"/>
    <tableColumn id="361" xr3:uid="{00000000-0010-0000-0000-000069010000}" name="Columna206" dataDxfId="551"/>
    <tableColumn id="363" xr3:uid="{00000000-0010-0000-0000-00006B010000}" name="Columna207" dataDxfId="550"/>
    <tableColumn id="365" xr3:uid="{00000000-0010-0000-0000-00006D010000}" name="Columna208" dataDxfId="549"/>
    <tableColumn id="367" xr3:uid="{00000000-0010-0000-0000-00006F010000}" name="Columna209" dataDxfId="548"/>
    <tableColumn id="369" xr3:uid="{00000000-0010-0000-0000-000071010000}" name="Columna210" dataDxfId="547"/>
    <tableColumn id="351" xr3:uid="{00000000-0010-0000-0000-00005F010000}" name="Columna211" dataDxfId="546"/>
    <tableColumn id="353" xr3:uid="{00000000-0010-0000-0000-000061010000}" name="Columna212" dataDxfId="545"/>
    <tableColumn id="355" xr3:uid="{00000000-0010-0000-0000-000063010000}" name="Columna213" dataDxfId="544"/>
    <tableColumn id="357" xr3:uid="{00000000-0010-0000-0000-000065010000}" name="Columna214" dataDxfId="543"/>
    <tableColumn id="359" xr3:uid="{00000000-0010-0000-0000-000067010000}" name="Columna215" dataDxfId="542"/>
    <tableColumn id="341" xr3:uid="{00000000-0010-0000-0000-000055010000}" name="Columna216" dataDxfId="541"/>
    <tableColumn id="343" xr3:uid="{00000000-0010-0000-0000-000057010000}" name="Columna217" dataDxfId="540"/>
    <tableColumn id="345" xr3:uid="{00000000-0010-0000-0000-000059010000}" name="Columna218" dataDxfId="539"/>
    <tableColumn id="347" xr3:uid="{00000000-0010-0000-0000-00005B010000}" name="Columna219" dataDxfId="538"/>
    <tableColumn id="349" xr3:uid="{00000000-0010-0000-0000-00005D010000}" name="Columna220" dataDxfId="537"/>
    <tableColumn id="339" xr3:uid="{00000000-0010-0000-0000-000053010000}" name="Columna221" dataDxfId="536"/>
    <tableColumn id="337" xr3:uid="{00000000-0010-0000-0000-000051010000}" name="Columna222" dataDxfId="535"/>
    <tableColumn id="333" xr3:uid="{00000000-0010-0000-0000-00004D010000}" name="Columna223" dataDxfId="534"/>
    <tableColumn id="335" xr3:uid="{00000000-0010-0000-0000-00004F010000}" name="Columna224" dataDxfId="533"/>
    <tableColumn id="331" xr3:uid="{00000000-0010-0000-0000-00004B010000}" name="Columna225" dataDxfId="532">
      <calculatedColumnFormula>COUNTIF(Tabla4[[#This Row],[Columna191]:[Columna224]],"&gt;=0")</calculatedColumnFormula>
    </tableColumn>
    <tableColumn id="332" xr3:uid="{00000000-0010-0000-0000-00004C010000}" name="Columna226" dataDxfId="531">
      <calculatedColumnFormula>SUM(Tabla4[[#This Row],[Columna191]:[Columna224]])</calculatedColumnFormula>
    </tableColumn>
    <tableColumn id="330" xr3:uid="{00000000-0010-0000-0000-00004A010000}" name="Columna227" dataDxfId="530" dataCellStyle="Porcentaje">
      <calculatedColumnFormula>IFERROR((HR6/HQ6)*100,"NA")</calculatedColumnFormula>
    </tableColumn>
    <tableColumn id="329" xr3:uid="{00000000-0010-0000-0000-000049010000}" name="Columna228" dataDxfId="529">
      <calculatedColumnFormula>IF(HS6&lt;&gt;"NA",IF(HS6&lt;60,"No Cumple",IF(HS6&lt;=94.99,"Cumple Parcialmente",IF(HS6&gt;=95,"Cumple",""))),CELL("contenido",HS6))</calculatedColumnFormula>
    </tableColumn>
    <tableColumn id="208" xr3:uid="{00000000-0010-0000-0000-0000D0000000}" name="Columna229" dataDxfId="528">
      <calculatedColumnFormula>SUM(Tabla4[[#This Row],[Columna46]],Tabla4[[#This Row],[Columna59]],Tabla4[[#This Row],[Columna73]],Tabla4[[#This Row],[Columna86]],Tabla4[[#This Row],[Columna93]],Tabla4[[#This Row],[Columna112]],Tabla4[[#This Row],[Columna119]],Tabla4[[#This Row],[Columna127]],Tabla4[[#This Row],[Columna138]],Tabla4[[#This Row],[Columna144]],Tabla4[[#This Row],[Columna155]],Tabla4[[#This Row],[Columna167]],Tabla4[[#This Row],[Columna176]],Tabla4[[#This Row],[Columna225]])</calculatedColumnFormula>
    </tableColumn>
    <tableColumn id="209" xr3:uid="{00000000-0010-0000-0000-0000D1000000}" name="Columna230" dataDxfId="527" dataCellStyle="Porcentaje">
      <calculatedColumnFormula>SUM(Tabla4[[#This Row],[Columna47]],Tabla4[[#This Row],[Columna60]],Tabla4[[#This Row],[Columna74]],Tabla4[[#This Row],[Columna87]],Tabla4[[#This Row],[Columna94]],Tabla4[[#This Row],[Columna113]],Tabla4[[#This Row],[Columna120]],Tabla4[[#This Row],[Columna128]],Tabla4[[#This Row],[Columna139]],Tabla4[[#This Row],[Columna145]],Tabla4[[#This Row],[Columna156]],Tabla4[[#This Row],[Columna168]],Tabla4[[#This Row],[Columna177]],Tabla4[[#This Row],[Columna226]])</calculatedColumnFormula>
    </tableColumn>
    <tableColumn id="210" xr3:uid="{00000000-0010-0000-0000-0000D2000000}" name="Columna231" dataDxfId="526" dataCellStyle="Porcentaje">
      <calculatedColumnFormula>IFERROR((HV6/HU6)*100,"NA")</calculatedColumnFormula>
    </tableColumn>
    <tableColumn id="211" xr3:uid="{00000000-0010-0000-0000-0000D3000000}" name="Columna232" dataDxfId="525">
      <calculatedColumnFormula>IF(HW6&lt;&gt;"NA",IF(HW6&lt;60,"No Cumple",IF(HW6&lt;=94.99,"Cumple Parcialmente",IF(HW6&gt;=95,"Cumple",""))),CELL("contenido",HW6))</calculatedColumnFormula>
    </tableColumn>
    <tableColumn id="401" xr3:uid="{00000000-0010-0000-0000-000091010000}" name="Columna233" dataDxfId="524"/>
    <tableColumn id="402" xr3:uid="{00000000-0010-0000-0000-000092010000}" name="Columna234" dataDxfId="523"/>
    <tableColumn id="403" xr3:uid="{00000000-0010-0000-0000-000093010000}" name="Columna235" dataDxfId="522"/>
    <tableColumn id="404" xr3:uid="{00000000-0010-0000-0000-000094010000}" name="Columna236" dataDxfId="521"/>
    <tableColumn id="785" xr3:uid="{AB92F1BB-695A-436F-9358-3673E4E9270B}" name="Columna237" dataDxfId="520"/>
    <tableColumn id="784" xr3:uid="{7190F282-4303-43DB-97CE-7F6927B8213E}" name="Columna238" dataDxfId="519"/>
    <tableColumn id="405" xr3:uid="{00000000-0010-0000-0000-000095010000}" name="Columna239" dataDxfId="518"/>
    <tableColumn id="406" xr3:uid="{00000000-0010-0000-0000-000096010000}" name="Columna240" dataDxfId="517"/>
    <tableColumn id="407" xr3:uid="{00000000-0010-0000-0000-000097010000}" name="Columna241" dataDxfId="516"/>
    <tableColumn id="408" xr3:uid="{00000000-0010-0000-0000-000098010000}" name="Columna242" dataDxfId="515"/>
    <tableColumn id="409" xr3:uid="{00000000-0010-0000-0000-000099010000}" name="Columna243" dataDxfId="514"/>
    <tableColumn id="410" xr3:uid="{00000000-0010-0000-0000-00009A010000}" name="Columna244" dataDxfId="513"/>
    <tableColumn id="411" xr3:uid="{00000000-0010-0000-0000-00009B010000}" name="Columna245" dataDxfId="512"/>
    <tableColumn id="412" xr3:uid="{00000000-0010-0000-0000-00009C010000}" name="Columna246" dataDxfId="511"/>
    <tableColumn id="787" xr3:uid="{38E805D4-566F-4EF7-BD2E-55E0AA43BF6E}" name="Columna247" dataDxfId="510"/>
    <tableColumn id="786" xr3:uid="{FC14BF52-F2AC-49D8-A054-63369953E683}" name="Columna248" dataDxfId="509"/>
    <tableColumn id="413" xr3:uid="{00000000-0010-0000-0000-00009D010000}" name="Columna249" dataDxfId="508"/>
    <tableColumn id="414" xr3:uid="{00000000-0010-0000-0000-00009E010000}" name="Columna250" dataDxfId="507"/>
    <tableColumn id="415" xr3:uid="{00000000-0010-0000-0000-00009F010000}" name="Columna251" dataDxfId="506"/>
    <tableColumn id="416" xr3:uid="{00000000-0010-0000-0000-0000A0010000}" name="Columna252" dataDxfId="505"/>
    <tableColumn id="417" xr3:uid="{00000000-0010-0000-0000-0000A1010000}" name="Columna253" dataDxfId="504"/>
    <tableColumn id="418" xr3:uid="{00000000-0010-0000-0000-0000A2010000}" name="Columna254" dataDxfId="503"/>
    <tableColumn id="419" xr3:uid="{00000000-0010-0000-0000-0000A3010000}" name="Columna255" dataDxfId="502"/>
    <tableColumn id="420" xr3:uid="{00000000-0010-0000-0000-0000A4010000}" name="Columna256" dataDxfId="501"/>
    <tableColumn id="421" xr3:uid="{00000000-0010-0000-0000-0000A5010000}" name="Columna257" dataDxfId="500"/>
    <tableColumn id="789" xr3:uid="{C46667FF-6714-46F8-AF16-3F63CA3B24BC}" name="Columna258" dataDxfId="499"/>
    <tableColumn id="788" xr3:uid="{40BEB275-2C3A-46FF-81C9-38F193DBBB32}" name="Columna259" dataDxfId="498"/>
    <tableColumn id="422" xr3:uid="{00000000-0010-0000-0000-0000A6010000}" name="Columna260" dataDxfId="497"/>
    <tableColumn id="423" xr3:uid="{00000000-0010-0000-0000-0000A7010000}" name="Columna261" dataDxfId="496"/>
    <tableColumn id="424" xr3:uid="{00000000-0010-0000-0000-0000A8010000}" name="Columna262" dataDxfId="495"/>
    <tableColumn id="425" xr3:uid="{00000000-0010-0000-0000-0000A9010000}" name="Columna263" dataDxfId="494"/>
    <tableColumn id="426" xr3:uid="{00000000-0010-0000-0000-0000AA010000}" name="Columna264" dataDxfId="493"/>
    <tableColumn id="427" xr3:uid="{00000000-0010-0000-0000-0000AB010000}" name="Columna265" dataDxfId="492"/>
    <tableColumn id="428" xr3:uid="{00000000-0010-0000-0000-0000AC010000}" name="Columna266" dataDxfId="491"/>
    <tableColumn id="429" xr3:uid="{00000000-0010-0000-0000-0000AD010000}" name="Columna267" dataDxfId="490"/>
    <tableColumn id="790" xr3:uid="{0F8D3B35-6478-4CAC-8A66-375EC47CBF51}" name="Columna268" dataDxfId="489"/>
    <tableColumn id="791" xr3:uid="{234FA91C-FD49-4948-99C1-E1D505A607B7}" name="Columna269" dataDxfId="488"/>
    <tableColumn id="430" xr3:uid="{00000000-0010-0000-0000-0000AE010000}" name="Columna270" dataDxfId="487"/>
    <tableColumn id="431" xr3:uid="{00000000-0010-0000-0000-0000AF010000}" name="Columna271" dataDxfId="486"/>
    <tableColumn id="432" xr3:uid="{00000000-0010-0000-0000-0000B0010000}" name="Columna272" dataDxfId="485"/>
    <tableColumn id="433" xr3:uid="{00000000-0010-0000-0000-0000B1010000}" name="Columna273" dataDxfId="484"/>
    <tableColumn id="434" xr3:uid="{00000000-0010-0000-0000-0000B2010000}" name="Columna274" dataDxfId="483"/>
    <tableColumn id="435" xr3:uid="{00000000-0010-0000-0000-0000B3010000}" name="Columna275" dataDxfId="482"/>
    <tableColumn id="436" xr3:uid="{00000000-0010-0000-0000-0000B4010000}" name="Columna276" dataDxfId="481"/>
    <tableColumn id="437" xr3:uid="{00000000-0010-0000-0000-0000B5010000}" name="Columna277" dataDxfId="480"/>
    <tableColumn id="438" xr3:uid="{00000000-0010-0000-0000-0000B6010000}" name="Columna278" dataDxfId="479"/>
    <tableColumn id="792" xr3:uid="{24C802BC-13B8-443C-8B67-FF7BC34DDF68}" name="Columna279" dataDxfId="478"/>
    <tableColumn id="793" xr3:uid="{042836FF-194E-4C79-8B41-7DFAD021B852}" name="Columna280" dataDxfId="477"/>
    <tableColumn id="439" xr3:uid="{00000000-0010-0000-0000-0000B7010000}" name="Columna281" dataDxfId="476"/>
    <tableColumn id="440" xr3:uid="{00000000-0010-0000-0000-0000B8010000}" name="Columna282" dataDxfId="475"/>
    <tableColumn id="441" xr3:uid="{00000000-0010-0000-0000-0000B9010000}" name="Columna283" dataDxfId="474"/>
    <tableColumn id="442" xr3:uid="{00000000-0010-0000-0000-0000BA010000}" name="Columna284" dataDxfId="473"/>
    <tableColumn id="443" xr3:uid="{00000000-0010-0000-0000-0000BB010000}" name="Columna285" dataDxfId="472"/>
    <tableColumn id="444" xr3:uid="{00000000-0010-0000-0000-0000BC010000}" name="Columna286" dataDxfId="471"/>
    <tableColumn id="445" xr3:uid="{00000000-0010-0000-0000-0000BD010000}" name="Columna287" dataDxfId="470"/>
    <tableColumn id="446" xr3:uid="{00000000-0010-0000-0000-0000BE010000}" name="Columna288" dataDxfId="469"/>
    <tableColumn id="447" xr3:uid="{00000000-0010-0000-0000-0000BF010000}" name="Columna289" dataDxfId="468"/>
    <tableColumn id="794" xr3:uid="{2BB37781-27C6-4CE4-BF68-59FA4E9CACDA}" name="Columna290" dataDxfId="467"/>
    <tableColumn id="795" xr3:uid="{94FE873C-571B-43AC-981D-E22B9A162D9C}" name="Columna291" dataDxfId="466"/>
    <tableColumn id="448" xr3:uid="{00000000-0010-0000-0000-0000C0010000}" name="Columna292" dataDxfId="465"/>
    <tableColumn id="449" xr3:uid="{00000000-0010-0000-0000-0000C1010000}" name="Columna293" dataDxfId="464"/>
    <tableColumn id="450" xr3:uid="{00000000-0010-0000-0000-0000C2010000}" name="Columna294" dataDxfId="463"/>
    <tableColumn id="451" xr3:uid="{00000000-0010-0000-0000-0000C3010000}" name="Columna295" dataDxfId="462"/>
    <tableColumn id="452" xr3:uid="{00000000-0010-0000-0000-0000C4010000}" name="Columna296" dataDxfId="461"/>
    <tableColumn id="453" xr3:uid="{00000000-0010-0000-0000-0000C5010000}" name="Columna297" dataDxfId="460"/>
    <tableColumn id="454" xr3:uid="{00000000-0010-0000-0000-0000C6010000}" name="Columna298" dataDxfId="459"/>
    <tableColumn id="455" xr3:uid="{00000000-0010-0000-0000-0000C7010000}" name="Columna299" dataDxfId="458"/>
    <tableColumn id="456" xr3:uid="{00000000-0010-0000-0000-0000C8010000}" name="Columna300" dataDxfId="457"/>
    <tableColumn id="796" xr3:uid="{4F29F614-1B87-4A66-B9D5-40158E71C62C}" name="Columna301" dataDxfId="456"/>
    <tableColumn id="797" xr3:uid="{C8D589EF-40D0-44B2-A4DD-D73B4FB641F7}" name="Columna302" dataDxfId="455"/>
    <tableColumn id="457" xr3:uid="{00000000-0010-0000-0000-0000C9010000}" name="Columna303" dataDxfId="454"/>
    <tableColumn id="458" xr3:uid="{00000000-0010-0000-0000-0000CA010000}" name="Columna304" dataDxfId="453"/>
    <tableColumn id="459" xr3:uid="{00000000-0010-0000-0000-0000CB010000}" name="Columna305" dataDxfId="452"/>
    <tableColumn id="460" xr3:uid="{00000000-0010-0000-0000-0000CC010000}" name="Columna306" dataDxfId="451"/>
    <tableColumn id="461" xr3:uid="{00000000-0010-0000-0000-0000CD010000}" name="Columna307" dataDxfId="450"/>
    <tableColumn id="462" xr3:uid="{00000000-0010-0000-0000-0000CE010000}" name="Columna308" dataDxfId="449"/>
    <tableColumn id="463" xr3:uid="{00000000-0010-0000-0000-0000CF010000}" name="Columna309" dataDxfId="448"/>
    <tableColumn id="464" xr3:uid="{00000000-0010-0000-0000-0000D0010000}" name="Columna310" dataDxfId="447"/>
    <tableColumn id="465" xr3:uid="{00000000-0010-0000-0000-0000D1010000}" name="Columna311" dataDxfId="446"/>
    <tableColumn id="798" xr3:uid="{0A8701B3-EB00-4A54-93F6-5C46699C37FB}" name="Columna312" dataDxfId="445"/>
    <tableColumn id="799" xr3:uid="{54F8E454-3400-4AF8-A480-4917EC28ADEC}" name="Columna313" dataDxfId="444"/>
    <tableColumn id="466" xr3:uid="{00000000-0010-0000-0000-0000D2010000}" name="Columna314" dataDxfId="443"/>
    <tableColumn id="467" xr3:uid="{00000000-0010-0000-0000-0000D3010000}" name="Columna315" dataDxfId="442"/>
    <tableColumn id="468" xr3:uid="{00000000-0010-0000-0000-0000D4010000}" name="Columna316" dataDxfId="441"/>
    <tableColumn id="469" xr3:uid="{00000000-0010-0000-0000-0000D5010000}" name="Columna317" dataDxfId="440"/>
    <tableColumn id="470" xr3:uid="{00000000-0010-0000-0000-0000D6010000}" name="Columna318" dataDxfId="439"/>
    <tableColumn id="471" xr3:uid="{00000000-0010-0000-0000-0000D7010000}" name="Columna319" dataDxfId="438"/>
    <tableColumn id="472" xr3:uid="{00000000-0010-0000-0000-0000D8010000}" name="Columna320" dataDxfId="437"/>
    <tableColumn id="473" xr3:uid="{00000000-0010-0000-0000-0000D9010000}" name="Columna321" dataDxfId="436"/>
    <tableColumn id="474" xr3:uid="{00000000-0010-0000-0000-0000DA010000}" name="Columna322" dataDxfId="435"/>
    <tableColumn id="800" xr3:uid="{F304E14D-2AC4-4450-8F9E-572BED3E6CB7}" name="Columna323" dataDxfId="434"/>
    <tableColumn id="801" xr3:uid="{9E8C3E3E-0F6E-4EDB-9878-C600F1820A41}" name="Columna324" dataDxfId="433"/>
    <tableColumn id="475" xr3:uid="{00000000-0010-0000-0000-0000DB010000}" name="Columna325" dataDxfId="432"/>
    <tableColumn id="476" xr3:uid="{00000000-0010-0000-0000-0000DC010000}" name="Columna326" dataDxfId="431"/>
    <tableColumn id="477" xr3:uid="{00000000-0010-0000-0000-0000DD010000}" name="Columna327" dataDxfId="430"/>
    <tableColumn id="478" xr3:uid="{00000000-0010-0000-0000-0000DE010000}" name="Columna328" dataDxfId="429"/>
    <tableColumn id="479" xr3:uid="{00000000-0010-0000-0000-0000DF010000}" name="Columna329" dataDxfId="428"/>
    <tableColumn id="480" xr3:uid="{00000000-0010-0000-0000-0000E0010000}" name="Columna330" dataDxfId="427"/>
    <tableColumn id="481" xr3:uid="{00000000-0010-0000-0000-0000E1010000}" name="Columna331" dataDxfId="426"/>
    <tableColumn id="482" xr3:uid="{00000000-0010-0000-0000-0000E2010000}" name="Columna332" dataDxfId="425"/>
    <tableColumn id="483" xr3:uid="{00000000-0010-0000-0000-0000E3010000}" name="Columna333" dataDxfId="424"/>
    <tableColumn id="802" xr3:uid="{DF664AF0-977A-4A98-A731-1F695F3346DF}" name="Columna334" dataDxfId="423"/>
    <tableColumn id="803" xr3:uid="{EC01380C-DD40-46A0-8DD4-8A32510B1770}" name="Columna335" dataDxfId="422"/>
    <tableColumn id="484" xr3:uid="{00000000-0010-0000-0000-0000E4010000}" name="Columna336" dataDxfId="421"/>
    <tableColumn id="485" xr3:uid="{00000000-0010-0000-0000-0000E5010000}" name="Columna337" dataDxfId="420"/>
    <tableColumn id="486" xr3:uid="{00000000-0010-0000-0000-0000E6010000}" name="Columna338" dataDxfId="419"/>
    <tableColumn id="487" xr3:uid="{00000000-0010-0000-0000-0000E7010000}" name="Columna339" dataDxfId="418"/>
    <tableColumn id="488" xr3:uid="{00000000-0010-0000-0000-0000E8010000}" name="Columna340" dataDxfId="417"/>
    <tableColumn id="489" xr3:uid="{00000000-0010-0000-0000-0000E9010000}" name="Columna341" dataDxfId="416"/>
    <tableColumn id="490" xr3:uid="{00000000-0010-0000-0000-0000EA010000}" name="Columna342" dataDxfId="415"/>
    <tableColumn id="491" xr3:uid="{00000000-0010-0000-0000-0000EB010000}" name="Columna343" dataDxfId="414"/>
    <tableColumn id="492" xr3:uid="{00000000-0010-0000-0000-0000EC010000}" name="Columna344" dataDxfId="413"/>
    <tableColumn id="804" xr3:uid="{B9B1D561-25AE-4E0B-B58A-A635BAA3D8D7}" name="Columna345" dataDxfId="412"/>
    <tableColumn id="805" xr3:uid="{90FB40A2-8FAC-4B34-95FA-000B9FC17159}" name="Columna346" dataDxfId="411"/>
    <tableColumn id="493" xr3:uid="{00000000-0010-0000-0000-0000ED010000}" name="Columna347" dataDxfId="410"/>
    <tableColumn id="494" xr3:uid="{00000000-0010-0000-0000-0000EE010000}" name="Columna348" dataDxfId="409"/>
    <tableColumn id="495" xr3:uid="{00000000-0010-0000-0000-0000EF010000}" name="Columna349" dataDxfId="408"/>
    <tableColumn id="496" xr3:uid="{00000000-0010-0000-0000-0000F0010000}" name="Columna350" dataDxfId="407"/>
    <tableColumn id="497" xr3:uid="{00000000-0010-0000-0000-0000F1010000}" name="Columna351" dataDxfId="406"/>
    <tableColumn id="498" xr3:uid="{00000000-0010-0000-0000-0000F2010000}" name="Columna352" dataDxfId="405"/>
    <tableColumn id="499" xr3:uid="{00000000-0010-0000-0000-0000F3010000}" name="Columna353" dataDxfId="404"/>
    <tableColumn id="500" xr3:uid="{00000000-0010-0000-0000-0000F4010000}" name="Columna354" dataDxfId="403"/>
    <tableColumn id="501" xr3:uid="{00000000-0010-0000-0000-0000F5010000}" name="Columna355" dataDxfId="402"/>
    <tableColumn id="806" xr3:uid="{C2AB56E6-5ED2-4D32-94A4-213AB864145A}" name="Columna356" dataDxfId="401"/>
    <tableColumn id="807" xr3:uid="{3FD35B8C-14F2-43C2-BDC9-9EA9EC28A7D5}" name="Columna357" dataDxfId="400"/>
    <tableColumn id="502" xr3:uid="{00000000-0010-0000-0000-0000F6010000}" name="Columna358" dataDxfId="399"/>
    <tableColumn id="503" xr3:uid="{00000000-0010-0000-0000-0000F7010000}" name="Columna359" dataDxfId="398"/>
    <tableColumn id="504" xr3:uid="{00000000-0010-0000-0000-0000F8010000}" name="Columna360" dataDxfId="397"/>
    <tableColumn id="505" xr3:uid="{00000000-0010-0000-0000-0000F9010000}" name="Columna361" dataDxfId="396"/>
    <tableColumn id="506" xr3:uid="{00000000-0010-0000-0000-0000FA010000}" name="Columna362" dataDxfId="395"/>
    <tableColumn id="507" xr3:uid="{00000000-0010-0000-0000-0000FB010000}" name="Columna363" dataDxfId="394"/>
    <tableColumn id="508" xr3:uid="{00000000-0010-0000-0000-0000FC010000}" name="Columna364" dataDxfId="393"/>
    <tableColumn id="509" xr3:uid="{00000000-0010-0000-0000-0000FD010000}" name="Columna365" dataDxfId="392"/>
    <tableColumn id="510" xr3:uid="{00000000-0010-0000-0000-0000FE010000}" name="Columna366" dataDxfId="391"/>
    <tableColumn id="511" xr3:uid="{00000000-0010-0000-0000-0000FF010000}" name="Columna367" dataDxfId="390"/>
    <tableColumn id="512" xr3:uid="{00000000-0010-0000-0000-000000020000}" name="Columna368" dataDxfId="389"/>
    <tableColumn id="513" xr3:uid="{00000000-0010-0000-0000-000001020000}" name="Columna369" dataDxfId="388"/>
    <tableColumn id="514" xr3:uid="{00000000-0010-0000-0000-000002020000}" name="Columna370" dataDxfId="387"/>
    <tableColumn id="515" xr3:uid="{00000000-0010-0000-0000-000003020000}" name="Columna371" dataDxfId="386"/>
    <tableColumn id="516" xr3:uid="{00000000-0010-0000-0000-000004020000}" name="Columna372" dataDxfId="385"/>
    <tableColumn id="517" xr3:uid="{00000000-0010-0000-0000-000005020000}" name="Columna373" dataDxfId="384"/>
    <tableColumn id="518" xr3:uid="{00000000-0010-0000-0000-000006020000}" name="Columna374" dataDxfId="383"/>
    <tableColumn id="519" xr3:uid="{00000000-0010-0000-0000-000007020000}" name="Columna375" dataDxfId="382"/>
    <tableColumn id="520" xr3:uid="{00000000-0010-0000-0000-000008020000}" name="Columna376" dataDxfId="381"/>
    <tableColumn id="521" xr3:uid="{00000000-0010-0000-0000-000009020000}" name="Columna377" dataDxfId="380"/>
    <tableColumn id="522" xr3:uid="{00000000-0010-0000-0000-00000A020000}" name="Columna378" dataDxfId="379"/>
    <tableColumn id="523" xr3:uid="{00000000-0010-0000-0000-00000B020000}" name="Columna379" dataDxfId="378"/>
    <tableColumn id="524" xr3:uid="{00000000-0010-0000-0000-00000C020000}" name="Columna380" dataDxfId="377"/>
    <tableColumn id="525" xr3:uid="{00000000-0010-0000-0000-00000D020000}" name="Columna381" dataDxfId="376"/>
    <tableColumn id="526" xr3:uid="{00000000-0010-0000-0000-00000E020000}" name="Columna382" dataDxfId="375"/>
    <tableColumn id="527" xr3:uid="{00000000-0010-0000-0000-00000F020000}" name="Columna383" dataDxfId="374"/>
    <tableColumn id="528" xr3:uid="{00000000-0010-0000-0000-000010020000}" name="Columna384" dataDxfId="373"/>
    <tableColumn id="529" xr3:uid="{00000000-0010-0000-0000-000011020000}" name="Columna385" dataDxfId="372"/>
    <tableColumn id="530" xr3:uid="{00000000-0010-0000-0000-000012020000}" name="Columna386" dataDxfId="371"/>
    <tableColumn id="531" xr3:uid="{00000000-0010-0000-0000-000013020000}" name="Columna387" dataDxfId="370"/>
    <tableColumn id="532" xr3:uid="{00000000-0010-0000-0000-000014020000}" name="Columna388" dataDxfId="369"/>
    <tableColumn id="533" xr3:uid="{00000000-0010-0000-0000-000015020000}" name="Columna389" dataDxfId="368"/>
    <tableColumn id="534" xr3:uid="{00000000-0010-0000-0000-000016020000}" name="Columna390" dataDxfId="367"/>
    <tableColumn id="535" xr3:uid="{00000000-0010-0000-0000-000017020000}" name="Columna391" dataDxfId="366"/>
    <tableColumn id="536" xr3:uid="{00000000-0010-0000-0000-000018020000}" name="Columna392" dataDxfId="365"/>
    <tableColumn id="537" xr3:uid="{00000000-0010-0000-0000-000019020000}" name="Columna393" dataDxfId="364"/>
    <tableColumn id="538" xr3:uid="{00000000-0010-0000-0000-00001A020000}" name="Columna394" dataDxfId="363"/>
    <tableColumn id="539" xr3:uid="{00000000-0010-0000-0000-00001B020000}" name="Columna395" dataDxfId="362"/>
    <tableColumn id="540" xr3:uid="{00000000-0010-0000-0000-00001C020000}" name="Columna396" dataDxfId="361"/>
    <tableColumn id="541" xr3:uid="{00000000-0010-0000-0000-00001D020000}" name="Columna397" dataDxfId="360"/>
    <tableColumn id="542" xr3:uid="{00000000-0010-0000-0000-00001E020000}" name="Columna398" dataDxfId="359"/>
    <tableColumn id="543" xr3:uid="{00000000-0010-0000-0000-00001F020000}" name="Columna399" dataDxfId="358"/>
    <tableColumn id="544" xr3:uid="{00000000-0010-0000-0000-000020020000}" name="Columna400" dataDxfId="357"/>
    <tableColumn id="545" xr3:uid="{00000000-0010-0000-0000-000021020000}" name="Columna401" dataDxfId="356"/>
    <tableColumn id="546" xr3:uid="{00000000-0010-0000-0000-000022020000}" name="Columna402" dataDxfId="355"/>
    <tableColumn id="547" xr3:uid="{00000000-0010-0000-0000-000023020000}" name="Columna403" dataDxfId="354"/>
    <tableColumn id="548" xr3:uid="{00000000-0010-0000-0000-000024020000}" name="Columna404" dataDxfId="353"/>
    <tableColumn id="549" xr3:uid="{00000000-0010-0000-0000-000025020000}" name="Columna405" dataDxfId="352"/>
    <tableColumn id="550" xr3:uid="{00000000-0010-0000-0000-000026020000}" name="Columna406" dataDxfId="351"/>
    <tableColumn id="551" xr3:uid="{00000000-0010-0000-0000-000027020000}" name="Columna407" dataDxfId="350"/>
    <tableColumn id="552" xr3:uid="{00000000-0010-0000-0000-000028020000}" name="Columna408" dataDxfId="349"/>
    <tableColumn id="553" xr3:uid="{00000000-0010-0000-0000-000029020000}" name="Columna409" dataDxfId="348"/>
    <tableColumn id="554" xr3:uid="{00000000-0010-0000-0000-00002A020000}" name="Columna410" dataDxfId="347"/>
    <tableColumn id="555" xr3:uid="{00000000-0010-0000-0000-00002B020000}" name="Columna411" dataDxfId="346"/>
    <tableColumn id="556" xr3:uid="{00000000-0010-0000-0000-00002C020000}" name="Columna412" dataDxfId="345"/>
    <tableColumn id="557" xr3:uid="{00000000-0010-0000-0000-00002D020000}" name="Columna413" dataDxfId="344"/>
    <tableColumn id="558" xr3:uid="{00000000-0010-0000-0000-00002E020000}" name="Columna414" dataDxfId="343"/>
    <tableColumn id="559" xr3:uid="{00000000-0010-0000-0000-00002F020000}" name="Columna415" dataDxfId="342"/>
    <tableColumn id="560" xr3:uid="{00000000-0010-0000-0000-000030020000}" name="Columna416" dataDxfId="341"/>
    <tableColumn id="561" xr3:uid="{00000000-0010-0000-0000-000031020000}" name="Columna417" dataDxfId="340"/>
    <tableColumn id="562" xr3:uid="{00000000-0010-0000-0000-000032020000}" name="Columna418" dataDxfId="339"/>
    <tableColumn id="563" xr3:uid="{00000000-0010-0000-0000-000033020000}" name="Columna419" dataDxfId="338"/>
    <tableColumn id="564" xr3:uid="{00000000-0010-0000-0000-000034020000}" name="Columna420" dataDxfId="337"/>
    <tableColumn id="565" xr3:uid="{00000000-0010-0000-0000-000035020000}" name="Columna421" dataDxfId="336"/>
    <tableColumn id="566" xr3:uid="{00000000-0010-0000-0000-000036020000}" name="Columna422" dataDxfId="335"/>
    <tableColumn id="567" xr3:uid="{00000000-0010-0000-0000-000037020000}" name="Columna423" dataDxfId="334"/>
    <tableColumn id="568" xr3:uid="{00000000-0010-0000-0000-000038020000}" name="Columna424" dataDxfId="333"/>
    <tableColumn id="569" xr3:uid="{00000000-0010-0000-0000-000039020000}" name="Columna425" dataDxfId="332"/>
    <tableColumn id="570" xr3:uid="{00000000-0010-0000-0000-00003A020000}" name="Columna426" dataDxfId="331"/>
    <tableColumn id="571" xr3:uid="{00000000-0010-0000-0000-00003B020000}" name="Columna427" dataDxfId="330"/>
    <tableColumn id="572" xr3:uid="{00000000-0010-0000-0000-00003C020000}" name="Columna428" dataDxfId="329"/>
    <tableColumn id="573" xr3:uid="{00000000-0010-0000-0000-00003D020000}" name="Columna429" dataDxfId="328"/>
    <tableColumn id="574" xr3:uid="{00000000-0010-0000-0000-00003E020000}" name="Columna430" dataDxfId="327"/>
    <tableColumn id="575" xr3:uid="{00000000-0010-0000-0000-00003F020000}" name="Columna431" dataDxfId="326"/>
    <tableColumn id="576" xr3:uid="{00000000-0010-0000-0000-000040020000}" name="Columna432" dataDxfId="325"/>
    <tableColumn id="577" xr3:uid="{00000000-0010-0000-0000-000041020000}" name="Columna433" dataDxfId="324"/>
    <tableColumn id="578" xr3:uid="{00000000-0010-0000-0000-000042020000}" name="Columna434" dataDxfId="323"/>
    <tableColumn id="579" xr3:uid="{00000000-0010-0000-0000-000043020000}" name="Columna435" dataDxfId="322"/>
    <tableColumn id="580" xr3:uid="{00000000-0010-0000-0000-000044020000}" name="Columna436" dataDxfId="321"/>
    <tableColumn id="581" xr3:uid="{00000000-0010-0000-0000-000045020000}" name="Columna437" dataDxfId="320"/>
    <tableColumn id="582" xr3:uid="{00000000-0010-0000-0000-000046020000}" name="Columna438" dataDxfId="319"/>
    <tableColumn id="583" xr3:uid="{00000000-0010-0000-0000-000047020000}" name="Columna439" dataDxfId="318"/>
    <tableColumn id="584" xr3:uid="{00000000-0010-0000-0000-000048020000}" name="Columna440" dataDxfId="317"/>
    <tableColumn id="585" xr3:uid="{00000000-0010-0000-0000-000049020000}" name="Columna441" dataDxfId="316"/>
    <tableColumn id="586" xr3:uid="{00000000-0010-0000-0000-00004A020000}" name="Columna442" dataDxfId="315"/>
    <tableColumn id="587" xr3:uid="{00000000-0010-0000-0000-00004B020000}" name="Columna443" dataDxfId="314"/>
    <tableColumn id="588" xr3:uid="{00000000-0010-0000-0000-00004C020000}" name="Columna444" dataDxfId="313"/>
    <tableColumn id="589" xr3:uid="{00000000-0010-0000-0000-00004D020000}" name="Columna445" dataDxfId="312"/>
    <tableColumn id="590" xr3:uid="{00000000-0010-0000-0000-00004E020000}" name="Columna446" dataDxfId="311"/>
    <tableColumn id="591" xr3:uid="{00000000-0010-0000-0000-00004F020000}" name="Columna447" dataDxfId="310"/>
    <tableColumn id="592" xr3:uid="{00000000-0010-0000-0000-000050020000}" name="Columna448" dataDxfId="309"/>
    <tableColumn id="593" xr3:uid="{00000000-0010-0000-0000-000051020000}" name="Columna449" dataDxfId="308"/>
    <tableColumn id="594" xr3:uid="{00000000-0010-0000-0000-000052020000}" name="Columna450" dataDxfId="307"/>
    <tableColumn id="595" xr3:uid="{00000000-0010-0000-0000-000053020000}" name="Columna451" dataDxfId="306"/>
    <tableColumn id="596" xr3:uid="{00000000-0010-0000-0000-000054020000}" name="Columna452" dataDxfId="305"/>
    <tableColumn id="597" xr3:uid="{00000000-0010-0000-0000-000055020000}" name="Columna453" dataDxfId="304"/>
    <tableColumn id="598" xr3:uid="{00000000-0010-0000-0000-000056020000}" name="Columna454" dataDxfId="303"/>
    <tableColumn id="599" xr3:uid="{00000000-0010-0000-0000-000057020000}" name="Columna455" dataDxfId="302"/>
    <tableColumn id="600" xr3:uid="{00000000-0010-0000-0000-000058020000}" name="Columna456" dataDxfId="301"/>
    <tableColumn id="601" xr3:uid="{00000000-0010-0000-0000-000059020000}" name="Columna457" dataDxfId="300"/>
    <tableColumn id="602" xr3:uid="{00000000-0010-0000-0000-00005A020000}" name="Columna458" dataDxfId="299"/>
    <tableColumn id="603" xr3:uid="{00000000-0010-0000-0000-00005B020000}" name="Columna459" dataDxfId="298"/>
    <tableColumn id="604" xr3:uid="{00000000-0010-0000-0000-00005C020000}" name="Columna460" dataDxfId="297"/>
    <tableColumn id="605" xr3:uid="{00000000-0010-0000-0000-00005D020000}" name="Columna461" dataDxfId="296"/>
    <tableColumn id="606" xr3:uid="{00000000-0010-0000-0000-00005E020000}" name="Columna462" dataDxfId="295"/>
    <tableColumn id="607" xr3:uid="{00000000-0010-0000-0000-00005F020000}" name="Columna463" dataDxfId="294"/>
    <tableColumn id="608" xr3:uid="{00000000-0010-0000-0000-000060020000}" name="Columna464" dataDxfId="293"/>
    <tableColumn id="609" xr3:uid="{00000000-0010-0000-0000-000061020000}" name="Columna465" dataDxfId="292"/>
    <tableColumn id="610" xr3:uid="{00000000-0010-0000-0000-000062020000}" name="Columna466" dataDxfId="291"/>
    <tableColumn id="611" xr3:uid="{00000000-0010-0000-0000-000063020000}" name="Columna467" dataDxfId="290"/>
    <tableColumn id="612" xr3:uid="{00000000-0010-0000-0000-000064020000}" name="Columna468" dataDxfId="289"/>
    <tableColumn id="613" xr3:uid="{00000000-0010-0000-0000-000065020000}" name="Columna469" dataDxfId="288"/>
    <tableColumn id="614" xr3:uid="{00000000-0010-0000-0000-000066020000}" name="Columna470" dataDxfId="287"/>
    <tableColumn id="615" xr3:uid="{00000000-0010-0000-0000-000067020000}" name="Columna471" dataDxfId="286"/>
    <tableColumn id="616" xr3:uid="{00000000-0010-0000-0000-000068020000}" name="Columna472" dataDxfId="285"/>
    <tableColumn id="617" xr3:uid="{00000000-0010-0000-0000-000069020000}" name="Columna473" dataDxfId="284"/>
    <tableColumn id="618" xr3:uid="{00000000-0010-0000-0000-00006A020000}" name="Columna474" dataDxfId="283"/>
    <tableColumn id="619" xr3:uid="{00000000-0010-0000-0000-00006B020000}" name="Columna475" dataDxfId="282"/>
    <tableColumn id="620" xr3:uid="{00000000-0010-0000-0000-00006C020000}" name="Columna476" dataDxfId="281"/>
    <tableColumn id="621" xr3:uid="{00000000-0010-0000-0000-00006D020000}" name="Columna477" dataDxfId="280"/>
    <tableColumn id="622" xr3:uid="{00000000-0010-0000-0000-00006E020000}" name="Columna478" dataDxfId="279"/>
    <tableColumn id="623" xr3:uid="{00000000-0010-0000-0000-00006F020000}" name="Columna479" dataDxfId="278"/>
    <tableColumn id="624" xr3:uid="{00000000-0010-0000-0000-000070020000}" name="Columna480" dataDxfId="277"/>
    <tableColumn id="625" xr3:uid="{00000000-0010-0000-0000-000071020000}" name="Columna481" dataDxfId="276"/>
    <tableColumn id="626" xr3:uid="{00000000-0010-0000-0000-000072020000}" name="Columna482" dataDxfId="275"/>
    <tableColumn id="627" xr3:uid="{00000000-0010-0000-0000-000073020000}" name="Columna483" dataDxfId="274"/>
    <tableColumn id="628" xr3:uid="{00000000-0010-0000-0000-000074020000}" name="Columna484" dataDxfId="273"/>
    <tableColumn id="629" xr3:uid="{00000000-0010-0000-0000-000075020000}" name="Columna485" dataDxfId="272"/>
    <tableColumn id="630" xr3:uid="{00000000-0010-0000-0000-000076020000}" name="Columna486" dataDxfId="271"/>
    <tableColumn id="631" xr3:uid="{00000000-0010-0000-0000-000077020000}" name="Columna487" dataDxfId="270"/>
    <tableColumn id="632" xr3:uid="{00000000-0010-0000-0000-000078020000}" name="Columna488" dataDxfId="269"/>
    <tableColumn id="633" xr3:uid="{00000000-0010-0000-0000-000079020000}" name="Columna489" dataDxfId="268"/>
    <tableColumn id="634" xr3:uid="{00000000-0010-0000-0000-00007A020000}" name="Columna490" dataDxfId="267"/>
    <tableColumn id="635" xr3:uid="{00000000-0010-0000-0000-00007B020000}" name="Columna491" dataDxfId="266"/>
    <tableColumn id="636" xr3:uid="{00000000-0010-0000-0000-00007C020000}" name="Columna492" dataDxfId="265"/>
    <tableColumn id="637" xr3:uid="{00000000-0010-0000-0000-00007D020000}" name="Columna493" dataDxfId="264"/>
    <tableColumn id="638" xr3:uid="{00000000-0010-0000-0000-00007E020000}" name="Columna494" dataDxfId="263"/>
    <tableColumn id="639" xr3:uid="{00000000-0010-0000-0000-00007F020000}" name="Columna495" dataDxfId="262"/>
    <tableColumn id="640" xr3:uid="{00000000-0010-0000-0000-000080020000}" name="Columna496" dataDxfId="261"/>
    <tableColumn id="641" xr3:uid="{00000000-0010-0000-0000-000081020000}" name="Columna497" dataDxfId="260"/>
    <tableColumn id="642" xr3:uid="{00000000-0010-0000-0000-000082020000}" name="Columna498" dataDxfId="259"/>
    <tableColumn id="643" xr3:uid="{00000000-0010-0000-0000-000083020000}" name="Columna499" dataDxfId="258"/>
    <tableColumn id="644" xr3:uid="{00000000-0010-0000-0000-000084020000}" name="Columna500" dataDxfId="257"/>
    <tableColumn id="645" xr3:uid="{00000000-0010-0000-0000-000085020000}" name="Columna501" dataDxfId="256"/>
    <tableColumn id="646" xr3:uid="{00000000-0010-0000-0000-000086020000}" name="Columna502" dataDxfId="255"/>
    <tableColumn id="647" xr3:uid="{00000000-0010-0000-0000-000087020000}" name="Columna503" dataDxfId="254"/>
    <tableColumn id="648" xr3:uid="{00000000-0010-0000-0000-000088020000}" name="Columna504" dataDxfId="253"/>
    <tableColumn id="649" xr3:uid="{00000000-0010-0000-0000-000089020000}" name="Columna505" dataDxfId="252"/>
    <tableColumn id="650" xr3:uid="{00000000-0010-0000-0000-00008A020000}" name="Columna506" dataDxfId="251"/>
    <tableColumn id="651" xr3:uid="{00000000-0010-0000-0000-00008B020000}" name="Columna507" dataDxfId="250"/>
    <tableColumn id="652" xr3:uid="{00000000-0010-0000-0000-00008C020000}" name="Columna508" dataDxfId="249"/>
    <tableColumn id="653" xr3:uid="{00000000-0010-0000-0000-00008D020000}" name="Columna509" dataDxfId="248"/>
    <tableColumn id="654" xr3:uid="{00000000-0010-0000-0000-00008E020000}" name="Columna510" dataDxfId="247"/>
    <tableColumn id="655" xr3:uid="{00000000-0010-0000-0000-00008F020000}" name="Columna511" dataDxfId="246"/>
    <tableColumn id="656" xr3:uid="{00000000-0010-0000-0000-000090020000}" name="Columna512" dataDxfId="245"/>
    <tableColumn id="657" xr3:uid="{00000000-0010-0000-0000-000091020000}" name="Columna513" dataDxfId="244"/>
    <tableColumn id="658" xr3:uid="{00000000-0010-0000-0000-000092020000}" name="Columna514" dataDxfId="243"/>
    <tableColumn id="659" xr3:uid="{00000000-0010-0000-0000-000093020000}" name="Columna515" dataDxfId="242"/>
    <tableColumn id="660" xr3:uid="{00000000-0010-0000-0000-000094020000}" name="Columna516" dataDxfId="241"/>
    <tableColumn id="661" xr3:uid="{00000000-0010-0000-0000-000095020000}" name="Columna517" dataDxfId="240"/>
    <tableColumn id="662" xr3:uid="{00000000-0010-0000-0000-000096020000}" name="Columna518" dataDxfId="239"/>
    <tableColumn id="663" xr3:uid="{00000000-0010-0000-0000-000097020000}" name="Columna519" dataDxfId="238"/>
    <tableColumn id="664" xr3:uid="{00000000-0010-0000-0000-000098020000}" name="Columna520" dataDxfId="237"/>
    <tableColumn id="665" xr3:uid="{00000000-0010-0000-0000-000099020000}" name="Columna521" dataDxfId="236"/>
    <tableColumn id="666" xr3:uid="{00000000-0010-0000-0000-00009A020000}" name="Columna522" dataDxfId="235"/>
    <tableColumn id="667" xr3:uid="{00000000-0010-0000-0000-00009B020000}" name="Columna523" dataDxfId="234"/>
    <tableColumn id="668" xr3:uid="{00000000-0010-0000-0000-00009C020000}" name="Columna524" dataDxfId="233"/>
    <tableColumn id="669" xr3:uid="{00000000-0010-0000-0000-00009D020000}" name="Columna525" dataDxfId="232"/>
    <tableColumn id="670" xr3:uid="{00000000-0010-0000-0000-00009E020000}" name="Columna526" dataDxfId="231"/>
    <tableColumn id="671" xr3:uid="{00000000-0010-0000-0000-00009F020000}" name="Columna527" dataDxfId="230"/>
    <tableColumn id="672" xr3:uid="{00000000-0010-0000-0000-0000A0020000}" name="Columna528" dataDxfId="229"/>
    <tableColumn id="673" xr3:uid="{00000000-0010-0000-0000-0000A1020000}" name="Columna529" dataDxfId="228"/>
    <tableColumn id="674" xr3:uid="{00000000-0010-0000-0000-0000A2020000}" name="Columna530" dataDxfId="227"/>
    <tableColumn id="675" xr3:uid="{00000000-0010-0000-0000-0000A3020000}" name="Columna531" dataDxfId="226"/>
    <tableColumn id="676" xr3:uid="{00000000-0010-0000-0000-0000A4020000}" name="Columna532" dataDxfId="225"/>
    <tableColumn id="677" xr3:uid="{00000000-0010-0000-0000-0000A5020000}" name="Columna533" dataDxfId="224"/>
    <tableColumn id="678" xr3:uid="{00000000-0010-0000-0000-0000A6020000}" name="Columna534" dataDxfId="223"/>
    <tableColumn id="679" xr3:uid="{00000000-0010-0000-0000-0000A7020000}" name="Columna535" dataDxfId="222"/>
    <tableColumn id="680" xr3:uid="{00000000-0010-0000-0000-0000A8020000}" name="Columna536" dataDxfId="221"/>
    <tableColumn id="681" xr3:uid="{00000000-0010-0000-0000-0000A9020000}" name="Columna537" dataDxfId="220"/>
    <tableColumn id="682" xr3:uid="{00000000-0010-0000-0000-0000AA020000}" name="Columna538" dataDxfId="219"/>
    <tableColumn id="683" xr3:uid="{00000000-0010-0000-0000-0000AB020000}" name="Columna539" dataDxfId="218"/>
    <tableColumn id="684" xr3:uid="{00000000-0010-0000-0000-0000AC020000}" name="Columna540" dataDxfId="217"/>
    <tableColumn id="685" xr3:uid="{00000000-0010-0000-0000-0000AD020000}" name="Columna541" dataDxfId="216"/>
    <tableColumn id="686" xr3:uid="{00000000-0010-0000-0000-0000AE020000}" name="Columna542" dataDxfId="215"/>
    <tableColumn id="687" xr3:uid="{00000000-0010-0000-0000-0000AF020000}" name="Columna543" dataDxfId="214"/>
    <tableColumn id="688" xr3:uid="{00000000-0010-0000-0000-0000B0020000}" name="Columna544" dataDxfId="213"/>
    <tableColumn id="952" xr3:uid="{B20AF48D-0001-436E-94B8-8410B5D01F84}" name="Columna545" dataDxfId="212"/>
    <tableColumn id="953" xr3:uid="{943BC0E9-B54A-416E-A6C1-584120363E1F}" name="Columna546" dataDxfId="211"/>
    <tableColumn id="954" xr3:uid="{B6AC5E09-45CF-41A4-998B-4644166EA9E4}" name="Columna547" dataDxfId="210"/>
    <tableColumn id="955" xr3:uid="{30640BF5-965B-4E7B-A22D-EFA28D1DB59B}" name="Columna548" dataDxfId="209"/>
    <tableColumn id="956" xr3:uid="{CA94DECA-EEC0-47A9-83B8-8953C2D5580C}" name="Columna549" dataDxfId="208"/>
    <tableColumn id="957" xr3:uid="{98F6FC7C-BE58-4761-923A-C7B30E6B748D}" name="Columna550" dataDxfId="207"/>
    <tableColumn id="958" xr3:uid="{47A66FF3-BCB1-4461-9D68-C15138B9BED0}" name="Columna551" dataDxfId="206"/>
    <tableColumn id="959" xr3:uid="{EE5FC5E2-5887-414E-BC8F-0C00E76BEB74}" name="Columna552" dataDxfId="205"/>
    <tableColumn id="960" xr3:uid="{034634D4-8E77-4D31-A18C-5F436A420D96}" name="Columna553" dataDxfId="204"/>
    <tableColumn id="961" xr3:uid="{80626285-47EF-4D80-BCB1-100DF2097B3D}" name="Columna554" dataDxfId="203"/>
    <tableColumn id="962" xr3:uid="{23088445-3CB3-4D40-A3B8-B1428873EBAC}" name="Columna555" dataDxfId="202"/>
    <tableColumn id="963" xr3:uid="{2062383A-1642-4552-8EB9-0130B9886B73}" name="Columna556" dataDxfId="201"/>
    <tableColumn id="940" xr3:uid="{2DB24E1F-6E3F-4BE2-92CF-323C52E56D3D}" name="Columna557" dataDxfId="200"/>
    <tableColumn id="941" xr3:uid="{F6B0298C-6B2B-4166-BBD1-AD72A4245345}" name="Columna558" dataDxfId="199"/>
    <tableColumn id="942" xr3:uid="{533241EE-FD6D-4443-8624-28AFBDD168E3}" name="Columna559" dataDxfId="198"/>
    <tableColumn id="943" xr3:uid="{589E0634-4121-45E8-9D95-8C68436230C7}" name="Columna560" dataDxfId="197"/>
    <tableColumn id="944" xr3:uid="{B7D51A3F-F94E-4FB7-AB38-AFC802EA2B12}" name="Columna561" dataDxfId="196"/>
    <tableColumn id="945" xr3:uid="{4BE11D1F-F715-42F2-AABA-55F8D2426FD6}" name="Columna562" dataDxfId="195"/>
    <tableColumn id="946" xr3:uid="{56905AF9-5BBA-40AD-9D75-B1E35DE09B79}" name="Columna563" dataDxfId="194"/>
    <tableColumn id="947" xr3:uid="{DFEA990A-134F-4322-BDA6-B79F0EDBEAFC}" name="Columna564" dataDxfId="193"/>
    <tableColumn id="948" xr3:uid="{56CA764E-20A7-492A-A497-28A6AC3D1C63}" name="Columna565" dataDxfId="192"/>
    <tableColumn id="949" xr3:uid="{47A7A024-3BF8-407E-9BBD-66381507A5F2}" name="Columna566" dataDxfId="191"/>
    <tableColumn id="950" xr3:uid="{877C594B-C2B0-402C-8083-6312D2D54713}" name="Columna567" dataDxfId="190"/>
    <tableColumn id="951" xr3:uid="{2C404209-D1E4-4879-8106-95995B3EF6A2}" name="Columna568" dataDxfId="189"/>
    <tableColumn id="928" xr3:uid="{7E4EF361-C65A-42D6-B3AF-BDE8E407BF53}" name="Columna569" dataDxfId="188"/>
    <tableColumn id="929" xr3:uid="{00DBA981-FD14-4FD5-86EF-A5D1A1C71C45}" name="Columna570" dataDxfId="187"/>
    <tableColumn id="930" xr3:uid="{950CB80B-5D05-4B70-A699-7F449E98A677}" name="Columna571" dataDxfId="186"/>
    <tableColumn id="931" xr3:uid="{A4373CD0-C8DE-40C8-9D1F-49DBDE80DECD}" name="Columna572" dataDxfId="185"/>
    <tableColumn id="932" xr3:uid="{EB2E15A9-5003-45F6-B53E-32C6C5C2119B}" name="Columna573" dataDxfId="184"/>
    <tableColumn id="933" xr3:uid="{4B71DF79-FC07-4E04-9374-63353F7B3DEB}" name="Columna574" dataDxfId="183"/>
    <tableColumn id="934" xr3:uid="{7A7325C7-16B6-471F-8FB7-C35F84CAD857}" name="Columna575" dataDxfId="182"/>
    <tableColumn id="935" xr3:uid="{DC7C1093-F862-4265-9338-541B862997AF}" name="Columna576" dataDxfId="181"/>
    <tableColumn id="936" xr3:uid="{CB4DCE67-4C82-4BCA-BC45-42D8D5DD6D37}" name="Columna577" dataDxfId="180"/>
    <tableColumn id="937" xr3:uid="{73D87519-4B77-4DF9-99E2-4753904E8F17}" name="Columna578" dataDxfId="179"/>
    <tableColumn id="938" xr3:uid="{314FCEA0-132A-4351-A6D8-62508DBCC4D9}" name="Columna579" dataDxfId="178"/>
    <tableColumn id="939" xr3:uid="{AE094266-5BCA-4850-8C2B-B46036D07E48}" name="Columna580" dataDxfId="177"/>
    <tableColumn id="916" xr3:uid="{0DEB1A89-CFE9-4AAB-901F-A012740E751D}" name="Columna581" dataDxfId="176"/>
    <tableColumn id="917" xr3:uid="{3632080D-996B-4AF7-9CB2-AAEAD3DD4D37}" name="Columna582" dataDxfId="175"/>
    <tableColumn id="918" xr3:uid="{35A32849-9B91-4375-8A5E-0E8E47147B6E}" name="Columna583" dataDxfId="174"/>
    <tableColumn id="919" xr3:uid="{58A18AC2-2703-4B2A-8B2D-C4FDF150E0C8}" name="Columna584" dataDxfId="173"/>
    <tableColumn id="920" xr3:uid="{EAE9E231-7D51-47F6-BE15-F2517542CAC0}" name="Columna585" dataDxfId="172"/>
    <tableColumn id="921" xr3:uid="{7575860B-9B7E-42F0-954E-BCFCB57A5EC0}" name="Columna586" dataDxfId="171"/>
    <tableColumn id="922" xr3:uid="{350F6CB8-B7E5-4E5A-9364-AD163EAA36BC}" name="Columna587" dataDxfId="170"/>
    <tableColumn id="923" xr3:uid="{F8817C9C-05CB-4F53-B3D4-2412DEF9611C}" name="Columna588" dataDxfId="169"/>
    <tableColumn id="924" xr3:uid="{1034C487-0E52-468D-A0A6-C8E510C34212}" name="Columna589" dataDxfId="168"/>
    <tableColumn id="925" xr3:uid="{35821C21-047E-4B94-AC38-FFEDBC27EF82}" name="Columna590" dataDxfId="167"/>
    <tableColumn id="926" xr3:uid="{6E1ACA4F-998D-429E-BDD6-6B0BCE9C72BD}" name="Columna591" dataDxfId="166"/>
    <tableColumn id="927" xr3:uid="{08102609-F483-40E9-BBB5-38FF3464EC0D}" name="Columna592" dataDxfId="165"/>
    <tableColumn id="904" xr3:uid="{BAD299FD-CB85-4C55-806C-EF3741F4283D}" name="Columna593" dataDxfId="164"/>
    <tableColumn id="905" xr3:uid="{16031366-1D97-4287-BE80-1779B85D4F28}" name="Columna594" dataDxfId="163"/>
    <tableColumn id="906" xr3:uid="{71288E9D-40F4-4C14-873B-D6ABD2B3BA8E}" name="Columna595" dataDxfId="162"/>
    <tableColumn id="907" xr3:uid="{4D2994CD-3708-4155-A570-00D6D1DEA35F}" name="Columna596" dataDxfId="161"/>
    <tableColumn id="908" xr3:uid="{2FBD85A9-0DE7-4250-A62E-E707F3994008}" name="Columna597" dataDxfId="160"/>
    <tableColumn id="909" xr3:uid="{483C0C5C-FBB9-4F92-ABAA-6D28C388DC5F}" name="Columna598" dataDxfId="159"/>
    <tableColumn id="910" xr3:uid="{6A0A6F89-C35B-4B55-A28D-7ABFB18FAE6A}" name="Columna599" dataDxfId="158"/>
    <tableColumn id="911" xr3:uid="{4CE5EC58-FD65-48B5-9F93-1CB3A176017D}" name="Columna600" dataDxfId="157"/>
    <tableColumn id="912" xr3:uid="{7DC7981D-142B-480D-AF61-41D238399546}" name="Columna601" dataDxfId="156"/>
    <tableColumn id="913" xr3:uid="{542C3D0B-D51A-4F97-850A-3F1DA00F867F}" name="Columna602" dataDxfId="155"/>
    <tableColumn id="914" xr3:uid="{224F6696-A395-4CA7-8326-5CCD025DB2A6}" name="Columna603" dataDxfId="154"/>
    <tableColumn id="915" xr3:uid="{5DD5542A-AFFB-4894-9BDF-B7C3C28A959E}" name="Columna604" dataDxfId="153"/>
    <tableColumn id="892" xr3:uid="{1B591B3A-6125-4DCF-83A1-7D9509BE83FB}" name="Columna605" dataDxfId="152"/>
    <tableColumn id="893" xr3:uid="{E5B9567B-840F-45E6-9D46-E4E33D9C1E81}" name="Columna606" dataDxfId="151"/>
    <tableColumn id="894" xr3:uid="{9E5A8D7E-DC4A-412F-AFDC-A2550A37253B}" name="Columna607" dataDxfId="150"/>
    <tableColumn id="895" xr3:uid="{71DDB778-4042-4B51-8150-3BAAA6F2EEB4}" name="Columna608" dataDxfId="149"/>
    <tableColumn id="896" xr3:uid="{D1CE82EC-2194-4C5C-9F40-619693A7B4B5}" name="Columna609" dataDxfId="148"/>
    <tableColumn id="897" xr3:uid="{303FB006-3E35-41D5-9650-166A25B7EB9B}" name="Columna610" dataDxfId="147"/>
    <tableColumn id="898" xr3:uid="{3B80286D-FAFD-4717-8C07-BC95E5A9ACC4}" name="Columna611" dataDxfId="146"/>
    <tableColumn id="899" xr3:uid="{D5C38307-6BE8-40DA-A5BD-8B19D245BE60}" name="Columna612" dataDxfId="145"/>
    <tableColumn id="900" xr3:uid="{649A0BF6-3276-4FC0-B21C-6AFE665FB11B}" name="Columna613" dataDxfId="144"/>
    <tableColumn id="901" xr3:uid="{A592157C-5C07-41BD-B85F-4CA4EBD71033}" name="Columna614" dataDxfId="143"/>
    <tableColumn id="902" xr3:uid="{71198F10-49D8-4BCE-8682-3EC39937F0EF}" name="Columna615" dataDxfId="142"/>
    <tableColumn id="903" xr3:uid="{97723287-F1E4-4C03-98F4-BC0E7B43FCF3}" name="Columna616" dataDxfId="141"/>
    <tableColumn id="880" xr3:uid="{DB60F0D9-E2D8-4C43-A55E-37245670EAE1}" name="Columna617" dataDxfId="140"/>
    <tableColumn id="881" xr3:uid="{1DB04FB3-0DC9-444F-A002-B7D37097D8EC}" name="Columna618" dataDxfId="139"/>
    <tableColumn id="882" xr3:uid="{4EE172D1-AB27-408D-AC5C-8541D54E1E47}" name="Columna619" dataDxfId="138"/>
    <tableColumn id="883" xr3:uid="{C037D6C8-0B9A-44D8-9DD1-9F4F2BE7DEDD}" name="Columna620" dataDxfId="137"/>
    <tableColumn id="884" xr3:uid="{9237C2EB-40D1-4DE9-AE4A-913810EC2E2B}" name="Columna621" dataDxfId="136"/>
    <tableColumn id="885" xr3:uid="{AFE6DF70-5BA7-492C-BEBA-00CABD0DE9B2}" name="Columna622" dataDxfId="135"/>
    <tableColumn id="886" xr3:uid="{DFBF7A62-FA47-43D8-8CBF-561416346E20}" name="Columna623" dataDxfId="134"/>
    <tableColumn id="887" xr3:uid="{18053208-D66A-47A8-805A-B1801E7DBB98}" name="Columna624" dataDxfId="133"/>
    <tableColumn id="888" xr3:uid="{F9E69576-0D75-4CD4-AD8D-53F53B899C18}" name="Columna625" dataDxfId="132"/>
    <tableColumn id="889" xr3:uid="{E473B84A-97E3-4F9D-9F84-A13C73C74D9F}" name="Columna626" dataDxfId="131"/>
    <tableColumn id="890" xr3:uid="{E32D7F20-C73B-4D57-A78B-3B107AEE57CE}" name="Columna627" dataDxfId="130"/>
    <tableColumn id="891" xr3:uid="{8E340066-DD66-42FC-B6D8-1FCE948A1D03}" name="Columna628" dataDxfId="129"/>
    <tableColumn id="868" xr3:uid="{1D18A11C-6E22-440A-9211-FB68E8740DED}" name="Columna629" dataDxfId="128"/>
    <tableColumn id="869" xr3:uid="{0B7CBDF4-1630-4222-8403-946DA2E2ECC7}" name="Columna630" dataDxfId="127"/>
    <tableColumn id="870" xr3:uid="{3ADB1F9F-9DFA-49DA-97EF-5A5DE0AF258A}" name="Columna631" dataDxfId="126"/>
    <tableColumn id="871" xr3:uid="{A2F054DA-8392-45E1-9777-9FAC42546E69}" name="Columna632" dataDxfId="125"/>
    <tableColumn id="872" xr3:uid="{FBFD5273-BA81-45DB-890B-242B9449939A}" name="Columna633" dataDxfId="124"/>
    <tableColumn id="873" xr3:uid="{6E5815FA-28C6-48A8-BD6A-D41C894932BC}" name="Columna634" dataDxfId="123"/>
    <tableColumn id="874" xr3:uid="{3C5657C3-3BB3-4FDD-A23E-54AF1BB51247}" name="Columna635" dataDxfId="122"/>
    <tableColumn id="875" xr3:uid="{FF2BD8E9-E096-4B14-8D87-212CD502C377}" name="Columna636" dataDxfId="121"/>
    <tableColumn id="876" xr3:uid="{074F7147-55D3-439E-BC12-5DE621EF52E8}" name="Columna637" dataDxfId="120"/>
    <tableColumn id="877" xr3:uid="{2E96439C-39D4-40DF-866D-2D3EEEBB49A8}" name="Columna638" dataDxfId="119"/>
    <tableColumn id="878" xr3:uid="{316A94AF-048C-448A-934C-8F57AEDA15F6}" name="Columna639" dataDxfId="118"/>
    <tableColumn id="879" xr3:uid="{D3116855-3C04-46D4-BB74-2F2A491BD9FE}" name="Columna640" dataDxfId="117"/>
    <tableColumn id="856" xr3:uid="{67F7A426-0566-4CAE-AAB8-F925C746A083}" name="Columna641" dataDxfId="116"/>
    <tableColumn id="857" xr3:uid="{DF09E3D5-76FE-419D-A8CC-2E1CA4B3F5AF}" name="Columna642" dataDxfId="115"/>
    <tableColumn id="858" xr3:uid="{7F3F761E-16D0-4D58-B2FC-A67BC880B29D}" name="Columna643" dataDxfId="114"/>
    <tableColumn id="859" xr3:uid="{E9148EBA-9849-4A57-AE19-2A1EF4235B87}" name="Columna644" dataDxfId="113"/>
    <tableColumn id="860" xr3:uid="{70C35A63-91CD-4489-B27B-518F4EB45E7D}" name="Columna645" dataDxfId="112"/>
    <tableColumn id="861" xr3:uid="{08F38DE2-3C4A-43C7-A896-FAC1FFFC06D4}" name="Columna646" dataDxfId="111"/>
    <tableColumn id="862" xr3:uid="{6CABC7A4-AA96-4C51-97A9-70CEF8BBB3C4}" name="Columna647" dataDxfId="110"/>
    <tableColumn id="863" xr3:uid="{FEF79F71-D5AB-4BB1-8032-03C14C762976}" name="Columna648" dataDxfId="109"/>
    <tableColumn id="864" xr3:uid="{78632359-F0B4-4EA4-BA61-F4406463463F}" name="Columna649" dataDxfId="108"/>
    <tableColumn id="865" xr3:uid="{0B27E861-E398-47F4-8779-F6B93702BECB}" name="Columna650" dataDxfId="107"/>
    <tableColumn id="866" xr3:uid="{38E5917E-4ED8-42C5-9032-BB4E3EE93162}" name="Columna651" dataDxfId="106"/>
    <tableColumn id="867" xr3:uid="{14A9DBBC-CFE7-4A51-B5EB-CEB877363033}" name="Columna652" dataDxfId="105"/>
    <tableColumn id="844" xr3:uid="{EC4E1E84-90D0-4883-BD22-C82311A08F9D}" name="Columna653" dataDxfId="104"/>
    <tableColumn id="845" xr3:uid="{AECE74AA-9C1F-4487-B2FA-A7C33D4ED111}" name="Columna654" dataDxfId="103"/>
    <tableColumn id="846" xr3:uid="{AD06F15B-BFB2-4599-BF92-645AC0144ED0}" name="Columna655" dataDxfId="102"/>
    <tableColumn id="847" xr3:uid="{30384D87-867B-4508-A9B9-908689ED2DD5}" name="Columna656" dataDxfId="101"/>
    <tableColumn id="848" xr3:uid="{BDA978F9-73F3-4C66-9BC0-5CD81C3CC3C4}" name="Columna657" dataDxfId="100"/>
    <tableColumn id="849" xr3:uid="{26A1A936-7F22-41B2-9703-AD8826ABAEF5}" name="Columna658" dataDxfId="99"/>
    <tableColumn id="850" xr3:uid="{302B0618-A0B6-44C3-83AE-BEAD16016F59}" name="Columna659" dataDxfId="98"/>
    <tableColumn id="851" xr3:uid="{D27692DB-2E8F-4458-8C46-90745E0B1568}" name="Columna660" dataDxfId="97"/>
    <tableColumn id="852" xr3:uid="{50D9A2BD-9FA1-4536-931D-1F6CE2E057F3}" name="Columna661" dataDxfId="96"/>
    <tableColumn id="853" xr3:uid="{2849F79B-2325-48B0-9EE9-2680CF521331}" name="Columna662" dataDxfId="95"/>
    <tableColumn id="854" xr3:uid="{A7C8D769-359D-4F4C-9F43-F312BA397B96}" name="Columna663" dataDxfId="94"/>
    <tableColumn id="855" xr3:uid="{57856AE7-DED8-409A-B9FC-ADB35247B74B}" name="Columna664" dataDxfId="93"/>
    <tableColumn id="832" xr3:uid="{A40F83E1-111C-49C6-A1BF-7E59C8C6A9BB}" name="Columna665" dataDxfId="92"/>
    <tableColumn id="833" xr3:uid="{78C64C38-0C2A-43D1-A2F0-73849594CB9E}" name="Columna666" dataDxfId="91"/>
    <tableColumn id="834" xr3:uid="{D086A6E1-F234-40AF-B439-39FD89036AED}" name="Columna667" dataDxfId="90"/>
    <tableColumn id="835" xr3:uid="{0971537F-690E-4F3D-A7BE-845961F6F9D5}" name="Columna668" dataDxfId="89"/>
    <tableColumn id="836" xr3:uid="{07E393A8-0D66-4220-BF99-1B0669AFEEB2}" name="Columna669" dataDxfId="88"/>
    <tableColumn id="837" xr3:uid="{0C14ACE7-F905-42B8-AB1D-7CA8B308FF36}" name="Columna670" dataDxfId="87"/>
    <tableColumn id="838" xr3:uid="{F0E2014B-1078-4A33-A646-B814C9B98C42}" name="Columna671" dataDxfId="86"/>
    <tableColumn id="839" xr3:uid="{A4EEC94C-1757-42EB-B2E6-B166BB7FF300}" name="Columna672" dataDxfId="85"/>
    <tableColumn id="840" xr3:uid="{1609A266-2736-4E14-BE35-52D3B5D83275}" name="Columna673" dataDxfId="84"/>
    <tableColumn id="841" xr3:uid="{442517DF-2D9F-47F6-9954-ABBAB4A9A1A9}" name="Columna674" dataDxfId="83"/>
    <tableColumn id="842" xr3:uid="{7E2177F0-2C5C-45DE-A554-309880832357}" name="Columna675" dataDxfId="82"/>
    <tableColumn id="843" xr3:uid="{58A82027-F808-41CD-B2ED-0CD6DF99BFC0}" name="Columna676" dataDxfId="81"/>
    <tableColumn id="820" xr3:uid="{31CE589C-39B6-4617-A0A9-42F3C275F134}" name="Columna677" dataDxfId="80"/>
    <tableColumn id="821" xr3:uid="{F4EBA74D-6C7E-4D44-A11D-BB172A1E363B}" name="Columna678" dataDxfId="79"/>
    <tableColumn id="822" xr3:uid="{1393CF44-BF4F-49DE-BAA7-61E53F150C11}" name="Columna679" dataDxfId="78"/>
    <tableColumn id="823" xr3:uid="{05349752-0C35-4DB0-B867-21ECA6E38B17}" name="Columna680" dataDxfId="77"/>
    <tableColumn id="824" xr3:uid="{EBF7758D-7803-4C1E-97A2-3F0692CA9FC4}" name="Columna681" dataDxfId="76"/>
    <tableColumn id="825" xr3:uid="{CA492EAE-302B-4E90-85AA-D8011E95E4E4}" name="Columna682" dataDxfId="75"/>
    <tableColumn id="826" xr3:uid="{A78F5323-93D0-4E27-B2D0-9B626026F00D}" name="Columna683" dataDxfId="74"/>
    <tableColumn id="827" xr3:uid="{4197679B-A1A0-4662-8825-95B5CB7F9291}" name="Columna684" dataDxfId="73"/>
    <tableColumn id="828" xr3:uid="{9B7DA5B3-04CF-4574-9E7D-A4E52EC1E9BB}" name="Columna685" dataDxfId="72"/>
    <tableColumn id="829" xr3:uid="{91A93B4A-C1E3-4160-B66D-A13E4077D091}" name="Columna686" dataDxfId="71"/>
    <tableColumn id="830" xr3:uid="{1B62788D-AB9F-4BD2-A44D-1B0ADAED3DE5}" name="Columna687" dataDxfId="70"/>
    <tableColumn id="831" xr3:uid="{1D3BDEAD-50A3-4A7D-9223-B5AD4E96B0C3}" name="Columna688" dataDxfId="69"/>
    <tableColumn id="816" xr3:uid="{4CEC1FBF-A90E-46D9-B932-D2466A7C86FE}" name="Columna689" dataDxfId="68"/>
    <tableColumn id="817" xr3:uid="{03E7C10C-EA14-4743-8D74-98610E1547FE}" name="Columna690" dataDxfId="67"/>
    <tableColumn id="818" xr3:uid="{D92A0055-8685-4A58-B586-1038A03F1294}" name="Columna691" dataDxfId="66"/>
    <tableColumn id="819" xr3:uid="{C6D448B4-71C7-4C1C-89D9-DC8DF986926D}" name="Columna692" dataDxfId="65"/>
    <tableColumn id="812" xr3:uid="{79908356-2BCB-4A87-9D45-51AC3F4F1916}" name="Columna693" dataDxfId="64"/>
    <tableColumn id="813" xr3:uid="{4AD860E3-8329-48CB-BBD4-EF87F0646A09}" name="Columna694" dataDxfId="63"/>
    <tableColumn id="814" xr3:uid="{04886CF0-471B-4D91-8FD9-F8CA60A6ACA7}" name="Columna695" dataDxfId="62"/>
    <tableColumn id="815" xr3:uid="{92A78138-83C0-4377-8162-E641C34D3556}" name="Columna696" dataDxfId="61"/>
    <tableColumn id="810" xr3:uid="{10CCB919-BD6B-4D5D-8ED9-D32C10C4BEC7}" name="Columna697" dataDxfId="60"/>
    <tableColumn id="811" xr3:uid="{811F739A-1B3A-4E84-AA72-56C5E510C87C}" name="Columna698" dataDxfId="59"/>
    <tableColumn id="809" xr3:uid="{BF8B97DE-7AC8-465E-9A49-C60AA9C061E8}" name="Columna699" dataDxfId="58"/>
    <tableColumn id="808" xr3:uid="{6262DDD9-3C99-4F0F-ACC1-1A8B3FD78DBE}" name="Columna700" dataDxfId="57"/>
    <tableColumn id="701" xr3:uid="{00000000-0010-0000-0000-0000BD020000}" name="Columna701" dataDxfId="56"/>
    <tableColumn id="783" xr3:uid="{2EAF7E1B-573F-4F5F-B7BF-9D021A953436}" name="Columna702" dataDxfId="55"/>
    <tableColumn id="702" xr3:uid="{00000000-0010-0000-0000-0000BE020000}" name="Columna703" dataDxfId="54"/>
    <tableColumn id="711" xr3:uid="{00000000-0010-0000-0000-0000C7020000}" name="Columna704" dataDxfId="53"/>
    <tableColumn id="712" xr3:uid="{00000000-0010-0000-0000-0000C8020000}" name="Columna705" dataDxfId="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2:AH541" totalsRowShown="0" headerRowDxfId="46" headerRowBorderDxfId="45">
  <autoFilter ref="A2:AH541" xr:uid="{00000000-0009-0000-0100-000001000000}"/>
  <tableColumns count="34">
    <tableColumn id="1" xr3:uid="{00000000-0010-0000-0100-000001000000}" name="ID SEDE" dataDxfId="44" dataCellStyle="Normal 84"/>
    <tableColumn id="2" xr3:uid="{00000000-0010-0000-0100-000002000000}" name="CONTRATISTA" dataDxfId="43" dataCellStyle="Normal 84"/>
    <tableColumn id="3" xr3:uid="{00000000-0010-0000-0100-000003000000}" name="OPERADOR" dataDxfId="42" dataCellStyle="Normal 84"/>
    <tableColumn id="4" xr3:uid="{00000000-0010-0000-0100-000004000000}" name="MODALIDAD" dataDxfId="41" dataCellStyle="Normal 84"/>
    <tableColumn id="5" xr3:uid="{00000000-0010-0000-0100-000005000000}" name="No. LOTE " dataDxfId="40" dataCellStyle="Normal 84"/>
    <tableColumn id="6" xr3:uid="{00000000-0010-0000-0100-000006000000}" name="Zona " dataDxfId="39" dataCellStyle="Normal 84"/>
    <tableColumn id="7" xr3:uid="{00000000-0010-0000-0100-000007000000}" name="No. " dataDxfId="38" dataCellStyle="Normal 84"/>
    <tableColumn id="8" xr3:uid="{00000000-0010-0000-0100-000008000000}" name="COMEDOR ESCOLAR" dataDxfId="37" dataCellStyle="Normal 84"/>
    <tableColumn id="9" xr3:uid="{00000000-0010-0000-0100-000009000000}" name="NOMBRE SEDE" dataDxfId="36" dataCellStyle="Normal 84"/>
    <tableColumn id="10" xr3:uid="{00000000-0010-0000-0100-00000A000000}" name="CONSECUTIVO DANE" dataDxfId="35" dataCellStyle="Normal 84"/>
    <tableColumn id="11" xr3:uid="{00000000-0010-0000-0100-00000B000000}" name="TIPO DE EE" dataDxfId="34" dataCellStyle="Normal 84"/>
    <tableColumn id="12" xr3:uid="{00000000-0010-0000-0100-00000C000000}" name="J.UNICA" dataDxfId="33" dataCellStyle="Normal 84"/>
    <tableColumn id="13" xr3:uid="{00000000-0010-0000-0100-00000D000000}" name="COMUNA" dataDxfId="32" dataCellStyle="Normal 84"/>
    <tableColumn id="14" xr3:uid="{00000000-0010-0000-0100-00000E000000}" name="BARRIO" dataDxfId="31" dataCellStyle="Normal 84"/>
    <tableColumn id="15" xr3:uid="{00000000-0010-0000-0100-00000F000000}" name="DIRECCION" dataDxfId="30" dataCellStyle="Normal 84"/>
    <tableColumn id="16" xr3:uid="{00000000-0010-0000-0100-000010000000}" name="TELEFONO" dataDxfId="29" dataCellStyle="Normal 84"/>
    <tableColumn id="17" xr3:uid="{00000000-0010-0000-0100-000011000000}" name="RECTOR Y/O COORDINADOR  " dataDxfId="28" dataCellStyle="Normal 84"/>
    <tableColumn id="18" xr3:uid="{00000000-0010-0000-0100-000012000000}" name="DOCENTE ENCARGADO DEL R.E." dataDxfId="27" dataCellStyle="Normal 84"/>
    <tableColumn id="19" xr3:uid="{00000000-0010-0000-0100-000013000000}" name="CORREO ELECTRONICO" dataDxfId="26" dataCellStyle="Normal 84"/>
    <tableColumn id="20" xr3:uid="{00000000-0010-0000-0100-000014000000}" name="COMPLEMENTO ALIMENTARIO  AM/PM _x000a_0° a 3°" dataDxfId="25" dataCellStyle="Normal 84"/>
    <tableColumn id="21" xr3:uid="{00000000-0010-0000-0100-000015000000}" name="COMPLEMENTO ALIMENTARIO  AM/PM _x000a_4° a 8°" dataDxfId="24" dataCellStyle="Normal 84"/>
    <tableColumn id="22" xr3:uid="{00000000-0010-0000-0100-000016000000}" name="COMPLEMENTO ALIMENTARIO  AM/PM _x000a_9° a 11°" dataDxfId="23" dataCellStyle="Normal 84"/>
    <tableColumn id="23" xr3:uid="{00000000-0010-0000-0100-000017000000}" name="TIPO COMPLEMENTO" dataDxfId="22" dataCellStyle="Normal 84"/>
    <tableColumn id="24" xr3:uid="{00000000-0010-0000-0100-000018000000}" name="OPERADOR2" dataDxfId="21" dataCellStyle="Normal 84"/>
    <tableColumn id="25" xr3:uid="{00000000-0010-0000-0100-000019000000}" name="TOTAL CUPOS_x000a_" dataDxfId="20" dataCellStyle="Normal 84"/>
    <tableColumn id="26" xr3:uid="{00000000-0010-0000-0100-00001A000000}" name=" COMPLEMENTO VASO DE LECHE 0° a 3°" dataDxfId="19" dataCellStyle="Normal 84"/>
    <tableColumn id="27" xr3:uid="{00000000-0010-0000-0100-00001B000000}" name=" COMPLEMENTO VASO DE LECHE 4° a 8°" dataDxfId="18" dataCellStyle="Normal 84"/>
    <tableColumn id="28" xr3:uid="{00000000-0010-0000-0100-00001C000000}" name=" COMPLEMENTO VASO DE LECHE 9° a 11°" dataDxfId="17" dataCellStyle="Normal 84"/>
    <tableColumn id="29" xr3:uid="{00000000-0010-0000-0100-00001D000000}" name="TIPO COMPLEMENTO2" dataDxfId="16" dataCellStyle="Normal 84"/>
    <tableColumn id="30" xr3:uid="{00000000-0010-0000-0100-00001E000000}" name="OPERADOR3" dataDxfId="15" dataCellStyle="Normal 84"/>
    <tableColumn id="31" xr3:uid="{00000000-0010-0000-0100-00001F000000}" name="TOTAL CUPOS_x000a_4" dataDxfId="14" dataCellStyle="Normal 84"/>
    <tableColumn id="32" xr3:uid="{00000000-0010-0000-0100-000020000000}" name="TOTAL COBERTURA " dataDxfId="13" dataCellStyle="Normal 84"/>
    <tableColumn id="33" xr3:uid="{00000000-0010-0000-0100-000021000000}" name="IE CON RIT" dataDxfId="12" dataCellStyle="Normal 84"/>
    <tableColumn id="34" xr3:uid="{00000000-0010-0000-0100-000022000000}" name="OBSERVACIONES" dataDxfId="11" dataCellStyle="Normal 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2" displayName="Tabla2" ref="A8:B13" totalsRowShown="0" headerRowDxfId="10" dataDxfId="9">
  <autoFilter ref="A8:B13" xr:uid="{00000000-0009-0000-0100-000003000000}"/>
  <tableColumns count="2">
    <tableColumn id="1" xr3:uid="{00000000-0010-0000-0200-000001000000}" name="VISITA" dataDxfId="8"/>
    <tableColumn id="2" xr3:uid="{00000000-0010-0000-0200-000002000000}" name="ACTA"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3" displayName="Tabla3" ref="A29:D94" totalsRowShown="0" headerRowDxfId="6" dataDxfId="5" tableBorderDxfId="4" headerRowCellStyle="Normal 17">
  <autoFilter ref="A29:D94" xr:uid="{00000000-0009-0000-0100-000004000000}"/>
  <tableColumns count="4">
    <tableColumn id="1" xr3:uid="{00000000-0010-0000-0300-000001000000}" name="PROFESIONAL" dataDxfId="3" dataCellStyle="Normal 2 10"/>
    <tableColumn id="2" xr3:uid="{00000000-0010-0000-0300-000002000000}" name="ROL" dataDxfId="2" dataCellStyle="Normal 2 10"/>
    <tableColumn id="3" xr3:uid="{00000000-0010-0000-0300-000003000000}" name="IDENTIFICACION" dataDxfId="1"/>
    <tableColumn id="4" xr3:uid="{00000000-0010-0000-0300-000004000000}" name="CONTACT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AC6"/>
  <sheetViews>
    <sheetView tabSelected="1" zoomScale="60" zoomScaleNormal="60" workbookViewId="0">
      <pane ySplit="5" topLeftCell="A6" activePane="bottomLeft" state="frozen"/>
      <selection pane="bottomLeft" activeCell="AG4" sqref="AG4"/>
    </sheetView>
  </sheetViews>
  <sheetFormatPr baseColWidth="10" defaultColWidth="11.44140625" defaultRowHeight="14.4"/>
  <cols>
    <col min="1" max="1" width="24.44140625" style="62" customWidth="1"/>
    <col min="2" max="2" width="12.6640625" style="1" customWidth="1"/>
    <col min="3" max="3" width="14" style="1" customWidth="1"/>
    <col min="4" max="4" width="20.6640625" style="5" customWidth="1"/>
    <col min="5" max="6" width="12.5546875" style="5" customWidth="1"/>
    <col min="7" max="7" width="54.6640625" style="1" customWidth="1"/>
    <col min="8" max="8" width="52" style="1" customWidth="1"/>
    <col min="9" max="9" width="24.33203125" style="63" customWidth="1"/>
    <col min="10" max="10" width="72.88671875" style="1" customWidth="1"/>
    <col min="11" max="11" width="40.109375" style="1" customWidth="1"/>
    <col min="12" max="12" width="22.5546875" style="1" customWidth="1"/>
    <col min="13" max="13" width="17" style="1" customWidth="1"/>
    <col min="14" max="14" width="14.88671875" style="1" customWidth="1"/>
    <col min="15" max="15" width="14.6640625" style="64" customWidth="1"/>
    <col min="16" max="16" width="16" style="64" customWidth="1"/>
    <col min="17" max="17" width="28" style="1" customWidth="1"/>
    <col min="18" max="18" width="18.109375" style="1" customWidth="1"/>
    <col min="19" max="21" width="22.88671875" style="1" customWidth="1"/>
    <col min="22" max="22" width="20.109375" style="1" customWidth="1"/>
    <col min="23" max="23" width="21.109375" style="1" customWidth="1"/>
    <col min="24" max="25" width="17.33203125" style="1" customWidth="1"/>
    <col min="26" max="26" width="27.44140625" style="1" customWidth="1"/>
    <col min="27" max="28" width="17.21875" style="1" customWidth="1"/>
    <col min="29" max="32" width="15.44140625" style="1" customWidth="1"/>
    <col min="33" max="34" width="14.109375" style="1" customWidth="1"/>
    <col min="35" max="35" width="56" style="1" customWidth="1"/>
    <col min="36" max="36" width="25.44140625" style="1" customWidth="1"/>
    <col min="37" max="37" width="23.5546875" style="1" customWidth="1"/>
    <col min="38" max="38" width="34.5546875" style="1" customWidth="1"/>
    <col min="39" max="39" width="51" style="1" customWidth="1"/>
    <col min="40" max="40" width="33.109375" style="1" customWidth="1"/>
    <col min="41" max="44" width="44.109375" style="5" customWidth="1"/>
    <col min="45" max="45" width="63.44140625" style="5" customWidth="1"/>
    <col min="46" max="46" width="13.88671875" style="5" customWidth="1"/>
    <col min="47" max="47" width="13" style="5" customWidth="1"/>
    <col min="48" max="49" width="15.6640625" style="5" customWidth="1"/>
    <col min="50" max="55" width="49.44140625" style="5" customWidth="1"/>
    <col min="56" max="56" width="60.33203125" style="5" customWidth="1"/>
    <col min="57" max="57" width="60.77734375" style="5" customWidth="1"/>
    <col min="58" max="58" width="49.44140625" style="5" customWidth="1"/>
    <col min="59" max="62" width="17.6640625" style="5" customWidth="1"/>
    <col min="63" max="63" width="49.44140625" style="5" customWidth="1"/>
    <col min="64" max="69" width="62.44140625" style="5" customWidth="1"/>
    <col min="70" max="70" width="58.6640625" style="5" customWidth="1"/>
    <col min="71" max="71" width="47.88671875" style="5" customWidth="1"/>
    <col min="72" max="72" width="38.6640625" style="5" customWidth="1"/>
    <col min="73" max="75" width="20.6640625" style="5" customWidth="1"/>
    <col min="76" max="76" width="20" style="5" customWidth="1"/>
    <col min="77" max="85" width="37.77734375" style="5" customWidth="1"/>
    <col min="86" max="88" width="20.6640625" style="5" customWidth="1"/>
    <col min="89" max="89" width="24" style="5" customWidth="1"/>
    <col min="90" max="90" width="45" style="5" customWidth="1"/>
    <col min="91" max="91" width="40.88671875" style="5" customWidth="1"/>
    <col min="92" max="92" width="36" style="5" customWidth="1"/>
    <col min="93" max="95" width="20.6640625" style="5" customWidth="1"/>
    <col min="96" max="96" width="19.88671875" style="5" customWidth="1"/>
    <col min="97" max="110" width="39.6640625" style="5" customWidth="1"/>
    <col min="111" max="111" width="59.5546875" style="5" customWidth="1"/>
    <col min="112" max="115" width="20.6640625" style="5" customWidth="1"/>
    <col min="116" max="117" width="56.6640625" style="5" customWidth="1"/>
    <col min="118" max="118" width="43.44140625" style="5" customWidth="1"/>
    <col min="119" max="121" width="20.6640625" style="5" customWidth="1"/>
    <col min="122" max="122" width="23.44140625" style="5" customWidth="1"/>
    <col min="123" max="123" width="52.88671875" style="5" customWidth="1"/>
    <col min="124" max="124" width="35" style="5" customWidth="1"/>
    <col min="125" max="125" width="40.5546875" style="5" customWidth="1"/>
    <col min="126" max="126" width="40.88671875" style="5" customWidth="1"/>
    <col min="127" max="129" width="20.6640625" style="5" customWidth="1"/>
    <col min="130" max="130" width="24" style="5" customWidth="1"/>
    <col min="131" max="136" width="38" style="5" customWidth="1"/>
    <col min="137" max="137" width="40.44140625" style="5" customWidth="1"/>
    <col min="138" max="140" width="20.6640625" style="5" customWidth="1"/>
    <col min="141" max="141" width="19.5546875" style="5" customWidth="1"/>
    <col min="142" max="142" width="38.6640625" style="5" customWidth="1"/>
    <col min="143" max="143" width="43.6640625" style="5" customWidth="1"/>
    <col min="144" max="146" width="20.6640625" style="5" customWidth="1"/>
    <col min="147" max="147" width="19.33203125" style="5" customWidth="1"/>
    <col min="148" max="148" width="55.77734375" style="5" customWidth="1"/>
    <col min="149" max="149" width="45.88671875" style="5" customWidth="1"/>
    <col min="150" max="150" width="41.5546875" style="5" customWidth="1"/>
    <col min="151" max="151" width="41.6640625" style="5" customWidth="1"/>
    <col min="152" max="152" width="52.44140625" style="5" customWidth="1"/>
    <col min="153" max="153" width="58.33203125" style="5" customWidth="1"/>
    <col min="154" max="154" width="40.88671875" style="5" customWidth="1"/>
    <col min="155" max="157" width="20.6640625" style="5" customWidth="1"/>
    <col min="158" max="158" width="25.33203125" style="5" customWidth="1"/>
    <col min="159" max="163" width="46.5546875" style="5" customWidth="1"/>
    <col min="164" max="165" width="40.88671875" style="5" customWidth="1"/>
    <col min="166" max="166" width="44.109375" style="5" customWidth="1"/>
    <col min="167" max="169" width="20.6640625" style="5" customWidth="1"/>
    <col min="170" max="170" width="23.44140625" style="5" customWidth="1"/>
    <col min="171" max="171" width="33.88671875" style="5" customWidth="1"/>
    <col min="172" max="172" width="28.6640625" style="5" customWidth="1"/>
    <col min="173" max="173" width="30.44140625" style="5" customWidth="1"/>
    <col min="174" max="174" width="31.5546875" style="5" customWidth="1"/>
    <col min="175" max="175" width="32.5546875" style="5" customWidth="1"/>
    <col min="176" max="176" width="20.88671875" style="5" customWidth="1"/>
    <col min="177" max="177" width="19.88671875" style="5" customWidth="1"/>
    <col min="178" max="178" width="20.88671875" style="5" customWidth="1"/>
    <col min="179" max="179" width="18.109375" style="5" customWidth="1"/>
    <col min="180" max="190" width="32.5546875" style="5" customWidth="1"/>
    <col min="191" max="191" width="37.6640625" style="5" customWidth="1"/>
    <col min="192" max="192" width="32.5546875" style="5" customWidth="1"/>
    <col min="193" max="193" width="53.88671875" style="5" customWidth="1"/>
    <col min="194" max="194" width="42.6640625" style="5" customWidth="1"/>
    <col min="195" max="195" width="43.44140625" style="5" customWidth="1"/>
    <col min="196" max="196" width="45.44140625" style="5" customWidth="1"/>
    <col min="197" max="197" width="52.109375" style="5" customWidth="1"/>
    <col min="198" max="198" width="47.6640625" style="5" customWidth="1"/>
    <col min="199" max="199" width="47.88671875" style="5" customWidth="1"/>
    <col min="200" max="200" width="65.44140625" style="5" customWidth="1"/>
    <col min="201" max="201" width="45.5546875" style="5" customWidth="1"/>
    <col min="202" max="202" width="34" style="5" customWidth="1"/>
    <col min="203" max="203" width="46.33203125" style="5" customWidth="1"/>
    <col min="204" max="204" width="32.5546875" style="5" customWidth="1"/>
    <col min="205" max="205" width="79.6640625" style="5" customWidth="1"/>
    <col min="206" max="206" width="44" style="5" customWidth="1"/>
    <col min="207" max="207" width="36.44140625" style="5" customWidth="1"/>
    <col min="208" max="208" width="50.33203125" style="5" customWidth="1"/>
    <col min="209" max="209" width="55.5546875" style="5" customWidth="1"/>
    <col min="210" max="210" width="55.88671875" style="5" customWidth="1"/>
    <col min="211" max="211" width="44" style="5" customWidth="1"/>
    <col min="212" max="212" width="47.6640625" style="5" customWidth="1"/>
    <col min="213" max="213" width="86.6640625" style="5" customWidth="1"/>
    <col min="214" max="214" width="49.33203125" style="5" customWidth="1"/>
    <col min="215" max="215" width="32.5546875" style="5" customWidth="1"/>
    <col min="216" max="216" width="46.6640625" style="5" customWidth="1"/>
    <col min="217" max="217" width="41.109375" style="5" customWidth="1"/>
    <col min="218" max="218" width="49.109375" style="5" customWidth="1"/>
    <col min="219" max="219" width="91.88671875" style="5" customWidth="1"/>
    <col min="220" max="220" width="61.44140625" style="5" customWidth="1"/>
    <col min="221" max="221" width="37.88671875" style="5" customWidth="1"/>
    <col min="222" max="222" width="83.44140625" style="5" customWidth="1"/>
    <col min="223" max="223" width="49.33203125" style="5" customWidth="1"/>
    <col min="224" max="224" width="52.109375" style="5" customWidth="1"/>
    <col min="225" max="225" width="20.88671875" style="5" customWidth="1"/>
    <col min="226" max="226" width="19.88671875" style="5" customWidth="1"/>
    <col min="227" max="227" width="20.88671875" style="5" customWidth="1"/>
    <col min="228" max="228" width="18.109375" style="5" customWidth="1"/>
    <col min="229" max="229" width="21.44140625" style="5" customWidth="1"/>
    <col min="230" max="230" width="20.6640625" style="5" customWidth="1"/>
    <col min="231" max="231" width="21.109375" style="5" customWidth="1"/>
    <col min="232" max="232" width="24" style="5" customWidth="1"/>
    <col min="233" max="233" width="68.5546875" style="5" customWidth="1"/>
    <col min="234" max="234" width="14.33203125" style="5" customWidth="1"/>
    <col min="235" max="235" width="13.5546875" style="5" customWidth="1"/>
    <col min="236" max="236" width="14.109375" style="5" customWidth="1"/>
    <col min="237" max="237" width="11.88671875" style="5" customWidth="1"/>
    <col min="238" max="238" width="13.5546875" style="5" customWidth="1"/>
    <col min="239" max="239" width="14.109375" style="5" customWidth="1"/>
    <col min="240" max="240" width="11.44140625" style="5"/>
    <col min="241" max="241" width="15.44140625" style="5" customWidth="1"/>
    <col min="242" max="243" width="18.33203125" style="5" customWidth="1"/>
    <col min="244" max="244" width="78" style="5" customWidth="1"/>
    <col min="245" max="245" width="14.33203125" style="5" customWidth="1"/>
    <col min="246" max="248" width="13.5546875" style="5" customWidth="1"/>
    <col min="249" max="250" width="14.109375" style="5" customWidth="1"/>
    <col min="251" max="251" width="11.44140625" style="5"/>
    <col min="252" max="252" width="15.44140625" style="5" customWidth="1"/>
    <col min="253" max="254" width="18.33203125" style="5" customWidth="1"/>
    <col min="255" max="255" width="80.109375" style="5" customWidth="1"/>
    <col min="256" max="256" width="14.33203125" style="5" customWidth="1"/>
    <col min="257" max="259" width="13.5546875" style="5" customWidth="1"/>
    <col min="260" max="261" width="14.109375" style="5" customWidth="1"/>
    <col min="262" max="262" width="11.44140625" style="5"/>
    <col min="263" max="263" width="15.44140625" style="5" customWidth="1"/>
    <col min="264" max="265" width="18.33203125" style="5" customWidth="1"/>
    <col min="266" max="266" width="77.88671875" style="5" customWidth="1"/>
    <col min="267" max="269" width="14.33203125" style="5" customWidth="1"/>
    <col min="270" max="270" width="13.5546875" style="5" customWidth="1"/>
    <col min="271" max="272" width="14.109375" style="5" customWidth="1"/>
    <col min="273" max="273" width="11.44140625" style="5"/>
    <col min="274" max="274" width="15.44140625" style="5" customWidth="1"/>
    <col min="275" max="276" width="18.33203125" style="5" customWidth="1"/>
    <col min="277" max="277" width="80.44140625" style="5" customWidth="1"/>
    <col min="278" max="280" width="14.33203125" style="5" customWidth="1"/>
    <col min="281" max="281" width="13.5546875" style="5" customWidth="1"/>
    <col min="282" max="283" width="14.109375" style="5" customWidth="1"/>
    <col min="284" max="284" width="11.44140625" style="5"/>
    <col min="285" max="285" width="15.44140625" style="5" customWidth="1"/>
    <col min="286" max="287" width="18.33203125" style="5" customWidth="1"/>
    <col min="288" max="288" width="79.44140625" style="5" customWidth="1"/>
    <col min="289" max="291" width="14.33203125" style="5" customWidth="1"/>
    <col min="292" max="292" width="13.5546875" style="5" customWidth="1"/>
    <col min="293" max="294" width="14.109375" style="5" customWidth="1"/>
    <col min="295" max="295" width="11.44140625" style="5"/>
    <col min="296" max="296" width="15.44140625" style="5" customWidth="1"/>
    <col min="297" max="298" width="18.33203125" style="5" customWidth="1"/>
    <col min="299" max="299" width="81" style="5" customWidth="1"/>
    <col min="300" max="302" width="14.33203125" style="5" customWidth="1"/>
    <col min="303" max="303" width="13.5546875" style="5" customWidth="1"/>
    <col min="304" max="305" width="14.109375" style="5" customWidth="1"/>
    <col min="306" max="306" width="11.44140625" style="5"/>
    <col min="307" max="307" width="15.44140625" style="5" customWidth="1"/>
    <col min="308" max="309" width="18.33203125" style="5" customWidth="1"/>
    <col min="310" max="310" width="78.33203125" style="5" customWidth="1"/>
    <col min="311" max="313" width="14.33203125" style="5" customWidth="1"/>
    <col min="314" max="314" width="13.5546875" style="5" customWidth="1"/>
    <col min="315" max="316" width="14.109375" style="5" customWidth="1"/>
    <col min="317" max="317" width="11.44140625" style="5"/>
    <col min="318" max="318" width="15.44140625" style="5" customWidth="1"/>
    <col min="319" max="320" width="18.33203125" style="5" customWidth="1"/>
    <col min="321" max="321" width="80.109375" style="5" customWidth="1"/>
    <col min="322" max="324" width="14.33203125" style="5" customWidth="1"/>
    <col min="325" max="325" width="13.5546875" style="5" customWidth="1"/>
    <col min="326" max="327" width="14.109375" style="5" customWidth="1"/>
    <col min="328" max="328" width="11.44140625" style="5"/>
    <col min="329" max="329" width="15.44140625" style="5" customWidth="1"/>
    <col min="330" max="331" width="18.33203125" style="5" customWidth="1"/>
    <col min="332" max="332" width="80.33203125" style="5" customWidth="1"/>
    <col min="333" max="335" width="14.33203125" style="5" customWidth="1"/>
    <col min="336" max="336" width="13.5546875" style="5" customWidth="1"/>
    <col min="337" max="338" width="14.109375" style="5" customWidth="1"/>
    <col min="339" max="339" width="11.44140625" style="5"/>
    <col min="340" max="340" width="15.44140625" style="5" customWidth="1"/>
    <col min="341" max="342" width="18.33203125" style="5" customWidth="1"/>
    <col min="343" max="343" width="80.44140625" style="5" customWidth="1"/>
    <col min="344" max="346" width="14.33203125" style="5" customWidth="1"/>
    <col min="347" max="347" width="13.5546875" style="5" customWidth="1"/>
    <col min="348" max="349" width="14.109375" style="5" customWidth="1"/>
    <col min="350" max="350" width="11.44140625" style="5"/>
    <col min="351" max="351" width="15.44140625" style="5" customWidth="1"/>
    <col min="352" max="353" width="18.33203125" style="5" customWidth="1"/>
    <col min="354" max="354" width="81.88671875" style="5" customWidth="1"/>
    <col min="355" max="357" width="14.33203125" style="5" customWidth="1"/>
    <col min="358" max="358" width="13.5546875" style="5" customWidth="1"/>
    <col min="359" max="360" width="14.109375" style="5" customWidth="1"/>
    <col min="361" max="361" width="11.44140625" style="5"/>
    <col min="362" max="362" width="15.44140625" style="5" customWidth="1"/>
    <col min="363" max="364" width="18.33203125" style="5" customWidth="1"/>
    <col min="365" max="365" width="76.33203125" style="5" customWidth="1"/>
    <col min="366" max="366" width="43.5546875" style="5" customWidth="1"/>
    <col min="367" max="367" width="13.5546875" style="5" customWidth="1"/>
    <col min="368" max="368" width="15.33203125" style="94" customWidth="1"/>
    <col min="369" max="369" width="16.44140625" style="5" customWidth="1"/>
    <col min="370" max="374" width="16.33203125" style="5" customWidth="1"/>
    <col min="375" max="375" width="15.44140625" style="5" customWidth="1"/>
    <col min="376" max="376" width="18.33203125" style="5" customWidth="1"/>
    <col min="377" max="377" width="62" style="5" customWidth="1"/>
    <col min="378" max="378" width="43.44140625" style="5" customWidth="1"/>
    <col min="379" max="379" width="13.5546875" style="5" customWidth="1"/>
    <col min="380" max="380" width="15.33203125" style="5" customWidth="1"/>
    <col min="381" max="381" width="16.44140625" style="5" customWidth="1"/>
    <col min="382" max="386" width="16.33203125" style="5" customWidth="1"/>
    <col min="387" max="387" width="15.44140625" style="5" customWidth="1"/>
    <col min="388" max="388" width="18.33203125" style="5" customWidth="1"/>
    <col min="389" max="389" width="63.88671875" style="5" customWidth="1"/>
    <col min="390" max="390" width="46.6640625" style="5" customWidth="1"/>
    <col min="391" max="391" width="13.5546875" style="5" customWidth="1"/>
    <col min="392" max="392" width="15.33203125" style="5" customWidth="1"/>
    <col min="393" max="393" width="16.44140625" style="5" customWidth="1"/>
    <col min="394" max="398" width="16.33203125" style="5" customWidth="1"/>
    <col min="399" max="399" width="15.44140625" style="5" customWidth="1"/>
    <col min="400" max="400" width="18.33203125" style="5" customWidth="1"/>
    <col min="401" max="401" width="71" style="5" customWidth="1"/>
    <col min="402" max="402" width="44.6640625" style="5" customWidth="1"/>
    <col min="403" max="403" width="13.5546875" style="5" customWidth="1"/>
    <col min="404" max="404" width="15.33203125" style="5" customWidth="1"/>
    <col min="405" max="405" width="16.44140625" style="5" customWidth="1"/>
    <col min="406" max="410" width="16.33203125" style="5" customWidth="1"/>
    <col min="411" max="411" width="15.44140625" style="5" customWidth="1"/>
    <col min="412" max="412" width="18.33203125" style="5" customWidth="1"/>
    <col min="413" max="413" width="71.33203125" style="5" customWidth="1"/>
    <col min="414" max="414" width="45.5546875" style="5" customWidth="1"/>
    <col min="415" max="415" width="13.5546875" style="5" customWidth="1"/>
    <col min="416" max="416" width="15.33203125" style="5" customWidth="1"/>
    <col min="417" max="417" width="16.44140625" style="5" customWidth="1"/>
    <col min="418" max="422" width="16.33203125" style="5" customWidth="1"/>
    <col min="423" max="423" width="15.44140625" style="5" customWidth="1"/>
    <col min="424" max="424" width="18.33203125" style="5" customWidth="1"/>
    <col min="425" max="425" width="70.33203125" style="5" customWidth="1"/>
    <col min="426" max="426" width="50" style="5" customWidth="1"/>
    <col min="427" max="427" width="13.5546875" style="5" customWidth="1"/>
    <col min="428" max="428" width="15.33203125" style="5" customWidth="1"/>
    <col min="429" max="429" width="16.44140625" style="5" customWidth="1"/>
    <col min="430" max="434" width="16.33203125" style="5" customWidth="1"/>
    <col min="435" max="435" width="15.44140625" style="5" customWidth="1"/>
    <col min="436" max="436" width="18.33203125" style="5" customWidth="1"/>
    <col min="437" max="437" width="67.5546875" style="5" customWidth="1"/>
    <col min="438" max="438" width="46.5546875" style="5" customWidth="1"/>
    <col min="439" max="439" width="13.5546875" style="5" customWidth="1"/>
    <col min="440" max="440" width="15.33203125" style="5" customWidth="1"/>
    <col min="441" max="441" width="16.44140625" style="5" customWidth="1"/>
    <col min="442" max="446" width="16.33203125" style="5" customWidth="1"/>
    <col min="447" max="447" width="15.44140625" style="5" customWidth="1"/>
    <col min="448" max="448" width="18.33203125" style="5" customWidth="1"/>
    <col min="449" max="449" width="69.6640625" style="5" customWidth="1"/>
    <col min="450" max="450" width="46.88671875" style="5" customWidth="1"/>
    <col min="451" max="451" width="13.5546875" style="5" customWidth="1"/>
    <col min="452" max="452" width="15.33203125" style="5" customWidth="1"/>
    <col min="453" max="453" width="16.44140625" style="5" customWidth="1"/>
    <col min="454" max="458" width="16.33203125" style="5" customWidth="1"/>
    <col min="459" max="459" width="15.44140625" style="5" customWidth="1"/>
    <col min="460" max="460" width="18.33203125" style="5" customWidth="1"/>
    <col min="461" max="461" width="71.44140625" style="5" customWidth="1"/>
    <col min="462" max="462" width="43.109375" style="5" customWidth="1"/>
    <col min="463" max="463" width="13.5546875" style="5" customWidth="1"/>
    <col min="464" max="464" width="15.33203125" style="5" customWidth="1"/>
    <col min="465" max="465" width="16.44140625" style="5" customWidth="1"/>
    <col min="466" max="470" width="16.33203125" style="5" customWidth="1"/>
    <col min="471" max="471" width="15.44140625" style="5" customWidth="1"/>
    <col min="472" max="472" width="18.33203125" style="5" customWidth="1"/>
    <col min="473" max="473" width="60.44140625" style="5" customWidth="1"/>
    <col min="474" max="474" width="44" style="5" customWidth="1"/>
    <col min="475" max="475" width="13.5546875" style="5" customWidth="1"/>
    <col min="476" max="476" width="15.33203125" style="5" customWidth="1"/>
    <col min="477" max="477" width="16.44140625" style="5" customWidth="1"/>
    <col min="478" max="482" width="16.33203125" style="5" customWidth="1"/>
    <col min="483" max="483" width="15.44140625" style="5" customWidth="1"/>
    <col min="484" max="484" width="18.33203125" style="5" customWidth="1"/>
    <col min="485" max="485" width="65.88671875" style="5" customWidth="1"/>
    <col min="486" max="486" width="48.88671875" style="5" customWidth="1"/>
    <col min="487" max="487" width="13.5546875" style="5" customWidth="1"/>
    <col min="488" max="488" width="15.33203125" style="94" customWidth="1"/>
    <col min="489" max="489" width="16.44140625" style="5" customWidth="1"/>
    <col min="490" max="494" width="16.33203125" style="5" customWidth="1"/>
    <col min="495" max="495" width="28.88671875" style="5" customWidth="1"/>
    <col min="496" max="496" width="30.6640625" style="5" customWidth="1"/>
    <col min="497" max="497" width="65.5546875" style="5" customWidth="1"/>
    <col min="498" max="498" width="53.5546875" style="5" customWidth="1"/>
    <col min="499" max="499" width="13.5546875" style="5" customWidth="1"/>
    <col min="500" max="500" width="15.33203125" style="5" customWidth="1"/>
    <col min="501" max="501" width="16.44140625" style="5" customWidth="1"/>
    <col min="502" max="506" width="16.33203125" style="5" customWidth="1"/>
    <col min="507" max="507" width="28.88671875" style="5" customWidth="1"/>
    <col min="508" max="508" width="30.6640625" style="5" customWidth="1"/>
    <col min="509" max="509" width="68.109375" style="5" customWidth="1"/>
    <col min="510" max="510" width="50.44140625" style="5" customWidth="1"/>
    <col min="511" max="511" width="13.5546875" style="5" customWidth="1"/>
    <col min="512" max="512" width="15.33203125" style="5" customWidth="1"/>
    <col min="513" max="513" width="16.44140625" style="5" customWidth="1"/>
    <col min="514" max="518" width="16.33203125" style="5" customWidth="1"/>
    <col min="519" max="519" width="28.88671875" style="5" customWidth="1"/>
    <col min="520" max="520" width="30.6640625" style="5" customWidth="1"/>
    <col min="521" max="521" width="65.109375" style="5" customWidth="1"/>
    <col min="522" max="522" width="49.5546875" style="5" customWidth="1"/>
    <col min="523" max="523" width="13.5546875" style="5" customWidth="1"/>
    <col min="524" max="524" width="15.33203125" style="5" customWidth="1"/>
    <col min="525" max="525" width="16.44140625" style="5" customWidth="1"/>
    <col min="526" max="530" width="16.33203125" style="5" customWidth="1"/>
    <col min="531" max="531" width="28.88671875" style="5" customWidth="1"/>
    <col min="532" max="532" width="30.6640625" style="5" customWidth="1"/>
    <col min="533" max="533" width="70.33203125" style="5" customWidth="1"/>
    <col min="534" max="534" width="54.44140625" style="5" customWidth="1"/>
    <col min="535" max="535" width="13.5546875" style="5" customWidth="1"/>
    <col min="536" max="536" width="15.33203125" style="5" customWidth="1"/>
    <col min="537" max="537" width="16.44140625" style="5" customWidth="1"/>
    <col min="538" max="542" width="16.33203125" style="5" customWidth="1"/>
    <col min="543" max="543" width="28.88671875" style="5" customWidth="1"/>
    <col min="544" max="544" width="30.6640625" style="5" customWidth="1"/>
    <col min="545" max="545" width="70.33203125" style="5" customWidth="1"/>
    <col min="546" max="546" width="54.44140625" style="5" customWidth="1"/>
    <col min="547" max="547" width="13.5546875" style="5" customWidth="1"/>
    <col min="548" max="548" width="15.33203125" style="5" customWidth="1"/>
    <col min="549" max="549" width="16.44140625" style="5" customWidth="1"/>
    <col min="550" max="554" width="16.33203125" style="5" customWidth="1"/>
    <col min="555" max="555" width="28.88671875" style="5" customWidth="1"/>
    <col min="556" max="556" width="30.6640625" style="5" customWidth="1"/>
    <col min="557" max="557" width="70.33203125" style="5" customWidth="1"/>
    <col min="558" max="558" width="54.44140625" style="5" customWidth="1"/>
    <col min="559" max="559" width="13.5546875" style="5" customWidth="1"/>
    <col min="560" max="560" width="15.33203125" style="5" customWidth="1"/>
    <col min="561" max="561" width="16.44140625" style="5" customWidth="1"/>
    <col min="562" max="566" width="16.33203125" style="5" customWidth="1"/>
    <col min="567" max="567" width="28.88671875" style="5" customWidth="1"/>
    <col min="568" max="568" width="30.6640625" style="5" customWidth="1"/>
    <col min="569" max="569" width="70.33203125" style="5" customWidth="1"/>
    <col min="570" max="570" width="54.44140625" style="5" customWidth="1"/>
    <col min="571" max="571" width="13.5546875" style="5" customWidth="1"/>
    <col min="572" max="572" width="15.33203125" style="5" customWidth="1"/>
    <col min="573" max="573" width="16.44140625" style="5" customWidth="1"/>
    <col min="574" max="578" width="16.33203125" style="5" customWidth="1"/>
    <col min="579" max="579" width="28.88671875" style="5" customWidth="1"/>
    <col min="580" max="580" width="30.6640625" style="5" customWidth="1"/>
    <col min="581" max="581" width="70.33203125" style="5" customWidth="1"/>
    <col min="582" max="582" width="54.44140625" style="5" customWidth="1"/>
    <col min="583" max="583" width="13.5546875" style="5" customWidth="1"/>
    <col min="584" max="584" width="15.33203125" style="5" customWidth="1"/>
    <col min="585" max="585" width="16.44140625" style="5" customWidth="1"/>
    <col min="586" max="590" width="16.33203125" style="5" customWidth="1"/>
    <col min="591" max="591" width="28.88671875" style="5" customWidth="1"/>
    <col min="592" max="592" width="30.6640625" style="5" customWidth="1"/>
    <col min="593" max="593" width="70.33203125" style="5" customWidth="1"/>
    <col min="594" max="594" width="54.44140625" style="5" customWidth="1"/>
    <col min="595" max="595" width="13.5546875" style="5" customWidth="1"/>
    <col min="596" max="596" width="15.33203125" style="5" customWidth="1"/>
    <col min="597" max="597" width="16.44140625" style="5" customWidth="1"/>
    <col min="598" max="602" width="16.33203125" style="5" customWidth="1"/>
    <col min="603" max="603" width="28.88671875" style="5" customWidth="1"/>
    <col min="604" max="604" width="30.6640625" style="5" customWidth="1"/>
    <col min="605" max="605" width="70.33203125" style="5" customWidth="1"/>
    <col min="606" max="606" width="54.44140625" style="5" customWidth="1"/>
    <col min="607" max="607" width="13.5546875" style="5" customWidth="1"/>
    <col min="608" max="608" width="15.33203125" style="5" customWidth="1"/>
    <col min="609" max="609" width="16.44140625" style="5" customWidth="1"/>
    <col min="610" max="614" width="16.33203125" style="5" customWidth="1"/>
    <col min="615" max="615" width="28.88671875" style="5" customWidth="1"/>
    <col min="616" max="616" width="30.6640625" style="5" customWidth="1"/>
    <col min="617" max="617" width="70.33203125" style="5" customWidth="1"/>
    <col min="618" max="618" width="54.44140625" style="5" customWidth="1"/>
    <col min="619" max="619" width="13.5546875" style="5" customWidth="1"/>
    <col min="620" max="620" width="15.33203125" style="5" customWidth="1"/>
    <col min="621" max="621" width="16.44140625" style="5" customWidth="1"/>
    <col min="622" max="626" width="16.33203125" style="5" customWidth="1"/>
    <col min="627" max="627" width="28.88671875" style="5" customWidth="1"/>
    <col min="628" max="628" width="30.6640625" style="5" customWidth="1"/>
    <col min="629" max="629" width="70.33203125" style="5" customWidth="1"/>
    <col min="630" max="630" width="54.44140625" style="5" customWidth="1"/>
    <col min="631" max="631" width="13.5546875" style="5" customWidth="1"/>
    <col min="632" max="632" width="15.33203125" style="5" customWidth="1"/>
    <col min="633" max="633" width="16.44140625" style="5" customWidth="1"/>
    <col min="634" max="638" width="16.33203125" style="5" customWidth="1"/>
    <col min="639" max="639" width="28.88671875" style="5" customWidth="1"/>
    <col min="640" max="640" width="30.6640625" style="5" customWidth="1"/>
    <col min="641" max="641" width="70.33203125" style="5" customWidth="1"/>
    <col min="642" max="642" width="54.44140625" style="5" customWidth="1"/>
    <col min="643" max="643" width="13.5546875" style="5" customWidth="1"/>
    <col min="644" max="644" width="15.33203125" style="5" customWidth="1"/>
    <col min="645" max="645" width="16.44140625" style="5" customWidth="1"/>
    <col min="646" max="650" width="16.33203125" style="5" customWidth="1"/>
    <col min="651" max="651" width="28.88671875" style="5" customWidth="1"/>
    <col min="652" max="652" width="30.6640625" style="5" customWidth="1"/>
    <col min="653" max="653" width="70.33203125" style="5" customWidth="1"/>
    <col min="654" max="654" width="54.44140625" style="5" customWidth="1"/>
    <col min="655" max="655" width="13.5546875" style="5" customWidth="1"/>
    <col min="656" max="656" width="15.33203125" style="5" customWidth="1"/>
    <col min="657" max="657" width="16.44140625" style="5" customWidth="1"/>
    <col min="658" max="662" width="16.33203125" style="5" customWidth="1"/>
    <col min="663" max="663" width="28.88671875" style="5" customWidth="1"/>
    <col min="664" max="664" width="30.6640625" style="5" customWidth="1"/>
    <col min="665" max="665" width="70.33203125" style="5" customWidth="1"/>
    <col min="666" max="666" width="54.44140625" style="5" customWidth="1"/>
    <col min="667" max="667" width="13.5546875" style="5" customWidth="1"/>
    <col min="668" max="668" width="15.33203125" style="5" customWidth="1"/>
    <col min="669" max="669" width="16.44140625" style="5" customWidth="1"/>
    <col min="670" max="674" width="16.33203125" style="5" customWidth="1"/>
    <col min="675" max="675" width="28.88671875" style="5" customWidth="1"/>
    <col min="676" max="676" width="30.6640625" style="5" customWidth="1"/>
    <col min="677" max="677" width="70.33203125" style="5" customWidth="1"/>
    <col min="678" max="678" width="54.44140625" style="5" customWidth="1"/>
    <col min="679" max="679" width="13.5546875" style="5" customWidth="1"/>
    <col min="680" max="680" width="15.33203125" style="5" customWidth="1"/>
    <col min="681" max="681" width="16.44140625" style="5" customWidth="1"/>
    <col min="682" max="686" width="16.33203125" style="5" customWidth="1"/>
    <col min="687" max="687" width="28.88671875" style="5" customWidth="1"/>
    <col min="688" max="688" width="30.6640625" style="5" customWidth="1"/>
    <col min="689" max="689" width="70.33203125" style="5" customWidth="1"/>
    <col min="690" max="690" width="54.44140625" style="5" customWidth="1"/>
    <col min="691" max="691" width="13.5546875" style="5" customWidth="1"/>
    <col min="692" max="692" width="15.33203125" style="5" customWidth="1"/>
    <col min="693" max="693" width="16.44140625" style="5" customWidth="1"/>
    <col min="694" max="698" width="16.33203125" style="5" customWidth="1"/>
    <col min="699" max="699" width="28.88671875" style="5" customWidth="1"/>
    <col min="700" max="700" width="30.6640625" style="5" customWidth="1"/>
    <col min="701" max="702" width="59.33203125" style="5" customWidth="1"/>
    <col min="703" max="705" width="84.5546875" style="60" customWidth="1"/>
    <col min="706" max="16384" width="11.44140625" style="1"/>
  </cols>
  <sheetData>
    <row r="1" spans="1:705" ht="54" customHeight="1" thickBot="1">
      <c r="A1" s="561" t="s">
        <v>4573</v>
      </c>
      <c r="B1" s="562"/>
      <c r="C1" s="562"/>
      <c r="D1" s="562"/>
      <c r="E1" s="562"/>
      <c r="F1" s="562"/>
      <c r="G1" s="562"/>
      <c r="H1" s="562"/>
      <c r="I1" s="562"/>
      <c r="J1" s="579"/>
      <c r="K1" s="582" t="s">
        <v>3429</v>
      </c>
      <c r="L1" s="583"/>
      <c r="M1" s="583"/>
      <c r="N1" s="583"/>
      <c r="O1" s="583"/>
      <c r="P1" s="583"/>
      <c r="Q1" s="583"/>
      <c r="R1" s="583"/>
      <c r="S1" s="583"/>
      <c r="T1" s="584"/>
      <c r="U1" s="584"/>
      <c r="V1" s="583"/>
      <c r="W1" s="583"/>
      <c r="X1" s="583"/>
      <c r="Y1" s="583"/>
      <c r="Z1" s="583"/>
      <c r="AA1" s="583"/>
      <c r="AB1" s="583"/>
      <c r="AC1" s="583"/>
      <c r="AD1" s="584"/>
      <c r="AE1" s="584"/>
      <c r="AF1" s="584"/>
      <c r="AG1" s="583"/>
      <c r="AH1" s="583"/>
      <c r="AI1" s="583"/>
      <c r="AJ1" s="583"/>
      <c r="AK1" s="583"/>
      <c r="AL1" s="583"/>
      <c r="AM1" s="583"/>
      <c r="AN1" s="583"/>
      <c r="AO1" s="572"/>
      <c r="AP1" s="572"/>
      <c r="AQ1" s="572"/>
      <c r="AR1" s="572"/>
      <c r="AS1" s="572"/>
      <c r="AT1" s="572"/>
      <c r="AU1" s="572"/>
      <c r="AV1" s="572"/>
      <c r="AW1" s="572"/>
      <c r="AX1" s="572"/>
      <c r="AY1" s="572"/>
      <c r="AZ1" s="572"/>
      <c r="BA1" s="572"/>
      <c r="BB1" s="572"/>
      <c r="BC1" s="572"/>
      <c r="BD1" s="572"/>
      <c r="BE1" s="572"/>
      <c r="BF1" s="572"/>
      <c r="BG1" s="572"/>
      <c r="BH1" s="572"/>
      <c r="BI1" s="572"/>
      <c r="BJ1" s="572"/>
      <c r="BK1" s="572"/>
      <c r="BL1" s="572"/>
      <c r="BM1" s="572"/>
      <c r="BN1" s="572"/>
      <c r="BO1" s="572"/>
      <c r="BP1" s="572"/>
      <c r="BQ1" s="572"/>
      <c r="BR1" s="572"/>
      <c r="BS1" s="572"/>
      <c r="BT1" s="572"/>
      <c r="BU1" s="572"/>
      <c r="BV1" s="572"/>
      <c r="BW1" s="572"/>
      <c r="BX1" s="572"/>
      <c r="BY1" s="572"/>
      <c r="BZ1" s="572"/>
      <c r="CA1" s="572"/>
      <c r="CB1" s="572"/>
      <c r="CC1" s="572"/>
      <c r="CD1" s="572"/>
      <c r="CE1" s="572"/>
      <c r="CF1" s="572"/>
      <c r="CG1" s="572"/>
      <c r="CH1" s="572"/>
      <c r="CI1" s="572"/>
      <c r="CJ1" s="572"/>
      <c r="CK1" s="572"/>
      <c r="CL1" s="572"/>
      <c r="CM1" s="572"/>
      <c r="CN1" s="572"/>
      <c r="CO1" s="572"/>
      <c r="CP1" s="572"/>
      <c r="CQ1" s="572"/>
      <c r="CR1" s="572"/>
      <c r="CS1" s="572"/>
      <c r="CT1" s="572"/>
      <c r="CU1" s="572"/>
      <c r="CV1" s="572"/>
      <c r="CW1" s="572"/>
      <c r="CX1" s="572"/>
      <c r="CY1" s="572"/>
      <c r="CZ1" s="572"/>
      <c r="DA1" s="572"/>
      <c r="DB1" s="572"/>
      <c r="DC1" s="572"/>
      <c r="DD1" s="572"/>
      <c r="DE1" s="572"/>
      <c r="DF1" s="572"/>
      <c r="DG1" s="572"/>
      <c r="DH1" s="572"/>
      <c r="DI1" s="572"/>
      <c r="DJ1" s="572"/>
      <c r="DK1" s="572"/>
      <c r="DL1" s="572"/>
      <c r="DM1" s="572"/>
      <c r="DN1" s="572"/>
      <c r="DO1" s="572"/>
      <c r="DP1" s="572"/>
      <c r="DQ1" s="572"/>
      <c r="DR1" s="572"/>
      <c r="DS1" s="572"/>
      <c r="DT1" s="572"/>
      <c r="DU1" s="572"/>
      <c r="DV1" s="572"/>
      <c r="DW1" s="572"/>
      <c r="DX1" s="572"/>
      <c r="DY1" s="572"/>
      <c r="DZ1" s="572"/>
      <c r="EA1" s="572"/>
      <c r="EB1" s="572"/>
      <c r="EC1" s="572"/>
      <c r="ED1" s="572"/>
      <c r="EE1" s="572"/>
      <c r="EF1" s="572"/>
      <c r="EG1" s="572"/>
      <c r="EH1" s="572"/>
      <c r="EI1" s="572"/>
      <c r="EJ1" s="572"/>
      <c r="EK1" s="572"/>
      <c r="EL1" s="572"/>
      <c r="EM1" s="572"/>
      <c r="EN1" s="572"/>
      <c r="EO1" s="572"/>
      <c r="EP1" s="572"/>
      <c r="EQ1" s="572"/>
      <c r="ER1" s="572"/>
      <c r="ES1" s="572"/>
      <c r="ET1" s="572"/>
      <c r="EU1" s="572"/>
      <c r="EV1" s="572"/>
      <c r="EW1" s="572"/>
      <c r="EX1" s="572"/>
      <c r="EY1" s="572"/>
      <c r="EZ1" s="572"/>
      <c r="FA1" s="572"/>
      <c r="FB1" s="572"/>
      <c r="FC1" s="572"/>
      <c r="FD1" s="572"/>
      <c r="FE1" s="572"/>
      <c r="FF1" s="572"/>
      <c r="FG1" s="572"/>
      <c r="FH1" s="572"/>
      <c r="FI1" s="572"/>
      <c r="FJ1" s="572"/>
      <c r="FK1" s="572"/>
      <c r="FL1" s="572"/>
      <c r="FM1" s="572"/>
      <c r="FN1" s="572"/>
      <c r="FO1" s="572"/>
      <c r="FP1" s="572"/>
      <c r="FQ1" s="572"/>
      <c r="FR1" s="572"/>
      <c r="FS1" s="572"/>
      <c r="FT1" s="572"/>
      <c r="FU1" s="572"/>
      <c r="FV1" s="572"/>
      <c r="FW1" s="572"/>
      <c r="FX1" s="529"/>
      <c r="FY1" s="529"/>
      <c r="FZ1" s="529"/>
      <c r="GA1" s="529"/>
      <c r="GB1" s="529"/>
      <c r="GC1" s="529"/>
      <c r="GD1" s="529"/>
      <c r="GE1" s="529"/>
      <c r="GF1" s="529"/>
      <c r="GG1" s="529"/>
      <c r="GH1" s="529"/>
      <c r="HY1" s="3"/>
      <c r="HZ1" s="3"/>
      <c r="IA1" s="3"/>
      <c r="IB1" s="3"/>
      <c r="IC1" s="3"/>
      <c r="ID1" s="3"/>
      <c r="IJ1" s="3"/>
      <c r="IK1" s="3"/>
      <c r="IL1" s="3"/>
      <c r="IM1" s="3"/>
      <c r="IN1" s="3"/>
      <c r="IO1" s="3"/>
      <c r="IU1" s="3"/>
      <c r="IV1" s="3"/>
      <c r="IW1" s="3"/>
      <c r="IX1" s="3"/>
      <c r="IY1" s="3"/>
      <c r="IZ1" s="3"/>
      <c r="JF1" s="3"/>
      <c r="JG1" s="3"/>
      <c r="JH1" s="3"/>
      <c r="JI1" s="3"/>
      <c r="JJ1" s="3"/>
      <c r="JK1" s="3"/>
      <c r="JQ1" s="3"/>
      <c r="JR1" s="3"/>
      <c r="JS1" s="3"/>
      <c r="JT1" s="3"/>
      <c r="JU1" s="3"/>
      <c r="JV1" s="3"/>
      <c r="KB1" s="3"/>
      <c r="KC1" s="3"/>
      <c r="KD1" s="3"/>
      <c r="KE1" s="3"/>
      <c r="KF1" s="3"/>
      <c r="KG1" s="3"/>
      <c r="KM1" s="3"/>
      <c r="KN1" s="3"/>
      <c r="KO1" s="3"/>
      <c r="KP1" s="3"/>
      <c r="KQ1" s="3"/>
      <c r="KR1" s="3"/>
      <c r="KX1" s="3"/>
      <c r="KY1" s="3"/>
      <c r="KZ1" s="3"/>
      <c r="LA1" s="3"/>
      <c r="LB1" s="3"/>
      <c r="LC1" s="3"/>
      <c r="LI1" s="3"/>
      <c r="LJ1" s="3"/>
      <c r="LK1" s="3"/>
      <c r="LL1" s="3"/>
      <c r="LM1" s="3"/>
      <c r="LN1" s="3"/>
      <c r="LT1" s="3"/>
      <c r="LU1" s="3"/>
      <c r="LV1" s="3"/>
      <c r="LW1" s="3"/>
      <c r="LX1" s="3"/>
      <c r="LY1" s="3"/>
      <c r="ME1" s="3"/>
      <c r="MF1" s="3"/>
      <c r="MG1" s="3"/>
      <c r="MH1" s="3"/>
      <c r="MI1" s="3"/>
      <c r="MJ1" s="3"/>
      <c r="MP1" s="3"/>
      <c r="MQ1" s="3"/>
      <c r="MR1" s="3"/>
      <c r="MS1" s="3"/>
      <c r="MT1" s="3"/>
      <c r="MU1" s="3"/>
      <c r="NA1" s="3"/>
      <c r="NB1" s="3"/>
      <c r="NC1" s="3"/>
      <c r="ND1" s="93"/>
      <c r="NM1" s="3"/>
      <c r="NN1" s="3"/>
      <c r="NO1" s="3"/>
      <c r="NP1" s="3"/>
      <c r="NY1" s="3"/>
      <c r="NZ1" s="3"/>
      <c r="OA1" s="3"/>
      <c r="OB1" s="3"/>
      <c r="OK1" s="3"/>
      <c r="OL1" s="3"/>
      <c r="OM1" s="3"/>
      <c r="ON1" s="3"/>
      <c r="OW1" s="3"/>
      <c r="OX1" s="3"/>
      <c r="OY1" s="3"/>
      <c r="OZ1" s="3"/>
      <c r="PI1" s="3"/>
      <c r="PJ1" s="3"/>
      <c r="PK1" s="3"/>
      <c r="PL1" s="3"/>
      <c r="PU1" s="3"/>
      <c r="PV1" s="3"/>
      <c r="PW1" s="3"/>
      <c r="PX1" s="3"/>
      <c r="QG1" s="3"/>
      <c r="QH1" s="3"/>
      <c r="QI1" s="3"/>
      <c r="QJ1" s="3"/>
      <c r="QS1" s="3"/>
      <c r="QT1" s="3"/>
      <c r="QU1" s="3"/>
      <c r="QV1" s="3"/>
      <c r="RE1" s="3"/>
      <c r="RF1" s="3"/>
      <c r="RG1" s="3"/>
      <c r="RH1" s="3"/>
      <c r="RQ1" s="3"/>
      <c r="RR1" s="3"/>
      <c r="RS1" s="3"/>
      <c r="RT1" s="93"/>
      <c r="SC1" s="3"/>
      <c r="SD1" s="3"/>
      <c r="SE1" s="3"/>
      <c r="SF1" s="3"/>
      <c r="SO1" s="3"/>
      <c r="SP1" s="3"/>
      <c r="SQ1" s="3"/>
      <c r="SR1" s="3"/>
      <c r="TA1" s="3"/>
      <c r="TB1" s="3"/>
      <c r="TC1" s="3"/>
      <c r="TD1" s="3"/>
      <c r="TM1" s="3"/>
      <c r="TN1" s="3"/>
      <c r="TO1" s="3"/>
      <c r="TP1" s="3"/>
      <c r="TY1" s="3"/>
      <c r="TZ1" s="3"/>
      <c r="UA1" s="3"/>
      <c r="UB1" s="3"/>
      <c r="UK1" s="3"/>
      <c r="UL1" s="3"/>
      <c r="UM1" s="3"/>
      <c r="UN1" s="3"/>
      <c r="UW1" s="3"/>
      <c r="UX1" s="3"/>
      <c r="UY1" s="3"/>
      <c r="UZ1" s="3"/>
      <c r="VI1" s="3"/>
      <c r="VJ1" s="3"/>
      <c r="VK1" s="3"/>
      <c r="VL1" s="3"/>
      <c r="VU1" s="3"/>
      <c r="VV1" s="3"/>
      <c r="VW1" s="3"/>
      <c r="VX1" s="3"/>
      <c r="WG1" s="3"/>
      <c r="WH1" s="3"/>
      <c r="WI1" s="3"/>
      <c r="WJ1" s="3"/>
      <c r="WS1" s="3"/>
      <c r="WT1" s="3"/>
      <c r="WU1" s="3"/>
      <c r="WV1" s="3"/>
      <c r="XE1" s="3"/>
      <c r="XF1" s="3"/>
      <c r="XG1" s="3"/>
      <c r="XH1" s="3"/>
      <c r="XQ1" s="3"/>
      <c r="XR1" s="3"/>
      <c r="XS1" s="3"/>
      <c r="XT1" s="3"/>
      <c r="YC1" s="3"/>
      <c r="YD1" s="3"/>
      <c r="YE1" s="3"/>
      <c r="YF1" s="3"/>
      <c r="YO1" s="3"/>
      <c r="YP1" s="3"/>
      <c r="YQ1" s="3"/>
      <c r="YR1" s="3"/>
      <c r="ZA1" s="3"/>
      <c r="ZB1" s="3"/>
      <c r="ZC1" s="3"/>
      <c r="ZD1" s="3"/>
      <c r="ZM1" s="3"/>
      <c r="ZN1" s="3"/>
      <c r="ZO1" s="3"/>
      <c r="ZP1" s="3"/>
    </row>
    <row r="2" spans="1:705" ht="22.5" customHeight="1" thickBot="1">
      <c r="A2" s="563"/>
      <c r="B2" s="563"/>
      <c r="C2" s="563"/>
      <c r="D2" s="563"/>
      <c r="E2" s="563"/>
      <c r="F2" s="563"/>
      <c r="G2" s="563"/>
      <c r="H2" s="563"/>
      <c r="I2" s="563"/>
      <c r="J2" s="580"/>
      <c r="K2" s="585" t="s">
        <v>3430</v>
      </c>
      <c r="L2" s="586"/>
      <c r="M2" s="586"/>
      <c r="N2" s="586"/>
      <c r="O2" s="586"/>
      <c r="P2" s="586"/>
      <c r="Q2" s="586"/>
      <c r="R2" s="586"/>
      <c r="S2" s="586"/>
      <c r="T2" s="586"/>
      <c r="U2" s="586"/>
      <c r="V2" s="586"/>
      <c r="W2" s="586"/>
      <c r="X2" s="586"/>
      <c r="Y2" s="586"/>
      <c r="Z2" s="586"/>
      <c r="AA2" s="586"/>
      <c r="AB2" s="586"/>
      <c r="AC2" s="586"/>
      <c r="AD2" s="586"/>
      <c r="AE2" s="586"/>
      <c r="AF2" s="586"/>
      <c r="AG2" s="586"/>
      <c r="AH2" s="586"/>
      <c r="AI2" s="586"/>
      <c r="AJ2" s="586"/>
      <c r="AK2" s="586"/>
      <c r="AL2" s="586"/>
      <c r="AM2" s="586"/>
      <c r="AN2" s="586"/>
      <c r="AO2" s="573"/>
      <c r="AP2" s="573"/>
      <c r="AQ2" s="573"/>
      <c r="AR2" s="573"/>
      <c r="AS2" s="573"/>
      <c r="AT2" s="573"/>
      <c r="AU2" s="573"/>
      <c r="AV2" s="573"/>
      <c r="AW2" s="573"/>
      <c r="AX2" s="573"/>
      <c r="AY2" s="573"/>
      <c r="AZ2" s="573"/>
      <c r="BA2" s="573"/>
      <c r="BB2" s="573"/>
      <c r="BC2" s="573"/>
      <c r="BD2" s="573"/>
      <c r="BE2" s="573"/>
      <c r="BF2" s="573"/>
      <c r="BG2" s="573"/>
      <c r="BH2" s="573"/>
      <c r="BI2" s="573"/>
      <c r="BJ2" s="573"/>
      <c r="BK2" s="573"/>
      <c r="BL2" s="573"/>
      <c r="BM2" s="573"/>
      <c r="BN2" s="573"/>
      <c r="BO2" s="573"/>
      <c r="BP2" s="573"/>
      <c r="BQ2" s="573"/>
      <c r="BR2" s="573"/>
      <c r="BS2" s="573"/>
      <c r="BT2" s="573"/>
      <c r="BU2" s="573"/>
      <c r="BV2" s="573"/>
      <c r="BW2" s="573"/>
      <c r="BX2" s="573"/>
      <c r="BY2" s="573"/>
      <c r="BZ2" s="573"/>
      <c r="CA2" s="573"/>
      <c r="CB2" s="573"/>
      <c r="CC2" s="573"/>
      <c r="CD2" s="573"/>
      <c r="CE2" s="573"/>
      <c r="CF2" s="573"/>
      <c r="CG2" s="573"/>
      <c r="CH2" s="573"/>
      <c r="CI2" s="573"/>
      <c r="CJ2" s="573"/>
      <c r="CK2" s="573"/>
      <c r="CL2" s="573"/>
      <c r="CM2" s="573"/>
      <c r="CN2" s="573"/>
      <c r="CO2" s="573"/>
      <c r="CP2" s="573"/>
      <c r="CQ2" s="573"/>
      <c r="CR2" s="573"/>
      <c r="CS2" s="573"/>
      <c r="CT2" s="573"/>
      <c r="CU2" s="573"/>
      <c r="CV2" s="573"/>
      <c r="CW2" s="573"/>
      <c r="CX2" s="573"/>
      <c r="CY2" s="573"/>
      <c r="CZ2" s="573"/>
      <c r="DA2" s="573"/>
      <c r="DB2" s="573"/>
      <c r="DC2" s="573"/>
      <c r="DD2" s="573"/>
      <c r="DE2" s="573"/>
      <c r="DF2" s="573"/>
      <c r="DG2" s="573"/>
      <c r="DH2" s="573"/>
      <c r="DI2" s="573"/>
      <c r="DJ2" s="573"/>
      <c r="DK2" s="573"/>
      <c r="DL2" s="573"/>
      <c r="DM2" s="573"/>
      <c r="DN2" s="573"/>
      <c r="DO2" s="573"/>
      <c r="DP2" s="573"/>
      <c r="DQ2" s="573"/>
      <c r="DR2" s="573"/>
      <c r="DS2" s="573"/>
      <c r="DT2" s="573"/>
      <c r="DU2" s="573"/>
      <c r="DV2" s="573"/>
      <c r="DW2" s="573"/>
      <c r="DX2" s="573"/>
      <c r="DY2" s="573"/>
      <c r="DZ2" s="573"/>
      <c r="EA2" s="573"/>
      <c r="EB2" s="573"/>
      <c r="EC2" s="573"/>
      <c r="ED2" s="573"/>
      <c r="EE2" s="573"/>
      <c r="EF2" s="573"/>
      <c r="EG2" s="573"/>
      <c r="EH2" s="573"/>
      <c r="EI2" s="573"/>
      <c r="EJ2" s="573"/>
      <c r="EK2" s="573"/>
      <c r="EL2" s="573"/>
      <c r="EM2" s="573"/>
      <c r="EN2" s="573"/>
      <c r="EO2" s="573"/>
      <c r="EP2" s="573"/>
      <c r="EQ2" s="573"/>
      <c r="ER2" s="573"/>
      <c r="ES2" s="573"/>
      <c r="ET2" s="573"/>
      <c r="EU2" s="573"/>
      <c r="EV2" s="573"/>
      <c r="EW2" s="573"/>
      <c r="EX2" s="573"/>
      <c r="EY2" s="573"/>
      <c r="EZ2" s="573"/>
      <c r="FA2" s="573"/>
      <c r="FB2" s="573"/>
      <c r="FC2" s="573"/>
      <c r="FD2" s="573"/>
      <c r="FE2" s="573"/>
      <c r="FF2" s="573"/>
      <c r="FG2" s="573"/>
      <c r="FH2" s="573"/>
      <c r="FI2" s="573"/>
      <c r="FJ2" s="573"/>
      <c r="FK2" s="573"/>
      <c r="FL2" s="573"/>
      <c r="FM2" s="573"/>
      <c r="FN2" s="573"/>
      <c r="FO2" s="573"/>
      <c r="FP2" s="573"/>
      <c r="FQ2" s="573"/>
      <c r="FR2" s="573"/>
      <c r="FS2" s="573"/>
      <c r="FT2" s="573"/>
      <c r="FU2" s="573"/>
      <c r="FV2" s="573"/>
      <c r="FW2" s="573"/>
      <c r="FX2" s="528"/>
      <c r="FY2" s="528"/>
      <c r="FZ2" s="528"/>
      <c r="GA2" s="528"/>
      <c r="GB2" s="528"/>
      <c r="GC2" s="528"/>
      <c r="GD2" s="528"/>
      <c r="GE2" s="528"/>
      <c r="GF2" s="528"/>
      <c r="GG2" s="528"/>
      <c r="GH2" s="528"/>
      <c r="GI2" s="37" t="s">
        <v>4502</v>
      </c>
      <c r="GJ2" s="37" t="s">
        <v>4502</v>
      </c>
      <c r="GK2" s="37" t="s">
        <v>4502</v>
      </c>
      <c r="GL2" s="37" t="s">
        <v>4502</v>
      </c>
      <c r="GM2" s="37" t="s">
        <v>4502</v>
      </c>
      <c r="GN2" s="37" t="s">
        <v>4502</v>
      </c>
      <c r="GO2" s="37" t="s">
        <v>4502</v>
      </c>
      <c r="GP2" s="37" t="s">
        <v>4502</v>
      </c>
      <c r="GQ2" s="37" t="s">
        <v>4502</v>
      </c>
      <c r="GR2" s="37" t="s">
        <v>4502</v>
      </c>
      <c r="GS2" s="37" t="s">
        <v>4502</v>
      </c>
      <c r="GT2" s="37" t="s">
        <v>4502</v>
      </c>
      <c r="GU2" s="37" t="s">
        <v>4502</v>
      </c>
      <c r="GV2" s="37" t="s">
        <v>4502</v>
      </c>
      <c r="GW2" s="37" t="s">
        <v>4502</v>
      </c>
      <c r="GX2" s="37" t="s">
        <v>4502</v>
      </c>
      <c r="GY2" s="37" t="s">
        <v>4502</v>
      </c>
      <c r="GZ2" s="37" t="s">
        <v>4502</v>
      </c>
      <c r="HA2" s="37" t="s">
        <v>4502</v>
      </c>
      <c r="HB2" s="37" t="s">
        <v>4502</v>
      </c>
      <c r="HC2" s="37" t="s">
        <v>4502</v>
      </c>
      <c r="HD2" s="37" t="s">
        <v>4502</v>
      </c>
      <c r="HE2" s="37" t="s">
        <v>4502</v>
      </c>
      <c r="HF2" s="37" t="s">
        <v>4502</v>
      </c>
      <c r="HG2" s="37" t="s">
        <v>4502</v>
      </c>
      <c r="HH2" s="37" t="s">
        <v>4502</v>
      </c>
      <c r="HI2" s="37" t="s">
        <v>4502</v>
      </c>
      <c r="HJ2" s="37" t="s">
        <v>4502</v>
      </c>
      <c r="HK2" s="37" t="s">
        <v>4502</v>
      </c>
      <c r="HL2" s="37" t="s">
        <v>4502</v>
      </c>
      <c r="HM2" s="37" t="s">
        <v>4502</v>
      </c>
      <c r="HN2" s="37" t="s">
        <v>4502</v>
      </c>
      <c r="HO2" s="37" t="s">
        <v>4502</v>
      </c>
      <c r="HP2" s="37" t="s">
        <v>4502</v>
      </c>
      <c r="HQ2" s="37" t="s">
        <v>4502</v>
      </c>
      <c r="HR2" s="37" t="s">
        <v>4502</v>
      </c>
      <c r="HS2" s="37" t="s">
        <v>4502</v>
      </c>
      <c r="HT2" s="37" t="s">
        <v>4502</v>
      </c>
      <c r="HU2" s="571" t="s">
        <v>0</v>
      </c>
      <c r="HV2" s="571"/>
      <c r="HW2" s="571"/>
      <c r="HX2" s="571"/>
      <c r="HY2" s="552" t="s">
        <v>294</v>
      </c>
      <c r="HZ2" s="553"/>
      <c r="IA2" s="553"/>
      <c r="IB2" s="553"/>
      <c r="IC2" s="553"/>
      <c r="ID2" s="553"/>
      <c r="IE2" s="553"/>
      <c r="IF2" s="553"/>
      <c r="IG2" s="553"/>
      <c r="IH2" s="553"/>
      <c r="II2" s="553"/>
      <c r="IJ2" s="552" t="s">
        <v>294</v>
      </c>
      <c r="IK2" s="553"/>
      <c r="IL2" s="553"/>
      <c r="IM2" s="553"/>
      <c r="IN2" s="553"/>
      <c r="IO2" s="553"/>
      <c r="IP2" s="553"/>
      <c r="IQ2" s="553"/>
      <c r="IR2" s="553"/>
      <c r="IS2" s="553"/>
      <c r="IT2" s="553"/>
      <c r="IU2" s="552" t="s">
        <v>294</v>
      </c>
      <c r="IV2" s="553"/>
      <c r="IW2" s="553"/>
      <c r="IX2" s="553"/>
      <c r="IY2" s="553"/>
      <c r="IZ2" s="553"/>
      <c r="JA2" s="553"/>
      <c r="JB2" s="553"/>
      <c r="JC2" s="553"/>
      <c r="JD2" s="553"/>
      <c r="JE2" s="553"/>
      <c r="JF2" s="552" t="s">
        <v>294</v>
      </c>
      <c r="JG2" s="553"/>
      <c r="JH2" s="553"/>
      <c r="JI2" s="553"/>
      <c r="JJ2" s="553"/>
      <c r="JK2" s="553"/>
      <c r="JL2" s="553"/>
      <c r="JM2" s="553"/>
      <c r="JN2" s="553"/>
      <c r="JO2" s="553"/>
      <c r="JP2" s="553"/>
      <c r="JQ2" s="552" t="s">
        <v>294</v>
      </c>
      <c r="JR2" s="553"/>
      <c r="JS2" s="553"/>
      <c r="JT2" s="553"/>
      <c r="JU2" s="553"/>
      <c r="JV2" s="553"/>
      <c r="JW2" s="553"/>
      <c r="JX2" s="553"/>
      <c r="JY2" s="553"/>
      <c r="JZ2" s="553"/>
      <c r="KA2" s="553"/>
      <c r="KB2" s="552" t="s">
        <v>294</v>
      </c>
      <c r="KC2" s="553"/>
      <c r="KD2" s="553"/>
      <c r="KE2" s="553"/>
      <c r="KF2" s="553"/>
      <c r="KG2" s="553"/>
      <c r="KH2" s="553"/>
      <c r="KI2" s="553"/>
      <c r="KJ2" s="553"/>
      <c r="KK2" s="553"/>
      <c r="KL2" s="553"/>
      <c r="KM2" s="552" t="s">
        <v>294</v>
      </c>
      <c r="KN2" s="553"/>
      <c r="KO2" s="553"/>
      <c r="KP2" s="553"/>
      <c r="KQ2" s="553"/>
      <c r="KR2" s="553"/>
      <c r="KS2" s="553"/>
      <c r="KT2" s="553"/>
      <c r="KU2" s="553"/>
      <c r="KV2" s="553"/>
      <c r="KW2" s="553"/>
      <c r="KX2" s="552" t="s">
        <v>294</v>
      </c>
      <c r="KY2" s="553"/>
      <c r="KZ2" s="553"/>
      <c r="LA2" s="553"/>
      <c r="LB2" s="553"/>
      <c r="LC2" s="553"/>
      <c r="LD2" s="553"/>
      <c r="LE2" s="553"/>
      <c r="LF2" s="553"/>
      <c r="LG2" s="553"/>
      <c r="LH2" s="553"/>
      <c r="LI2" s="552" t="s">
        <v>294</v>
      </c>
      <c r="LJ2" s="553"/>
      <c r="LK2" s="553"/>
      <c r="LL2" s="553"/>
      <c r="LM2" s="553"/>
      <c r="LN2" s="553"/>
      <c r="LO2" s="553"/>
      <c r="LP2" s="553"/>
      <c r="LQ2" s="553"/>
      <c r="LR2" s="553"/>
      <c r="LS2" s="553"/>
      <c r="LT2" s="552" t="s">
        <v>294</v>
      </c>
      <c r="LU2" s="553"/>
      <c r="LV2" s="553"/>
      <c r="LW2" s="553"/>
      <c r="LX2" s="553"/>
      <c r="LY2" s="553"/>
      <c r="LZ2" s="553"/>
      <c r="MA2" s="553"/>
      <c r="MB2" s="553"/>
      <c r="MC2" s="553"/>
      <c r="MD2" s="553"/>
      <c r="ME2" s="552" t="s">
        <v>294</v>
      </c>
      <c r="MF2" s="553"/>
      <c r="MG2" s="553"/>
      <c r="MH2" s="553"/>
      <c r="MI2" s="553"/>
      <c r="MJ2" s="553"/>
      <c r="MK2" s="553"/>
      <c r="ML2" s="553"/>
      <c r="MM2" s="553"/>
      <c r="MN2" s="553"/>
      <c r="MO2" s="553"/>
      <c r="MP2" s="552" t="s">
        <v>294</v>
      </c>
      <c r="MQ2" s="553"/>
      <c r="MR2" s="553"/>
      <c r="MS2" s="553"/>
      <c r="MT2" s="553"/>
      <c r="MU2" s="553"/>
      <c r="MV2" s="553"/>
      <c r="MW2" s="553"/>
      <c r="MX2" s="553"/>
      <c r="MY2" s="553"/>
      <c r="MZ2" s="553"/>
      <c r="NA2" s="547" t="s">
        <v>4547</v>
      </c>
      <c r="NB2" s="548"/>
      <c r="NC2" s="548"/>
      <c r="ND2" s="548"/>
      <c r="NE2" s="548"/>
      <c r="NF2" s="548"/>
      <c r="NG2" s="548"/>
      <c r="NH2" s="548"/>
      <c r="NI2" s="548"/>
      <c r="NJ2" s="548"/>
      <c r="NK2" s="548"/>
      <c r="NL2" s="548"/>
      <c r="NM2" s="547" t="s">
        <v>4547</v>
      </c>
      <c r="NN2" s="548"/>
      <c r="NO2" s="548"/>
      <c r="NP2" s="548"/>
      <c r="NQ2" s="548"/>
      <c r="NR2" s="548"/>
      <c r="NS2" s="548"/>
      <c r="NT2" s="548"/>
      <c r="NU2" s="548"/>
      <c r="NV2" s="548"/>
      <c r="NW2" s="548"/>
      <c r="NX2" s="548"/>
      <c r="NY2" s="547" t="s">
        <v>4547</v>
      </c>
      <c r="NZ2" s="548"/>
      <c r="OA2" s="548"/>
      <c r="OB2" s="548"/>
      <c r="OC2" s="548"/>
      <c r="OD2" s="548"/>
      <c r="OE2" s="548"/>
      <c r="OF2" s="548"/>
      <c r="OG2" s="548"/>
      <c r="OH2" s="548"/>
      <c r="OI2" s="548"/>
      <c r="OJ2" s="548"/>
      <c r="OK2" s="547" t="s">
        <v>4547</v>
      </c>
      <c r="OL2" s="548"/>
      <c r="OM2" s="548"/>
      <c r="ON2" s="548"/>
      <c r="OO2" s="548"/>
      <c r="OP2" s="548"/>
      <c r="OQ2" s="548"/>
      <c r="OR2" s="548"/>
      <c r="OS2" s="548"/>
      <c r="OT2" s="548"/>
      <c r="OU2" s="548"/>
      <c r="OV2" s="548"/>
      <c r="OW2" s="547" t="s">
        <v>4547</v>
      </c>
      <c r="OX2" s="548"/>
      <c r="OY2" s="548"/>
      <c r="OZ2" s="548"/>
      <c r="PA2" s="548"/>
      <c r="PB2" s="548"/>
      <c r="PC2" s="548"/>
      <c r="PD2" s="548"/>
      <c r="PE2" s="548"/>
      <c r="PF2" s="548"/>
      <c r="PG2" s="548"/>
      <c r="PH2" s="548"/>
      <c r="PI2" s="547" t="s">
        <v>4547</v>
      </c>
      <c r="PJ2" s="548"/>
      <c r="PK2" s="548"/>
      <c r="PL2" s="548"/>
      <c r="PM2" s="548"/>
      <c r="PN2" s="548"/>
      <c r="PO2" s="548"/>
      <c r="PP2" s="548"/>
      <c r="PQ2" s="548"/>
      <c r="PR2" s="548"/>
      <c r="PS2" s="548"/>
      <c r="PT2" s="548"/>
      <c r="PU2" s="547" t="s">
        <v>4547</v>
      </c>
      <c r="PV2" s="548"/>
      <c r="PW2" s="548"/>
      <c r="PX2" s="548"/>
      <c r="PY2" s="548"/>
      <c r="PZ2" s="548"/>
      <c r="QA2" s="548"/>
      <c r="QB2" s="548"/>
      <c r="QC2" s="548"/>
      <c r="QD2" s="548"/>
      <c r="QE2" s="548"/>
      <c r="QF2" s="548"/>
      <c r="QG2" s="547" t="s">
        <v>4547</v>
      </c>
      <c r="QH2" s="548"/>
      <c r="QI2" s="548"/>
      <c r="QJ2" s="548"/>
      <c r="QK2" s="548"/>
      <c r="QL2" s="548"/>
      <c r="QM2" s="548"/>
      <c r="QN2" s="548"/>
      <c r="QO2" s="548"/>
      <c r="QP2" s="548"/>
      <c r="QQ2" s="548"/>
      <c r="QR2" s="548"/>
      <c r="QS2" s="547" t="s">
        <v>4547</v>
      </c>
      <c r="QT2" s="548"/>
      <c r="QU2" s="548"/>
      <c r="QV2" s="548"/>
      <c r="QW2" s="548"/>
      <c r="QX2" s="548"/>
      <c r="QY2" s="548"/>
      <c r="QZ2" s="548"/>
      <c r="RA2" s="548"/>
      <c r="RB2" s="548"/>
      <c r="RC2" s="548"/>
      <c r="RD2" s="548"/>
      <c r="RE2" s="547" t="s">
        <v>4547</v>
      </c>
      <c r="RF2" s="548"/>
      <c r="RG2" s="548"/>
      <c r="RH2" s="548"/>
      <c r="RI2" s="548"/>
      <c r="RJ2" s="548"/>
      <c r="RK2" s="548"/>
      <c r="RL2" s="548"/>
      <c r="RM2" s="548"/>
      <c r="RN2" s="548"/>
      <c r="RO2" s="548"/>
      <c r="RP2" s="548"/>
      <c r="RQ2" s="536" t="s">
        <v>4558</v>
      </c>
      <c r="RR2" s="537"/>
      <c r="RS2" s="537"/>
      <c r="RT2" s="537"/>
      <c r="RU2" s="537"/>
      <c r="RV2" s="537"/>
      <c r="RW2" s="537"/>
      <c r="RX2" s="537"/>
      <c r="RY2" s="537"/>
      <c r="RZ2" s="537"/>
      <c r="SA2" s="537"/>
      <c r="SB2" s="537"/>
      <c r="SC2" s="536" t="s">
        <v>4558</v>
      </c>
      <c r="SD2" s="537"/>
      <c r="SE2" s="537"/>
      <c r="SF2" s="537"/>
      <c r="SG2" s="537"/>
      <c r="SH2" s="537"/>
      <c r="SI2" s="537"/>
      <c r="SJ2" s="537"/>
      <c r="SK2" s="537"/>
      <c r="SL2" s="537"/>
      <c r="SM2" s="537"/>
      <c r="SN2" s="537"/>
      <c r="SO2" s="536" t="s">
        <v>4558</v>
      </c>
      <c r="SP2" s="537"/>
      <c r="SQ2" s="537"/>
      <c r="SR2" s="537"/>
      <c r="SS2" s="537"/>
      <c r="ST2" s="537"/>
      <c r="SU2" s="537"/>
      <c r="SV2" s="537"/>
      <c r="SW2" s="537"/>
      <c r="SX2" s="537"/>
      <c r="SY2" s="537"/>
      <c r="SZ2" s="537"/>
      <c r="TA2" s="536" t="s">
        <v>4558</v>
      </c>
      <c r="TB2" s="537"/>
      <c r="TC2" s="537"/>
      <c r="TD2" s="537"/>
      <c r="TE2" s="537"/>
      <c r="TF2" s="537"/>
      <c r="TG2" s="537"/>
      <c r="TH2" s="537"/>
      <c r="TI2" s="537"/>
      <c r="TJ2" s="537"/>
      <c r="TK2" s="537"/>
      <c r="TL2" s="537"/>
      <c r="TM2" s="536" t="s">
        <v>4558</v>
      </c>
      <c r="TN2" s="537"/>
      <c r="TO2" s="537"/>
      <c r="TP2" s="537"/>
      <c r="TQ2" s="537"/>
      <c r="TR2" s="537"/>
      <c r="TS2" s="537"/>
      <c r="TT2" s="537"/>
      <c r="TU2" s="537"/>
      <c r="TV2" s="537"/>
      <c r="TW2" s="537"/>
      <c r="TX2" s="537"/>
      <c r="TY2" s="536" t="s">
        <v>4558</v>
      </c>
      <c r="TZ2" s="537"/>
      <c r="UA2" s="537"/>
      <c r="UB2" s="537"/>
      <c r="UC2" s="537"/>
      <c r="UD2" s="537"/>
      <c r="UE2" s="537"/>
      <c r="UF2" s="537"/>
      <c r="UG2" s="537"/>
      <c r="UH2" s="537"/>
      <c r="UI2" s="537"/>
      <c r="UJ2" s="537"/>
      <c r="UK2" s="536" t="s">
        <v>4558</v>
      </c>
      <c r="UL2" s="537"/>
      <c r="UM2" s="537"/>
      <c r="UN2" s="537"/>
      <c r="UO2" s="537"/>
      <c r="UP2" s="537"/>
      <c r="UQ2" s="537"/>
      <c r="UR2" s="537"/>
      <c r="US2" s="537"/>
      <c r="UT2" s="537"/>
      <c r="UU2" s="537"/>
      <c r="UV2" s="537"/>
      <c r="UW2" s="536" t="s">
        <v>4558</v>
      </c>
      <c r="UX2" s="537"/>
      <c r="UY2" s="537"/>
      <c r="UZ2" s="537"/>
      <c r="VA2" s="537"/>
      <c r="VB2" s="537"/>
      <c r="VC2" s="537"/>
      <c r="VD2" s="537"/>
      <c r="VE2" s="537"/>
      <c r="VF2" s="537"/>
      <c r="VG2" s="537"/>
      <c r="VH2" s="537"/>
      <c r="VI2" s="536" t="s">
        <v>4558</v>
      </c>
      <c r="VJ2" s="537"/>
      <c r="VK2" s="537"/>
      <c r="VL2" s="537"/>
      <c r="VM2" s="537"/>
      <c r="VN2" s="537"/>
      <c r="VO2" s="537"/>
      <c r="VP2" s="537"/>
      <c r="VQ2" s="537"/>
      <c r="VR2" s="537"/>
      <c r="VS2" s="537"/>
      <c r="VT2" s="537"/>
      <c r="VU2" s="536" t="s">
        <v>4558</v>
      </c>
      <c r="VV2" s="537"/>
      <c r="VW2" s="537"/>
      <c r="VX2" s="537"/>
      <c r="VY2" s="537"/>
      <c r="VZ2" s="537"/>
      <c r="WA2" s="537"/>
      <c r="WB2" s="537"/>
      <c r="WC2" s="537"/>
      <c r="WD2" s="537"/>
      <c r="WE2" s="537"/>
      <c r="WF2" s="537"/>
      <c r="WG2" s="536" t="s">
        <v>4564</v>
      </c>
      <c r="WH2" s="537"/>
      <c r="WI2" s="537"/>
      <c r="WJ2" s="537"/>
      <c r="WK2" s="537"/>
      <c r="WL2" s="537"/>
      <c r="WM2" s="537"/>
      <c r="WN2" s="537"/>
      <c r="WO2" s="537"/>
      <c r="WP2" s="537"/>
      <c r="WQ2" s="537"/>
      <c r="WR2" s="537"/>
      <c r="WS2" s="536" t="s">
        <v>4564</v>
      </c>
      <c r="WT2" s="537"/>
      <c r="WU2" s="537"/>
      <c r="WV2" s="537"/>
      <c r="WW2" s="537"/>
      <c r="WX2" s="537"/>
      <c r="WY2" s="537"/>
      <c r="WZ2" s="537"/>
      <c r="XA2" s="537"/>
      <c r="XB2" s="537"/>
      <c r="XC2" s="537"/>
      <c r="XD2" s="537"/>
      <c r="XE2" s="536" t="s">
        <v>4564</v>
      </c>
      <c r="XF2" s="537"/>
      <c r="XG2" s="537"/>
      <c r="XH2" s="537"/>
      <c r="XI2" s="537"/>
      <c r="XJ2" s="537"/>
      <c r="XK2" s="537"/>
      <c r="XL2" s="537"/>
      <c r="XM2" s="537"/>
      <c r="XN2" s="537"/>
      <c r="XO2" s="537"/>
      <c r="XP2" s="537"/>
      <c r="XQ2" s="536" t="s">
        <v>4564</v>
      </c>
      <c r="XR2" s="537"/>
      <c r="XS2" s="537"/>
      <c r="XT2" s="537"/>
      <c r="XU2" s="537"/>
      <c r="XV2" s="537"/>
      <c r="XW2" s="537"/>
      <c r="XX2" s="537"/>
      <c r="XY2" s="537"/>
      <c r="XZ2" s="537"/>
      <c r="YA2" s="537"/>
      <c r="YB2" s="537"/>
      <c r="YC2" s="536" t="s">
        <v>4564</v>
      </c>
      <c r="YD2" s="537"/>
      <c r="YE2" s="537"/>
      <c r="YF2" s="537"/>
      <c r="YG2" s="537"/>
      <c r="YH2" s="537"/>
      <c r="YI2" s="537"/>
      <c r="YJ2" s="537"/>
      <c r="YK2" s="537"/>
      <c r="YL2" s="537"/>
      <c r="YM2" s="537"/>
      <c r="YN2" s="537"/>
      <c r="YO2" s="536" t="s">
        <v>4564</v>
      </c>
      <c r="YP2" s="537"/>
      <c r="YQ2" s="537"/>
      <c r="YR2" s="537"/>
      <c r="YS2" s="537"/>
      <c r="YT2" s="537"/>
      <c r="YU2" s="537"/>
      <c r="YV2" s="537"/>
      <c r="YW2" s="537"/>
      <c r="YX2" s="537"/>
      <c r="YY2" s="537"/>
      <c r="YZ2" s="537"/>
      <c r="ZA2" s="536" t="s">
        <v>4564</v>
      </c>
      <c r="ZB2" s="537"/>
      <c r="ZC2" s="537"/>
      <c r="ZD2" s="537"/>
      <c r="ZE2" s="537"/>
      <c r="ZF2" s="537"/>
      <c r="ZG2" s="537"/>
      <c r="ZH2" s="537"/>
      <c r="ZI2" s="537"/>
      <c r="ZJ2" s="537"/>
      <c r="ZK2" s="537"/>
      <c r="ZL2" s="537"/>
      <c r="ZM2" s="536" t="s">
        <v>4564</v>
      </c>
      <c r="ZN2" s="537"/>
      <c r="ZO2" s="537"/>
      <c r="ZP2" s="537"/>
      <c r="ZQ2" s="537"/>
      <c r="ZR2" s="537"/>
      <c r="ZS2" s="537"/>
      <c r="ZT2" s="537"/>
      <c r="ZU2" s="537"/>
      <c r="ZV2" s="537"/>
      <c r="ZW2" s="537"/>
      <c r="ZX2" s="544"/>
    </row>
    <row r="3" spans="1:705" ht="24" customHeight="1" thickBot="1">
      <c r="A3" s="559"/>
      <c r="B3" s="559"/>
      <c r="C3" s="559"/>
      <c r="D3" s="559"/>
      <c r="E3" s="559"/>
      <c r="F3" s="559"/>
      <c r="G3" s="559"/>
      <c r="H3" s="559"/>
      <c r="I3" s="560"/>
      <c r="J3" s="581"/>
      <c r="K3" s="587"/>
      <c r="L3" s="588"/>
      <c r="M3" s="588"/>
      <c r="N3" s="588"/>
      <c r="O3" s="588"/>
      <c r="P3" s="588"/>
      <c r="Q3" s="588"/>
      <c r="R3" s="588"/>
      <c r="S3" s="588"/>
      <c r="T3" s="588"/>
      <c r="U3" s="588"/>
      <c r="V3" s="588"/>
      <c r="W3" s="588"/>
      <c r="X3" s="588"/>
      <c r="Y3" s="588"/>
      <c r="Z3" s="588"/>
      <c r="AA3" s="588"/>
      <c r="AB3" s="588"/>
      <c r="AC3" s="588"/>
      <c r="AD3" s="588"/>
      <c r="AE3" s="588"/>
      <c r="AF3" s="588"/>
      <c r="AG3" s="588"/>
      <c r="AH3" s="588"/>
      <c r="AI3" s="588"/>
      <c r="AJ3" s="588"/>
      <c r="AK3" s="588"/>
      <c r="AL3" s="588"/>
      <c r="AM3" s="588"/>
      <c r="AN3" s="588"/>
      <c r="AO3" s="564" t="s">
        <v>4285</v>
      </c>
      <c r="AP3" s="565"/>
      <c r="AQ3" s="565"/>
      <c r="AR3" s="565"/>
      <c r="AS3" s="566"/>
      <c r="AT3" s="566"/>
      <c r="AU3" s="566"/>
      <c r="AV3" s="566"/>
      <c r="AW3" s="567"/>
      <c r="AX3" s="589" t="s">
        <v>4294</v>
      </c>
      <c r="AY3" s="569"/>
      <c r="AZ3" s="569"/>
      <c r="BA3" s="569"/>
      <c r="BB3" s="569"/>
      <c r="BC3" s="569"/>
      <c r="BD3" s="569"/>
      <c r="BE3" s="569"/>
      <c r="BF3" s="569"/>
      <c r="BG3" s="569"/>
      <c r="BH3" s="569"/>
      <c r="BI3" s="569"/>
      <c r="BJ3" s="590"/>
      <c r="BK3" s="589" t="s">
        <v>2930</v>
      </c>
      <c r="BL3" s="569"/>
      <c r="BM3" s="569"/>
      <c r="BN3" s="569"/>
      <c r="BO3" s="569"/>
      <c r="BP3" s="569"/>
      <c r="BQ3" s="569"/>
      <c r="BR3" s="569"/>
      <c r="BS3" s="569"/>
      <c r="BT3" s="569"/>
      <c r="BU3" s="569"/>
      <c r="BV3" s="569"/>
      <c r="BW3" s="569"/>
      <c r="BX3" s="590"/>
      <c r="BY3" s="574" t="s">
        <v>2931</v>
      </c>
      <c r="BZ3" s="565"/>
      <c r="CA3" s="565"/>
      <c r="CB3" s="565"/>
      <c r="CC3" s="565"/>
      <c r="CD3" s="565"/>
      <c r="CE3" s="565"/>
      <c r="CF3" s="565"/>
      <c r="CG3" s="566"/>
      <c r="CH3" s="565"/>
      <c r="CI3" s="565"/>
      <c r="CJ3" s="565"/>
      <c r="CK3" s="575"/>
      <c r="CL3" s="564" t="s">
        <v>4343</v>
      </c>
      <c r="CM3" s="566"/>
      <c r="CN3" s="566"/>
      <c r="CO3" s="566"/>
      <c r="CP3" s="566"/>
      <c r="CQ3" s="566"/>
      <c r="CR3" s="566"/>
      <c r="CS3" s="591" t="s">
        <v>4352</v>
      </c>
      <c r="CT3" s="569"/>
      <c r="CU3" s="569"/>
      <c r="CV3" s="569"/>
      <c r="CW3" s="569"/>
      <c r="CX3" s="569"/>
      <c r="CY3" s="569"/>
      <c r="CZ3" s="569"/>
      <c r="DA3" s="569"/>
      <c r="DB3" s="569"/>
      <c r="DC3" s="569"/>
      <c r="DD3" s="569"/>
      <c r="DE3" s="569"/>
      <c r="DF3" s="569"/>
      <c r="DG3" s="591"/>
      <c r="DH3" s="591"/>
      <c r="DI3" s="591"/>
      <c r="DJ3" s="591"/>
      <c r="DK3" s="590"/>
      <c r="DL3" s="576" t="s">
        <v>4372</v>
      </c>
      <c r="DM3" s="577"/>
      <c r="DN3" s="577"/>
      <c r="DO3" s="577"/>
      <c r="DP3" s="577"/>
      <c r="DQ3" s="577"/>
      <c r="DR3" s="578"/>
      <c r="DS3" s="568" t="s">
        <v>4380</v>
      </c>
      <c r="DT3" s="569"/>
      <c r="DU3" s="569"/>
      <c r="DV3" s="569"/>
      <c r="DW3" s="569"/>
      <c r="DX3" s="569"/>
      <c r="DY3" s="569"/>
      <c r="DZ3" s="570"/>
      <c r="EA3" s="576" t="s">
        <v>4389</v>
      </c>
      <c r="EB3" s="577"/>
      <c r="EC3" s="577"/>
      <c r="ED3" s="577"/>
      <c r="EE3" s="577"/>
      <c r="EF3" s="577"/>
      <c r="EG3" s="577"/>
      <c r="EH3" s="577"/>
      <c r="EI3" s="577"/>
      <c r="EJ3" s="577"/>
      <c r="EK3" s="578"/>
      <c r="EL3" s="568" t="s">
        <v>4394</v>
      </c>
      <c r="EM3" s="569"/>
      <c r="EN3" s="569"/>
      <c r="EO3" s="569"/>
      <c r="EP3" s="569"/>
      <c r="EQ3" s="570"/>
      <c r="ER3" s="576" t="s">
        <v>4408</v>
      </c>
      <c r="ES3" s="577"/>
      <c r="ET3" s="577"/>
      <c r="EU3" s="577"/>
      <c r="EV3" s="577"/>
      <c r="EW3" s="577"/>
      <c r="EX3" s="577"/>
      <c r="EY3" s="577"/>
      <c r="EZ3" s="577"/>
      <c r="FA3" s="577"/>
      <c r="FB3" s="578"/>
      <c r="FC3" s="589" t="s">
        <v>4421</v>
      </c>
      <c r="FD3" s="569"/>
      <c r="FE3" s="569"/>
      <c r="FF3" s="569"/>
      <c r="FG3" s="569"/>
      <c r="FH3" s="591"/>
      <c r="FI3" s="591"/>
      <c r="FJ3" s="591"/>
      <c r="FK3" s="591"/>
      <c r="FL3" s="591"/>
      <c r="FM3" s="591"/>
      <c r="FN3" s="590"/>
      <c r="FO3" s="564" t="s">
        <v>4434</v>
      </c>
      <c r="FP3" s="566"/>
      <c r="FQ3" s="566"/>
      <c r="FR3" s="566"/>
      <c r="FS3" s="566"/>
      <c r="FT3" s="566"/>
      <c r="FU3" s="566"/>
      <c r="FV3" s="566"/>
      <c r="FW3" s="567"/>
      <c r="FX3" s="546" t="s">
        <v>4490</v>
      </c>
      <c r="FY3" s="546"/>
      <c r="FZ3" s="546"/>
      <c r="GA3" s="546"/>
      <c r="GB3" s="546"/>
      <c r="GC3" s="546"/>
      <c r="GD3" s="546"/>
      <c r="GE3" s="546"/>
      <c r="GF3" s="546"/>
      <c r="GG3" s="546"/>
      <c r="GH3" s="546"/>
      <c r="GI3" s="533" t="s">
        <v>2885</v>
      </c>
      <c r="GJ3" s="533" t="s">
        <v>2886</v>
      </c>
      <c r="GK3" s="533" t="s">
        <v>2887</v>
      </c>
      <c r="GL3" s="533" t="s">
        <v>2888</v>
      </c>
      <c r="GM3" s="533" t="s">
        <v>2889</v>
      </c>
      <c r="GN3" s="533" t="s">
        <v>2890</v>
      </c>
      <c r="GO3" s="533" t="s">
        <v>2891</v>
      </c>
      <c r="GP3" s="533" t="s">
        <v>2892</v>
      </c>
      <c r="GQ3" s="533" t="s">
        <v>4466</v>
      </c>
      <c r="GR3" s="533" t="s">
        <v>4467</v>
      </c>
      <c r="GS3" s="533" t="s">
        <v>4468</v>
      </c>
      <c r="GT3" s="533" t="s">
        <v>4469</v>
      </c>
      <c r="GU3" s="533" t="s">
        <v>4471</v>
      </c>
      <c r="GV3" s="533" t="s">
        <v>4473</v>
      </c>
      <c r="GW3" s="533" t="s">
        <v>4474</v>
      </c>
      <c r="GX3" s="533" t="s">
        <v>4475</v>
      </c>
      <c r="GY3" s="533" t="s">
        <v>4476</v>
      </c>
      <c r="GZ3" s="533" t="s">
        <v>4477</v>
      </c>
      <c r="HA3" s="533" t="s">
        <v>2893</v>
      </c>
      <c r="HB3" s="533" t="s">
        <v>2894</v>
      </c>
      <c r="HC3" s="533" t="s">
        <v>2895</v>
      </c>
      <c r="HD3" s="533" t="s">
        <v>2896</v>
      </c>
      <c r="HE3" s="533" t="s">
        <v>4478</v>
      </c>
      <c r="HF3" s="533" t="s">
        <v>4479</v>
      </c>
      <c r="HG3" s="533" t="s">
        <v>4481</v>
      </c>
      <c r="HH3" s="533" t="s">
        <v>2897</v>
      </c>
      <c r="HI3" s="533" t="s">
        <v>2898</v>
      </c>
      <c r="HJ3" s="533" t="s">
        <v>2899</v>
      </c>
      <c r="HK3" s="533" t="s">
        <v>4486</v>
      </c>
      <c r="HL3" s="533" t="s">
        <v>2900</v>
      </c>
      <c r="HM3" s="533" t="s">
        <v>2901</v>
      </c>
      <c r="HN3" s="533" t="s">
        <v>2902</v>
      </c>
      <c r="HO3" s="533" t="s">
        <v>2903</v>
      </c>
      <c r="HP3" s="533" t="s">
        <v>2904</v>
      </c>
      <c r="HQ3" s="36"/>
      <c r="HR3" s="36"/>
      <c r="HS3" s="36"/>
      <c r="HT3" s="36"/>
      <c r="HU3" s="571"/>
      <c r="HV3" s="571"/>
      <c r="HW3" s="571"/>
      <c r="HX3" s="571"/>
      <c r="HY3" s="554" t="s">
        <v>295</v>
      </c>
      <c r="HZ3" s="556" t="s">
        <v>296</v>
      </c>
      <c r="IA3" s="557"/>
      <c r="IB3" s="558"/>
      <c r="IC3" s="488"/>
      <c r="ID3" s="488"/>
      <c r="IE3" s="556" t="s">
        <v>297</v>
      </c>
      <c r="IF3" s="557"/>
      <c r="IG3" s="558"/>
      <c r="IH3" s="556" t="s">
        <v>302</v>
      </c>
      <c r="II3" s="558"/>
      <c r="IJ3" s="554" t="s">
        <v>304</v>
      </c>
      <c r="IK3" s="556" t="s">
        <v>296</v>
      </c>
      <c r="IL3" s="557"/>
      <c r="IM3" s="557"/>
      <c r="IN3" s="557"/>
      <c r="IO3" s="558"/>
      <c r="IP3" s="556" t="s">
        <v>297</v>
      </c>
      <c r="IQ3" s="557"/>
      <c r="IR3" s="558"/>
      <c r="IS3" s="556" t="s">
        <v>302</v>
      </c>
      <c r="IT3" s="558"/>
      <c r="IU3" s="554" t="s">
        <v>305</v>
      </c>
      <c r="IV3" s="556" t="s">
        <v>296</v>
      </c>
      <c r="IW3" s="557"/>
      <c r="IX3" s="557"/>
      <c r="IY3" s="557"/>
      <c r="IZ3" s="558"/>
      <c r="JA3" s="556" t="s">
        <v>297</v>
      </c>
      <c r="JB3" s="557"/>
      <c r="JC3" s="558"/>
      <c r="JD3" s="556" t="s">
        <v>302</v>
      </c>
      <c r="JE3" s="558"/>
      <c r="JF3" s="554" t="s">
        <v>306</v>
      </c>
      <c r="JG3" s="556" t="s">
        <v>296</v>
      </c>
      <c r="JH3" s="557"/>
      <c r="JI3" s="557"/>
      <c r="JJ3" s="557"/>
      <c r="JK3" s="558"/>
      <c r="JL3" s="556" t="s">
        <v>297</v>
      </c>
      <c r="JM3" s="557"/>
      <c r="JN3" s="558"/>
      <c r="JO3" s="556" t="s">
        <v>302</v>
      </c>
      <c r="JP3" s="558"/>
      <c r="JQ3" s="554" t="s">
        <v>307</v>
      </c>
      <c r="JR3" s="556" t="s">
        <v>296</v>
      </c>
      <c r="JS3" s="557"/>
      <c r="JT3" s="557"/>
      <c r="JU3" s="557"/>
      <c r="JV3" s="558"/>
      <c r="JW3" s="556" t="s">
        <v>297</v>
      </c>
      <c r="JX3" s="557"/>
      <c r="JY3" s="558"/>
      <c r="JZ3" s="556" t="s">
        <v>302</v>
      </c>
      <c r="KA3" s="558"/>
      <c r="KB3" s="554" t="s">
        <v>308</v>
      </c>
      <c r="KC3" s="556" t="s">
        <v>296</v>
      </c>
      <c r="KD3" s="557"/>
      <c r="KE3" s="557"/>
      <c r="KF3" s="557"/>
      <c r="KG3" s="558"/>
      <c r="KH3" s="556" t="s">
        <v>297</v>
      </c>
      <c r="KI3" s="557"/>
      <c r="KJ3" s="558"/>
      <c r="KK3" s="556" t="s">
        <v>302</v>
      </c>
      <c r="KL3" s="558"/>
      <c r="KM3" s="554" t="s">
        <v>309</v>
      </c>
      <c r="KN3" s="556" t="s">
        <v>296</v>
      </c>
      <c r="KO3" s="557"/>
      <c r="KP3" s="557"/>
      <c r="KQ3" s="557"/>
      <c r="KR3" s="558"/>
      <c r="KS3" s="556" t="s">
        <v>297</v>
      </c>
      <c r="KT3" s="557"/>
      <c r="KU3" s="558"/>
      <c r="KV3" s="556" t="s">
        <v>302</v>
      </c>
      <c r="KW3" s="558"/>
      <c r="KX3" s="554" t="s">
        <v>310</v>
      </c>
      <c r="KY3" s="556" t="s">
        <v>296</v>
      </c>
      <c r="KZ3" s="557"/>
      <c r="LA3" s="557"/>
      <c r="LB3" s="557"/>
      <c r="LC3" s="558"/>
      <c r="LD3" s="556" t="s">
        <v>297</v>
      </c>
      <c r="LE3" s="557"/>
      <c r="LF3" s="558"/>
      <c r="LG3" s="556" t="s">
        <v>302</v>
      </c>
      <c r="LH3" s="558"/>
      <c r="LI3" s="554" t="s">
        <v>311</v>
      </c>
      <c r="LJ3" s="556" t="s">
        <v>296</v>
      </c>
      <c r="LK3" s="557"/>
      <c r="LL3" s="557"/>
      <c r="LM3" s="557"/>
      <c r="LN3" s="558"/>
      <c r="LO3" s="556" t="s">
        <v>297</v>
      </c>
      <c r="LP3" s="557"/>
      <c r="LQ3" s="558"/>
      <c r="LR3" s="556" t="s">
        <v>302</v>
      </c>
      <c r="LS3" s="558"/>
      <c r="LT3" s="554" t="s">
        <v>312</v>
      </c>
      <c r="LU3" s="556" t="s">
        <v>296</v>
      </c>
      <c r="LV3" s="557"/>
      <c r="LW3" s="557"/>
      <c r="LX3" s="557"/>
      <c r="LY3" s="558"/>
      <c r="LZ3" s="556" t="s">
        <v>297</v>
      </c>
      <c r="MA3" s="557"/>
      <c r="MB3" s="558"/>
      <c r="MC3" s="556" t="s">
        <v>302</v>
      </c>
      <c r="MD3" s="558"/>
      <c r="ME3" s="554" t="s">
        <v>313</v>
      </c>
      <c r="MF3" s="556" t="s">
        <v>296</v>
      </c>
      <c r="MG3" s="557"/>
      <c r="MH3" s="557"/>
      <c r="MI3" s="557"/>
      <c r="MJ3" s="558"/>
      <c r="MK3" s="556" t="s">
        <v>297</v>
      </c>
      <c r="ML3" s="557"/>
      <c r="MM3" s="558"/>
      <c r="MN3" s="556" t="s">
        <v>302</v>
      </c>
      <c r="MO3" s="558"/>
      <c r="MP3" s="554" t="s">
        <v>314</v>
      </c>
      <c r="MQ3" s="556" t="s">
        <v>296</v>
      </c>
      <c r="MR3" s="557"/>
      <c r="MS3" s="557"/>
      <c r="MT3" s="557"/>
      <c r="MU3" s="558"/>
      <c r="MV3" s="556" t="s">
        <v>297</v>
      </c>
      <c r="MW3" s="557"/>
      <c r="MX3" s="558"/>
      <c r="MY3" s="556" t="s">
        <v>302</v>
      </c>
      <c r="MZ3" s="558"/>
      <c r="NA3" s="538" t="s">
        <v>4548</v>
      </c>
      <c r="NB3" s="539" t="s">
        <v>316</v>
      </c>
      <c r="NC3" s="539" t="s">
        <v>13</v>
      </c>
      <c r="ND3" s="550" t="s">
        <v>14</v>
      </c>
      <c r="NE3" s="539" t="s">
        <v>317</v>
      </c>
      <c r="NF3" s="539" t="s">
        <v>318</v>
      </c>
      <c r="NG3" s="549" t="s">
        <v>319</v>
      </c>
      <c r="NH3" s="549"/>
      <c r="NI3" s="549"/>
      <c r="NJ3" s="549"/>
      <c r="NK3" s="549"/>
      <c r="NL3" s="16"/>
      <c r="NM3" s="538" t="s">
        <v>4549</v>
      </c>
      <c r="NN3" s="539" t="s">
        <v>316</v>
      </c>
      <c r="NO3" s="539" t="s">
        <v>13</v>
      </c>
      <c r="NP3" s="539" t="s">
        <v>14</v>
      </c>
      <c r="NQ3" s="539" t="s">
        <v>317</v>
      </c>
      <c r="NR3" s="539" t="s">
        <v>318</v>
      </c>
      <c r="NS3" s="549" t="s">
        <v>319</v>
      </c>
      <c r="NT3" s="549"/>
      <c r="NU3" s="549"/>
      <c r="NV3" s="549"/>
      <c r="NW3" s="549"/>
      <c r="NX3" s="16"/>
      <c r="NY3" s="538" t="s">
        <v>4550</v>
      </c>
      <c r="NZ3" s="539" t="s">
        <v>316</v>
      </c>
      <c r="OA3" s="539" t="s">
        <v>13</v>
      </c>
      <c r="OB3" s="539" t="s">
        <v>14</v>
      </c>
      <c r="OC3" s="539" t="s">
        <v>317</v>
      </c>
      <c r="OD3" s="539" t="s">
        <v>318</v>
      </c>
      <c r="OE3" s="549" t="s">
        <v>319</v>
      </c>
      <c r="OF3" s="549"/>
      <c r="OG3" s="549"/>
      <c r="OH3" s="549"/>
      <c r="OI3" s="549"/>
      <c r="OJ3" s="16"/>
      <c r="OK3" s="538" t="s">
        <v>4551</v>
      </c>
      <c r="OL3" s="539" t="s">
        <v>316</v>
      </c>
      <c r="OM3" s="539" t="s">
        <v>13</v>
      </c>
      <c r="ON3" s="539" t="s">
        <v>14</v>
      </c>
      <c r="OO3" s="539" t="s">
        <v>317</v>
      </c>
      <c r="OP3" s="539" t="s">
        <v>318</v>
      </c>
      <c r="OQ3" s="549" t="s">
        <v>319</v>
      </c>
      <c r="OR3" s="549"/>
      <c r="OS3" s="549"/>
      <c r="OT3" s="549"/>
      <c r="OU3" s="549"/>
      <c r="OV3" s="16"/>
      <c r="OW3" s="538" t="s">
        <v>4552</v>
      </c>
      <c r="OX3" s="539" t="s">
        <v>316</v>
      </c>
      <c r="OY3" s="539" t="s">
        <v>13</v>
      </c>
      <c r="OZ3" s="539" t="s">
        <v>14</v>
      </c>
      <c r="PA3" s="539" t="s">
        <v>317</v>
      </c>
      <c r="PB3" s="539" t="s">
        <v>318</v>
      </c>
      <c r="PC3" s="549" t="s">
        <v>319</v>
      </c>
      <c r="PD3" s="549"/>
      <c r="PE3" s="549"/>
      <c r="PF3" s="549"/>
      <c r="PG3" s="549"/>
      <c r="PH3" s="16"/>
      <c r="PI3" s="538" t="s">
        <v>4553</v>
      </c>
      <c r="PJ3" s="539" t="s">
        <v>316</v>
      </c>
      <c r="PK3" s="539" t="s">
        <v>13</v>
      </c>
      <c r="PL3" s="539" t="s">
        <v>14</v>
      </c>
      <c r="PM3" s="539" t="s">
        <v>317</v>
      </c>
      <c r="PN3" s="539" t="s">
        <v>318</v>
      </c>
      <c r="PO3" s="549" t="s">
        <v>319</v>
      </c>
      <c r="PP3" s="549"/>
      <c r="PQ3" s="549"/>
      <c r="PR3" s="549"/>
      <c r="PS3" s="549"/>
      <c r="PT3" s="16"/>
      <c r="PU3" s="538" t="s">
        <v>4554</v>
      </c>
      <c r="PV3" s="539" t="s">
        <v>316</v>
      </c>
      <c r="PW3" s="539" t="s">
        <v>13</v>
      </c>
      <c r="PX3" s="539" t="s">
        <v>14</v>
      </c>
      <c r="PY3" s="539" t="s">
        <v>317</v>
      </c>
      <c r="PZ3" s="539" t="s">
        <v>318</v>
      </c>
      <c r="QA3" s="549" t="s">
        <v>319</v>
      </c>
      <c r="QB3" s="549"/>
      <c r="QC3" s="549"/>
      <c r="QD3" s="549"/>
      <c r="QE3" s="549"/>
      <c r="QF3" s="16"/>
      <c r="QG3" s="538" t="s">
        <v>4555</v>
      </c>
      <c r="QH3" s="539" t="s">
        <v>316</v>
      </c>
      <c r="QI3" s="539" t="s">
        <v>13</v>
      </c>
      <c r="QJ3" s="539" t="s">
        <v>14</v>
      </c>
      <c r="QK3" s="539" t="s">
        <v>317</v>
      </c>
      <c r="QL3" s="539" t="s">
        <v>318</v>
      </c>
      <c r="QM3" s="549" t="s">
        <v>319</v>
      </c>
      <c r="QN3" s="549"/>
      <c r="QO3" s="549"/>
      <c r="QP3" s="549"/>
      <c r="QQ3" s="549"/>
      <c r="QR3" s="16"/>
      <c r="QS3" s="538" t="s">
        <v>4556</v>
      </c>
      <c r="QT3" s="539" t="s">
        <v>316</v>
      </c>
      <c r="QU3" s="539" t="s">
        <v>13</v>
      </c>
      <c r="QV3" s="539" t="s">
        <v>14</v>
      </c>
      <c r="QW3" s="539" t="s">
        <v>317</v>
      </c>
      <c r="QX3" s="539" t="s">
        <v>318</v>
      </c>
      <c r="QY3" s="549" t="s">
        <v>319</v>
      </c>
      <c r="QZ3" s="549"/>
      <c r="RA3" s="549"/>
      <c r="RB3" s="549"/>
      <c r="RC3" s="549"/>
      <c r="RD3" s="16"/>
      <c r="RE3" s="538" t="s">
        <v>4557</v>
      </c>
      <c r="RF3" s="539" t="s">
        <v>316</v>
      </c>
      <c r="RG3" s="539" t="s">
        <v>13</v>
      </c>
      <c r="RH3" s="539" t="s">
        <v>14</v>
      </c>
      <c r="RI3" s="539" t="s">
        <v>317</v>
      </c>
      <c r="RJ3" s="539" t="s">
        <v>318</v>
      </c>
      <c r="RK3" s="549" t="s">
        <v>319</v>
      </c>
      <c r="RL3" s="549"/>
      <c r="RM3" s="549"/>
      <c r="RN3" s="549"/>
      <c r="RO3" s="549"/>
      <c r="RP3" s="16"/>
      <c r="RQ3" s="545" t="s">
        <v>3095</v>
      </c>
      <c r="RR3" s="539" t="s">
        <v>316</v>
      </c>
      <c r="RS3" s="539" t="s">
        <v>13</v>
      </c>
      <c r="RT3" s="550" t="s">
        <v>14</v>
      </c>
      <c r="RU3" s="539" t="s">
        <v>317</v>
      </c>
      <c r="RV3" s="539" t="s">
        <v>318</v>
      </c>
      <c r="RW3" s="541" t="s">
        <v>319</v>
      </c>
      <c r="RX3" s="542"/>
      <c r="RY3" s="542"/>
      <c r="RZ3" s="543"/>
      <c r="SA3" s="19" t="s">
        <v>3096</v>
      </c>
      <c r="SB3" s="20" t="s">
        <v>3098</v>
      </c>
      <c r="SC3" s="545" t="s">
        <v>3102</v>
      </c>
      <c r="SD3" s="539" t="s">
        <v>316</v>
      </c>
      <c r="SE3" s="539" t="s">
        <v>13</v>
      </c>
      <c r="SF3" s="539" t="s">
        <v>14</v>
      </c>
      <c r="SG3" s="539" t="s">
        <v>317</v>
      </c>
      <c r="SH3" s="539" t="s">
        <v>318</v>
      </c>
      <c r="SI3" s="541" t="s">
        <v>319</v>
      </c>
      <c r="SJ3" s="542"/>
      <c r="SK3" s="542"/>
      <c r="SL3" s="543"/>
      <c r="SM3" s="19" t="s">
        <v>3096</v>
      </c>
      <c r="SN3" s="20" t="s">
        <v>3098</v>
      </c>
      <c r="SO3" s="545" t="s">
        <v>3101</v>
      </c>
      <c r="SP3" s="539" t="s">
        <v>316</v>
      </c>
      <c r="SQ3" s="539" t="s">
        <v>13</v>
      </c>
      <c r="SR3" s="539" t="s">
        <v>14</v>
      </c>
      <c r="SS3" s="539" t="s">
        <v>317</v>
      </c>
      <c r="ST3" s="539" t="s">
        <v>318</v>
      </c>
      <c r="SU3" s="541" t="s">
        <v>319</v>
      </c>
      <c r="SV3" s="542"/>
      <c r="SW3" s="542"/>
      <c r="SX3" s="543"/>
      <c r="SY3" s="19" t="s">
        <v>3096</v>
      </c>
      <c r="SZ3" s="20" t="s">
        <v>3098</v>
      </c>
      <c r="TA3" s="545" t="s">
        <v>3100</v>
      </c>
      <c r="TB3" s="539" t="s">
        <v>316</v>
      </c>
      <c r="TC3" s="539" t="s">
        <v>13</v>
      </c>
      <c r="TD3" s="539" t="s">
        <v>14</v>
      </c>
      <c r="TE3" s="539" t="s">
        <v>317</v>
      </c>
      <c r="TF3" s="539" t="s">
        <v>318</v>
      </c>
      <c r="TG3" s="541" t="s">
        <v>319</v>
      </c>
      <c r="TH3" s="542"/>
      <c r="TI3" s="542"/>
      <c r="TJ3" s="543"/>
      <c r="TK3" s="19" t="s">
        <v>3096</v>
      </c>
      <c r="TL3" s="20" t="s">
        <v>3098</v>
      </c>
      <c r="TM3" s="545" t="s">
        <v>3099</v>
      </c>
      <c r="TN3" s="539" t="s">
        <v>316</v>
      </c>
      <c r="TO3" s="539" t="s">
        <v>13</v>
      </c>
      <c r="TP3" s="539" t="s">
        <v>14</v>
      </c>
      <c r="TQ3" s="539" t="s">
        <v>317</v>
      </c>
      <c r="TR3" s="539" t="s">
        <v>318</v>
      </c>
      <c r="TS3" s="541" t="s">
        <v>319</v>
      </c>
      <c r="TT3" s="542"/>
      <c r="TU3" s="542"/>
      <c r="TV3" s="543"/>
      <c r="TW3" s="19" t="s">
        <v>3096</v>
      </c>
      <c r="TX3" s="20" t="s">
        <v>3098</v>
      </c>
      <c r="TY3" s="545" t="s">
        <v>4559</v>
      </c>
      <c r="TZ3" s="539" t="s">
        <v>316</v>
      </c>
      <c r="UA3" s="539" t="s">
        <v>13</v>
      </c>
      <c r="UB3" s="539" t="s">
        <v>14</v>
      </c>
      <c r="UC3" s="539" t="s">
        <v>317</v>
      </c>
      <c r="UD3" s="539" t="s">
        <v>318</v>
      </c>
      <c r="UE3" s="541" t="s">
        <v>319</v>
      </c>
      <c r="UF3" s="542"/>
      <c r="UG3" s="542"/>
      <c r="UH3" s="543"/>
      <c r="UI3" s="19" t="s">
        <v>3096</v>
      </c>
      <c r="UJ3" s="20" t="s">
        <v>3098</v>
      </c>
      <c r="UK3" s="545" t="s">
        <v>4560</v>
      </c>
      <c r="UL3" s="539" t="s">
        <v>316</v>
      </c>
      <c r="UM3" s="539" t="s">
        <v>13</v>
      </c>
      <c r="UN3" s="539" t="s">
        <v>14</v>
      </c>
      <c r="UO3" s="539" t="s">
        <v>317</v>
      </c>
      <c r="UP3" s="539" t="s">
        <v>318</v>
      </c>
      <c r="UQ3" s="541" t="s">
        <v>319</v>
      </c>
      <c r="UR3" s="542"/>
      <c r="US3" s="542"/>
      <c r="UT3" s="543"/>
      <c r="UU3" s="19" t="s">
        <v>3096</v>
      </c>
      <c r="UV3" s="20" t="s">
        <v>3098</v>
      </c>
      <c r="UW3" s="545" t="s">
        <v>4561</v>
      </c>
      <c r="UX3" s="539" t="s">
        <v>316</v>
      </c>
      <c r="UY3" s="539" t="s">
        <v>13</v>
      </c>
      <c r="UZ3" s="539" t="s">
        <v>14</v>
      </c>
      <c r="VA3" s="539" t="s">
        <v>317</v>
      </c>
      <c r="VB3" s="539" t="s">
        <v>318</v>
      </c>
      <c r="VC3" s="541" t="s">
        <v>319</v>
      </c>
      <c r="VD3" s="542"/>
      <c r="VE3" s="542"/>
      <c r="VF3" s="543"/>
      <c r="VG3" s="19" t="s">
        <v>3096</v>
      </c>
      <c r="VH3" s="20" t="s">
        <v>3098</v>
      </c>
      <c r="VI3" s="545" t="s">
        <v>4562</v>
      </c>
      <c r="VJ3" s="539" t="s">
        <v>316</v>
      </c>
      <c r="VK3" s="539" t="s">
        <v>13</v>
      </c>
      <c r="VL3" s="539" t="s">
        <v>14</v>
      </c>
      <c r="VM3" s="539" t="s">
        <v>317</v>
      </c>
      <c r="VN3" s="539" t="s">
        <v>318</v>
      </c>
      <c r="VO3" s="541" t="s">
        <v>319</v>
      </c>
      <c r="VP3" s="542"/>
      <c r="VQ3" s="542"/>
      <c r="VR3" s="543"/>
      <c r="VS3" s="19" t="s">
        <v>3096</v>
      </c>
      <c r="VT3" s="20" t="s">
        <v>3098</v>
      </c>
      <c r="VU3" s="545" t="s">
        <v>4563</v>
      </c>
      <c r="VV3" s="539" t="s">
        <v>316</v>
      </c>
      <c r="VW3" s="539" t="s">
        <v>13</v>
      </c>
      <c r="VX3" s="539" t="s">
        <v>14</v>
      </c>
      <c r="VY3" s="539" t="s">
        <v>317</v>
      </c>
      <c r="VZ3" s="539" t="s">
        <v>318</v>
      </c>
      <c r="WA3" s="541" t="s">
        <v>319</v>
      </c>
      <c r="WB3" s="542"/>
      <c r="WC3" s="542"/>
      <c r="WD3" s="543"/>
      <c r="WE3" s="19" t="s">
        <v>3096</v>
      </c>
      <c r="WF3" s="20" t="s">
        <v>3098</v>
      </c>
      <c r="WG3" s="538" t="s">
        <v>4565</v>
      </c>
      <c r="WH3" s="539" t="s">
        <v>316</v>
      </c>
      <c r="WI3" s="539" t="s">
        <v>13</v>
      </c>
      <c r="WJ3" s="539" t="s">
        <v>14</v>
      </c>
      <c r="WK3" s="539" t="s">
        <v>317</v>
      </c>
      <c r="WL3" s="539" t="s">
        <v>318</v>
      </c>
      <c r="WM3" s="541" t="s">
        <v>319</v>
      </c>
      <c r="WN3" s="542"/>
      <c r="WO3" s="542"/>
      <c r="WP3" s="543"/>
      <c r="WQ3" s="19" t="s">
        <v>3096</v>
      </c>
      <c r="WR3" s="20" t="s">
        <v>3098</v>
      </c>
      <c r="WS3" s="538" t="s">
        <v>4566</v>
      </c>
      <c r="WT3" s="539" t="s">
        <v>316</v>
      </c>
      <c r="WU3" s="539" t="s">
        <v>13</v>
      </c>
      <c r="WV3" s="539" t="s">
        <v>14</v>
      </c>
      <c r="WW3" s="539" t="s">
        <v>317</v>
      </c>
      <c r="WX3" s="539" t="s">
        <v>318</v>
      </c>
      <c r="WY3" s="541" t="s">
        <v>319</v>
      </c>
      <c r="WZ3" s="542"/>
      <c r="XA3" s="542"/>
      <c r="XB3" s="543"/>
      <c r="XC3" s="19" t="s">
        <v>3096</v>
      </c>
      <c r="XD3" s="20" t="s">
        <v>3098</v>
      </c>
      <c r="XE3" s="538" t="s">
        <v>4567</v>
      </c>
      <c r="XF3" s="539" t="s">
        <v>316</v>
      </c>
      <c r="XG3" s="539" t="s">
        <v>13</v>
      </c>
      <c r="XH3" s="539" t="s">
        <v>14</v>
      </c>
      <c r="XI3" s="539" t="s">
        <v>317</v>
      </c>
      <c r="XJ3" s="539" t="s">
        <v>318</v>
      </c>
      <c r="XK3" s="541" t="s">
        <v>319</v>
      </c>
      <c r="XL3" s="542"/>
      <c r="XM3" s="542"/>
      <c r="XN3" s="543"/>
      <c r="XO3" s="19" t="s">
        <v>3096</v>
      </c>
      <c r="XP3" s="20" t="s">
        <v>3098</v>
      </c>
      <c r="XQ3" s="538" t="s">
        <v>4568</v>
      </c>
      <c r="XR3" s="539" t="s">
        <v>316</v>
      </c>
      <c r="XS3" s="539" t="s">
        <v>13</v>
      </c>
      <c r="XT3" s="539" t="s">
        <v>14</v>
      </c>
      <c r="XU3" s="539" t="s">
        <v>317</v>
      </c>
      <c r="XV3" s="539" t="s">
        <v>318</v>
      </c>
      <c r="XW3" s="541" t="s">
        <v>319</v>
      </c>
      <c r="XX3" s="542"/>
      <c r="XY3" s="542"/>
      <c r="XZ3" s="543"/>
      <c r="YA3" s="19" t="s">
        <v>3096</v>
      </c>
      <c r="YB3" s="20" t="s">
        <v>3098</v>
      </c>
      <c r="YC3" s="538" t="s">
        <v>4569</v>
      </c>
      <c r="YD3" s="539" t="s">
        <v>316</v>
      </c>
      <c r="YE3" s="539" t="s">
        <v>13</v>
      </c>
      <c r="YF3" s="539" t="s">
        <v>14</v>
      </c>
      <c r="YG3" s="539" t="s">
        <v>317</v>
      </c>
      <c r="YH3" s="539" t="s">
        <v>318</v>
      </c>
      <c r="YI3" s="541" t="s">
        <v>319</v>
      </c>
      <c r="YJ3" s="542"/>
      <c r="YK3" s="542"/>
      <c r="YL3" s="543"/>
      <c r="YM3" s="19" t="s">
        <v>3096</v>
      </c>
      <c r="YN3" s="20" t="s">
        <v>3098</v>
      </c>
      <c r="YO3" s="538" t="s">
        <v>4570</v>
      </c>
      <c r="YP3" s="539" t="s">
        <v>316</v>
      </c>
      <c r="YQ3" s="539" t="s">
        <v>13</v>
      </c>
      <c r="YR3" s="539" t="s">
        <v>14</v>
      </c>
      <c r="YS3" s="539" t="s">
        <v>317</v>
      </c>
      <c r="YT3" s="539" t="s">
        <v>318</v>
      </c>
      <c r="YU3" s="541" t="s">
        <v>319</v>
      </c>
      <c r="YV3" s="542"/>
      <c r="YW3" s="542"/>
      <c r="YX3" s="543"/>
      <c r="YY3" s="19" t="s">
        <v>3096</v>
      </c>
      <c r="YZ3" s="20" t="s">
        <v>3098</v>
      </c>
      <c r="ZA3" s="538" t="s">
        <v>4571</v>
      </c>
      <c r="ZB3" s="539" t="s">
        <v>316</v>
      </c>
      <c r="ZC3" s="539" t="s">
        <v>13</v>
      </c>
      <c r="ZD3" s="539" t="s">
        <v>14</v>
      </c>
      <c r="ZE3" s="539" t="s">
        <v>317</v>
      </c>
      <c r="ZF3" s="539" t="s">
        <v>318</v>
      </c>
      <c r="ZG3" s="541" t="s">
        <v>319</v>
      </c>
      <c r="ZH3" s="542"/>
      <c r="ZI3" s="542"/>
      <c r="ZJ3" s="543"/>
      <c r="ZK3" s="19" t="s">
        <v>3096</v>
      </c>
      <c r="ZL3" s="20" t="s">
        <v>3098</v>
      </c>
      <c r="ZM3" s="538" t="s">
        <v>4572</v>
      </c>
      <c r="ZN3" s="539" t="s">
        <v>316</v>
      </c>
      <c r="ZO3" s="539" t="s">
        <v>13</v>
      </c>
      <c r="ZP3" s="539" t="s">
        <v>14</v>
      </c>
      <c r="ZQ3" s="539" t="s">
        <v>317</v>
      </c>
      <c r="ZR3" s="539" t="s">
        <v>318</v>
      </c>
      <c r="ZS3" s="541" t="s">
        <v>319</v>
      </c>
      <c r="ZT3" s="542"/>
      <c r="ZU3" s="542"/>
      <c r="ZV3" s="543"/>
      <c r="ZW3" s="19" t="s">
        <v>3096</v>
      </c>
      <c r="ZX3" s="20" t="s">
        <v>3098</v>
      </c>
    </row>
    <row r="4" spans="1:705" ht="82.8" customHeight="1" thickBot="1">
      <c r="A4" s="535" t="s">
        <v>1</v>
      </c>
      <c r="B4" s="12" t="s">
        <v>2</v>
      </c>
      <c r="C4" s="12" t="s">
        <v>3</v>
      </c>
      <c r="D4" s="534" t="s">
        <v>2872</v>
      </c>
      <c r="E4" s="12" t="s">
        <v>2874</v>
      </c>
      <c r="F4" s="12" t="s">
        <v>2905</v>
      </c>
      <c r="G4" s="12" t="s">
        <v>334</v>
      </c>
      <c r="H4" s="12" t="s">
        <v>2873</v>
      </c>
      <c r="I4" s="18" t="s">
        <v>269</v>
      </c>
      <c r="J4" s="12" t="s">
        <v>268</v>
      </c>
      <c r="K4" s="12" t="s">
        <v>2876</v>
      </c>
      <c r="L4" s="12" t="s">
        <v>2881</v>
      </c>
      <c r="M4" s="12" t="s">
        <v>3433</v>
      </c>
      <c r="N4" s="12" t="s">
        <v>4</v>
      </c>
      <c r="O4" s="13" t="s">
        <v>3431</v>
      </c>
      <c r="P4" s="13" t="s">
        <v>3432</v>
      </c>
      <c r="Q4" s="12" t="s">
        <v>274</v>
      </c>
      <c r="R4" s="12" t="s">
        <v>270</v>
      </c>
      <c r="S4" s="12" t="s">
        <v>273</v>
      </c>
      <c r="T4" s="12" t="s">
        <v>4192</v>
      </c>
      <c r="U4" s="12" t="s">
        <v>4193</v>
      </c>
      <c r="V4" s="12" t="s">
        <v>271</v>
      </c>
      <c r="W4" s="12" t="s">
        <v>276</v>
      </c>
      <c r="X4" s="12" t="s">
        <v>272</v>
      </c>
      <c r="Y4" s="12" t="s">
        <v>275</v>
      </c>
      <c r="Z4" s="12" t="s">
        <v>3410</v>
      </c>
      <c r="AA4" s="12" t="s">
        <v>4195</v>
      </c>
      <c r="AB4" s="12" t="s">
        <v>4194</v>
      </c>
      <c r="AC4" s="12" t="s">
        <v>4196</v>
      </c>
      <c r="AD4" s="12" t="s">
        <v>4198</v>
      </c>
      <c r="AE4" s="12" t="s">
        <v>4199</v>
      </c>
      <c r="AF4" s="12" t="s">
        <v>4287</v>
      </c>
      <c r="AG4" s="12" t="s">
        <v>16</v>
      </c>
      <c r="AH4" s="12" t="s">
        <v>12</v>
      </c>
      <c r="AI4" s="12" t="s">
        <v>5</v>
      </c>
      <c r="AJ4" s="12" t="s">
        <v>324</v>
      </c>
      <c r="AK4" s="534" t="s">
        <v>3412</v>
      </c>
      <c r="AL4" s="534" t="s">
        <v>282</v>
      </c>
      <c r="AM4" s="12" t="s">
        <v>7</v>
      </c>
      <c r="AN4" s="12" t="s">
        <v>326</v>
      </c>
      <c r="AO4" s="508" t="s">
        <v>4286</v>
      </c>
      <c r="AP4" s="508" t="s">
        <v>4288</v>
      </c>
      <c r="AQ4" s="508" t="s">
        <v>4289</v>
      </c>
      <c r="AR4" s="508" t="s">
        <v>4290</v>
      </c>
      <c r="AS4" s="508" t="s">
        <v>4291</v>
      </c>
      <c r="AT4" s="11" t="s">
        <v>4305</v>
      </c>
      <c r="AU4" s="11" t="s">
        <v>4306</v>
      </c>
      <c r="AV4" s="14" t="s">
        <v>4304</v>
      </c>
      <c r="AW4" s="11" t="s">
        <v>4307</v>
      </c>
      <c r="AX4" s="508" t="s">
        <v>4295</v>
      </c>
      <c r="AY4" s="508" t="s">
        <v>4296</v>
      </c>
      <c r="AZ4" s="508" t="s">
        <v>4297</v>
      </c>
      <c r="BA4" s="508" t="s">
        <v>4298</v>
      </c>
      <c r="BB4" s="508" t="s">
        <v>4299</v>
      </c>
      <c r="BC4" s="508" t="s">
        <v>4300</v>
      </c>
      <c r="BD4" s="508" t="s">
        <v>4301</v>
      </c>
      <c r="BE4" s="508" t="s">
        <v>4302</v>
      </c>
      <c r="BF4" s="508" t="s">
        <v>4303</v>
      </c>
      <c r="BG4" s="11" t="s">
        <v>4308</v>
      </c>
      <c r="BH4" s="11" t="s">
        <v>4309</v>
      </c>
      <c r="BI4" s="14" t="s">
        <v>4310</v>
      </c>
      <c r="BJ4" s="11" t="s">
        <v>4311</v>
      </c>
      <c r="BK4" s="509" t="s">
        <v>4316</v>
      </c>
      <c r="BL4" s="509" t="s">
        <v>4317</v>
      </c>
      <c r="BM4" s="509" t="s">
        <v>4318</v>
      </c>
      <c r="BN4" s="509" t="s">
        <v>4319</v>
      </c>
      <c r="BO4" s="509" t="s">
        <v>4320</v>
      </c>
      <c r="BP4" s="509" t="s">
        <v>4321</v>
      </c>
      <c r="BQ4" s="509" t="s">
        <v>4322</v>
      </c>
      <c r="BR4" s="509" t="s">
        <v>4323</v>
      </c>
      <c r="BS4" s="509" t="s">
        <v>4324</v>
      </c>
      <c r="BT4" s="509" t="s">
        <v>4325</v>
      </c>
      <c r="BU4" s="11" t="s">
        <v>4312</v>
      </c>
      <c r="BV4" s="11" t="s">
        <v>4313</v>
      </c>
      <c r="BW4" s="14" t="s">
        <v>4314</v>
      </c>
      <c r="BX4" s="11" t="s">
        <v>4315</v>
      </c>
      <c r="BY4" s="509" t="s">
        <v>4329</v>
      </c>
      <c r="BZ4" s="509" t="s">
        <v>4330</v>
      </c>
      <c r="CA4" s="509" t="s">
        <v>4331</v>
      </c>
      <c r="CB4" s="509" t="s">
        <v>4332</v>
      </c>
      <c r="CC4" s="509" t="s">
        <v>4333</v>
      </c>
      <c r="CD4" s="509" t="s">
        <v>4334</v>
      </c>
      <c r="CE4" s="509" t="s">
        <v>4335</v>
      </c>
      <c r="CF4" s="509" t="s">
        <v>4336</v>
      </c>
      <c r="CG4" s="509" t="s">
        <v>4337</v>
      </c>
      <c r="CH4" s="11" t="s">
        <v>4338</v>
      </c>
      <c r="CI4" s="11" t="s">
        <v>4339</v>
      </c>
      <c r="CJ4" s="14" t="s">
        <v>4340</v>
      </c>
      <c r="CK4" s="11" t="s">
        <v>4341</v>
      </c>
      <c r="CL4" s="509" t="s">
        <v>4344</v>
      </c>
      <c r="CM4" s="514" t="s">
        <v>4345</v>
      </c>
      <c r="CN4" s="515" t="s">
        <v>4346</v>
      </c>
      <c r="CO4" s="11" t="s">
        <v>4347</v>
      </c>
      <c r="CP4" s="11" t="s">
        <v>4348</v>
      </c>
      <c r="CQ4" s="14" t="s">
        <v>4349</v>
      </c>
      <c r="CR4" s="11" t="s">
        <v>4350</v>
      </c>
      <c r="CS4" s="509" t="s">
        <v>4357</v>
      </c>
      <c r="CT4" s="509" t="s">
        <v>4358</v>
      </c>
      <c r="CU4" s="509" t="s">
        <v>4359</v>
      </c>
      <c r="CV4" s="509" t="s">
        <v>4360</v>
      </c>
      <c r="CW4" s="509" t="s">
        <v>4361</v>
      </c>
      <c r="CX4" s="509" t="s">
        <v>4362</v>
      </c>
      <c r="CY4" s="509" t="s">
        <v>4363</v>
      </c>
      <c r="CZ4" s="509" t="s">
        <v>4364</v>
      </c>
      <c r="DA4" s="509" t="s">
        <v>4365</v>
      </c>
      <c r="DB4" s="509" t="s">
        <v>4366</v>
      </c>
      <c r="DC4" s="509" t="s">
        <v>4367</v>
      </c>
      <c r="DD4" s="509" t="s">
        <v>4368</v>
      </c>
      <c r="DE4" s="509" t="s">
        <v>4369</v>
      </c>
      <c r="DF4" s="509" t="s">
        <v>4370</v>
      </c>
      <c r="DG4" s="509" t="s">
        <v>4371</v>
      </c>
      <c r="DH4" s="11" t="s">
        <v>4353</v>
      </c>
      <c r="DI4" s="11" t="s">
        <v>4354</v>
      </c>
      <c r="DJ4" s="14" t="s">
        <v>4355</v>
      </c>
      <c r="DK4" s="11" t="s">
        <v>4356</v>
      </c>
      <c r="DL4" s="509" t="s">
        <v>4377</v>
      </c>
      <c r="DM4" s="509" t="s">
        <v>4378</v>
      </c>
      <c r="DN4" s="509" t="s">
        <v>4379</v>
      </c>
      <c r="DO4" s="11" t="s">
        <v>4373</v>
      </c>
      <c r="DP4" s="11" t="s">
        <v>4374</v>
      </c>
      <c r="DQ4" s="14" t="s">
        <v>4375</v>
      </c>
      <c r="DR4" s="11" t="s">
        <v>4376</v>
      </c>
      <c r="DS4" s="517" t="s">
        <v>4385</v>
      </c>
      <c r="DT4" s="517" t="s">
        <v>4386</v>
      </c>
      <c r="DU4" s="517" t="s">
        <v>4387</v>
      </c>
      <c r="DV4" s="517" t="s">
        <v>4388</v>
      </c>
      <c r="DW4" s="516" t="s">
        <v>4381</v>
      </c>
      <c r="DX4" s="11" t="s">
        <v>4382</v>
      </c>
      <c r="DY4" s="14" t="s">
        <v>4383</v>
      </c>
      <c r="DZ4" s="11" t="s">
        <v>4384</v>
      </c>
      <c r="EA4" s="514" t="s">
        <v>4399</v>
      </c>
      <c r="EB4" s="509" t="s">
        <v>4400</v>
      </c>
      <c r="EC4" s="509" t="s">
        <v>4401</v>
      </c>
      <c r="ED4" s="509" t="s">
        <v>4402</v>
      </c>
      <c r="EE4" s="509" t="s">
        <v>4403</v>
      </c>
      <c r="EF4" s="518" t="s">
        <v>4404</v>
      </c>
      <c r="EG4" s="519" t="s">
        <v>4405</v>
      </c>
      <c r="EH4" s="516" t="s">
        <v>4390</v>
      </c>
      <c r="EI4" s="11" t="s">
        <v>4391</v>
      </c>
      <c r="EJ4" s="14" t="s">
        <v>4392</v>
      </c>
      <c r="EK4" s="11" t="s">
        <v>4393</v>
      </c>
      <c r="EL4" s="509" t="s">
        <v>4406</v>
      </c>
      <c r="EM4" s="509" t="s">
        <v>4407</v>
      </c>
      <c r="EN4" s="516" t="s">
        <v>4395</v>
      </c>
      <c r="EO4" s="11" t="s">
        <v>4396</v>
      </c>
      <c r="EP4" s="14" t="s">
        <v>4397</v>
      </c>
      <c r="EQ4" s="11" t="s">
        <v>4398</v>
      </c>
      <c r="ER4" s="509" t="s">
        <v>4414</v>
      </c>
      <c r="ES4" s="509" t="s">
        <v>4415</v>
      </c>
      <c r="ET4" s="509" t="s">
        <v>4416</v>
      </c>
      <c r="EU4" s="509" t="s">
        <v>4417</v>
      </c>
      <c r="EV4" s="509" t="s">
        <v>4418</v>
      </c>
      <c r="EW4" s="509" t="s">
        <v>4419</v>
      </c>
      <c r="EX4" s="509" t="s">
        <v>4420</v>
      </c>
      <c r="EY4" s="516" t="s">
        <v>4410</v>
      </c>
      <c r="EZ4" s="11" t="s">
        <v>4411</v>
      </c>
      <c r="FA4" s="14" t="s">
        <v>4412</v>
      </c>
      <c r="FB4" s="11" t="s">
        <v>4413</v>
      </c>
      <c r="FC4" s="517" t="s">
        <v>4426</v>
      </c>
      <c r="FD4" s="517" t="s">
        <v>4427</v>
      </c>
      <c r="FE4" s="517" t="s">
        <v>4428</v>
      </c>
      <c r="FF4" s="517" t="s">
        <v>4429</v>
      </c>
      <c r="FG4" s="517" t="s">
        <v>4430</v>
      </c>
      <c r="FH4" s="517" t="s">
        <v>4431</v>
      </c>
      <c r="FI4" s="517" t="s">
        <v>4432</v>
      </c>
      <c r="FJ4" s="517" t="s">
        <v>4433</v>
      </c>
      <c r="FK4" s="516" t="s">
        <v>4422</v>
      </c>
      <c r="FL4" s="11" t="s">
        <v>4423</v>
      </c>
      <c r="FM4" s="14" t="s">
        <v>4424</v>
      </c>
      <c r="FN4" s="11" t="s">
        <v>4425</v>
      </c>
      <c r="FO4" s="517" t="s">
        <v>4453</v>
      </c>
      <c r="FP4" s="517" t="s">
        <v>4454</v>
      </c>
      <c r="FQ4" s="517" t="s">
        <v>4456</v>
      </c>
      <c r="FR4" s="517" t="s">
        <v>4455</v>
      </c>
      <c r="FS4" s="517" t="s">
        <v>4457</v>
      </c>
      <c r="FT4" s="516" t="s">
        <v>4458</v>
      </c>
      <c r="FU4" s="11" t="s">
        <v>4459</v>
      </c>
      <c r="FV4" s="14" t="s">
        <v>4460</v>
      </c>
      <c r="FW4" s="11" t="s">
        <v>4461</v>
      </c>
      <c r="FX4" s="517" t="s">
        <v>4491</v>
      </c>
      <c r="FY4" s="517" t="s">
        <v>4492</v>
      </c>
      <c r="FZ4" s="517" t="s">
        <v>4493</v>
      </c>
      <c r="GA4" s="517" t="s">
        <v>4494</v>
      </c>
      <c r="GB4" s="517" t="s">
        <v>4495</v>
      </c>
      <c r="GC4" s="517" t="s">
        <v>4496</v>
      </c>
      <c r="GD4" s="517" t="s">
        <v>4497</v>
      </c>
      <c r="GE4" s="517" t="s">
        <v>4498</v>
      </c>
      <c r="GF4" s="517" t="s">
        <v>4499</v>
      </c>
      <c r="GG4" s="517" t="s">
        <v>4500</v>
      </c>
      <c r="GH4" s="517" t="s">
        <v>4501</v>
      </c>
      <c r="GI4" s="513" t="s">
        <v>4503</v>
      </c>
      <c r="GJ4" s="513" t="s">
        <v>4504</v>
      </c>
      <c r="GK4" s="513" t="s">
        <v>4505</v>
      </c>
      <c r="GL4" s="513" t="s">
        <v>4506</v>
      </c>
      <c r="GM4" s="513" t="s">
        <v>4507</v>
      </c>
      <c r="GN4" s="513" t="s">
        <v>4508</v>
      </c>
      <c r="GO4" s="513" t="s">
        <v>4509</v>
      </c>
      <c r="GP4" s="513" t="s">
        <v>4510</v>
      </c>
      <c r="GQ4" s="513" t="s">
        <v>4511</v>
      </c>
      <c r="GR4" s="513" t="s">
        <v>4512</v>
      </c>
      <c r="GS4" s="513" t="s">
        <v>4513</v>
      </c>
      <c r="GT4" s="513" t="s">
        <v>4514</v>
      </c>
      <c r="GU4" s="513" t="s">
        <v>4515</v>
      </c>
      <c r="GV4" s="513" t="s">
        <v>4516</v>
      </c>
      <c r="GW4" s="513" t="s">
        <v>4517</v>
      </c>
      <c r="GX4" s="513" t="s">
        <v>4518</v>
      </c>
      <c r="GY4" s="513" t="s">
        <v>4519</v>
      </c>
      <c r="GZ4" s="513" t="s">
        <v>4520</v>
      </c>
      <c r="HA4" s="513" t="s">
        <v>4521</v>
      </c>
      <c r="HB4" s="513" t="s">
        <v>4522</v>
      </c>
      <c r="HC4" s="513" t="s">
        <v>4523</v>
      </c>
      <c r="HD4" s="513" t="s">
        <v>4524</v>
      </c>
      <c r="HE4" s="513" t="s">
        <v>4525</v>
      </c>
      <c r="HF4" s="513" t="s">
        <v>4526</v>
      </c>
      <c r="HG4" s="513" t="s">
        <v>4527</v>
      </c>
      <c r="HH4" s="513" t="s">
        <v>4528</v>
      </c>
      <c r="HI4" s="513" t="s">
        <v>4529</v>
      </c>
      <c r="HJ4" s="513" t="s">
        <v>4530</v>
      </c>
      <c r="HK4" s="513" t="s">
        <v>4531</v>
      </c>
      <c r="HL4" s="513" t="s">
        <v>4532</v>
      </c>
      <c r="HM4" s="513" t="s">
        <v>4533</v>
      </c>
      <c r="HN4" s="513" t="s">
        <v>4534</v>
      </c>
      <c r="HO4" s="513" t="s">
        <v>4535</v>
      </c>
      <c r="HP4" s="513" t="s">
        <v>4536</v>
      </c>
      <c r="HQ4" s="11" t="s">
        <v>4537</v>
      </c>
      <c r="HR4" s="11" t="s">
        <v>4538</v>
      </c>
      <c r="HS4" s="14" t="s">
        <v>4539</v>
      </c>
      <c r="HT4" s="11" t="s">
        <v>4540</v>
      </c>
      <c r="HU4" s="6" t="s">
        <v>8</v>
      </c>
      <c r="HV4" s="6" t="s">
        <v>9</v>
      </c>
      <c r="HW4" s="6" t="s">
        <v>10</v>
      </c>
      <c r="HX4" s="7" t="s">
        <v>11</v>
      </c>
      <c r="HY4" s="555"/>
      <c r="HZ4" s="4" t="s">
        <v>4542</v>
      </c>
      <c r="IA4" s="4" t="s">
        <v>4543</v>
      </c>
      <c r="IB4" s="4" t="s">
        <v>4544</v>
      </c>
      <c r="IC4" s="4" t="s">
        <v>4545</v>
      </c>
      <c r="ID4" s="4" t="s">
        <v>4546</v>
      </c>
      <c r="IE4" s="4" t="s">
        <v>298</v>
      </c>
      <c r="IF4" s="4" t="s">
        <v>299</v>
      </c>
      <c r="IG4" s="4" t="s">
        <v>300</v>
      </c>
      <c r="IH4" s="4" t="s">
        <v>300</v>
      </c>
      <c r="II4" s="4" t="s">
        <v>252</v>
      </c>
      <c r="IJ4" s="555"/>
      <c r="IK4" s="4" t="s">
        <v>4542</v>
      </c>
      <c r="IL4" s="4" t="s">
        <v>4543</v>
      </c>
      <c r="IM4" s="4" t="s">
        <v>4544</v>
      </c>
      <c r="IN4" s="4" t="s">
        <v>4545</v>
      </c>
      <c r="IO4" s="4" t="s">
        <v>4546</v>
      </c>
      <c r="IP4" s="4" t="s">
        <v>298</v>
      </c>
      <c r="IQ4" s="4" t="s">
        <v>299</v>
      </c>
      <c r="IR4" s="4" t="s">
        <v>300</v>
      </c>
      <c r="IS4" s="4" t="s">
        <v>300</v>
      </c>
      <c r="IT4" s="4" t="s">
        <v>252</v>
      </c>
      <c r="IU4" s="555"/>
      <c r="IV4" s="4" t="s">
        <v>4542</v>
      </c>
      <c r="IW4" s="4" t="s">
        <v>4543</v>
      </c>
      <c r="IX4" s="4" t="s">
        <v>4544</v>
      </c>
      <c r="IY4" s="4" t="s">
        <v>4545</v>
      </c>
      <c r="IZ4" s="4" t="s">
        <v>4546</v>
      </c>
      <c r="JA4" s="4" t="s">
        <v>298</v>
      </c>
      <c r="JB4" s="4" t="s">
        <v>299</v>
      </c>
      <c r="JC4" s="4" t="s">
        <v>300</v>
      </c>
      <c r="JD4" s="4" t="s">
        <v>300</v>
      </c>
      <c r="JE4" s="4" t="s">
        <v>252</v>
      </c>
      <c r="JF4" s="555"/>
      <c r="JG4" s="4" t="s">
        <v>4542</v>
      </c>
      <c r="JH4" s="4" t="s">
        <v>4543</v>
      </c>
      <c r="JI4" s="4" t="s">
        <v>4544</v>
      </c>
      <c r="JJ4" s="4" t="s">
        <v>4545</v>
      </c>
      <c r="JK4" s="4" t="s">
        <v>4546</v>
      </c>
      <c r="JL4" s="4" t="s">
        <v>298</v>
      </c>
      <c r="JM4" s="4" t="s">
        <v>299</v>
      </c>
      <c r="JN4" s="4" t="s">
        <v>300</v>
      </c>
      <c r="JO4" s="4" t="s">
        <v>300</v>
      </c>
      <c r="JP4" s="4" t="s">
        <v>252</v>
      </c>
      <c r="JQ4" s="555"/>
      <c r="JR4" s="4" t="s">
        <v>4542</v>
      </c>
      <c r="JS4" s="4" t="s">
        <v>4543</v>
      </c>
      <c r="JT4" s="4" t="s">
        <v>4544</v>
      </c>
      <c r="JU4" s="4" t="s">
        <v>4545</v>
      </c>
      <c r="JV4" s="4" t="s">
        <v>4546</v>
      </c>
      <c r="JW4" s="4" t="s">
        <v>298</v>
      </c>
      <c r="JX4" s="4" t="s">
        <v>299</v>
      </c>
      <c r="JY4" s="4" t="s">
        <v>300</v>
      </c>
      <c r="JZ4" s="4" t="s">
        <v>300</v>
      </c>
      <c r="KA4" s="4" t="s">
        <v>252</v>
      </c>
      <c r="KB4" s="555"/>
      <c r="KC4" s="4" t="s">
        <v>4542</v>
      </c>
      <c r="KD4" s="4" t="s">
        <v>4543</v>
      </c>
      <c r="KE4" s="4" t="s">
        <v>4544</v>
      </c>
      <c r="KF4" s="4" t="s">
        <v>4545</v>
      </c>
      <c r="KG4" s="4" t="s">
        <v>4546</v>
      </c>
      <c r="KH4" s="4" t="s">
        <v>298</v>
      </c>
      <c r="KI4" s="4" t="s">
        <v>299</v>
      </c>
      <c r="KJ4" s="4" t="s">
        <v>300</v>
      </c>
      <c r="KK4" s="4" t="s">
        <v>300</v>
      </c>
      <c r="KL4" s="4" t="s">
        <v>252</v>
      </c>
      <c r="KM4" s="555"/>
      <c r="KN4" s="4" t="s">
        <v>4542</v>
      </c>
      <c r="KO4" s="4" t="s">
        <v>4543</v>
      </c>
      <c r="KP4" s="4" t="s">
        <v>4544</v>
      </c>
      <c r="KQ4" s="4" t="s">
        <v>4545</v>
      </c>
      <c r="KR4" s="4" t="s">
        <v>4546</v>
      </c>
      <c r="KS4" s="4" t="s">
        <v>298</v>
      </c>
      <c r="KT4" s="4" t="s">
        <v>299</v>
      </c>
      <c r="KU4" s="4" t="s">
        <v>300</v>
      </c>
      <c r="KV4" s="4" t="s">
        <v>300</v>
      </c>
      <c r="KW4" s="4" t="s">
        <v>252</v>
      </c>
      <c r="KX4" s="555"/>
      <c r="KY4" s="4" t="s">
        <v>4542</v>
      </c>
      <c r="KZ4" s="4" t="s">
        <v>4543</v>
      </c>
      <c r="LA4" s="4" t="s">
        <v>4544</v>
      </c>
      <c r="LB4" s="4" t="s">
        <v>4545</v>
      </c>
      <c r="LC4" s="4" t="s">
        <v>4546</v>
      </c>
      <c r="LD4" s="4" t="s">
        <v>298</v>
      </c>
      <c r="LE4" s="4" t="s">
        <v>299</v>
      </c>
      <c r="LF4" s="4" t="s">
        <v>300</v>
      </c>
      <c r="LG4" s="4" t="s">
        <v>300</v>
      </c>
      <c r="LH4" s="4" t="s">
        <v>252</v>
      </c>
      <c r="LI4" s="555"/>
      <c r="LJ4" s="4" t="s">
        <v>4542</v>
      </c>
      <c r="LK4" s="4" t="s">
        <v>4543</v>
      </c>
      <c r="LL4" s="4" t="s">
        <v>4544</v>
      </c>
      <c r="LM4" s="4" t="s">
        <v>4545</v>
      </c>
      <c r="LN4" s="4" t="s">
        <v>4546</v>
      </c>
      <c r="LO4" s="4" t="s">
        <v>298</v>
      </c>
      <c r="LP4" s="4" t="s">
        <v>299</v>
      </c>
      <c r="LQ4" s="4" t="s">
        <v>300</v>
      </c>
      <c r="LR4" s="4" t="s">
        <v>300</v>
      </c>
      <c r="LS4" s="4" t="s">
        <v>252</v>
      </c>
      <c r="LT4" s="555"/>
      <c r="LU4" s="4" t="s">
        <v>4542</v>
      </c>
      <c r="LV4" s="4" t="s">
        <v>4543</v>
      </c>
      <c r="LW4" s="4" t="s">
        <v>4544</v>
      </c>
      <c r="LX4" s="4" t="s">
        <v>4545</v>
      </c>
      <c r="LY4" s="4" t="s">
        <v>4546</v>
      </c>
      <c r="LZ4" s="4" t="s">
        <v>298</v>
      </c>
      <c r="MA4" s="4" t="s">
        <v>299</v>
      </c>
      <c r="MB4" s="4" t="s">
        <v>300</v>
      </c>
      <c r="MC4" s="4" t="s">
        <v>300</v>
      </c>
      <c r="MD4" s="4" t="s">
        <v>252</v>
      </c>
      <c r="ME4" s="555"/>
      <c r="MF4" s="4" t="s">
        <v>4542</v>
      </c>
      <c r="MG4" s="4" t="s">
        <v>4543</v>
      </c>
      <c r="MH4" s="4" t="s">
        <v>4544</v>
      </c>
      <c r="MI4" s="4" t="s">
        <v>4545</v>
      </c>
      <c r="MJ4" s="4" t="s">
        <v>4546</v>
      </c>
      <c r="MK4" s="4" t="s">
        <v>298</v>
      </c>
      <c r="ML4" s="4" t="s">
        <v>299</v>
      </c>
      <c r="MM4" s="4" t="s">
        <v>300</v>
      </c>
      <c r="MN4" s="4" t="s">
        <v>300</v>
      </c>
      <c r="MO4" s="4" t="s">
        <v>252</v>
      </c>
      <c r="MP4" s="555"/>
      <c r="MQ4" s="4" t="s">
        <v>4542</v>
      </c>
      <c r="MR4" s="4" t="s">
        <v>4543</v>
      </c>
      <c r="MS4" s="4" t="s">
        <v>4544</v>
      </c>
      <c r="MT4" s="4" t="s">
        <v>4545</v>
      </c>
      <c r="MU4" s="4" t="s">
        <v>4546</v>
      </c>
      <c r="MV4" s="4" t="s">
        <v>298</v>
      </c>
      <c r="MW4" s="4" t="s">
        <v>299</v>
      </c>
      <c r="MX4" s="4" t="s">
        <v>300</v>
      </c>
      <c r="MY4" s="4" t="s">
        <v>300</v>
      </c>
      <c r="MZ4" s="4" t="s">
        <v>252</v>
      </c>
      <c r="NA4" s="538"/>
      <c r="NB4" s="540"/>
      <c r="NC4" s="540"/>
      <c r="ND4" s="551"/>
      <c r="NE4" s="540"/>
      <c r="NF4" s="540"/>
      <c r="NG4" s="17" t="s">
        <v>320</v>
      </c>
      <c r="NH4" s="17" t="s">
        <v>4005</v>
      </c>
      <c r="NI4" s="17" t="s">
        <v>321</v>
      </c>
      <c r="NJ4" s="17" t="s">
        <v>322</v>
      </c>
      <c r="NK4" s="15" t="s">
        <v>300</v>
      </c>
      <c r="NL4" s="4" t="s">
        <v>4068</v>
      </c>
      <c r="NM4" s="538"/>
      <c r="NN4" s="540"/>
      <c r="NO4" s="540"/>
      <c r="NP4" s="540"/>
      <c r="NQ4" s="540"/>
      <c r="NR4" s="540"/>
      <c r="NS4" s="17" t="s">
        <v>320</v>
      </c>
      <c r="NT4" s="17" t="s">
        <v>4005</v>
      </c>
      <c r="NU4" s="17" t="s">
        <v>321</v>
      </c>
      <c r="NV4" s="17" t="s">
        <v>322</v>
      </c>
      <c r="NW4" s="15" t="s">
        <v>300</v>
      </c>
      <c r="NX4" s="4" t="s">
        <v>4068</v>
      </c>
      <c r="NY4" s="538"/>
      <c r="NZ4" s="540"/>
      <c r="OA4" s="540"/>
      <c r="OB4" s="540"/>
      <c r="OC4" s="540"/>
      <c r="OD4" s="540"/>
      <c r="OE4" s="17" t="s">
        <v>320</v>
      </c>
      <c r="OF4" s="17" t="s">
        <v>4005</v>
      </c>
      <c r="OG4" s="17" t="s">
        <v>321</v>
      </c>
      <c r="OH4" s="17" t="s">
        <v>322</v>
      </c>
      <c r="OI4" s="15" t="s">
        <v>300</v>
      </c>
      <c r="OJ4" s="4" t="s">
        <v>4068</v>
      </c>
      <c r="OK4" s="538"/>
      <c r="OL4" s="540"/>
      <c r="OM4" s="540"/>
      <c r="ON4" s="540"/>
      <c r="OO4" s="540"/>
      <c r="OP4" s="540"/>
      <c r="OQ4" s="17" t="s">
        <v>320</v>
      </c>
      <c r="OR4" s="17" t="s">
        <v>4005</v>
      </c>
      <c r="OS4" s="17" t="s">
        <v>321</v>
      </c>
      <c r="OT4" s="17" t="s">
        <v>322</v>
      </c>
      <c r="OU4" s="15" t="s">
        <v>300</v>
      </c>
      <c r="OV4" s="4" t="s">
        <v>4068</v>
      </c>
      <c r="OW4" s="538"/>
      <c r="OX4" s="540"/>
      <c r="OY4" s="540"/>
      <c r="OZ4" s="540"/>
      <c r="PA4" s="540"/>
      <c r="PB4" s="540"/>
      <c r="PC4" s="17" t="s">
        <v>320</v>
      </c>
      <c r="PD4" s="17" t="s">
        <v>4005</v>
      </c>
      <c r="PE4" s="17" t="s">
        <v>321</v>
      </c>
      <c r="PF4" s="17" t="s">
        <v>322</v>
      </c>
      <c r="PG4" s="15" t="s">
        <v>300</v>
      </c>
      <c r="PH4" s="4" t="s">
        <v>4068</v>
      </c>
      <c r="PI4" s="538"/>
      <c r="PJ4" s="540"/>
      <c r="PK4" s="540"/>
      <c r="PL4" s="540"/>
      <c r="PM4" s="540"/>
      <c r="PN4" s="540"/>
      <c r="PO4" s="17" t="s">
        <v>320</v>
      </c>
      <c r="PP4" s="17" t="s">
        <v>4005</v>
      </c>
      <c r="PQ4" s="17" t="s">
        <v>321</v>
      </c>
      <c r="PR4" s="17" t="s">
        <v>322</v>
      </c>
      <c r="PS4" s="15" t="s">
        <v>300</v>
      </c>
      <c r="PT4" s="4" t="s">
        <v>4068</v>
      </c>
      <c r="PU4" s="538"/>
      <c r="PV4" s="540"/>
      <c r="PW4" s="540"/>
      <c r="PX4" s="540"/>
      <c r="PY4" s="540"/>
      <c r="PZ4" s="540"/>
      <c r="QA4" s="17" t="s">
        <v>320</v>
      </c>
      <c r="QB4" s="17" t="s">
        <v>4005</v>
      </c>
      <c r="QC4" s="17" t="s">
        <v>321</v>
      </c>
      <c r="QD4" s="17" t="s">
        <v>322</v>
      </c>
      <c r="QE4" s="15" t="s">
        <v>300</v>
      </c>
      <c r="QF4" s="4" t="s">
        <v>4068</v>
      </c>
      <c r="QG4" s="538"/>
      <c r="QH4" s="540"/>
      <c r="QI4" s="540"/>
      <c r="QJ4" s="540"/>
      <c r="QK4" s="540"/>
      <c r="QL4" s="540"/>
      <c r="QM4" s="17" t="s">
        <v>320</v>
      </c>
      <c r="QN4" s="17" t="s">
        <v>4005</v>
      </c>
      <c r="QO4" s="17" t="s">
        <v>321</v>
      </c>
      <c r="QP4" s="17" t="s">
        <v>322</v>
      </c>
      <c r="QQ4" s="15" t="s">
        <v>300</v>
      </c>
      <c r="QR4" s="4" t="s">
        <v>4068</v>
      </c>
      <c r="QS4" s="538"/>
      <c r="QT4" s="540"/>
      <c r="QU4" s="540"/>
      <c r="QV4" s="540"/>
      <c r="QW4" s="540"/>
      <c r="QX4" s="540"/>
      <c r="QY4" s="17" t="s">
        <v>320</v>
      </c>
      <c r="QZ4" s="17" t="s">
        <v>4005</v>
      </c>
      <c r="RA4" s="17" t="s">
        <v>321</v>
      </c>
      <c r="RB4" s="17" t="s">
        <v>322</v>
      </c>
      <c r="RC4" s="15" t="s">
        <v>300</v>
      </c>
      <c r="RD4" s="4" t="s">
        <v>4068</v>
      </c>
      <c r="RE4" s="538"/>
      <c r="RF4" s="540"/>
      <c r="RG4" s="540"/>
      <c r="RH4" s="540"/>
      <c r="RI4" s="540"/>
      <c r="RJ4" s="540"/>
      <c r="RK4" s="17" t="s">
        <v>320</v>
      </c>
      <c r="RL4" s="17" t="s">
        <v>4005</v>
      </c>
      <c r="RM4" s="17" t="s">
        <v>321</v>
      </c>
      <c r="RN4" s="17" t="s">
        <v>322</v>
      </c>
      <c r="RO4" s="15" t="s">
        <v>300</v>
      </c>
      <c r="RP4" s="4" t="s">
        <v>4068</v>
      </c>
      <c r="RQ4" s="545"/>
      <c r="RR4" s="540"/>
      <c r="RS4" s="540"/>
      <c r="RT4" s="551"/>
      <c r="RU4" s="540"/>
      <c r="RV4" s="540"/>
      <c r="RW4" s="17" t="s">
        <v>320</v>
      </c>
      <c r="RX4" s="17" t="s">
        <v>4005</v>
      </c>
      <c r="RY4" s="17" t="s">
        <v>322</v>
      </c>
      <c r="RZ4" s="15" t="s">
        <v>3097</v>
      </c>
      <c r="SA4" s="15" t="s">
        <v>3097</v>
      </c>
      <c r="SB4" s="15" t="s">
        <v>3097</v>
      </c>
      <c r="SC4" s="545"/>
      <c r="SD4" s="540"/>
      <c r="SE4" s="540"/>
      <c r="SF4" s="540"/>
      <c r="SG4" s="540"/>
      <c r="SH4" s="540"/>
      <c r="SI4" s="17" t="s">
        <v>320</v>
      </c>
      <c r="SJ4" s="17" t="s">
        <v>4005</v>
      </c>
      <c r="SK4" s="17" t="s">
        <v>322</v>
      </c>
      <c r="SL4" s="15" t="s">
        <v>3097</v>
      </c>
      <c r="SM4" s="15" t="s">
        <v>3097</v>
      </c>
      <c r="SN4" s="15" t="s">
        <v>3097</v>
      </c>
      <c r="SO4" s="545"/>
      <c r="SP4" s="540"/>
      <c r="SQ4" s="540"/>
      <c r="SR4" s="540"/>
      <c r="SS4" s="540"/>
      <c r="ST4" s="540"/>
      <c r="SU4" s="17" t="s">
        <v>320</v>
      </c>
      <c r="SV4" s="17" t="s">
        <v>4005</v>
      </c>
      <c r="SW4" s="17" t="s">
        <v>322</v>
      </c>
      <c r="SX4" s="15" t="s">
        <v>3097</v>
      </c>
      <c r="SY4" s="15" t="s">
        <v>3097</v>
      </c>
      <c r="SZ4" s="15" t="s">
        <v>3097</v>
      </c>
      <c r="TA4" s="545"/>
      <c r="TB4" s="540"/>
      <c r="TC4" s="540"/>
      <c r="TD4" s="540"/>
      <c r="TE4" s="540"/>
      <c r="TF4" s="540"/>
      <c r="TG4" s="17" t="s">
        <v>320</v>
      </c>
      <c r="TH4" s="17" t="s">
        <v>4005</v>
      </c>
      <c r="TI4" s="17" t="s">
        <v>322</v>
      </c>
      <c r="TJ4" s="15" t="s">
        <v>3097</v>
      </c>
      <c r="TK4" s="15" t="s">
        <v>3097</v>
      </c>
      <c r="TL4" s="15" t="s">
        <v>3097</v>
      </c>
      <c r="TM4" s="545"/>
      <c r="TN4" s="540"/>
      <c r="TO4" s="540"/>
      <c r="TP4" s="540"/>
      <c r="TQ4" s="540"/>
      <c r="TR4" s="540"/>
      <c r="TS4" s="17" t="s">
        <v>320</v>
      </c>
      <c r="TT4" s="17" t="s">
        <v>4005</v>
      </c>
      <c r="TU4" s="17" t="s">
        <v>322</v>
      </c>
      <c r="TV4" s="15" t="s">
        <v>3097</v>
      </c>
      <c r="TW4" s="15" t="s">
        <v>3097</v>
      </c>
      <c r="TX4" s="15" t="s">
        <v>3097</v>
      </c>
      <c r="TY4" s="545"/>
      <c r="TZ4" s="540"/>
      <c r="UA4" s="540"/>
      <c r="UB4" s="540"/>
      <c r="UC4" s="540"/>
      <c r="UD4" s="540"/>
      <c r="UE4" s="17" t="s">
        <v>320</v>
      </c>
      <c r="UF4" s="17" t="s">
        <v>4005</v>
      </c>
      <c r="UG4" s="17" t="s">
        <v>322</v>
      </c>
      <c r="UH4" s="15" t="s">
        <v>3097</v>
      </c>
      <c r="UI4" s="15" t="s">
        <v>3097</v>
      </c>
      <c r="UJ4" s="15" t="s">
        <v>3097</v>
      </c>
      <c r="UK4" s="545"/>
      <c r="UL4" s="540"/>
      <c r="UM4" s="540"/>
      <c r="UN4" s="540"/>
      <c r="UO4" s="540"/>
      <c r="UP4" s="540"/>
      <c r="UQ4" s="17" t="s">
        <v>320</v>
      </c>
      <c r="UR4" s="17" t="s">
        <v>4005</v>
      </c>
      <c r="US4" s="17" t="s">
        <v>322</v>
      </c>
      <c r="UT4" s="15" t="s">
        <v>3097</v>
      </c>
      <c r="UU4" s="15" t="s">
        <v>3097</v>
      </c>
      <c r="UV4" s="15" t="s">
        <v>3097</v>
      </c>
      <c r="UW4" s="545"/>
      <c r="UX4" s="540"/>
      <c r="UY4" s="540"/>
      <c r="UZ4" s="540"/>
      <c r="VA4" s="540"/>
      <c r="VB4" s="540"/>
      <c r="VC4" s="17" t="s">
        <v>320</v>
      </c>
      <c r="VD4" s="17" t="s">
        <v>4005</v>
      </c>
      <c r="VE4" s="17" t="s">
        <v>322</v>
      </c>
      <c r="VF4" s="15" t="s">
        <v>3097</v>
      </c>
      <c r="VG4" s="15" t="s">
        <v>3097</v>
      </c>
      <c r="VH4" s="15" t="s">
        <v>3097</v>
      </c>
      <c r="VI4" s="545"/>
      <c r="VJ4" s="540"/>
      <c r="VK4" s="540"/>
      <c r="VL4" s="540"/>
      <c r="VM4" s="540"/>
      <c r="VN4" s="540"/>
      <c r="VO4" s="17" t="s">
        <v>320</v>
      </c>
      <c r="VP4" s="17" t="s">
        <v>4005</v>
      </c>
      <c r="VQ4" s="17" t="s">
        <v>322</v>
      </c>
      <c r="VR4" s="15" t="s">
        <v>3097</v>
      </c>
      <c r="VS4" s="15" t="s">
        <v>3097</v>
      </c>
      <c r="VT4" s="15" t="s">
        <v>3097</v>
      </c>
      <c r="VU4" s="545"/>
      <c r="VV4" s="540"/>
      <c r="VW4" s="540"/>
      <c r="VX4" s="540"/>
      <c r="VY4" s="540"/>
      <c r="VZ4" s="540"/>
      <c r="WA4" s="17" t="s">
        <v>320</v>
      </c>
      <c r="WB4" s="17" t="s">
        <v>4005</v>
      </c>
      <c r="WC4" s="17" t="s">
        <v>322</v>
      </c>
      <c r="WD4" s="15" t="s">
        <v>3097</v>
      </c>
      <c r="WE4" s="15" t="s">
        <v>3097</v>
      </c>
      <c r="WF4" s="15" t="s">
        <v>3097</v>
      </c>
      <c r="WG4" s="538"/>
      <c r="WH4" s="540"/>
      <c r="WI4" s="540"/>
      <c r="WJ4" s="540"/>
      <c r="WK4" s="540"/>
      <c r="WL4" s="540"/>
      <c r="WM4" s="17" t="s">
        <v>320</v>
      </c>
      <c r="WN4" s="17" t="s">
        <v>4005</v>
      </c>
      <c r="WO4" s="17" t="s">
        <v>322</v>
      </c>
      <c r="WP4" s="15" t="s">
        <v>3097</v>
      </c>
      <c r="WQ4" s="15" t="s">
        <v>3097</v>
      </c>
      <c r="WR4" s="15" t="s">
        <v>3097</v>
      </c>
      <c r="WS4" s="538"/>
      <c r="WT4" s="540"/>
      <c r="WU4" s="540"/>
      <c r="WV4" s="540"/>
      <c r="WW4" s="540"/>
      <c r="WX4" s="540"/>
      <c r="WY4" s="17" t="s">
        <v>320</v>
      </c>
      <c r="WZ4" s="17" t="s">
        <v>4005</v>
      </c>
      <c r="XA4" s="17" t="s">
        <v>322</v>
      </c>
      <c r="XB4" s="15" t="s">
        <v>3097</v>
      </c>
      <c r="XC4" s="15" t="s">
        <v>3097</v>
      </c>
      <c r="XD4" s="15" t="s">
        <v>3097</v>
      </c>
      <c r="XE4" s="538"/>
      <c r="XF4" s="540"/>
      <c r="XG4" s="540"/>
      <c r="XH4" s="540"/>
      <c r="XI4" s="540"/>
      <c r="XJ4" s="540"/>
      <c r="XK4" s="17" t="s">
        <v>320</v>
      </c>
      <c r="XL4" s="17" t="s">
        <v>4005</v>
      </c>
      <c r="XM4" s="17" t="s">
        <v>322</v>
      </c>
      <c r="XN4" s="15" t="s">
        <v>3097</v>
      </c>
      <c r="XO4" s="15" t="s">
        <v>3097</v>
      </c>
      <c r="XP4" s="15" t="s">
        <v>3097</v>
      </c>
      <c r="XQ4" s="538"/>
      <c r="XR4" s="540"/>
      <c r="XS4" s="540"/>
      <c r="XT4" s="540"/>
      <c r="XU4" s="540"/>
      <c r="XV4" s="540"/>
      <c r="XW4" s="17" t="s">
        <v>320</v>
      </c>
      <c r="XX4" s="17" t="s">
        <v>4005</v>
      </c>
      <c r="XY4" s="17" t="s">
        <v>322</v>
      </c>
      <c r="XZ4" s="15" t="s">
        <v>3097</v>
      </c>
      <c r="YA4" s="15" t="s">
        <v>3097</v>
      </c>
      <c r="YB4" s="15" t="s">
        <v>3097</v>
      </c>
      <c r="YC4" s="538"/>
      <c r="YD4" s="540"/>
      <c r="YE4" s="540"/>
      <c r="YF4" s="540"/>
      <c r="YG4" s="540"/>
      <c r="YH4" s="540"/>
      <c r="YI4" s="17" t="s">
        <v>320</v>
      </c>
      <c r="YJ4" s="17" t="s">
        <v>4005</v>
      </c>
      <c r="YK4" s="17" t="s">
        <v>322</v>
      </c>
      <c r="YL4" s="15" t="s">
        <v>3097</v>
      </c>
      <c r="YM4" s="15" t="s">
        <v>3097</v>
      </c>
      <c r="YN4" s="15" t="s">
        <v>3097</v>
      </c>
      <c r="YO4" s="538"/>
      <c r="YP4" s="540"/>
      <c r="YQ4" s="540"/>
      <c r="YR4" s="540"/>
      <c r="YS4" s="540"/>
      <c r="YT4" s="540"/>
      <c r="YU4" s="17" t="s">
        <v>320</v>
      </c>
      <c r="YV4" s="17" t="s">
        <v>4005</v>
      </c>
      <c r="YW4" s="17" t="s">
        <v>322</v>
      </c>
      <c r="YX4" s="15" t="s">
        <v>3097</v>
      </c>
      <c r="YY4" s="15" t="s">
        <v>3097</v>
      </c>
      <c r="YZ4" s="15" t="s">
        <v>3097</v>
      </c>
      <c r="ZA4" s="538"/>
      <c r="ZB4" s="540"/>
      <c r="ZC4" s="540"/>
      <c r="ZD4" s="540"/>
      <c r="ZE4" s="540"/>
      <c r="ZF4" s="540"/>
      <c r="ZG4" s="17" t="s">
        <v>320</v>
      </c>
      <c r="ZH4" s="17" t="s">
        <v>4005</v>
      </c>
      <c r="ZI4" s="17" t="s">
        <v>322</v>
      </c>
      <c r="ZJ4" s="15" t="s">
        <v>3097</v>
      </c>
      <c r="ZK4" s="15" t="s">
        <v>3097</v>
      </c>
      <c r="ZL4" s="15" t="s">
        <v>3097</v>
      </c>
      <c r="ZM4" s="538"/>
      <c r="ZN4" s="540"/>
      <c r="ZO4" s="540"/>
      <c r="ZP4" s="540"/>
      <c r="ZQ4" s="540"/>
      <c r="ZR4" s="540"/>
      <c r="ZS4" s="17" t="s">
        <v>320</v>
      </c>
      <c r="ZT4" s="17" t="s">
        <v>4005</v>
      </c>
      <c r="ZU4" s="17" t="s">
        <v>322</v>
      </c>
      <c r="ZV4" s="15" t="s">
        <v>3097</v>
      </c>
      <c r="ZW4" s="15" t="s">
        <v>3097</v>
      </c>
      <c r="ZX4" s="15" t="s">
        <v>3097</v>
      </c>
      <c r="ZY4" s="2" t="s">
        <v>4541</v>
      </c>
      <c r="ZZ4" s="2" t="s">
        <v>4069</v>
      </c>
      <c r="AAA4" s="2" t="s">
        <v>4077</v>
      </c>
      <c r="AAB4" s="2" t="s">
        <v>4078</v>
      </c>
      <c r="AAC4" s="2" t="s">
        <v>4079</v>
      </c>
    </row>
    <row r="5" spans="1:705" s="23" customFormat="1" ht="28.5" customHeight="1">
      <c r="A5" s="8" t="s">
        <v>4197</v>
      </c>
      <c r="B5" s="8" t="s">
        <v>17</v>
      </c>
      <c r="C5" s="8" t="s">
        <v>18</v>
      </c>
      <c r="D5" s="8" t="s">
        <v>19</v>
      </c>
      <c r="E5" s="8" t="s">
        <v>20</v>
      </c>
      <c r="F5" s="8" t="s">
        <v>21</v>
      </c>
      <c r="G5" s="8" t="s">
        <v>22</v>
      </c>
      <c r="H5" s="8" t="s">
        <v>23</v>
      </c>
      <c r="I5" s="8" t="s">
        <v>24</v>
      </c>
      <c r="J5" s="8" t="s">
        <v>25</v>
      </c>
      <c r="K5" s="8" t="s">
        <v>2906</v>
      </c>
      <c r="L5" s="8" t="s">
        <v>26</v>
      </c>
      <c r="M5" s="8" t="s">
        <v>27</v>
      </c>
      <c r="N5" s="8" t="s">
        <v>28</v>
      </c>
      <c r="O5" s="8" t="s">
        <v>29</v>
      </c>
      <c r="P5" s="8" t="s">
        <v>30</v>
      </c>
      <c r="Q5" s="8" t="s">
        <v>31</v>
      </c>
      <c r="R5" s="8" t="s">
        <v>32</v>
      </c>
      <c r="S5" s="8" t="s">
        <v>33</v>
      </c>
      <c r="T5" s="8" t="s">
        <v>34</v>
      </c>
      <c r="U5" s="8" t="s">
        <v>35</v>
      </c>
      <c r="V5" s="8" t="s">
        <v>36</v>
      </c>
      <c r="W5" s="8" t="s">
        <v>37</v>
      </c>
      <c r="X5" s="8" t="s">
        <v>38</v>
      </c>
      <c r="Y5" s="8" t="s">
        <v>39</v>
      </c>
      <c r="Z5" s="8" t="s">
        <v>40</v>
      </c>
      <c r="AA5" s="8" t="s">
        <v>41</v>
      </c>
      <c r="AB5" s="8" t="s">
        <v>42</v>
      </c>
      <c r="AC5" s="8" t="s">
        <v>43</v>
      </c>
      <c r="AD5" s="8" t="s">
        <v>44</v>
      </c>
      <c r="AE5" s="8" t="s">
        <v>45</v>
      </c>
      <c r="AF5" s="8" t="s">
        <v>46</v>
      </c>
      <c r="AG5" s="8" t="s">
        <v>47</v>
      </c>
      <c r="AH5" s="8" t="s">
        <v>48</v>
      </c>
      <c r="AI5" s="8" t="s">
        <v>49</v>
      </c>
      <c r="AJ5" s="8" t="s">
        <v>50</v>
      </c>
      <c r="AK5" s="8" t="s">
        <v>51</v>
      </c>
      <c r="AL5" s="8" t="s">
        <v>52</v>
      </c>
      <c r="AM5" s="8" t="s">
        <v>53</v>
      </c>
      <c r="AN5" s="8" t="s">
        <v>54</v>
      </c>
      <c r="AO5" s="8" t="s">
        <v>55</v>
      </c>
      <c r="AP5" s="8" t="s">
        <v>56</v>
      </c>
      <c r="AQ5" s="8" t="s">
        <v>57</v>
      </c>
      <c r="AR5" s="8" t="s">
        <v>58</v>
      </c>
      <c r="AS5" s="8" t="s">
        <v>59</v>
      </c>
      <c r="AT5" s="8" t="s">
        <v>60</v>
      </c>
      <c r="AU5" s="8" t="s">
        <v>61</v>
      </c>
      <c r="AV5" s="8" t="s">
        <v>62</v>
      </c>
      <c r="AW5" s="8" t="s">
        <v>63</v>
      </c>
      <c r="AX5" s="8" t="s">
        <v>64</v>
      </c>
      <c r="AY5" s="8" t="s">
        <v>65</v>
      </c>
      <c r="AZ5" s="8" t="s">
        <v>66</v>
      </c>
      <c r="BA5" s="8" t="s">
        <v>67</v>
      </c>
      <c r="BB5" s="8" t="s">
        <v>68</v>
      </c>
      <c r="BC5" s="8" t="s">
        <v>69</v>
      </c>
      <c r="BD5" s="8" t="s">
        <v>70</v>
      </c>
      <c r="BE5" s="8" t="s">
        <v>71</v>
      </c>
      <c r="BF5" s="8" t="s">
        <v>72</v>
      </c>
      <c r="BG5" s="8" t="s">
        <v>2932</v>
      </c>
      <c r="BH5" s="8" t="s">
        <v>73</v>
      </c>
      <c r="BI5" s="8" t="s">
        <v>2933</v>
      </c>
      <c r="BJ5" s="8" t="s">
        <v>74</v>
      </c>
      <c r="BK5" s="8" t="s">
        <v>75</v>
      </c>
      <c r="BL5" s="8" t="s">
        <v>76</v>
      </c>
      <c r="BM5" s="8" t="s">
        <v>77</v>
      </c>
      <c r="BN5" s="8" t="s">
        <v>78</v>
      </c>
      <c r="BO5" s="8" t="s">
        <v>79</v>
      </c>
      <c r="BP5" s="8" t="s">
        <v>80</v>
      </c>
      <c r="BQ5" s="8" t="s">
        <v>81</v>
      </c>
      <c r="BR5" s="8" t="s">
        <v>82</v>
      </c>
      <c r="BS5" s="8" t="s">
        <v>83</v>
      </c>
      <c r="BT5" s="8" t="s">
        <v>84</v>
      </c>
      <c r="BU5" s="8" t="s">
        <v>85</v>
      </c>
      <c r="BV5" s="8" t="s">
        <v>86</v>
      </c>
      <c r="BW5" s="8" t="s">
        <v>87</v>
      </c>
      <c r="BX5" s="8" t="s">
        <v>88</v>
      </c>
      <c r="BY5" s="8" t="s">
        <v>89</v>
      </c>
      <c r="BZ5" s="8" t="s">
        <v>90</v>
      </c>
      <c r="CA5" s="8" t="s">
        <v>91</v>
      </c>
      <c r="CB5" s="8" t="s">
        <v>92</v>
      </c>
      <c r="CC5" s="8" t="s">
        <v>93</v>
      </c>
      <c r="CD5" s="8" t="s">
        <v>94</v>
      </c>
      <c r="CE5" s="8" t="s">
        <v>95</v>
      </c>
      <c r="CF5" s="8" t="s">
        <v>96</v>
      </c>
      <c r="CG5" s="8" t="s">
        <v>97</v>
      </c>
      <c r="CH5" s="8" t="s">
        <v>98</v>
      </c>
      <c r="CI5" s="8" t="s">
        <v>99</v>
      </c>
      <c r="CJ5" s="8" t="s">
        <v>100</v>
      </c>
      <c r="CK5" s="8" t="s">
        <v>101</v>
      </c>
      <c r="CL5" s="8" t="s">
        <v>102</v>
      </c>
      <c r="CM5" s="8" t="s">
        <v>103</v>
      </c>
      <c r="CN5" s="8" t="s">
        <v>104</v>
      </c>
      <c r="CO5" s="8" t="s">
        <v>105</v>
      </c>
      <c r="CP5" s="8" t="s">
        <v>106</v>
      </c>
      <c r="CQ5" s="8" t="s">
        <v>107</v>
      </c>
      <c r="CR5" s="8" t="s">
        <v>108</v>
      </c>
      <c r="CS5" s="8" t="s">
        <v>109</v>
      </c>
      <c r="CT5" s="8" t="s">
        <v>110</v>
      </c>
      <c r="CU5" s="8" t="s">
        <v>111</v>
      </c>
      <c r="CV5" s="8" t="s">
        <v>112</v>
      </c>
      <c r="CW5" s="8" t="s">
        <v>113</v>
      </c>
      <c r="CX5" s="8" t="s">
        <v>114</v>
      </c>
      <c r="CY5" s="8" t="s">
        <v>115</v>
      </c>
      <c r="CZ5" s="8" t="s">
        <v>116</v>
      </c>
      <c r="DA5" s="8" t="s">
        <v>117</v>
      </c>
      <c r="DB5" s="8" t="s">
        <v>118</v>
      </c>
      <c r="DC5" s="8" t="s">
        <v>119</v>
      </c>
      <c r="DD5" s="8" t="s">
        <v>120</v>
      </c>
      <c r="DE5" s="8" t="s">
        <v>121</v>
      </c>
      <c r="DF5" s="8" t="s">
        <v>122</v>
      </c>
      <c r="DG5" s="8" t="s">
        <v>123</v>
      </c>
      <c r="DH5" s="8" t="s">
        <v>124</v>
      </c>
      <c r="DI5" s="8" t="s">
        <v>125</v>
      </c>
      <c r="DJ5" s="8" t="s">
        <v>126</v>
      </c>
      <c r="DK5" s="8" t="s">
        <v>127</v>
      </c>
      <c r="DL5" s="8" t="s">
        <v>128</v>
      </c>
      <c r="DM5" s="8" t="s">
        <v>129</v>
      </c>
      <c r="DN5" s="8" t="s">
        <v>130</v>
      </c>
      <c r="DO5" s="8" t="s">
        <v>131</v>
      </c>
      <c r="DP5" s="8" t="s">
        <v>132</v>
      </c>
      <c r="DQ5" s="8" t="s">
        <v>133</v>
      </c>
      <c r="DR5" s="8" t="s">
        <v>134</v>
      </c>
      <c r="DS5" s="8" t="s">
        <v>135</v>
      </c>
      <c r="DT5" s="8" t="s">
        <v>136</v>
      </c>
      <c r="DU5" s="8" t="s">
        <v>137</v>
      </c>
      <c r="DV5" s="8" t="s">
        <v>138</v>
      </c>
      <c r="DW5" s="8" t="s">
        <v>139</v>
      </c>
      <c r="DX5" s="8" t="s">
        <v>140</v>
      </c>
      <c r="DY5" s="8"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c r="FE5" s="8" t="s">
        <v>173</v>
      </c>
      <c r="FF5" s="8" t="s">
        <v>174</v>
      </c>
      <c r="FG5" s="8" t="s">
        <v>175</v>
      </c>
      <c r="FH5" s="8" t="s">
        <v>176</v>
      </c>
      <c r="FI5" s="8" t="s">
        <v>177</v>
      </c>
      <c r="FJ5" s="8" t="s">
        <v>178</v>
      </c>
      <c r="FK5" s="8" t="s">
        <v>179</v>
      </c>
      <c r="FL5" s="8" t="s">
        <v>180</v>
      </c>
      <c r="FM5" s="8" t="s">
        <v>181</v>
      </c>
      <c r="FN5" s="8" t="s">
        <v>182</v>
      </c>
      <c r="FO5" s="8" t="s">
        <v>183</v>
      </c>
      <c r="FP5" s="8" t="s">
        <v>184</v>
      </c>
      <c r="FQ5" s="8" t="s">
        <v>2973</v>
      </c>
      <c r="FR5" s="8" t="s">
        <v>185</v>
      </c>
      <c r="FS5" s="8" t="s">
        <v>2974</v>
      </c>
      <c r="FT5" s="8" t="s">
        <v>186</v>
      </c>
      <c r="FU5" s="8" t="s">
        <v>2975</v>
      </c>
      <c r="FV5" s="8" t="s">
        <v>187</v>
      </c>
      <c r="FW5" s="8" t="s">
        <v>2976</v>
      </c>
      <c r="FX5" s="8" t="s">
        <v>188</v>
      </c>
      <c r="FY5" s="8" t="s">
        <v>189</v>
      </c>
      <c r="FZ5" s="8" t="s">
        <v>190</v>
      </c>
      <c r="GA5" s="8" t="s">
        <v>191</v>
      </c>
      <c r="GB5" s="8" t="s">
        <v>192</v>
      </c>
      <c r="GC5" s="8" t="s">
        <v>193</v>
      </c>
      <c r="GD5" s="8" t="s">
        <v>194</v>
      </c>
      <c r="GE5" s="8" t="s">
        <v>195</v>
      </c>
      <c r="GF5" s="8" t="s">
        <v>196</v>
      </c>
      <c r="GG5" s="8" t="s">
        <v>197</v>
      </c>
      <c r="GH5" s="8" t="s">
        <v>198</v>
      </c>
      <c r="GI5" s="8" t="s">
        <v>199</v>
      </c>
      <c r="GJ5" s="8" t="s">
        <v>200</v>
      </c>
      <c r="GK5" s="8" t="s">
        <v>201</v>
      </c>
      <c r="GL5" s="8" t="s">
        <v>202</v>
      </c>
      <c r="GM5" s="8" t="s">
        <v>203</v>
      </c>
      <c r="GN5" s="8" t="s">
        <v>204</v>
      </c>
      <c r="GO5" s="8" t="s">
        <v>205</v>
      </c>
      <c r="GP5" s="8" t="s">
        <v>206</v>
      </c>
      <c r="GQ5" s="8" t="s">
        <v>207</v>
      </c>
      <c r="GR5" s="8" t="s">
        <v>208</v>
      </c>
      <c r="GS5" s="8" t="s">
        <v>209</v>
      </c>
      <c r="GT5" s="8" t="s">
        <v>210</v>
      </c>
      <c r="GU5" s="8" t="s">
        <v>211</v>
      </c>
      <c r="GV5" s="8" t="s">
        <v>212</v>
      </c>
      <c r="GW5" s="8" t="s">
        <v>213</v>
      </c>
      <c r="GX5" s="8" t="s">
        <v>214</v>
      </c>
      <c r="GY5" s="8" t="s">
        <v>215</v>
      </c>
      <c r="GZ5" s="8" t="s">
        <v>216</v>
      </c>
      <c r="HA5" s="8" t="s">
        <v>217</v>
      </c>
      <c r="HB5" s="8" t="s">
        <v>218</v>
      </c>
      <c r="HC5" s="8" t="s">
        <v>219</v>
      </c>
      <c r="HD5" s="8" t="s">
        <v>220</v>
      </c>
      <c r="HE5" s="8" t="s">
        <v>221</v>
      </c>
      <c r="HF5" s="8" t="s">
        <v>222</v>
      </c>
      <c r="HG5" s="8" t="s">
        <v>223</v>
      </c>
      <c r="HH5" s="8" t="s">
        <v>224</v>
      </c>
      <c r="HI5" s="8" t="s">
        <v>225</v>
      </c>
      <c r="HJ5" s="8" t="s">
        <v>226</v>
      </c>
      <c r="HK5" s="8" t="s">
        <v>227</v>
      </c>
      <c r="HL5" s="8" t="s">
        <v>228</v>
      </c>
      <c r="HM5" s="8" t="s">
        <v>229</v>
      </c>
      <c r="HN5" s="8" t="s">
        <v>230</v>
      </c>
      <c r="HO5" s="8" t="s">
        <v>231</v>
      </c>
      <c r="HP5" s="8" t="s">
        <v>232</v>
      </c>
      <c r="HQ5" s="8" t="s">
        <v>233</v>
      </c>
      <c r="HR5" s="8" t="s">
        <v>234</v>
      </c>
      <c r="HS5" s="8" t="s">
        <v>235</v>
      </c>
      <c r="HT5" s="8" t="s">
        <v>236</v>
      </c>
      <c r="HU5" s="8" t="s">
        <v>237</v>
      </c>
      <c r="HV5" s="8" t="s">
        <v>238</v>
      </c>
      <c r="HW5" s="8" t="s">
        <v>239</v>
      </c>
      <c r="HX5" s="8" t="s">
        <v>240</v>
      </c>
      <c r="HY5" s="8" t="s">
        <v>241</v>
      </c>
      <c r="HZ5" s="8" t="s">
        <v>242</v>
      </c>
      <c r="IA5" s="8" t="s">
        <v>243</v>
      </c>
      <c r="IB5" s="8" t="s">
        <v>244</v>
      </c>
      <c r="IC5" s="8" t="s">
        <v>283</v>
      </c>
      <c r="ID5" s="8" t="s">
        <v>284</v>
      </c>
      <c r="IE5" s="8" t="s">
        <v>285</v>
      </c>
      <c r="IF5" s="8" t="s">
        <v>286</v>
      </c>
      <c r="IG5" s="8" t="s">
        <v>287</v>
      </c>
      <c r="IH5" s="8" t="s">
        <v>288</v>
      </c>
      <c r="II5" s="8" t="s">
        <v>289</v>
      </c>
      <c r="IJ5" s="8" t="s">
        <v>290</v>
      </c>
      <c r="IK5" s="8" t="s">
        <v>291</v>
      </c>
      <c r="IL5" s="8" t="s">
        <v>292</v>
      </c>
      <c r="IM5" s="8" t="s">
        <v>293</v>
      </c>
      <c r="IN5" s="8" t="s">
        <v>327</v>
      </c>
      <c r="IO5" s="8" t="s">
        <v>328</v>
      </c>
      <c r="IP5" s="8" t="s">
        <v>2875</v>
      </c>
      <c r="IQ5" s="8" t="s">
        <v>2934</v>
      </c>
      <c r="IR5" s="8" t="s">
        <v>2935</v>
      </c>
      <c r="IS5" s="8" t="s">
        <v>2936</v>
      </c>
      <c r="IT5" s="8" t="s">
        <v>2937</v>
      </c>
      <c r="IU5" s="8" t="s">
        <v>2938</v>
      </c>
      <c r="IV5" s="8" t="s">
        <v>2939</v>
      </c>
      <c r="IW5" s="8" t="s">
        <v>2940</v>
      </c>
      <c r="IX5" s="8" t="s">
        <v>2941</v>
      </c>
      <c r="IY5" s="8" t="s">
        <v>2942</v>
      </c>
      <c r="IZ5" s="8" t="s">
        <v>2943</v>
      </c>
      <c r="JA5" s="8" t="s">
        <v>2944</v>
      </c>
      <c r="JB5" s="8" t="s">
        <v>2945</v>
      </c>
      <c r="JC5" s="8" t="s">
        <v>2946</v>
      </c>
      <c r="JD5" s="8" t="s">
        <v>2947</v>
      </c>
      <c r="JE5" s="8" t="s">
        <v>2948</v>
      </c>
      <c r="JF5" s="8" t="s">
        <v>2949</v>
      </c>
      <c r="JG5" s="8" t="s">
        <v>2950</v>
      </c>
      <c r="JH5" s="8" t="s">
        <v>2951</v>
      </c>
      <c r="JI5" s="8" t="s">
        <v>2952</v>
      </c>
      <c r="JJ5" s="8" t="s">
        <v>2953</v>
      </c>
      <c r="JK5" s="8" t="s">
        <v>2954</v>
      </c>
      <c r="JL5" s="8" t="s">
        <v>2955</v>
      </c>
      <c r="JM5" s="8" t="s">
        <v>2956</v>
      </c>
      <c r="JN5" s="8" t="s">
        <v>2957</v>
      </c>
      <c r="JO5" s="8" t="s">
        <v>2958</v>
      </c>
      <c r="JP5" s="8" t="s">
        <v>2959</v>
      </c>
      <c r="JQ5" s="8" t="s">
        <v>2960</v>
      </c>
      <c r="JR5" s="8" t="s">
        <v>2961</v>
      </c>
      <c r="JS5" s="8" t="s">
        <v>2962</v>
      </c>
      <c r="JT5" s="8" t="s">
        <v>2963</v>
      </c>
      <c r="JU5" s="8" t="s">
        <v>2964</v>
      </c>
      <c r="JV5" s="8" t="s">
        <v>2965</v>
      </c>
      <c r="JW5" s="8" t="s">
        <v>2966</v>
      </c>
      <c r="JX5" s="8" t="s">
        <v>2967</v>
      </c>
      <c r="JY5" s="8" t="s">
        <v>2968</v>
      </c>
      <c r="JZ5" s="8" t="s">
        <v>2969</v>
      </c>
      <c r="KA5" s="8" t="s">
        <v>2970</v>
      </c>
      <c r="KB5" s="8" t="s">
        <v>2971</v>
      </c>
      <c r="KC5" s="8" t="s">
        <v>2984</v>
      </c>
      <c r="KD5" s="8" t="s">
        <v>2985</v>
      </c>
      <c r="KE5" s="8" t="s">
        <v>2986</v>
      </c>
      <c r="KF5" s="8" t="s">
        <v>2987</v>
      </c>
      <c r="KG5" s="8" t="s">
        <v>2988</v>
      </c>
      <c r="KH5" s="8" t="s">
        <v>2989</v>
      </c>
      <c r="KI5" s="8" t="s">
        <v>2990</v>
      </c>
      <c r="KJ5" s="8" t="s">
        <v>2991</v>
      </c>
      <c r="KK5" s="8" t="s">
        <v>2992</v>
      </c>
      <c r="KL5" s="8" t="s">
        <v>2993</v>
      </c>
      <c r="KM5" s="8" t="s">
        <v>2994</v>
      </c>
      <c r="KN5" s="8" t="s">
        <v>2995</v>
      </c>
      <c r="KO5" s="8" t="s">
        <v>2996</v>
      </c>
      <c r="KP5" s="8" t="s">
        <v>2997</v>
      </c>
      <c r="KQ5" s="8" t="s">
        <v>2998</v>
      </c>
      <c r="KR5" s="8" t="s">
        <v>2999</v>
      </c>
      <c r="KS5" s="8" t="s">
        <v>3000</v>
      </c>
      <c r="KT5" s="8" t="s">
        <v>3001</v>
      </c>
      <c r="KU5" s="8" t="s">
        <v>3002</v>
      </c>
      <c r="KV5" s="8" t="s">
        <v>3003</v>
      </c>
      <c r="KW5" s="8" t="s">
        <v>3004</v>
      </c>
      <c r="KX5" s="8" t="s">
        <v>3005</v>
      </c>
      <c r="KY5" s="8" t="s">
        <v>3006</v>
      </c>
      <c r="KZ5" s="8" t="s">
        <v>3007</v>
      </c>
      <c r="LA5" s="8" t="s">
        <v>3008</v>
      </c>
      <c r="LB5" s="8" t="s">
        <v>3009</v>
      </c>
      <c r="LC5" s="8" t="s">
        <v>3010</v>
      </c>
      <c r="LD5" s="8" t="s">
        <v>3011</v>
      </c>
      <c r="LE5" s="8" t="s">
        <v>3012</v>
      </c>
      <c r="LF5" s="8" t="s">
        <v>3013</v>
      </c>
      <c r="LG5" s="8" t="s">
        <v>3014</v>
      </c>
      <c r="LH5" s="8" t="s">
        <v>3015</v>
      </c>
      <c r="LI5" s="8" t="s">
        <v>3016</v>
      </c>
      <c r="LJ5" s="8" t="s">
        <v>3017</v>
      </c>
      <c r="LK5" s="8" t="s">
        <v>3018</v>
      </c>
      <c r="LL5" s="8" t="s">
        <v>3019</v>
      </c>
      <c r="LM5" s="8" t="s">
        <v>3020</v>
      </c>
      <c r="LN5" s="8" t="s">
        <v>3021</v>
      </c>
      <c r="LO5" s="8" t="s">
        <v>3022</v>
      </c>
      <c r="LP5" s="8" t="s">
        <v>3023</v>
      </c>
      <c r="LQ5" s="8" t="s">
        <v>3024</v>
      </c>
      <c r="LR5" s="8" t="s">
        <v>3025</v>
      </c>
      <c r="LS5" s="8" t="s">
        <v>3026</v>
      </c>
      <c r="LT5" s="8" t="s">
        <v>3027</v>
      </c>
      <c r="LU5" s="8" t="s">
        <v>3028</v>
      </c>
      <c r="LV5" s="8" t="s">
        <v>3029</v>
      </c>
      <c r="LW5" s="8" t="s">
        <v>3030</v>
      </c>
      <c r="LX5" s="8" t="s">
        <v>3031</v>
      </c>
      <c r="LY5" s="8" t="s">
        <v>3032</v>
      </c>
      <c r="LZ5" s="8" t="s">
        <v>3033</v>
      </c>
      <c r="MA5" s="8" t="s">
        <v>3034</v>
      </c>
      <c r="MB5" s="8" t="s">
        <v>3035</v>
      </c>
      <c r="MC5" s="8" t="s">
        <v>3036</v>
      </c>
      <c r="MD5" s="8" t="s">
        <v>3037</v>
      </c>
      <c r="ME5" s="8" t="s">
        <v>3038</v>
      </c>
      <c r="MF5" s="8" t="s">
        <v>3039</v>
      </c>
      <c r="MG5" s="8" t="s">
        <v>3040</v>
      </c>
      <c r="MH5" s="8" t="s">
        <v>3041</v>
      </c>
      <c r="MI5" s="8" t="s">
        <v>3042</v>
      </c>
      <c r="MJ5" s="8" t="s">
        <v>3043</v>
      </c>
      <c r="MK5" s="8" t="s">
        <v>3044</v>
      </c>
      <c r="ML5" s="8" t="s">
        <v>3045</v>
      </c>
      <c r="MM5" s="8" t="s">
        <v>3046</v>
      </c>
      <c r="MN5" s="8" t="s">
        <v>2977</v>
      </c>
      <c r="MO5" s="8" t="s">
        <v>3047</v>
      </c>
      <c r="MP5" s="8" t="s">
        <v>3048</v>
      </c>
      <c r="MQ5" s="8" t="s">
        <v>3049</v>
      </c>
      <c r="MR5" s="8" t="s">
        <v>3050</v>
      </c>
      <c r="MS5" s="8" t="s">
        <v>3051</v>
      </c>
      <c r="MT5" s="8" t="s">
        <v>3052</v>
      </c>
      <c r="MU5" s="8" t="s">
        <v>3053</v>
      </c>
      <c r="MV5" s="8" t="s">
        <v>3054</v>
      </c>
      <c r="MW5" s="8" t="s">
        <v>3055</v>
      </c>
      <c r="MX5" s="8" t="s">
        <v>3056</v>
      </c>
      <c r="MY5" s="8" t="s">
        <v>2978</v>
      </c>
      <c r="MZ5" s="8" t="s">
        <v>3057</v>
      </c>
      <c r="NA5" s="8" t="s">
        <v>3058</v>
      </c>
      <c r="NB5" s="8" t="s">
        <v>3059</v>
      </c>
      <c r="NC5" s="8" t="s">
        <v>3060</v>
      </c>
      <c r="ND5" s="8" t="s">
        <v>3061</v>
      </c>
      <c r="NE5" s="8" t="s">
        <v>3062</v>
      </c>
      <c r="NF5" s="8" t="s">
        <v>3063</v>
      </c>
      <c r="NG5" s="8" t="s">
        <v>3064</v>
      </c>
      <c r="NH5" s="8" t="s">
        <v>3065</v>
      </c>
      <c r="NI5" s="8" t="s">
        <v>3066</v>
      </c>
      <c r="NJ5" s="8" t="s">
        <v>2979</v>
      </c>
      <c r="NK5" s="8" t="s">
        <v>3067</v>
      </c>
      <c r="NL5" s="8" t="s">
        <v>3068</v>
      </c>
      <c r="NM5" s="8" t="s">
        <v>3069</v>
      </c>
      <c r="NN5" s="8" t="s">
        <v>3070</v>
      </c>
      <c r="NO5" s="8" t="s">
        <v>3071</v>
      </c>
      <c r="NP5" s="8" t="s">
        <v>3072</v>
      </c>
      <c r="NQ5" s="8" t="s">
        <v>3073</v>
      </c>
      <c r="NR5" s="8" t="s">
        <v>3074</v>
      </c>
      <c r="NS5" s="8" t="s">
        <v>3075</v>
      </c>
      <c r="NT5" s="8" t="s">
        <v>3076</v>
      </c>
      <c r="NU5" s="8" t="s">
        <v>2980</v>
      </c>
      <c r="NV5" s="8" t="s">
        <v>3077</v>
      </c>
      <c r="NW5" s="8" t="s">
        <v>3078</v>
      </c>
      <c r="NX5" s="8" t="s">
        <v>3079</v>
      </c>
      <c r="NY5" s="8" t="s">
        <v>3080</v>
      </c>
      <c r="NZ5" s="8" t="s">
        <v>3081</v>
      </c>
      <c r="OA5" s="8" t="s">
        <v>3082</v>
      </c>
      <c r="OB5" s="8" t="s">
        <v>3083</v>
      </c>
      <c r="OC5" s="8" t="s">
        <v>3084</v>
      </c>
      <c r="OD5" s="8" t="s">
        <v>3085</v>
      </c>
      <c r="OE5" s="8" t="s">
        <v>3086</v>
      </c>
      <c r="OF5" s="8" t="s">
        <v>2981</v>
      </c>
      <c r="OG5" s="8" t="s">
        <v>3087</v>
      </c>
      <c r="OH5" s="8" t="s">
        <v>3088</v>
      </c>
      <c r="OI5" s="8" t="s">
        <v>3089</v>
      </c>
      <c r="OJ5" s="8" t="s">
        <v>3090</v>
      </c>
      <c r="OK5" s="8" t="s">
        <v>3103</v>
      </c>
      <c r="OL5" s="8" t="s">
        <v>3104</v>
      </c>
      <c r="OM5" s="8" t="s">
        <v>3105</v>
      </c>
      <c r="ON5" s="8" t="s">
        <v>3106</v>
      </c>
      <c r="OO5" s="8" t="s">
        <v>3107</v>
      </c>
      <c r="OP5" s="8" t="s">
        <v>3108</v>
      </c>
      <c r="OQ5" s="8" t="s">
        <v>2982</v>
      </c>
      <c r="OR5" s="8" t="s">
        <v>2983</v>
      </c>
      <c r="OS5" s="8" t="s">
        <v>3109</v>
      </c>
      <c r="OT5" s="8" t="s">
        <v>3110</v>
      </c>
      <c r="OU5" s="8" t="s">
        <v>3111</v>
      </c>
      <c r="OV5" s="8" t="s">
        <v>3112</v>
      </c>
      <c r="OW5" s="8" t="s">
        <v>3113</v>
      </c>
      <c r="OX5" s="8" t="s">
        <v>3114</v>
      </c>
      <c r="OY5" s="8" t="s">
        <v>3115</v>
      </c>
      <c r="OZ5" s="8" t="s">
        <v>3116</v>
      </c>
      <c r="PA5" s="8" t="s">
        <v>3117</v>
      </c>
      <c r="PB5" s="8" t="s">
        <v>3118</v>
      </c>
      <c r="PC5" s="8" t="s">
        <v>3119</v>
      </c>
      <c r="PD5" s="8" t="s">
        <v>3120</v>
      </c>
      <c r="PE5" s="8" t="s">
        <v>3121</v>
      </c>
      <c r="PF5" s="8" t="s">
        <v>3122</v>
      </c>
      <c r="PG5" s="8" t="s">
        <v>3123</v>
      </c>
      <c r="PH5" s="8" t="s">
        <v>3124</v>
      </c>
      <c r="PI5" s="8" t="s">
        <v>3125</v>
      </c>
      <c r="PJ5" s="8" t="s">
        <v>3126</v>
      </c>
      <c r="PK5" s="8" t="s">
        <v>3127</v>
      </c>
      <c r="PL5" s="8" t="s">
        <v>3128</v>
      </c>
      <c r="PM5" s="8" t="s">
        <v>3129</v>
      </c>
      <c r="PN5" s="8" t="s">
        <v>3130</v>
      </c>
      <c r="PO5" s="8" t="s">
        <v>3131</v>
      </c>
      <c r="PP5" s="8" t="s">
        <v>3132</v>
      </c>
      <c r="PQ5" s="8" t="s">
        <v>3133</v>
      </c>
      <c r="PR5" s="8" t="s">
        <v>3134</v>
      </c>
      <c r="PS5" s="8" t="s">
        <v>3135</v>
      </c>
      <c r="PT5" s="8" t="s">
        <v>3136</v>
      </c>
      <c r="PU5" s="8" t="s">
        <v>3137</v>
      </c>
      <c r="PV5" s="8" t="s">
        <v>3138</v>
      </c>
      <c r="PW5" s="8" t="s">
        <v>3139</v>
      </c>
      <c r="PX5" s="8" t="s">
        <v>3140</v>
      </c>
      <c r="PY5" s="8" t="s">
        <v>3141</v>
      </c>
      <c r="PZ5" s="8" t="s">
        <v>3142</v>
      </c>
      <c r="QA5" s="8" t="s">
        <v>3143</v>
      </c>
      <c r="QB5" s="8" t="s">
        <v>3144</v>
      </c>
      <c r="QC5" s="8" t="s">
        <v>3145</v>
      </c>
      <c r="QD5" s="8" t="s">
        <v>3146</v>
      </c>
      <c r="QE5" s="8" t="s">
        <v>3147</v>
      </c>
      <c r="QF5" s="8" t="s">
        <v>3148</v>
      </c>
      <c r="QG5" s="8" t="s">
        <v>3149</v>
      </c>
      <c r="QH5" s="8" t="s">
        <v>3150</v>
      </c>
      <c r="QI5" s="8" t="s">
        <v>3151</v>
      </c>
      <c r="QJ5" s="8" t="s">
        <v>3152</v>
      </c>
      <c r="QK5" s="8" t="s">
        <v>3153</v>
      </c>
      <c r="QL5" s="8" t="s">
        <v>3154</v>
      </c>
      <c r="QM5" s="8" t="s">
        <v>3155</v>
      </c>
      <c r="QN5" s="8" t="s">
        <v>3156</v>
      </c>
      <c r="QO5" s="8" t="s">
        <v>3157</v>
      </c>
      <c r="QP5" s="8" t="s">
        <v>3158</v>
      </c>
      <c r="QQ5" s="8" t="s">
        <v>3159</v>
      </c>
      <c r="QR5" s="8" t="s">
        <v>3160</v>
      </c>
      <c r="QS5" s="8" t="s">
        <v>3161</v>
      </c>
      <c r="QT5" s="8" t="s">
        <v>3162</v>
      </c>
      <c r="QU5" s="8" t="s">
        <v>3163</v>
      </c>
      <c r="QV5" s="8" t="s">
        <v>3164</v>
      </c>
      <c r="QW5" s="8" t="s">
        <v>3165</v>
      </c>
      <c r="QX5" s="8" t="s">
        <v>3166</v>
      </c>
      <c r="QY5" s="8" t="s">
        <v>3167</v>
      </c>
      <c r="QZ5" s="8" t="s">
        <v>3168</v>
      </c>
      <c r="RA5" s="8" t="s">
        <v>3169</v>
      </c>
      <c r="RB5" s="8" t="s">
        <v>3170</v>
      </c>
      <c r="RC5" s="8" t="s">
        <v>3171</v>
      </c>
      <c r="RD5" s="8" t="s">
        <v>3172</v>
      </c>
      <c r="RE5" s="8" t="s">
        <v>3173</v>
      </c>
      <c r="RF5" s="8" t="s">
        <v>3174</v>
      </c>
      <c r="RG5" s="8" t="s">
        <v>3175</v>
      </c>
      <c r="RH5" s="8" t="s">
        <v>3176</v>
      </c>
      <c r="RI5" s="8" t="s">
        <v>3177</v>
      </c>
      <c r="RJ5" s="8" t="s">
        <v>3178</v>
      </c>
      <c r="RK5" s="8" t="s">
        <v>3179</v>
      </c>
      <c r="RL5" s="8" t="s">
        <v>3180</v>
      </c>
      <c r="RM5" s="8" t="s">
        <v>3181</v>
      </c>
      <c r="RN5" s="8" t="s">
        <v>3182</v>
      </c>
      <c r="RO5" s="8" t="s">
        <v>3183</v>
      </c>
      <c r="RP5" s="8" t="s">
        <v>3184</v>
      </c>
      <c r="RQ5" s="8" t="s">
        <v>3185</v>
      </c>
      <c r="RR5" s="8" t="s">
        <v>3186</v>
      </c>
      <c r="RS5" s="8" t="s">
        <v>3187</v>
      </c>
      <c r="RT5" s="8" t="s">
        <v>3188</v>
      </c>
      <c r="RU5" s="8" t="s">
        <v>3189</v>
      </c>
      <c r="RV5" s="8" t="s">
        <v>3190</v>
      </c>
      <c r="RW5" s="8" t="s">
        <v>3191</v>
      </c>
      <c r="RX5" s="8" t="s">
        <v>3192</v>
      </c>
      <c r="RY5" s="8" t="s">
        <v>3193</v>
      </c>
      <c r="RZ5" s="8" t="s">
        <v>3194</v>
      </c>
      <c r="SA5" s="8" t="s">
        <v>3195</v>
      </c>
      <c r="SB5" s="8" t="s">
        <v>3196</v>
      </c>
      <c r="SC5" s="8" t="s">
        <v>3197</v>
      </c>
      <c r="SD5" s="8" t="s">
        <v>3198</v>
      </c>
      <c r="SE5" s="8" t="s">
        <v>3199</v>
      </c>
      <c r="SF5" s="8" t="s">
        <v>3200</v>
      </c>
      <c r="SG5" s="8" t="s">
        <v>3201</v>
      </c>
      <c r="SH5" s="8" t="s">
        <v>3202</v>
      </c>
      <c r="SI5" s="8" t="s">
        <v>3203</v>
      </c>
      <c r="SJ5" s="8" t="s">
        <v>3204</v>
      </c>
      <c r="SK5" s="8" t="s">
        <v>3205</v>
      </c>
      <c r="SL5" s="8" t="s">
        <v>3206</v>
      </c>
      <c r="SM5" s="8" t="s">
        <v>3207</v>
      </c>
      <c r="SN5" s="8" t="s">
        <v>3208</v>
      </c>
      <c r="SO5" s="8" t="s">
        <v>3209</v>
      </c>
      <c r="SP5" s="8" t="s">
        <v>3210</v>
      </c>
      <c r="SQ5" s="8" t="s">
        <v>3211</v>
      </c>
      <c r="SR5" s="8" t="s">
        <v>3212</v>
      </c>
      <c r="SS5" s="8" t="s">
        <v>3213</v>
      </c>
      <c r="ST5" s="8" t="s">
        <v>3214</v>
      </c>
      <c r="SU5" s="8" t="s">
        <v>3215</v>
      </c>
      <c r="SV5" s="8" t="s">
        <v>3216</v>
      </c>
      <c r="SW5" s="8" t="s">
        <v>3217</v>
      </c>
      <c r="SX5" s="8" t="s">
        <v>3218</v>
      </c>
      <c r="SY5" s="8" t="s">
        <v>3219</v>
      </c>
      <c r="SZ5" s="8" t="s">
        <v>3220</v>
      </c>
      <c r="TA5" s="8" t="s">
        <v>3221</v>
      </c>
      <c r="TB5" s="8" t="s">
        <v>3222</v>
      </c>
      <c r="TC5" s="8" t="s">
        <v>3223</v>
      </c>
      <c r="TD5" s="8" t="s">
        <v>3224</v>
      </c>
      <c r="TE5" s="8" t="s">
        <v>3225</v>
      </c>
      <c r="TF5" s="8" t="s">
        <v>3226</v>
      </c>
      <c r="TG5" s="8" t="s">
        <v>3227</v>
      </c>
      <c r="TH5" s="8" t="s">
        <v>3228</v>
      </c>
      <c r="TI5" s="8" t="s">
        <v>3229</v>
      </c>
      <c r="TJ5" s="8" t="s">
        <v>3230</v>
      </c>
      <c r="TK5" s="8" t="s">
        <v>3231</v>
      </c>
      <c r="TL5" s="8" t="s">
        <v>3232</v>
      </c>
      <c r="TM5" s="8" t="s">
        <v>3233</v>
      </c>
      <c r="TN5" s="8" t="s">
        <v>3234</v>
      </c>
      <c r="TO5" s="8" t="s">
        <v>3235</v>
      </c>
      <c r="TP5" s="8" t="s">
        <v>3236</v>
      </c>
      <c r="TQ5" s="8" t="s">
        <v>3237</v>
      </c>
      <c r="TR5" s="8" t="s">
        <v>3238</v>
      </c>
      <c r="TS5" s="8" t="s">
        <v>3239</v>
      </c>
      <c r="TT5" s="8" t="s">
        <v>3240</v>
      </c>
      <c r="TU5" s="8" t="s">
        <v>3241</v>
      </c>
      <c r="TV5" s="8" t="s">
        <v>3242</v>
      </c>
      <c r="TW5" s="8" t="s">
        <v>3243</v>
      </c>
      <c r="TX5" s="8" t="s">
        <v>3244</v>
      </c>
      <c r="TY5" s="8" t="s">
        <v>3245</v>
      </c>
      <c r="TZ5" s="8" t="s">
        <v>3246</v>
      </c>
      <c r="UA5" s="8" t="s">
        <v>3247</v>
      </c>
      <c r="UB5" s="8" t="s">
        <v>3248</v>
      </c>
      <c r="UC5" s="8" t="s">
        <v>3249</v>
      </c>
      <c r="UD5" s="8" t="s">
        <v>3250</v>
      </c>
      <c r="UE5" s="8" t="s">
        <v>3251</v>
      </c>
      <c r="UF5" s="8" t="s">
        <v>3252</v>
      </c>
      <c r="UG5" s="8" t="s">
        <v>3253</v>
      </c>
      <c r="UH5" s="8" t="s">
        <v>3254</v>
      </c>
      <c r="UI5" s="8" t="s">
        <v>3255</v>
      </c>
      <c r="UJ5" s="8" t="s">
        <v>3256</v>
      </c>
      <c r="UK5" s="8" t="s">
        <v>3257</v>
      </c>
      <c r="UL5" s="8" t="s">
        <v>3258</v>
      </c>
      <c r="UM5" s="8" t="s">
        <v>3259</v>
      </c>
      <c r="UN5" s="8" t="s">
        <v>3260</v>
      </c>
      <c r="UO5" s="8" t="s">
        <v>3261</v>
      </c>
      <c r="UP5" s="8" t="s">
        <v>3262</v>
      </c>
      <c r="UQ5" s="8" t="s">
        <v>3263</v>
      </c>
      <c r="UR5" s="8" t="s">
        <v>3264</v>
      </c>
      <c r="US5" s="8" t="s">
        <v>3265</v>
      </c>
      <c r="UT5" s="8" t="s">
        <v>3266</v>
      </c>
      <c r="UU5" s="8" t="s">
        <v>3267</v>
      </c>
      <c r="UV5" s="8" t="s">
        <v>3268</v>
      </c>
      <c r="UW5" s="8" t="s">
        <v>3269</v>
      </c>
      <c r="UX5" s="8" t="s">
        <v>3270</v>
      </c>
      <c r="UY5" s="8" t="s">
        <v>3271</v>
      </c>
      <c r="UZ5" s="8" t="s">
        <v>3272</v>
      </c>
      <c r="VA5" s="8" t="s">
        <v>3273</v>
      </c>
      <c r="VB5" s="8" t="s">
        <v>3274</v>
      </c>
      <c r="VC5" s="8" t="s">
        <v>3275</v>
      </c>
      <c r="VD5" s="8" t="s">
        <v>3276</v>
      </c>
      <c r="VE5" s="8" t="s">
        <v>3277</v>
      </c>
      <c r="VF5" s="8" t="s">
        <v>3278</v>
      </c>
      <c r="VG5" s="8" t="s">
        <v>3279</v>
      </c>
      <c r="VH5" s="8" t="s">
        <v>3280</v>
      </c>
      <c r="VI5" s="8" t="s">
        <v>3281</v>
      </c>
      <c r="VJ5" s="8" t="s">
        <v>3282</v>
      </c>
      <c r="VK5" s="8" t="s">
        <v>3283</v>
      </c>
      <c r="VL5" s="8" t="s">
        <v>3284</v>
      </c>
      <c r="VM5" s="8" t="s">
        <v>3285</v>
      </c>
      <c r="VN5" s="8" t="s">
        <v>3286</v>
      </c>
      <c r="VO5" s="8" t="s">
        <v>3287</v>
      </c>
      <c r="VP5" s="8" t="s">
        <v>3288</v>
      </c>
      <c r="VQ5" s="8" t="s">
        <v>3289</v>
      </c>
      <c r="VR5" s="8" t="s">
        <v>3290</v>
      </c>
      <c r="VS5" s="8" t="s">
        <v>3291</v>
      </c>
      <c r="VT5" s="8" t="s">
        <v>3292</v>
      </c>
      <c r="VU5" s="8" t="s">
        <v>3293</v>
      </c>
      <c r="VV5" s="8" t="s">
        <v>3294</v>
      </c>
      <c r="VW5" s="8" t="s">
        <v>3295</v>
      </c>
      <c r="VX5" s="8" t="s">
        <v>3296</v>
      </c>
      <c r="VY5" s="8" t="s">
        <v>3297</v>
      </c>
      <c r="VZ5" s="8" t="s">
        <v>3298</v>
      </c>
      <c r="WA5" s="8" t="s">
        <v>3299</v>
      </c>
      <c r="WB5" s="8" t="s">
        <v>3300</v>
      </c>
      <c r="WC5" s="8" t="s">
        <v>3301</v>
      </c>
      <c r="WD5" s="8" t="s">
        <v>3302</v>
      </c>
      <c r="WE5" s="8" t="s">
        <v>3303</v>
      </c>
      <c r="WF5" s="8" t="s">
        <v>3304</v>
      </c>
      <c r="WG5" s="8" t="s">
        <v>3305</v>
      </c>
      <c r="WH5" s="8" t="s">
        <v>3306</v>
      </c>
      <c r="WI5" s="8" t="s">
        <v>3307</v>
      </c>
      <c r="WJ5" s="8" t="s">
        <v>3308</v>
      </c>
      <c r="WK5" s="8" t="s">
        <v>3309</v>
      </c>
      <c r="WL5" s="8" t="s">
        <v>3310</v>
      </c>
      <c r="WM5" s="8" t="s">
        <v>3311</v>
      </c>
      <c r="WN5" s="8" t="s">
        <v>3312</v>
      </c>
      <c r="WO5" s="8" t="s">
        <v>3313</v>
      </c>
      <c r="WP5" s="8" t="s">
        <v>3314</v>
      </c>
      <c r="WQ5" s="8" t="s">
        <v>3315</v>
      </c>
      <c r="WR5" s="8" t="s">
        <v>3316</v>
      </c>
      <c r="WS5" s="8" t="s">
        <v>3317</v>
      </c>
      <c r="WT5" s="8" t="s">
        <v>3318</v>
      </c>
      <c r="WU5" s="8" t="s">
        <v>3319</v>
      </c>
      <c r="WV5" s="8" t="s">
        <v>3320</v>
      </c>
      <c r="WW5" s="8" t="s">
        <v>3321</v>
      </c>
      <c r="WX5" s="8" t="s">
        <v>3322</v>
      </c>
      <c r="WY5" s="8" t="s">
        <v>3323</v>
      </c>
      <c r="WZ5" s="8" t="s">
        <v>3324</v>
      </c>
      <c r="XA5" s="8" t="s">
        <v>3325</v>
      </c>
      <c r="XB5" s="8" t="s">
        <v>3326</v>
      </c>
      <c r="XC5" s="8" t="s">
        <v>3327</v>
      </c>
      <c r="XD5" s="8" t="s">
        <v>3328</v>
      </c>
      <c r="XE5" s="8" t="s">
        <v>3329</v>
      </c>
      <c r="XF5" s="8" t="s">
        <v>3330</v>
      </c>
      <c r="XG5" s="8" t="s">
        <v>3331</v>
      </c>
      <c r="XH5" s="8" t="s">
        <v>3332</v>
      </c>
      <c r="XI5" s="8" t="s">
        <v>3333</v>
      </c>
      <c r="XJ5" s="8" t="s">
        <v>3334</v>
      </c>
      <c r="XK5" s="8" t="s">
        <v>3335</v>
      </c>
      <c r="XL5" s="8" t="s">
        <v>3336</v>
      </c>
      <c r="XM5" s="8" t="s">
        <v>3337</v>
      </c>
      <c r="XN5" s="8" t="s">
        <v>3338</v>
      </c>
      <c r="XO5" s="8" t="s">
        <v>3339</v>
      </c>
      <c r="XP5" s="8" t="s">
        <v>3340</v>
      </c>
      <c r="XQ5" s="8" t="s">
        <v>3341</v>
      </c>
      <c r="XR5" s="8" t="s">
        <v>3342</v>
      </c>
      <c r="XS5" s="8" t="s">
        <v>3343</v>
      </c>
      <c r="XT5" s="8" t="s">
        <v>3344</v>
      </c>
      <c r="XU5" s="8" t="s">
        <v>3345</v>
      </c>
      <c r="XV5" s="8" t="s">
        <v>3346</v>
      </c>
      <c r="XW5" s="8" t="s">
        <v>3347</v>
      </c>
      <c r="XX5" s="8" t="s">
        <v>3348</v>
      </c>
      <c r="XY5" s="8" t="s">
        <v>3349</v>
      </c>
      <c r="XZ5" s="8" t="s">
        <v>3350</v>
      </c>
      <c r="YA5" s="8" t="s">
        <v>3351</v>
      </c>
      <c r="YB5" s="8" t="s">
        <v>3352</v>
      </c>
      <c r="YC5" s="8" t="s">
        <v>3353</v>
      </c>
      <c r="YD5" s="8" t="s">
        <v>3354</v>
      </c>
      <c r="YE5" s="8" t="s">
        <v>3355</v>
      </c>
      <c r="YF5" s="8" t="s">
        <v>3356</v>
      </c>
      <c r="YG5" s="8" t="s">
        <v>3357</v>
      </c>
      <c r="YH5" s="8" t="s">
        <v>3358</v>
      </c>
      <c r="YI5" s="8" t="s">
        <v>3359</v>
      </c>
      <c r="YJ5" s="8" t="s">
        <v>3360</v>
      </c>
      <c r="YK5" s="8" t="s">
        <v>3361</v>
      </c>
      <c r="YL5" s="8" t="s">
        <v>3362</v>
      </c>
      <c r="YM5" s="8" t="s">
        <v>3363</v>
      </c>
      <c r="YN5" s="8" t="s">
        <v>3364</v>
      </c>
      <c r="YO5" s="8" t="s">
        <v>3365</v>
      </c>
      <c r="YP5" s="8" t="s">
        <v>3366</v>
      </c>
      <c r="YQ5" s="8" t="s">
        <v>3367</v>
      </c>
      <c r="YR5" s="8" t="s">
        <v>3368</v>
      </c>
      <c r="YS5" s="8" t="s">
        <v>3369</v>
      </c>
      <c r="YT5" s="8" t="s">
        <v>3370</v>
      </c>
      <c r="YU5" s="8" t="s">
        <v>3371</v>
      </c>
      <c r="YV5" s="8" t="s">
        <v>3372</v>
      </c>
      <c r="YW5" s="8" t="s">
        <v>3373</v>
      </c>
      <c r="YX5" s="8" t="s">
        <v>3374</v>
      </c>
      <c r="YY5" s="8" t="s">
        <v>3375</v>
      </c>
      <c r="YZ5" s="8" t="s">
        <v>3376</v>
      </c>
      <c r="ZA5" s="8" t="s">
        <v>3377</v>
      </c>
      <c r="ZB5" s="8" t="s">
        <v>3378</v>
      </c>
      <c r="ZC5" s="8" t="s">
        <v>3379</v>
      </c>
      <c r="ZD5" s="8" t="s">
        <v>3380</v>
      </c>
      <c r="ZE5" s="8" t="s">
        <v>3381</v>
      </c>
      <c r="ZF5" s="8" t="s">
        <v>3382</v>
      </c>
      <c r="ZG5" s="8" t="s">
        <v>3383</v>
      </c>
      <c r="ZH5" s="8" t="s">
        <v>3384</v>
      </c>
      <c r="ZI5" s="8" t="s">
        <v>3385</v>
      </c>
      <c r="ZJ5" s="8" t="s">
        <v>3386</v>
      </c>
      <c r="ZK5" s="8" t="s">
        <v>3387</v>
      </c>
      <c r="ZL5" s="8" t="s">
        <v>3388</v>
      </c>
      <c r="ZM5" s="8" t="s">
        <v>3405</v>
      </c>
      <c r="ZN5" s="8" t="s">
        <v>3406</v>
      </c>
      <c r="ZO5" s="8" t="s">
        <v>3411</v>
      </c>
      <c r="ZP5" s="8" t="s">
        <v>3413</v>
      </c>
      <c r="ZQ5" s="8" t="s">
        <v>3414</v>
      </c>
      <c r="ZR5" s="8" t="s">
        <v>3415</v>
      </c>
      <c r="ZS5" s="8" t="s">
        <v>3416</v>
      </c>
      <c r="ZT5" s="8" t="s">
        <v>3417</v>
      </c>
      <c r="ZU5" s="8" t="s">
        <v>3418</v>
      </c>
      <c r="ZV5" s="8" t="s">
        <v>3419</v>
      </c>
      <c r="ZW5" s="8" t="s">
        <v>3420</v>
      </c>
      <c r="ZX5" s="8" t="s">
        <v>3421</v>
      </c>
      <c r="ZY5" s="8" t="s">
        <v>3422</v>
      </c>
      <c r="ZZ5" s="8" t="s">
        <v>4070</v>
      </c>
      <c r="AAA5" s="8" t="s">
        <v>4071</v>
      </c>
      <c r="AAB5" s="8" t="s">
        <v>4072</v>
      </c>
      <c r="AAC5" s="8" t="s">
        <v>4073</v>
      </c>
    </row>
    <row r="6" spans="1:705" s="61" customFormat="1" ht="50.1" customHeight="1">
      <c r="A6" s="24" t="s">
        <v>4576</v>
      </c>
      <c r="B6" s="25" t="s">
        <v>253</v>
      </c>
      <c r="C6" s="26">
        <v>43606</v>
      </c>
      <c r="D6" s="25">
        <v>1107</v>
      </c>
      <c r="E6" s="27">
        <f>IFERROR(VLOOKUP(D6,Tabla1[],5,FALSE),"Dato")</f>
        <v>1</v>
      </c>
      <c r="F6" s="27">
        <f>IFERROR(VLOOKUP(D6,Tabla1[],6,FALSE),"Dato")</f>
        <v>2</v>
      </c>
      <c r="G6" s="24" t="str">
        <f>IFERROR(VLOOKUP(D6,Tabla1[],9,FALSE),"Dato")</f>
        <v>INST EDUC FE Y ALEGRIA AURES</v>
      </c>
      <c r="H6" s="24" t="str">
        <f>IFERROR(VLOOKUP(D6,Tabla1[],8,FALSE),"Sin Dato")</f>
        <v>INST EDUC FE Y ALEGRIA AURES</v>
      </c>
      <c r="I6" s="9">
        <f>IFERROR(VLOOKUP(D6,Tabla1[],10,FALSE),"Sin Dato")</f>
        <v>10500101146101</v>
      </c>
      <c r="J6" s="24" t="s">
        <v>4575</v>
      </c>
      <c r="K6" s="28" t="s">
        <v>4574</v>
      </c>
      <c r="L6" s="29" t="s">
        <v>3409</v>
      </c>
      <c r="M6" s="9">
        <f>IFERROR(VLOOKUP(D6,Tabla1[],25,FALSE),"Sin Dato")</f>
        <v>420</v>
      </c>
      <c r="N6" s="30">
        <v>411</v>
      </c>
      <c r="O6" s="31">
        <v>0.25</v>
      </c>
      <c r="P6" s="31">
        <v>0.25</v>
      </c>
      <c r="Q6" s="28" t="s">
        <v>281</v>
      </c>
      <c r="R6" s="25" t="s">
        <v>279</v>
      </c>
      <c r="S6" s="26">
        <v>44730</v>
      </c>
      <c r="T6" s="25" t="s">
        <v>279</v>
      </c>
      <c r="U6" s="26">
        <v>44730</v>
      </c>
      <c r="V6" s="25" t="s">
        <v>279</v>
      </c>
      <c r="W6" s="26">
        <v>44730</v>
      </c>
      <c r="X6" s="25" t="s">
        <v>279</v>
      </c>
      <c r="Y6" s="26">
        <v>44730</v>
      </c>
      <c r="Z6" s="32" t="str">
        <f>IFERROR(VLOOKUP(D6,Tabla1[],15,FALSE),"Sin Dato")</f>
        <v>CARRERA 95 89 73</v>
      </c>
      <c r="AA6" s="33">
        <v>217</v>
      </c>
      <c r="AB6" s="33">
        <v>154</v>
      </c>
      <c r="AC6" s="33">
        <v>40</v>
      </c>
      <c r="AD6" s="56">
        <v>100</v>
      </c>
      <c r="AE6" s="56">
        <v>200</v>
      </c>
      <c r="AF6" s="56">
        <v>23</v>
      </c>
      <c r="AG6" s="33">
        <v>2</v>
      </c>
      <c r="AH6" s="33">
        <v>7</v>
      </c>
      <c r="AI6" s="25" t="s">
        <v>3947</v>
      </c>
      <c r="AJ6" s="24">
        <f>IFERROR(VLOOKUP(AI6,Tabla3[],3,FALSE),"Sin Dato")</f>
        <v>1041228656</v>
      </c>
      <c r="AK6" s="28">
        <f>IFERROR(VLOOKUP(AI6,Tabla3[],4,FALSE),"Sin Dato")</f>
        <v>3216260687</v>
      </c>
      <c r="AL6" s="24" t="str">
        <f>IFERROR(VLOOKUP(AI6,Tabla3[],2,FALSE),"Sin Dato")</f>
        <v>INTERVENTOR_EJECUTOR_51</v>
      </c>
      <c r="AM6" s="25" t="s">
        <v>4577</v>
      </c>
      <c r="AN6" s="34">
        <v>123456789</v>
      </c>
      <c r="AO6" s="25">
        <v>1</v>
      </c>
      <c r="AP6" s="29">
        <v>1</v>
      </c>
      <c r="AQ6" s="29">
        <v>1</v>
      </c>
      <c r="AR6" s="29">
        <v>1</v>
      </c>
      <c r="AS6" s="25">
        <v>1</v>
      </c>
      <c r="AT6" s="24">
        <f>COUNTIF(Tabla4[[#This Row],[Columna41]:[Columna45]],"&gt;=0")</f>
        <v>5</v>
      </c>
      <c r="AU6" s="24">
        <f>SUM(Tabla4[[#This Row],[Columna41]:[Columna45]])</f>
        <v>5</v>
      </c>
      <c r="AV6" s="10">
        <f t="shared" ref="AV6" si="0">IFERROR((AU6/AT6)*100,"NA")</f>
        <v>100</v>
      </c>
      <c r="AW6" s="35" t="str">
        <f t="shared" ref="AW6" ca="1" si="1">IF(AV6&lt;&gt;"NA",IF(AV6&lt;60,"No Cumple",IF(AV6&lt;=94.99,"Cumple Parcialmente",IF(AV6&gt;=95,"Cumple",""))),CELL("contenido",AV6))</f>
        <v>Cumple</v>
      </c>
      <c r="AX6" s="25">
        <v>1</v>
      </c>
      <c r="AY6" s="29">
        <v>1</v>
      </c>
      <c r="AZ6" s="29">
        <v>1</v>
      </c>
      <c r="BA6" s="29">
        <v>1</v>
      </c>
      <c r="BB6" s="29">
        <v>1</v>
      </c>
      <c r="BC6" s="29">
        <v>1</v>
      </c>
      <c r="BD6" s="29">
        <v>1</v>
      </c>
      <c r="BE6" s="29">
        <v>1</v>
      </c>
      <c r="BF6" s="29">
        <v>1</v>
      </c>
      <c r="BG6" s="24">
        <f>COUNTIF(Tabla4[[#This Row],[Columna50]:[Columna58]],"&gt;=0")</f>
        <v>9</v>
      </c>
      <c r="BH6" s="24">
        <f>SUM(Tabla4[[#This Row],[Columna50]:[Columna58]])</f>
        <v>9</v>
      </c>
      <c r="BI6" s="10">
        <f t="shared" ref="BI6" si="2">IFERROR((BH6/BG6)*100,"NA")</f>
        <v>100</v>
      </c>
      <c r="BJ6" s="35" t="str">
        <f t="shared" ref="BJ6" ca="1" si="3">IF(BI6&lt;&gt;"NA",IF(BI6&lt;60,"No Cumple",IF(BI6&lt;=94.99,"Cumple Parcialmente",IF(BI6&gt;=95,"Cumple",""))),CELL("contenido",BI6))</f>
        <v>Cumple</v>
      </c>
      <c r="BK6" s="25">
        <v>1</v>
      </c>
      <c r="BL6" s="25">
        <v>1</v>
      </c>
      <c r="BM6" s="29">
        <v>1</v>
      </c>
      <c r="BN6" s="29">
        <v>1</v>
      </c>
      <c r="BO6" s="29">
        <v>1</v>
      </c>
      <c r="BP6" s="29">
        <v>1</v>
      </c>
      <c r="BQ6" s="29">
        <v>1</v>
      </c>
      <c r="BR6" s="25">
        <v>1</v>
      </c>
      <c r="BS6" s="25">
        <v>1</v>
      </c>
      <c r="BT6" s="25">
        <v>1</v>
      </c>
      <c r="BU6" s="24">
        <f>COUNTIF(Tabla4[[#This Row],[Columna63]:[Columna72]],"&gt;=0")</f>
        <v>10</v>
      </c>
      <c r="BV6" s="24">
        <f>SUM(Tabla4[[#This Row],[Columna63]:[Columna72]])</f>
        <v>10</v>
      </c>
      <c r="BW6" s="10">
        <f t="shared" ref="BW6" si="4">IFERROR((BV6/BU6)*100,"NA")</f>
        <v>100</v>
      </c>
      <c r="BX6" s="35" t="str">
        <f t="shared" ref="BX6" ca="1" si="5">IF(BW6&lt;&gt;"NA",IF(BW6&lt;60,"No Cumple",IF(BW6&lt;=94.99,"Cumple Parcialmente",IF(BW6&gt;=95,"Cumple",""))),CELL("contenido",BW6))</f>
        <v>Cumple</v>
      </c>
      <c r="BY6" s="25">
        <v>1</v>
      </c>
      <c r="BZ6" s="25">
        <v>1</v>
      </c>
      <c r="CA6" s="25">
        <v>1</v>
      </c>
      <c r="CB6" s="25">
        <v>1</v>
      </c>
      <c r="CC6" s="25">
        <v>1</v>
      </c>
      <c r="CD6" s="25">
        <v>1</v>
      </c>
      <c r="CE6" s="25">
        <v>1</v>
      </c>
      <c r="CF6" s="25">
        <v>1</v>
      </c>
      <c r="CG6" s="25">
        <v>1</v>
      </c>
      <c r="CH6" s="24">
        <f>COUNTIF(Tabla4[[#This Row],[Columna77]:[Columna85]],"&gt;=0")</f>
        <v>9</v>
      </c>
      <c r="CI6" s="24">
        <f>SUM(Tabla4[[#This Row],[Columna77]:[Columna85]])</f>
        <v>9</v>
      </c>
      <c r="CJ6" s="10">
        <f t="shared" ref="CJ6" si="6">IFERROR((CI6/CH6)*100,"NA")</f>
        <v>100</v>
      </c>
      <c r="CK6" s="35" t="str">
        <f t="shared" ref="CK6" ca="1" si="7">IF(CJ6&lt;&gt;"NA",IF(CJ6&lt;60,"No Cumple",IF(CJ6&lt;=94.99,"Cumple Parcialmente",IF(CJ6&gt;=95,"Cumple",""))),CELL("contenido",CJ6))</f>
        <v>Cumple</v>
      </c>
      <c r="CL6" s="25">
        <v>1</v>
      </c>
      <c r="CM6" s="25">
        <v>1</v>
      </c>
      <c r="CN6" s="25">
        <v>1</v>
      </c>
      <c r="CO6" s="24">
        <f>COUNTIF(Tabla4[[#This Row],[Columna90]:[Columna92]],"&gt;=0")</f>
        <v>3</v>
      </c>
      <c r="CP6" s="24">
        <f>SUM(Tabla4[[#This Row],[Columna90]:[Columna92]])</f>
        <v>3</v>
      </c>
      <c r="CQ6" s="10">
        <f t="shared" ref="CQ6" si="8">IFERROR((CP6/CO6)*100,"NA")</f>
        <v>100</v>
      </c>
      <c r="CR6" s="35" t="str">
        <f t="shared" ref="CR6" ca="1" si="9">IF(CQ6&lt;&gt;"NA",IF(CQ6&lt;60,"No Cumple",IF(CQ6&lt;=94.99,"Cumple Parcialmente",IF(CQ6&gt;=95,"Cumple",""))),CELL("contenido",CQ6))</f>
        <v>Cumple</v>
      </c>
      <c r="CS6" s="25">
        <v>1</v>
      </c>
      <c r="CT6" s="29">
        <v>1</v>
      </c>
      <c r="CU6" s="29">
        <v>1</v>
      </c>
      <c r="CV6" s="29">
        <v>1</v>
      </c>
      <c r="CW6" s="29">
        <v>1</v>
      </c>
      <c r="CX6" s="29">
        <v>1</v>
      </c>
      <c r="CY6" s="29">
        <v>1</v>
      </c>
      <c r="CZ6" s="29">
        <v>1</v>
      </c>
      <c r="DA6" s="29">
        <v>1</v>
      </c>
      <c r="DB6" s="29">
        <v>1</v>
      </c>
      <c r="DC6" s="29">
        <v>1</v>
      </c>
      <c r="DD6" s="29">
        <v>1</v>
      </c>
      <c r="DE6" s="29">
        <v>1</v>
      </c>
      <c r="DF6" s="29">
        <v>1</v>
      </c>
      <c r="DG6" s="25">
        <v>1</v>
      </c>
      <c r="DH6" s="24">
        <f>COUNTIF(Tabla4[[#This Row],[Columna97]:[Columna111]],"&gt;=0")</f>
        <v>15</v>
      </c>
      <c r="DI6" s="24">
        <f>SUM(Tabla4[[#This Row],[Columna97]:[Columna111]])</f>
        <v>15</v>
      </c>
      <c r="DJ6" s="10">
        <f t="shared" ref="DJ6" si="10">IFERROR((DI6/DH6)*100,"NA")</f>
        <v>100</v>
      </c>
      <c r="DK6" s="35" t="str">
        <f t="shared" ref="DK6" ca="1" si="11">IF(DJ6&lt;&gt;"NA",IF(DJ6&lt;60,"No Cumple",IF(DJ6&lt;=94.99,"Cumple Parcialmente",IF(DJ6&gt;=95,"Cumple",""))),CELL("contenido",DJ6))</f>
        <v>Cumple</v>
      </c>
      <c r="DL6" s="25">
        <v>1</v>
      </c>
      <c r="DM6" s="29">
        <v>1</v>
      </c>
      <c r="DN6" s="25">
        <v>1</v>
      </c>
      <c r="DO6" s="24">
        <f>COUNTIF(Tabla4[[#This Row],[Columna116]:[Columna118]],"&gt;=0")</f>
        <v>3</v>
      </c>
      <c r="DP6" s="24">
        <f>SUM(Tabla4[[#This Row],[Columna116]:[Columna118]])</f>
        <v>3</v>
      </c>
      <c r="DQ6" s="10">
        <f t="shared" ref="DQ6" si="12">IFERROR((DP6/DO6)*100,"NA")</f>
        <v>100</v>
      </c>
      <c r="DR6" s="35" t="str">
        <f t="shared" ref="DR6" ca="1" si="13">IF(DQ6&lt;&gt;"NA",IF(DQ6&lt;60,"No Cumple",IF(DQ6&lt;=94.99,"Cumple Parcialmente",IF(DQ6&gt;=95,"Cumple",""))),CELL("contenido",DQ6))</f>
        <v>Cumple</v>
      </c>
      <c r="DS6" s="25">
        <v>1</v>
      </c>
      <c r="DT6" s="25">
        <v>1</v>
      </c>
      <c r="DU6" s="25">
        <v>1</v>
      </c>
      <c r="DV6" s="25">
        <v>1</v>
      </c>
      <c r="DW6" s="24">
        <f>COUNTIF(Tabla4[[#This Row],[Columna123]:[Columna126]],"&gt;=0")</f>
        <v>4</v>
      </c>
      <c r="DX6" s="24">
        <f>SUM(Tabla4[[#This Row],[Columna123]:[Columna126]])</f>
        <v>4</v>
      </c>
      <c r="DY6" s="10">
        <f t="shared" ref="DY6" si="14">IFERROR((DX6/DW6)*100,"NA")</f>
        <v>100</v>
      </c>
      <c r="DZ6" s="35" t="str">
        <f t="shared" ref="DZ6" ca="1" si="15">IF(DY6&lt;&gt;"NA",IF(DY6&lt;60,"No Cumple",IF(DY6&lt;=94.99,"Cumple Parcialmente",IF(DY6&gt;=95,"Cumple",""))),CELL("contenido",DY6))</f>
        <v>Cumple</v>
      </c>
      <c r="EA6" s="25">
        <v>1</v>
      </c>
      <c r="EB6" s="29">
        <v>1</v>
      </c>
      <c r="EC6" s="29">
        <v>1</v>
      </c>
      <c r="ED6" s="29">
        <v>1</v>
      </c>
      <c r="EE6" s="29">
        <v>1</v>
      </c>
      <c r="EF6" s="29">
        <v>1</v>
      </c>
      <c r="EG6" s="25">
        <v>1</v>
      </c>
      <c r="EH6" s="24">
        <f>COUNTIF(Tabla4[[#This Row],[Columna131]:[Columna137]],"&gt;=0")</f>
        <v>7</v>
      </c>
      <c r="EI6" s="24">
        <f>SUM(Tabla4[[#This Row],[Columna131]:[Columna137]])</f>
        <v>7</v>
      </c>
      <c r="EJ6" s="10">
        <f t="shared" ref="EJ6" si="16">IFERROR((EI6/EH6)*100,"NA")</f>
        <v>100</v>
      </c>
      <c r="EK6" s="35" t="str">
        <f t="shared" ref="EK6" ca="1" si="17">IF(EJ6&lt;&gt;"NA",IF(EJ6&lt;60,"No Cumple",IF(EJ6&lt;=94.99,"Cumple Parcialmente",IF(EJ6&gt;=95,"Cumple",""))),CELL("contenido",EJ6))</f>
        <v>Cumple</v>
      </c>
      <c r="EL6" s="25">
        <v>1</v>
      </c>
      <c r="EM6" s="25">
        <v>1</v>
      </c>
      <c r="EN6" s="24">
        <f>COUNTIF(Tabla4[[#This Row],[Columna142]:[Columna143]],"&gt;=0")</f>
        <v>2</v>
      </c>
      <c r="EO6" s="24">
        <f>SUM(Tabla4[[#This Row],[Columna142]:[Columna143]])</f>
        <v>2</v>
      </c>
      <c r="EP6" s="10">
        <f t="shared" ref="EP6" si="18">IFERROR((EO6/EN6)*100,"NA")</f>
        <v>100</v>
      </c>
      <c r="EQ6" s="35" t="str">
        <f t="shared" ref="EQ6" ca="1" si="19">IF(EP6&lt;&gt;"NA",IF(EP6&lt;60,"No Cumple",IF(EP6&lt;=94.99,"Cumple Parcialmente",IF(EP6&gt;=95,"Cumple",""))),CELL("contenido",EP6))</f>
        <v>Cumple</v>
      </c>
      <c r="ER6" s="25">
        <v>1</v>
      </c>
      <c r="ES6" s="25">
        <v>1</v>
      </c>
      <c r="ET6" s="25">
        <v>1</v>
      </c>
      <c r="EU6" s="25">
        <v>1</v>
      </c>
      <c r="EV6" s="25">
        <v>1</v>
      </c>
      <c r="EW6" s="25">
        <v>1</v>
      </c>
      <c r="EX6" s="25">
        <v>1</v>
      </c>
      <c r="EY6" s="24">
        <f>COUNTIF(Tabla4[[#This Row],[Columna148]:[Columna154]],"&gt;=0")</f>
        <v>7</v>
      </c>
      <c r="EZ6" s="24">
        <f>SUM(Tabla4[[#This Row],[Columna148]:[Columna154]])</f>
        <v>7</v>
      </c>
      <c r="FA6" s="10">
        <f t="shared" ref="FA6" si="20">IFERROR((EZ6/EY6)*100,"NA")</f>
        <v>100</v>
      </c>
      <c r="FB6" s="35" t="str">
        <f t="shared" ref="FB6" ca="1" si="21">IF(FA6&lt;&gt;"NA",IF(FA6&lt;60,"No Cumple",IF(FA6&lt;=94.99,"Cumple Parcialmente",IF(FA6&gt;=95,"Cumple",""))),CELL("contenido",FA6))</f>
        <v>Cumple</v>
      </c>
      <c r="FC6" s="25">
        <v>1</v>
      </c>
      <c r="FD6" s="29">
        <v>1</v>
      </c>
      <c r="FE6" s="29">
        <v>1</v>
      </c>
      <c r="FF6" s="29">
        <v>1</v>
      </c>
      <c r="FG6" s="29">
        <v>1</v>
      </c>
      <c r="FH6" s="25">
        <v>1</v>
      </c>
      <c r="FI6" s="25">
        <v>1</v>
      </c>
      <c r="FJ6" s="25">
        <v>1</v>
      </c>
      <c r="FK6" s="24">
        <f>COUNTIF(Tabla4[[#This Row],[Columna159]:[Columna166]],"&gt;=0")</f>
        <v>8</v>
      </c>
      <c r="FL6" s="24">
        <f>SUM(Tabla4[[#This Row],[Columna159]:[Columna166]])</f>
        <v>8</v>
      </c>
      <c r="FM6" s="10">
        <f t="shared" ref="FM6" si="22">IFERROR((FL6/FK6)*100,"NA")</f>
        <v>100</v>
      </c>
      <c r="FN6" s="35" t="str">
        <f t="shared" ref="FN6" ca="1" si="23">IF(FM6&lt;&gt;"NA",IF(FM6&lt;60,"No Cumple",IF(FM6&lt;=94.99,"Cumple Parcialmente",IF(FM6&gt;=95,"Cumple",""))),CELL("contenido",FM6))</f>
        <v>Cumple</v>
      </c>
      <c r="FO6" s="25">
        <v>1</v>
      </c>
      <c r="FP6" s="25">
        <v>1</v>
      </c>
      <c r="FQ6" s="25">
        <v>1</v>
      </c>
      <c r="FR6" s="25">
        <v>1</v>
      </c>
      <c r="FS6" s="25">
        <v>1</v>
      </c>
      <c r="FT6" s="24">
        <f>COUNTIF(Tabla4[[#This Row],[Columna171]:[Columna175]],"&gt;=0")</f>
        <v>5</v>
      </c>
      <c r="FU6" s="24">
        <f>SUM(Tabla4[[#This Row],[Columna171]:[Columna175]])</f>
        <v>5</v>
      </c>
      <c r="FV6" s="10">
        <f t="shared" ref="FV6" si="24">IFERROR((FU6/FT6)*100,"NA")</f>
        <v>100</v>
      </c>
      <c r="FW6" s="35" t="str">
        <f t="shared" ref="FW6" ca="1" si="25">IF(FV6&lt;&gt;"NA",IF(FV6&lt;60,"No Cumple",IF(FV6&lt;=94.99,"Cumple Parcialmente",IF(FV6&gt;=95,"Cumple",""))),CELL("contenido",FV6))</f>
        <v>Cumple</v>
      </c>
      <c r="FX6" s="29" t="s">
        <v>3409</v>
      </c>
      <c r="FY6" s="29" t="s">
        <v>3409</v>
      </c>
      <c r="FZ6" s="29" t="s">
        <v>3409</v>
      </c>
      <c r="GA6" s="29" t="s">
        <v>3409</v>
      </c>
      <c r="GB6" s="29" t="s">
        <v>3409</v>
      </c>
      <c r="GC6" s="29" t="s">
        <v>3409</v>
      </c>
      <c r="GD6" s="29" t="s">
        <v>3409</v>
      </c>
      <c r="GE6" s="29" t="s">
        <v>3409</v>
      </c>
      <c r="GF6" s="29" t="s">
        <v>3409</v>
      </c>
      <c r="GG6" s="29" t="s">
        <v>3409</v>
      </c>
      <c r="GH6" s="29" t="s">
        <v>3409</v>
      </c>
      <c r="GI6" s="25">
        <v>1</v>
      </c>
      <c r="GJ6" s="25">
        <v>1</v>
      </c>
      <c r="GK6" s="25">
        <v>1</v>
      </c>
      <c r="GL6" s="25">
        <v>1</v>
      </c>
      <c r="GM6" s="25">
        <v>1</v>
      </c>
      <c r="GN6" s="25">
        <v>1</v>
      </c>
      <c r="GO6" s="25">
        <v>1</v>
      </c>
      <c r="GP6" s="25">
        <v>1</v>
      </c>
      <c r="GQ6" s="25">
        <v>1</v>
      </c>
      <c r="GR6" s="25">
        <v>1</v>
      </c>
      <c r="GS6" s="25">
        <v>1</v>
      </c>
      <c r="GT6" s="25">
        <v>1</v>
      </c>
      <c r="GU6" s="25">
        <v>1</v>
      </c>
      <c r="GV6" s="25">
        <v>1</v>
      </c>
      <c r="GW6" s="25">
        <v>1</v>
      </c>
      <c r="GX6" s="25">
        <v>1</v>
      </c>
      <c r="GY6" s="25">
        <v>1</v>
      </c>
      <c r="GZ6" s="25">
        <v>1</v>
      </c>
      <c r="HA6" s="25">
        <v>1</v>
      </c>
      <c r="HB6" s="25">
        <v>1</v>
      </c>
      <c r="HC6" s="25">
        <v>1</v>
      </c>
      <c r="HD6" s="25">
        <v>1</v>
      </c>
      <c r="HE6" s="25">
        <v>1</v>
      </c>
      <c r="HF6" s="25">
        <v>1</v>
      </c>
      <c r="HG6" s="25">
        <v>1</v>
      </c>
      <c r="HH6" s="25">
        <v>1</v>
      </c>
      <c r="HI6" s="25">
        <v>1</v>
      </c>
      <c r="HJ6" s="25">
        <v>1</v>
      </c>
      <c r="HK6" s="25">
        <v>1</v>
      </c>
      <c r="HL6" s="25">
        <v>1</v>
      </c>
      <c r="HM6" s="25">
        <v>1</v>
      </c>
      <c r="HN6" s="25">
        <v>1</v>
      </c>
      <c r="HO6" s="25">
        <v>1</v>
      </c>
      <c r="HP6" s="25">
        <v>1</v>
      </c>
      <c r="HQ6" s="24">
        <f>COUNTIF(Tabla4[[#This Row],[Columna191]:[Columna224]],"&gt;=0")</f>
        <v>34</v>
      </c>
      <c r="HR6" s="24">
        <f>SUM(Tabla4[[#This Row],[Columna191]:[Columna224]])</f>
        <v>34</v>
      </c>
      <c r="HS6" s="10">
        <f t="shared" ref="HS6" si="26">IFERROR((HR6/HQ6)*100,"NA")</f>
        <v>100</v>
      </c>
      <c r="HT6" s="35" t="str">
        <f t="shared" ref="HT6" ca="1" si="27">IF(HS6&lt;&gt;"NA",IF(HS6&lt;60,"No Cumple",IF(HS6&lt;=94.99,"Cumple Parcialmente",IF(HS6&gt;=95,"Cumple",""))),CELL("contenido",HS6))</f>
        <v>Cumple</v>
      </c>
      <c r="HU6" s="9">
        <f>SUM(Tabla4[[#This Row],[Columna46]],Tabla4[[#This Row],[Columna59]],Tabla4[[#This Row],[Columna73]],Tabla4[[#This Row],[Columna86]],Tabla4[[#This Row],[Columna93]],Tabla4[[#This Row],[Columna112]],Tabla4[[#This Row],[Columna119]],Tabla4[[#This Row],[Columna127]],Tabla4[[#This Row],[Columna138]],Tabla4[[#This Row],[Columna144]],Tabla4[[#This Row],[Columna155]],Tabla4[[#This Row],[Columna167]],Tabla4[[#This Row],[Columna176]],Tabla4[[#This Row],[Columna225]])</f>
        <v>121</v>
      </c>
      <c r="HV6" s="9">
        <f>SUM(Tabla4[[#This Row],[Columna47]],Tabla4[[#This Row],[Columna60]],Tabla4[[#This Row],[Columna74]],Tabla4[[#This Row],[Columna87]],Tabla4[[#This Row],[Columna94]],Tabla4[[#This Row],[Columna113]],Tabla4[[#This Row],[Columna120]],Tabla4[[#This Row],[Columna128]],Tabla4[[#This Row],[Columna139]],Tabla4[[#This Row],[Columna145]],Tabla4[[#This Row],[Columna156]],Tabla4[[#This Row],[Columna168]],Tabla4[[#This Row],[Columna177]],Tabla4[[#This Row],[Columna226]])</f>
        <v>121</v>
      </c>
      <c r="HW6" s="10">
        <f t="shared" ref="HW6" si="28">IFERROR((HV6/HU6)*100,"NA")</f>
        <v>100</v>
      </c>
      <c r="HX6" s="35" t="str">
        <f t="shared" ref="HX6" ca="1" si="29">IF(HW6&lt;&gt;"NA",IF(HW6&lt;60,"No Cumple",IF(HW6&lt;=94.99,"Cumple Parcialmente",IF(HW6&gt;=95,"Cumple",""))),CELL("contenido",HW6))</f>
        <v>Cumple</v>
      </c>
      <c r="HY6" s="53" t="s">
        <v>3760</v>
      </c>
      <c r="HZ6" s="53" t="s">
        <v>303</v>
      </c>
      <c r="IA6" s="53"/>
      <c r="IB6" s="53"/>
      <c r="IC6" s="53"/>
      <c r="ID6" s="53"/>
      <c r="IE6" s="54" t="s">
        <v>4151</v>
      </c>
      <c r="IF6" s="54" t="s">
        <v>4151</v>
      </c>
      <c r="IG6" s="54" t="s">
        <v>431</v>
      </c>
      <c r="IH6" s="54" t="s">
        <v>431</v>
      </c>
      <c r="II6" s="25" t="s">
        <v>281</v>
      </c>
      <c r="IJ6" s="53"/>
      <c r="IK6" s="53"/>
      <c r="IL6" s="53"/>
      <c r="IM6" s="53"/>
      <c r="IN6" s="53"/>
      <c r="IO6" s="53"/>
      <c r="IP6" s="54"/>
      <c r="IQ6" s="54"/>
      <c r="IR6" s="54"/>
      <c r="IS6" s="54"/>
      <c r="IT6" s="25"/>
      <c r="IU6" s="53" t="s">
        <v>3657</v>
      </c>
      <c r="IV6" s="53" t="s">
        <v>303</v>
      </c>
      <c r="IW6" s="53"/>
      <c r="IX6" s="53"/>
      <c r="IY6" s="53"/>
      <c r="IZ6" s="53"/>
      <c r="JA6" s="54" t="s">
        <v>4152</v>
      </c>
      <c r="JB6" s="54" t="s">
        <v>4153</v>
      </c>
      <c r="JC6" s="54" t="s">
        <v>431</v>
      </c>
      <c r="JD6" s="54" t="s">
        <v>431</v>
      </c>
      <c r="JE6" s="25" t="s">
        <v>281</v>
      </c>
      <c r="JF6" s="53" t="s">
        <v>3636</v>
      </c>
      <c r="JG6" s="53" t="s">
        <v>303</v>
      </c>
      <c r="JH6" s="53"/>
      <c r="JI6" s="53"/>
      <c r="JJ6" s="53"/>
      <c r="JK6" s="53"/>
      <c r="JL6" s="54" t="s">
        <v>4154</v>
      </c>
      <c r="JM6" s="54" t="s">
        <v>4155</v>
      </c>
      <c r="JN6" s="54" t="s">
        <v>431</v>
      </c>
      <c r="JO6" s="54" t="s">
        <v>431</v>
      </c>
      <c r="JP6" s="25" t="s">
        <v>281</v>
      </c>
      <c r="JQ6" s="53" t="s">
        <v>3448</v>
      </c>
      <c r="JR6" s="53" t="s">
        <v>303</v>
      </c>
      <c r="JS6" s="53"/>
      <c r="JT6" s="53"/>
      <c r="JU6" s="53"/>
      <c r="JV6" s="53"/>
      <c r="JW6" s="54" t="s">
        <v>4156</v>
      </c>
      <c r="JX6" s="54" t="s">
        <v>4157</v>
      </c>
      <c r="JY6" s="54" t="s">
        <v>431</v>
      </c>
      <c r="JZ6" s="54" t="s">
        <v>431</v>
      </c>
      <c r="KA6" s="25" t="s">
        <v>281</v>
      </c>
      <c r="KB6" s="53"/>
      <c r="KC6" s="53"/>
      <c r="KD6" s="53"/>
      <c r="KE6" s="53"/>
      <c r="KF6" s="53"/>
      <c r="KG6" s="53"/>
      <c r="KH6" s="54"/>
      <c r="KI6" s="54"/>
      <c r="KJ6" s="54"/>
      <c r="KK6" s="54"/>
      <c r="KL6" s="25"/>
      <c r="KM6" s="53"/>
      <c r="KN6" s="53"/>
      <c r="KO6" s="53"/>
      <c r="KP6" s="53"/>
      <c r="KQ6" s="53"/>
      <c r="KR6" s="53"/>
      <c r="KS6" s="54"/>
      <c r="KT6" s="54"/>
      <c r="KU6" s="54"/>
      <c r="KV6" s="54"/>
      <c r="KW6" s="25"/>
      <c r="KX6" s="53"/>
      <c r="KY6" s="53"/>
      <c r="KZ6" s="53"/>
      <c r="LA6" s="53"/>
      <c r="LB6" s="53"/>
      <c r="LC6" s="53"/>
      <c r="LD6" s="54"/>
      <c r="LE6" s="54"/>
      <c r="LF6" s="54"/>
      <c r="LG6" s="54"/>
      <c r="LH6" s="25"/>
      <c r="LI6" s="53"/>
      <c r="LJ6" s="53"/>
      <c r="LK6" s="53"/>
      <c r="LL6" s="53"/>
      <c r="LM6" s="53"/>
      <c r="LN6" s="53"/>
      <c r="LO6" s="54"/>
      <c r="LP6" s="54"/>
      <c r="LQ6" s="54"/>
      <c r="LR6" s="54"/>
      <c r="LS6" s="25"/>
      <c r="LT6" s="53"/>
      <c r="LU6" s="53"/>
      <c r="LV6" s="53"/>
      <c r="LW6" s="53"/>
      <c r="LX6" s="53"/>
      <c r="LY6" s="53"/>
      <c r="LZ6" s="54"/>
      <c r="MA6" s="54"/>
      <c r="MB6" s="54"/>
      <c r="MC6" s="54"/>
      <c r="MD6" s="25"/>
      <c r="ME6" s="53"/>
      <c r="MF6" s="53"/>
      <c r="MG6" s="53"/>
      <c r="MH6" s="53"/>
      <c r="MI6" s="53"/>
      <c r="MJ6" s="53"/>
      <c r="MK6" s="54"/>
      <c r="ML6" s="54"/>
      <c r="MM6" s="54"/>
      <c r="MN6" s="54"/>
      <c r="MO6" s="25"/>
      <c r="MP6" s="53"/>
      <c r="MQ6" s="53"/>
      <c r="MR6" s="53"/>
      <c r="MS6" s="53"/>
      <c r="MT6" s="53"/>
      <c r="MU6" s="53"/>
      <c r="MV6" s="54"/>
      <c r="MW6" s="54"/>
      <c r="MX6" s="54"/>
      <c r="MY6" s="54"/>
      <c r="MZ6" s="25"/>
      <c r="NA6" s="53" t="s">
        <v>3621</v>
      </c>
      <c r="NB6" s="53" t="s">
        <v>3599</v>
      </c>
      <c r="NC6" s="54">
        <v>127</v>
      </c>
      <c r="ND6" s="26">
        <v>44629</v>
      </c>
      <c r="NE6" s="53" t="s">
        <v>431</v>
      </c>
      <c r="NF6" s="53" t="s">
        <v>431</v>
      </c>
      <c r="NG6" s="53" t="s">
        <v>4158</v>
      </c>
      <c r="NH6" s="53" t="s">
        <v>4159</v>
      </c>
      <c r="NI6" s="53" t="s">
        <v>4160</v>
      </c>
      <c r="NJ6" s="53">
        <v>0</v>
      </c>
      <c r="NK6" s="54" t="s">
        <v>431</v>
      </c>
      <c r="NL6" s="54" t="s">
        <v>431</v>
      </c>
      <c r="NM6" s="53" t="s">
        <v>3646</v>
      </c>
      <c r="NN6" s="53" t="s">
        <v>3586</v>
      </c>
      <c r="NO6" s="54">
        <v>2904</v>
      </c>
      <c r="NP6" s="26">
        <v>44315</v>
      </c>
      <c r="NQ6" s="53" t="s">
        <v>431</v>
      </c>
      <c r="NR6" s="53" t="s">
        <v>431</v>
      </c>
      <c r="NS6" s="53" t="s">
        <v>4161</v>
      </c>
      <c r="NT6" s="53" t="s">
        <v>4162</v>
      </c>
      <c r="NU6" s="53" t="s">
        <v>4163</v>
      </c>
      <c r="NV6" s="53">
        <v>0</v>
      </c>
      <c r="NW6" s="54" t="s">
        <v>431</v>
      </c>
      <c r="NX6" s="54" t="s">
        <v>431</v>
      </c>
      <c r="NY6" s="53" t="s">
        <v>3450</v>
      </c>
      <c r="NZ6" s="53" t="s">
        <v>3474</v>
      </c>
      <c r="OA6" s="54">
        <v>6131</v>
      </c>
      <c r="OB6" s="26">
        <v>43771</v>
      </c>
      <c r="OC6" s="53" t="s">
        <v>431</v>
      </c>
      <c r="OD6" s="53" t="s">
        <v>431</v>
      </c>
      <c r="OE6" s="53" t="s">
        <v>4164</v>
      </c>
      <c r="OF6" s="53" t="s">
        <v>4164</v>
      </c>
      <c r="OG6" s="53">
        <v>0</v>
      </c>
      <c r="OH6" s="53">
        <v>0</v>
      </c>
      <c r="OI6" s="54" t="s">
        <v>431</v>
      </c>
      <c r="OJ6" s="54" t="s">
        <v>431</v>
      </c>
      <c r="OK6" s="53" t="s">
        <v>3706</v>
      </c>
      <c r="OL6" s="53" t="s">
        <v>3476</v>
      </c>
      <c r="OM6" s="54">
        <v>2979</v>
      </c>
      <c r="ON6" s="26">
        <v>43795</v>
      </c>
      <c r="OO6" s="53" t="s">
        <v>431</v>
      </c>
      <c r="OP6" s="53" t="s">
        <v>431</v>
      </c>
      <c r="OQ6" s="53" t="s">
        <v>4165</v>
      </c>
      <c r="OR6" s="53" t="s">
        <v>4166</v>
      </c>
      <c r="OS6" s="53" t="s">
        <v>4167</v>
      </c>
      <c r="OT6" s="53">
        <v>0</v>
      </c>
      <c r="OU6" s="54" t="s">
        <v>431</v>
      </c>
      <c r="OV6" s="54" t="s">
        <v>431</v>
      </c>
      <c r="OW6" s="53" t="s">
        <v>3449</v>
      </c>
      <c r="OX6" s="53" t="s">
        <v>3476</v>
      </c>
      <c r="OY6" s="54">
        <v>3005</v>
      </c>
      <c r="OZ6" s="26">
        <v>43832</v>
      </c>
      <c r="PA6" s="53" t="s">
        <v>431</v>
      </c>
      <c r="PB6" s="53" t="s">
        <v>431</v>
      </c>
      <c r="PC6" s="53" t="s">
        <v>4168</v>
      </c>
      <c r="PD6" s="53" t="s">
        <v>4169</v>
      </c>
      <c r="PE6" s="53" t="s">
        <v>4170</v>
      </c>
      <c r="PF6" s="53">
        <v>0</v>
      </c>
      <c r="PG6" s="54" t="s">
        <v>431</v>
      </c>
      <c r="PH6" s="54" t="s">
        <v>431</v>
      </c>
      <c r="PI6" s="53" t="s">
        <v>3451</v>
      </c>
      <c r="PJ6" s="53" t="s">
        <v>3505</v>
      </c>
      <c r="PK6" s="54">
        <v>134</v>
      </c>
      <c r="PL6" s="26">
        <v>43620</v>
      </c>
      <c r="PM6" s="53" t="s">
        <v>431</v>
      </c>
      <c r="PN6" s="53" t="s">
        <v>431</v>
      </c>
      <c r="PO6" s="53">
        <v>415</v>
      </c>
      <c r="PP6" s="53">
        <v>415</v>
      </c>
      <c r="PQ6" s="53">
        <v>0</v>
      </c>
      <c r="PR6" s="53">
        <v>0</v>
      </c>
      <c r="PS6" s="54" t="s">
        <v>431</v>
      </c>
      <c r="PT6" s="54" t="s">
        <v>431</v>
      </c>
      <c r="PU6" s="53" t="s">
        <v>3748</v>
      </c>
      <c r="PV6" s="53" t="s">
        <v>3605</v>
      </c>
      <c r="PW6" s="54">
        <v>903</v>
      </c>
      <c r="PX6" s="26" t="s">
        <v>247</v>
      </c>
      <c r="PY6" s="53" t="s">
        <v>431</v>
      </c>
      <c r="PZ6" s="53" t="s">
        <v>431</v>
      </c>
      <c r="QA6" s="53" t="s">
        <v>4171</v>
      </c>
      <c r="QB6" s="53" t="s">
        <v>4172</v>
      </c>
      <c r="QC6" s="53" t="s">
        <v>4153</v>
      </c>
      <c r="QD6" s="53">
        <v>0</v>
      </c>
      <c r="QE6" s="54" t="s">
        <v>431</v>
      </c>
      <c r="QF6" s="54" t="s">
        <v>431</v>
      </c>
      <c r="QG6" s="53" t="s">
        <v>3752</v>
      </c>
      <c r="QH6" s="53" t="s">
        <v>3476</v>
      </c>
      <c r="QI6" s="54">
        <v>297</v>
      </c>
      <c r="QJ6" s="26">
        <v>43970</v>
      </c>
      <c r="QK6" s="53" t="s">
        <v>431</v>
      </c>
      <c r="QL6" s="53" t="s">
        <v>431</v>
      </c>
      <c r="QM6" s="53" t="s">
        <v>4173</v>
      </c>
      <c r="QN6" s="53" t="s">
        <v>4174</v>
      </c>
      <c r="QO6" s="53" t="s">
        <v>4175</v>
      </c>
      <c r="QP6" s="53">
        <v>0</v>
      </c>
      <c r="QQ6" s="54" t="s">
        <v>431</v>
      </c>
      <c r="QR6" s="54" t="s">
        <v>431</v>
      </c>
      <c r="QS6" s="53" t="s">
        <v>3563</v>
      </c>
      <c r="QT6" s="53" t="s">
        <v>3476</v>
      </c>
      <c r="QU6" s="54">
        <v>2967</v>
      </c>
      <c r="QV6" s="26">
        <v>43871</v>
      </c>
      <c r="QW6" s="53" t="s">
        <v>431</v>
      </c>
      <c r="QX6" s="53" t="s">
        <v>431</v>
      </c>
      <c r="QY6" s="53" t="s">
        <v>4176</v>
      </c>
      <c r="QZ6" s="53" t="s">
        <v>4177</v>
      </c>
      <c r="RA6" s="53" t="s">
        <v>4178</v>
      </c>
      <c r="RB6" s="53">
        <v>0</v>
      </c>
      <c r="RC6" s="54" t="s">
        <v>431</v>
      </c>
      <c r="RD6" s="54" t="s">
        <v>431</v>
      </c>
      <c r="RE6" s="53" t="s">
        <v>3853</v>
      </c>
      <c r="RF6" s="53" t="s">
        <v>1284</v>
      </c>
      <c r="RG6" s="54" t="s">
        <v>4179</v>
      </c>
      <c r="RH6" s="26">
        <v>43685</v>
      </c>
      <c r="RI6" s="53" t="s">
        <v>431</v>
      </c>
      <c r="RJ6" s="53" t="s">
        <v>431</v>
      </c>
      <c r="RK6" s="53" t="s">
        <v>4180</v>
      </c>
      <c r="RL6" s="53" t="s">
        <v>4180</v>
      </c>
      <c r="RM6" s="53">
        <v>0</v>
      </c>
      <c r="RN6" s="53">
        <v>0</v>
      </c>
      <c r="RO6" s="54" t="s">
        <v>431</v>
      </c>
      <c r="RP6" s="54" t="s">
        <v>431</v>
      </c>
      <c r="RQ6" s="53"/>
      <c r="RR6" s="53"/>
      <c r="RS6" s="54"/>
      <c r="RT6" s="26"/>
      <c r="RU6" s="53"/>
      <c r="RV6" s="53"/>
      <c r="RW6" s="53"/>
      <c r="RX6" s="53"/>
      <c r="RY6" s="53"/>
      <c r="RZ6" s="53"/>
      <c r="SA6" s="54"/>
      <c r="SB6" s="54"/>
      <c r="SC6" s="53"/>
      <c r="SD6" s="53"/>
      <c r="SE6" s="54"/>
      <c r="SF6" s="26"/>
      <c r="SG6" s="53"/>
      <c r="SH6" s="53"/>
      <c r="SI6" s="53"/>
      <c r="SJ6" s="53"/>
      <c r="SK6" s="53"/>
      <c r="SL6" s="53"/>
      <c r="SM6" s="54"/>
      <c r="SN6" s="54"/>
      <c r="SO6" s="53"/>
      <c r="SP6" s="53"/>
      <c r="SQ6" s="54"/>
      <c r="SR6" s="26"/>
      <c r="SS6" s="53"/>
      <c r="ST6" s="53"/>
      <c r="SU6" s="53"/>
      <c r="SV6" s="53"/>
      <c r="SW6" s="53"/>
      <c r="SX6" s="53"/>
      <c r="SY6" s="54"/>
      <c r="SZ6" s="54"/>
      <c r="TA6" s="53"/>
      <c r="TB6" s="53"/>
      <c r="TC6" s="54"/>
      <c r="TD6" s="26"/>
      <c r="TE6" s="53"/>
      <c r="TF6" s="53"/>
      <c r="TG6" s="53"/>
      <c r="TH6" s="53"/>
      <c r="TI6" s="53"/>
      <c r="TJ6" s="53"/>
      <c r="TK6" s="54"/>
      <c r="TL6" s="54"/>
      <c r="TM6" s="53"/>
      <c r="TN6" s="53"/>
      <c r="TO6" s="54"/>
      <c r="TP6" s="26"/>
      <c r="TQ6" s="53"/>
      <c r="TR6" s="53"/>
      <c r="TS6" s="53"/>
      <c r="TT6" s="53"/>
      <c r="TU6" s="53"/>
      <c r="TV6" s="53"/>
      <c r="TW6" s="54"/>
      <c r="TX6" s="54"/>
      <c r="TY6" s="53"/>
      <c r="TZ6" s="53"/>
      <c r="UA6" s="54"/>
      <c r="UB6" s="26"/>
      <c r="UC6" s="53"/>
      <c r="UD6" s="53"/>
      <c r="UE6" s="53"/>
      <c r="UF6" s="53"/>
      <c r="UG6" s="53"/>
      <c r="UH6" s="53"/>
      <c r="UI6" s="54"/>
      <c r="UJ6" s="54"/>
      <c r="UK6" s="53"/>
      <c r="UL6" s="53"/>
      <c r="UM6" s="54"/>
      <c r="UN6" s="26"/>
      <c r="UO6" s="53"/>
      <c r="UP6" s="53"/>
      <c r="UQ6" s="53"/>
      <c r="UR6" s="53"/>
      <c r="US6" s="53"/>
      <c r="UT6" s="53"/>
      <c r="UU6" s="54"/>
      <c r="UV6" s="54"/>
      <c r="UW6" s="53"/>
      <c r="UX6" s="53"/>
      <c r="UY6" s="54"/>
      <c r="UZ6" s="26"/>
      <c r="VA6" s="53"/>
      <c r="VB6" s="53"/>
      <c r="VC6" s="53"/>
      <c r="VD6" s="53"/>
      <c r="VE6" s="53"/>
      <c r="VF6" s="53"/>
      <c r="VG6" s="54"/>
      <c r="VH6" s="54"/>
      <c r="VI6" s="53"/>
      <c r="VJ6" s="53"/>
      <c r="VK6" s="54"/>
      <c r="VL6" s="26"/>
      <c r="VM6" s="53"/>
      <c r="VN6" s="53"/>
      <c r="VO6" s="53"/>
      <c r="VP6" s="53"/>
      <c r="VQ6" s="53"/>
      <c r="VR6" s="53"/>
      <c r="VS6" s="54"/>
      <c r="VT6" s="54"/>
      <c r="VU6" s="53"/>
      <c r="VV6" s="53"/>
      <c r="VW6" s="54"/>
      <c r="VX6" s="26"/>
      <c r="VY6" s="53"/>
      <c r="VZ6" s="53"/>
      <c r="WA6" s="53"/>
      <c r="WB6" s="53"/>
      <c r="WC6" s="53"/>
      <c r="WD6" s="53"/>
      <c r="WE6" s="54"/>
      <c r="WF6" s="54"/>
      <c r="WG6" s="53"/>
      <c r="WH6" s="53"/>
      <c r="WI6" s="54"/>
      <c r="WJ6" s="26"/>
      <c r="WK6" s="53"/>
      <c r="WL6" s="53"/>
      <c r="WM6" s="53"/>
      <c r="WN6" s="53"/>
      <c r="WO6" s="53"/>
      <c r="WP6" s="53"/>
      <c r="WQ6" s="54"/>
      <c r="WR6" s="54"/>
      <c r="WS6" s="53"/>
      <c r="WT6" s="53"/>
      <c r="WU6" s="54"/>
      <c r="WV6" s="26"/>
      <c r="WW6" s="53"/>
      <c r="WX6" s="53"/>
      <c r="WY6" s="53"/>
      <c r="WZ6" s="53"/>
      <c r="XA6" s="53"/>
      <c r="XB6" s="53"/>
      <c r="XC6" s="54"/>
      <c r="XD6" s="54"/>
      <c r="XE6" s="53"/>
      <c r="XF6" s="53"/>
      <c r="XG6" s="54"/>
      <c r="XH6" s="26"/>
      <c r="XI6" s="53"/>
      <c r="XJ6" s="53"/>
      <c r="XK6" s="53"/>
      <c r="XL6" s="53"/>
      <c r="XM6" s="53"/>
      <c r="XN6" s="53"/>
      <c r="XO6" s="54"/>
      <c r="XP6" s="54"/>
      <c r="XQ6" s="53"/>
      <c r="XR6" s="53"/>
      <c r="XS6" s="54"/>
      <c r="XT6" s="26"/>
      <c r="XU6" s="53"/>
      <c r="XV6" s="53"/>
      <c r="XW6" s="53"/>
      <c r="XX6" s="53"/>
      <c r="XY6" s="53"/>
      <c r="XZ6" s="53"/>
      <c r="YA6" s="54"/>
      <c r="YB6" s="54"/>
      <c r="YC6" s="53"/>
      <c r="YD6" s="53"/>
      <c r="YE6" s="54"/>
      <c r="YF6" s="26"/>
      <c r="YG6" s="53"/>
      <c r="YH6" s="53"/>
      <c r="YI6" s="53"/>
      <c r="YJ6" s="53"/>
      <c r="YK6" s="53"/>
      <c r="YL6" s="53"/>
      <c r="YM6" s="54"/>
      <c r="YN6" s="54"/>
      <c r="YO6" s="53"/>
      <c r="YP6" s="53"/>
      <c r="YQ6" s="54"/>
      <c r="YR6" s="26"/>
      <c r="YS6" s="53"/>
      <c r="YT6" s="53"/>
      <c r="YU6" s="53"/>
      <c r="YV6" s="53"/>
      <c r="YW6" s="53"/>
      <c r="YX6" s="53"/>
      <c r="YY6" s="54"/>
      <c r="YZ6" s="54"/>
      <c r="ZA6" s="53"/>
      <c r="ZB6" s="53"/>
      <c r="ZC6" s="54"/>
      <c r="ZD6" s="26"/>
      <c r="ZE6" s="53"/>
      <c r="ZF6" s="53"/>
      <c r="ZG6" s="53"/>
      <c r="ZH6" s="53"/>
      <c r="ZI6" s="53"/>
      <c r="ZJ6" s="53"/>
      <c r="ZK6" s="54"/>
      <c r="ZL6" s="54"/>
      <c r="ZM6" s="53"/>
      <c r="ZN6" s="53"/>
      <c r="ZO6" s="54"/>
      <c r="ZP6" s="26"/>
      <c r="ZQ6" s="53"/>
      <c r="ZR6" s="53"/>
      <c r="ZS6" s="53"/>
      <c r="ZT6" s="53"/>
      <c r="ZU6" s="53"/>
      <c r="ZV6" s="53"/>
      <c r="ZW6" s="54"/>
      <c r="ZX6" s="54"/>
      <c r="ZY6" s="58"/>
      <c r="ZZ6" s="32"/>
      <c r="AAA6" s="59"/>
      <c r="AAB6" s="57"/>
      <c r="AAC6" s="57"/>
    </row>
  </sheetData>
  <sheetProtection autoFilter="0"/>
  <mergeCells count="305">
    <mergeCell ref="TM2:TX2"/>
    <mergeCell ref="TM3:TM4"/>
    <mergeCell ref="TN3:TN4"/>
    <mergeCell ref="TO3:TO4"/>
    <mergeCell ref="TP3:TP4"/>
    <mergeCell ref="TQ3:TQ4"/>
    <mergeCell ref="TR3:TR4"/>
    <mergeCell ref="TS3:TV3"/>
    <mergeCell ref="TA2:TL2"/>
    <mergeCell ref="TA3:TA4"/>
    <mergeCell ref="TB3:TB4"/>
    <mergeCell ref="TC3:TC4"/>
    <mergeCell ref="TD3:TD4"/>
    <mergeCell ref="TE3:TE4"/>
    <mergeCell ref="TF3:TF4"/>
    <mergeCell ref="TG3:TJ3"/>
    <mergeCell ref="FC3:FN3"/>
    <mergeCell ref="SH3:SH4"/>
    <mergeCell ref="SI3:SL3"/>
    <mergeCell ref="RQ2:SB2"/>
    <mergeCell ref="RQ3:RQ4"/>
    <mergeCell ref="RR3:RR4"/>
    <mergeCell ref="RS3:RS4"/>
    <mergeCell ref="RT3:RT4"/>
    <mergeCell ref="RU3:RU4"/>
    <mergeCell ref="RV3:RV4"/>
    <mergeCell ref="CL3:CR3"/>
    <mergeCell ref="J1:J3"/>
    <mergeCell ref="K1:AN1"/>
    <mergeCell ref="K2:AN3"/>
    <mergeCell ref="EL3:EQ3"/>
    <mergeCell ref="AX3:BJ3"/>
    <mergeCell ref="BK3:BX3"/>
    <mergeCell ref="ER3:FB3"/>
    <mergeCell ref="DL3:DR3"/>
    <mergeCell ref="CS3:DK3"/>
    <mergeCell ref="A3:I3"/>
    <mergeCell ref="A1:I2"/>
    <mergeCell ref="AO3:AW3"/>
    <mergeCell ref="IU2:JE2"/>
    <mergeCell ref="IU3:IU4"/>
    <mergeCell ref="IV3:IZ3"/>
    <mergeCell ref="JA3:JC3"/>
    <mergeCell ref="JD3:JE3"/>
    <mergeCell ref="DS3:DZ3"/>
    <mergeCell ref="IJ2:IT2"/>
    <mergeCell ref="IJ3:IJ4"/>
    <mergeCell ref="IK3:IO3"/>
    <mergeCell ref="IP3:IR3"/>
    <mergeCell ref="IS3:IT3"/>
    <mergeCell ref="HY2:II2"/>
    <mergeCell ref="HY3:HY4"/>
    <mergeCell ref="HZ3:IB3"/>
    <mergeCell ref="IE3:IG3"/>
    <mergeCell ref="IH3:II3"/>
    <mergeCell ref="HU2:HX3"/>
    <mergeCell ref="FO3:FW3"/>
    <mergeCell ref="AO1:FW2"/>
    <mergeCell ref="BY3:CK3"/>
    <mergeCell ref="EA3:EK3"/>
    <mergeCell ref="KM2:KW2"/>
    <mergeCell ref="KM3:KM4"/>
    <mergeCell ref="KN3:KR3"/>
    <mergeCell ref="KS3:KU3"/>
    <mergeCell ref="KV3:KW3"/>
    <mergeCell ref="KB2:KL2"/>
    <mergeCell ref="KB3:KB4"/>
    <mergeCell ref="KC3:KG3"/>
    <mergeCell ref="KH3:KJ3"/>
    <mergeCell ref="KK3:KL3"/>
    <mergeCell ref="JQ2:KA2"/>
    <mergeCell ref="JQ3:JQ4"/>
    <mergeCell ref="JR3:JV3"/>
    <mergeCell ref="JW3:JY3"/>
    <mergeCell ref="JZ3:KA3"/>
    <mergeCell ref="JF2:JP2"/>
    <mergeCell ref="JF3:JF4"/>
    <mergeCell ref="JG3:JK3"/>
    <mergeCell ref="JL3:JN3"/>
    <mergeCell ref="JO3:JP3"/>
    <mergeCell ref="LI2:LS2"/>
    <mergeCell ref="LI3:LI4"/>
    <mergeCell ref="LJ3:LN3"/>
    <mergeCell ref="LO3:LQ3"/>
    <mergeCell ref="LR3:LS3"/>
    <mergeCell ref="KX2:LH2"/>
    <mergeCell ref="KX3:KX4"/>
    <mergeCell ref="KY3:LC3"/>
    <mergeCell ref="LD3:LF3"/>
    <mergeCell ref="LG3:LH3"/>
    <mergeCell ref="ME2:MO2"/>
    <mergeCell ref="ME3:ME4"/>
    <mergeCell ref="MF3:MJ3"/>
    <mergeCell ref="MK3:MM3"/>
    <mergeCell ref="MN3:MO3"/>
    <mergeCell ref="LT2:MD2"/>
    <mergeCell ref="LT3:LT4"/>
    <mergeCell ref="LU3:LY3"/>
    <mergeCell ref="LZ3:MB3"/>
    <mergeCell ref="MC3:MD3"/>
    <mergeCell ref="NM2:NX2"/>
    <mergeCell ref="NM3:NM4"/>
    <mergeCell ref="NN3:NN4"/>
    <mergeCell ref="NO3:NO4"/>
    <mergeCell ref="NP3:NP4"/>
    <mergeCell ref="NQ3:NQ4"/>
    <mergeCell ref="NR3:NR4"/>
    <mergeCell ref="NS3:NW3"/>
    <mergeCell ref="MP2:MZ2"/>
    <mergeCell ref="MP3:MP4"/>
    <mergeCell ref="MQ3:MU3"/>
    <mergeCell ref="MV3:MX3"/>
    <mergeCell ref="MY3:MZ3"/>
    <mergeCell ref="OK2:OV2"/>
    <mergeCell ref="OK3:OK4"/>
    <mergeCell ref="OL3:OL4"/>
    <mergeCell ref="OM3:OM4"/>
    <mergeCell ref="ON3:ON4"/>
    <mergeCell ref="OO3:OO4"/>
    <mergeCell ref="OP3:OP4"/>
    <mergeCell ref="OQ3:OU3"/>
    <mergeCell ref="NB3:NB4"/>
    <mergeCell ref="NC3:NC4"/>
    <mergeCell ref="ND3:ND4"/>
    <mergeCell ref="NE3:NE4"/>
    <mergeCell ref="NF3:NF4"/>
    <mergeCell ref="NG3:NK3"/>
    <mergeCell ref="NA2:NL2"/>
    <mergeCell ref="NA3:NA4"/>
    <mergeCell ref="NY2:OJ2"/>
    <mergeCell ref="NY3:NY4"/>
    <mergeCell ref="NZ3:NZ4"/>
    <mergeCell ref="OA3:OA4"/>
    <mergeCell ref="OB3:OB4"/>
    <mergeCell ref="OC3:OC4"/>
    <mergeCell ref="OD3:OD4"/>
    <mergeCell ref="OE3:OI3"/>
    <mergeCell ref="PI2:PT2"/>
    <mergeCell ref="PI3:PI4"/>
    <mergeCell ref="PJ3:PJ4"/>
    <mergeCell ref="PK3:PK4"/>
    <mergeCell ref="PL3:PL4"/>
    <mergeCell ref="PM3:PM4"/>
    <mergeCell ref="PN3:PN4"/>
    <mergeCell ref="PO3:PS3"/>
    <mergeCell ref="OW2:PH2"/>
    <mergeCell ref="OW3:OW4"/>
    <mergeCell ref="OX3:OX4"/>
    <mergeCell ref="OY3:OY4"/>
    <mergeCell ref="OZ3:OZ4"/>
    <mergeCell ref="PA3:PA4"/>
    <mergeCell ref="PB3:PB4"/>
    <mergeCell ref="PC3:PG3"/>
    <mergeCell ref="QM3:QQ3"/>
    <mergeCell ref="PU2:QF2"/>
    <mergeCell ref="PU3:PU4"/>
    <mergeCell ref="PV3:PV4"/>
    <mergeCell ref="PW3:PW4"/>
    <mergeCell ref="PX3:PX4"/>
    <mergeCell ref="PY3:PY4"/>
    <mergeCell ref="PZ3:PZ4"/>
    <mergeCell ref="QA3:QE3"/>
    <mergeCell ref="QG2:QR2"/>
    <mergeCell ref="QG3:QG4"/>
    <mergeCell ref="QH3:QH4"/>
    <mergeCell ref="QI3:QI4"/>
    <mergeCell ref="QJ3:QJ4"/>
    <mergeCell ref="QK3:QK4"/>
    <mergeCell ref="QL3:QL4"/>
    <mergeCell ref="SU3:SX3"/>
    <mergeCell ref="RW3:RZ3"/>
    <mergeCell ref="SC2:SN2"/>
    <mergeCell ref="SC3:SC4"/>
    <mergeCell ref="SD3:SD4"/>
    <mergeCell ref="SE3:SE4"/>
    <mergeCell ref="SF3:SF4"/>
    <mergeCell ref="SG3:SG4"/>
    <mergeCell ref="QS2:RD2"/>
    <mergeCell ref="QS3:QS4"/>
    <mergeCell ref="QT3:QT4"/>
    <mergeCell ref="QU3:QU4"/>
    <mergeCell ref="QV3:QV4"/>
    <mergeCell ref="QW3:QW4"/>
    <mergeCell ref="QX3:QX4"/>
    <mergeCell ref="QY3:RC3"/>
    <mergeCell ref="FX3:GH3"/>
    <mergeCell ref="TY2:UJ2"/>
    <mergeCell ref="TY3:TY4"/>
    <mergeCell ref="TZ3:TZ4"/>
    <mergeCell ref="UA3:UA4"/>
    <mergeCell ref="UB3:UB4"/>
    <mergeCell ref="UC3:UC4"/>
    <mergeCell ref="UD3:UD4"/>
    <mergeCell ref="UE3:UH3"/>
    <mergeCell ref="RE2:RP2"/>
    <mergeCell ref="RE3:RE4"/>
    <mergeCell ref="RF3:RF4"/>
    <mergeCell ref="RG3:RG4"/>
    <mergeCell ref="RH3:RH4"/>
    <mergeCell ref="RI3:RI4"/>
    <mergeCell ref="RJ3:RJ4"/>
    <mergeCell ref="RK3:RO3"/>
    <mergeCell ref="SO2:SZ2"/>
    <mergeCell ref="SO3:SO4"/>
    <mergeCell ref="SP3:SP4"/>
    <mergeCell ref="SQ3:SQ4"/>
    <mergeCell ref="SR3:SR4"/>
    <mergeCell ref="SS3:SS4"/>
    <mergeCell ref="ST3:ST4"/>
    <mergeCell ref="UK2:UV2"/>
    <mergeCell ref="UK3:UK4"/>
    <mergeCell ref="UL3:UL4"/>
    <mergeCell ref="UM3:UM4"/>
    <mergeCell ref="UN3:UN4"/>
    <mergeCell ref="UO3:UO4"/>
    <mergeCell ref="UP3:UP4"/>
    <mergeCell ref="UQ3:UT3"/>
    <mergeCell ref="UW2:VH2"/>
    <mergeCell ref="UW3:UW4"/>
    <mergeCell ref="UX3:UX4"/>
    <mergeCell ref="UY3:UY4"/>
    <mergeCell ref="UZ3:UZ4"/>
    <mergeCell ref="VA3:VA4"/>
    <mergeCell ref="VB3:VB4"/>
    <mergeCell ref="VC3:VF3"/>
    <mergeCell ref="VI2:VT2"/>
    <mergeCell ref="VI3:VI4"/>
    <mergeCell ref="VJ3:VJ4"/>
    <mergeCell ref="VK3:VK4"/>
    <mergeCell ref="VL3:VL4"/>
    <mergeCell ref="VM3:VM4"/>
    <mergeCell ref="VN3:VN4"/>
    <mergeCell ref="VO3:VR3"/>
    <mergeCell ref="VU2:WF2"/>
    <mergeCell ref="VU3:VU4"/>
    <mergeCell ref="VV3:VV4"/>
    <mergeCell ref="VW3:VW4"/>
    <mergeCell ref="VX3:VX4"/>
    <mergeCell ref="VY3:VY4"/>
    <mergeCell ref="VZ3:VZ4"/>
    <mergeCell ref="WA3:WD3"/>
    <mergeCell ref="WG2:WR2"/>
    <mergeCell ref="WG3:WG4"/>
    <mergeCell ref="WH3:WH4"/>
    <mergeCell ref="WI3:WI4"/>
    <mergeCell ref="WJ3:WJ4"/>
    <mergeCell ref="WK3:WK4"/>
    <mergeCell ref="WL3:WL4"/>
    <mergeCell ref="WM3:WP3"/>
    <mergeCell ref="WS2:XD2"/>
    <mergeCell ref="WS3:WS4"/>
    <mergeCell ref="WT3:WT4"/>
    <mergeCell ref="WU3:WU4"/>
    <mergeCell ref="WV3:WV4"/>
    <mergeCell ref="WW3:WW4"/>
    <mergeCell ref="WX3:WX4"/>
    <mergeCell ref="WY3:XB3"/>
    <mergeCell ref="XE2:XP2"/>
    <mergeCell ref="XE3:XE4"/>
    <mergeCell ref="XF3:XF4"/>
    <mergeCell ref="XG3:XG4"/>
    <mergeCell ref="XH3:XH4"/>
    <mergeCell ref="XI3:XI4"/>
    <mergeCell ref="XJ3:XJ4"/>
    <mergeCell ref="XK3:XN3"/>
    <mergeCell ref="XQ2:YB2"/>
    <mergeCell ref="XQ3:XQ4"/>
    <mergeCell ref="XR3:XR4"/>
    <mergeCell ref="XS3:XS4"/>
    <mergeCell ref="XT3:XT4"/>
    <mergeCell ref="XU3:XU4"/>
    <mergeCell ref="XV3:XV4"/>
    <mergeCell ref="XW3:XZ3"/>
    <mergeCell ref="YC2:YN2"/>
    <mergeCell ref="YC3:YC4"/>
    <mergeCell ref="YD3:YD4"/>
    <mergeCell ref="YE3:YE4"/>
    <mergeCell ref="YF3:YF4"/>
    <mergeCell ref="YG3:YG4"/>
    <mergeCell ref="YH3:YH4"/>
    <mergeCell ref="YI3:YL3"/>
    <mergeCell ref="YO2:YZ2"/>
    <mergeCell ref="YO3:YO4"/>
    <mergeCell ref="YP3:YP4"/>
    <mergeCell ref="YQ3:YQ4"/>
    <mergeCell ref="YR3:YR4"/>
    <mergeCell ref="YS3:YS4"/>
    <mergeCell ref="YT3:YT4"/>
    <mergeCell ref="YU3:YX3"/>
    <mergeCell ref="ZA2:ZL2"/>
    <mergeCell ref="ZA3:ZA4"/>
    <mergeCell ref="ZB3:ZB4"/>
    <mergeCell ref="ZC3:ZC4"/>
    <mergeCell ref="ZD3:ZD4"/>
    <mergeCell ref="ZE3:ZE4"/>
    <mergeCell ref="ZF3:ZF4"/>
    <mergeCell ref="ZG3:ZJ3"/>
    <mergeCell ref="ZM2:ZX2"/>
    <mergeCell ref="ZM3:ZM4"/>
    <mergeCell ref="ZN3:ZN4"/>
    <mergeCell ref="ZO3:ZO4"/>
    <mergeCell ref="ZP3:ZP4"/>
    <mergeCell ref="ZQ3:ZQ4"/>
    <mergeCell ref="ZR3:ZR4"/>
    <mergeCell ref="ZS3:ZV3"/>
  </mergeCells>
  <phoneticPr fontId="60" type="noConversion"/>
  <conditionalFormatting sqref="HX6 ZY6:AAC6">
    <cfRule type="containsText" dxfId="882" priority="1583" operator="containsText" text="Cumple Parcialmente">
      <formula>NOT(ISERROR(SEARCH("Cumple Parcialmente",HX6)))</formula>
    </cfRule>
    <cfRule type="containsText" dxfId="881" priority="1584" operator="containsText" text="No Cumple">
      <formula>NOT(ISERROR(SEARCH("No Cumple",HX6)))</formula>
    </cfRule>
    <cfRule type="containsText" dxfId="880" priority="1585" operator="containsText" text="Cumple">
      <formula>NOT(ISERROR(SEARCH("Cumple",HX6)))</formula>
    </cfRule>
  </conditionalFormatting>
  <conditionalFormatting sqref="BL6:BT6 BY6:CG6 CL6:CN6 CS6:DG6 DL6:DN6 DS6:DV6 EA6:EG6 EL6:EM6 ER6:EX6 FC6:FJ6 FO6:FS6 A6:P6 GI6:MZ6 ZY6:AAC6 R6:BF6">
    <cfRule type="containsBlanks" dxfId="879" priority="1563">
      <formula>LEN(TRIM(A6))=0</formula>
    </cfRule>
  </conditionalFormatting>
  <conditionalFormatting sqref="NE6:NK6 NA6:NC6">
    <cfRule type="containsBlanks" dxfId="878" priority="1015">
      <formula>LEN(TRIM(NA6))=0</formula>
    </cfRule>
  </conditionalFormatting>
  <conditionalFormatting sqref="ND6">
    <cfRule type="containsBlanks" dxfId="877" priority="1014">
      <formula>LEN(TRIM(ND6))=0</formula>
    </cfRule>
  </conditionalFormatting>
  <conditionalFormatting sqref="NQ6:NW6 NM6:NO6">
    <cfRule type="containsBlanks" dxfId="876" priority="1011">
      <formula>LEN(TRIM(NM6))=0</formula>
    </cfRule>
  </conditionalFormatting>
  <conditionalFormatting sqref="NP6">
    <cfRule type="containsBlanks" dxfId="875" priority="1010">
      <formula>LEN(TRIM(NP6))=0</formula>
    </cfRule>
  </conditionalFormatting>
  <conditionalFormatting sqref="NY6:OA6 OC6:OI6">
    <cfRule type="containsBlanks" dxfId="874" priority="1007">
      <formula>LEN(TRIM(NY6))=0</formula>
    </cfRule>
  </conditionalFormatting>
  <conditionalFormatting sqref="OB6">
    <cfRule type="containsBlanks" dxfId="873" priority="1006">
      <formula>LEN(TRIM(OB6))=0</formula>
    </cfRule>
  </conditionalFormatting>
  <conditionalFormatting sqref="OK6:OM6 OO6:OU6">
    <cfRule type="containsBlanks" dxfId="872" priority="1003">
      <formula>LEN(TRIM(OK6))=0</formula>
    </cfRule>
  </conditionalFormatting>
  <conditionalFormatting sqref="ON6">
    <cfRule type="containsBlanks" dxfId="871" priority="1002">
      <formula>LEN(TRIM(ON6))=0</formula>
    </cfRule>
  </conditionalFormatting>
  <conditionalFormatting sqref="PA6:PG6 OW6:OY6">
    <cfRule type="containsBlanks" dxfId="870" priority="999">
      <formula>LEN(TRIM(OW6))=0</formula>
    </cfRule>
  </conditionalFormatting>
  <conditionalFormatting sqref="OZ6">
    <cfRule type="containsBlanks" dxfId="869" priority="998">
      <formula>LEN(TRIM(OZ6))=0</formula>
    </cfRule>
  </conditionalFormatting>
  <conditionalFormatting sqref="PM6:PS6 PI6:PK6">
    <cfRule type="containsBlanks" dxfId="868" priority="995">
      <formula>LEN(TRIM(PI6))=0</formula>
    </cfRule>
  </conditionalFormatting>
  <conditionalFormatting sqref="PL6">
    <cfRule type="containsBlanks" dxfId="867" priority="994">
      <formula>LEN(TRIM(PL6))=0</formula>
    </cfRule>
  </conditionalFormatting>
  <conditionalFormatting sqref="PY6:QE6 PU6:PW6">
    <cfRule type="containsBlanks" dxfId="866" priority="991">
      <formula>LEN(TRIM(PU6))=0</formula>
    </cfRule>
  </conditionalFormatting>
  <conditionalFormatting sqref="PX6">
    <cfRule type="containsBlanks" dxfId="865" priority="990">
      <formula>LEN(TRIM(PX6))=0</formula>
    </cfRule>
  </conditionalFormatting>
  <conditionalFormatting sqref="QG6:QI6 QK6:QQ6">
    <cfRule type="containsBlanks" dxfId="864" priority="987">
      <formula>LEN(TRIM(QG6))=0</formula>
    </cfRule>
  </conditionalFormatting>
  <conditionalFormatting sqref="QJ6">
    <cfRule type="containsBlanks" dxfId="863" priority="986">
      <formula>LEN(TRIM(QJ6))=0</formula>
    </cfRule>
  </conditionalFormatting>
  <conditionalFormatting sqref="QW6:RC6 QS6:QU6">
    <cfRule type="containsBlanks" dxfId="862" priority="983">
      <formula>LEN(TRIM(QS6))=0</formula>
    </cfRule>
  </conditionalFormatting>
  <conditionalFormatting sqref="QV6">
    <cfRule type="containsBlanks" dxfId="861" priority="982">
      <formula>LEN(TRIM(QV6))=0</formula>
    </cfRule>
  </conditionalFormatting>
  <conditionalFormatting sqref="RE6:RG6 RI6:RO6">
    <cfRule type="containsBlanks" dxfId="860" priority="979">
      <formula>LEN(TRIM(RE6))=0</formula>
    </cfRule>
  </conditionalFormatting>
  <conditionalFormatting sqref="RH6">
    <cfRule type="containsBlanks" dxfId="859" priority="978">
      <formula>LEN(TRIM(RH6))=0</formula>
    </cfRule>
  </conditionalFormatting>
  <conditionalFormatting sqref="SA6:SB6 RW6:RY6">
    <cfRule type="containsBlanks" dxfId="858" priority="975">
      <formula>LEN(TRIM(RW6))=0</formula>
    </cfRule>
  </conditionalFormatting>
  <conditionalFormatting sqref="RZ6">
    <cfRule type="containsBlanks" dxfId="857" priority="974">
      <formula>LEN(TRIM(RZ6))=0</formula>
    </cfRule>
  </conditionalFormatting>
  <conditionalFormatting sqref="RQ6:RS6 RU6:RV6">
    <cfRule type="containsBlanks" dxfId="856" priority="973">
      <formula>LEN(TRIM(RQ6))=0</formula>
    </cfRule>
  </conditionalFormatting>
  <conditionalFormatting sqref="RT6">
    <cfRule type="containsBlanks" dxfId="855" priority="972">
      <formula>LEN(TRIM(RT6))=0</formula>
    </cfRule>
  </conditionalFormatting>
  <conditionalFormatting sqref="SM6:SN6 SI6:SK6">
    <cfRule type="containsBlanks" dxfId="854" priority="967">
      <formula>LEN(TRIM(SI6))=0</formula>
    </cfRule>
  </conditionalFormatting>
  <conditionalFormatting sqref="SL6">
    <cfRule type="containsBlanks" dxfId="853" priority="966">
      <formula>LEN(TRIM(SL6))=0</formula>
    </cfRule>
  </conditionalFormatting>
  <conditionalFormatting sqref="SC6:SE6 SG6:SH6">
    <cfRule type="containsBlanks" dxfId="852" priority="965">
      <formula>LEN(TRIM(SC6))=0</formula>
    </cfRule>
  </conditionalFormatting>
  <conditionalFormatting sqref="SF6">
    <cfRule type="containsBlanks" dxfId="851" priority="964">
      <formula>LEN(TRIM(SF6))=0</formula>
    </cfRule>
  </conditionalFormatting>
  <conditionalFormatting sqref="SY6:SZ6 SU6:SW6">
    <cfRule type="containsBlanks" dxfId="850" priority="959">
      <formula>LEN(TRIM(SU6))=0</formula>
    </cfRule>
  </conditionalFormatting>
  <conditionalFormatting sqref="SX6">
    <cfRule type="containsBlanks" dxfId="849" priority="958">
      <formula>LEN(TRIM(SX6))=0</formula>
    </cfRule>
  </conditionalFormatting>
  <conditionalFormatting sqref="SO6:SQ6 SS6:ST6">
    <cfRule type="containsBlanks" dxfId="848" priority="957">
      <formula>LEN(TRIM(SO6))=0</formula>
    </cfRule>
  </conditionalFormatting>
  <conditionalFormatting sqref="SR6">
    <cfRule type="containsBlanks" dxfId="847" priority="956">
      <formula>LEN(TRIM(SR6))=0</formula>
    </cfRule>
  </conditionalFormatting>
  <conditionalFormatting sqref="TK6:TL6 TG6:TI6">
    <cfRule type="containsBlanks" dxfId="846" priority="951">
      <formula>LEN(TRIM(TG6))=0</formula>
    </cfRule>
  </conditionalFormatting>
  <conditionalFormatting sqref="TJ6">
    <cfRule type="containsBlanks" dxfId="845" priority="950">
      <formula>LEN(TRIM(TJ6))=0</formula>
    </cfRule>
  </conditionalFormatting>
  <conditionalFormatting sqref="TA6:TC6 TE6:TF6">
    <cfRule type="containsBlanks" dxfId="844" priority="949">
      <formula>LEN(TRIM(TA6))=0</formula>
    </cfRule>
  </conditionalFormatting>
  <conditionalFormatting sqref="TD6">
    <cfRule type="containsBlanks" dxfId="843" priority="948">
      <formula>LEN(TRIM(TD6))=0</formula>
    </cfRule>
  </conditionalFormatting>
  <conditionalFormatting sqref="TW6:TX6 TS6:TU6">
    <cfRule type="containsBlanks" dxfId="842" priority="943">
      <formula>LEN(TRIM(TS6))=0</formula>
    </cfRule>
  </conditionalFormatting>
  <conditionalFormatting sqref="TV6">
    <cfRule type="containsBlanks" dxfId="841" priority="942">
      <formula>LEN(TRIM(TV6))=0</formula>
    </cfRule>
  </conditionalFormatting>
  <conditionalFormatting sqref="TM6:TO6 TQ6:TR6">
    <cfRule type="containsBlanks" dxfId="840" priority="941">
      <formula>LEN(TRIM(TM6))=0</formula>
    </cfRule>
  </conditionalFormatting>
  <conditionalFormatting sqref="TP6">
    <cfRule type="containsBlanks" dxfId="839" priority="940">
      <formula>LEN(TRIM(TP6))=0</formula>
    </cfRule>
  </conditionalFormatting>
  <conditionalFormatting sqref="NL6">
    <cfRule type="containsBlanks" dxfId="838" priority="939">
      <formula>LEN(TRIM(NL6))=0</formula>
    </cfRule>
  </conditionalFormatting>
  <conditionalFormatting sqref="NX6">
    <cfRule type="containsBlanks" dxfId="837" priority="937">
      <formula>LEN(TRIM(NX6))=0</formula>
    </cfRule>
  </conditionalFormatting>
  <conditionalFormatting sqref="OJ6">
    <cfRule type="containsBlanks" dxfId="836" priority="935">
      <formula>LEN(TRIM(OJ6))=0</formula>
    </cfRule>
  </conditionalFormatting>
  <conditionalFormatting sqref="OV6">
    <cfRule type="containsBlanks" dxfId="835" priority="933">
      <formula>LEN(TRIM(OV6))=0</formula>
    </cfRule>
  </conditionalFormatting>
  <conditionalFormatting sqref="PH6">
    <cfRule type="containsBlanks" dxfId="834" priority="931">
      <formula>LEN(TRIM(PH6))=0</formula>
    </cfRule>
  </conditionalFormatting>
  <conditionalFormatting sqref="PT6">
    <cfRule type="containsBlanks" dxfId="833" priority="929">
      <formula>LEN(TRIM(PT6))=0</formula>
    </cfRule>
  </conditionalFormatting>
  <conditionalFormatting sqref="QF6">
    <cfRule type="containsBlanks" dxfId="832" priority="927">
      <formula>LEN(TRIM(QF6))=0</formula>
    </cfRule>
  </conditionalFormatting>
  <conditionalFormatting sqref="QR6">
    <cfRule type="containsBlanks" dxfId="831" priority="925">
      <formula>LEN(TRIM(QR6))=0</formula>
    </cfRule>
  </conditionalFormatting>
  <conditionalFormatting sqref="RD6">
    <cfRule type="containsBlanks" dxfId="830" priority="923">
      <formula>LEN(TRIM(RD6))=0</formula>
    </cfRule>
  </conditionalFormatting>
  <conditionalFormatting sqref="RP6">
    <cfRule type="containsBlanks" dxfId="829" priority="921">
      <formula>LEN(TRIM(RP6))=0</formula>
    </cfRule>
  </conditionalFormatting>
  <conditionalFormatting sqref="AV6">
    <cfRule type="iconSet" priority="1896">
      <iconSet iconSet="3Arrows">
        <cfvo type="percent" val="0"/>
        <cfvo type="num" val="60"/>
        <cfvo type="num" val="95"/>
      </iconSet>
    </cfRule>
  </conditionalFormatting>
  <conditionalFormatting sqref="HW6">
    <cfRule type="iconSet" priority="1908">
      <iconSet iconSet="3Arrows">
        <cfvo type="percent" val="0"/>
        <cfvo type="num" val="60"/>
        <cfvo type="num" val="95"/>
      </iconSet>
    </cfRule>
  </conditionalFormatting>
  <conditionalFormatting sqref="HS6">
    <cfRule type="iconSet" priority="1919">
      <iconSet iconSet="3Arrows">
        <cfvo type="percent" val="0"/>
        <cfvo type="num" val="60"/>
        <cfvo type="num" val="95"/>
      </iconSet>
    </cfRule>
  </conditionalFormatting>
  <conditionalFormatting sqref="BK6">
    <cfRule type="containsBlanks" dxfId="828" priority="80">
      <formula>LEN(TRIM(BK6))=0</formula>
    </cfRule>
  </conditionalFormatting>
  <conditionalFormatting sqref="BG6:BJ6">
    <cfRule type="containsBlanks" dxfId="827" priority="78">
      <formula>LEN(TRIM(BG6))=0</formula>
    </cfRule>
  </conditionalFormatting>
  <conditionalFormatting sqref="BI6">
    <cfRule type="iconSet" priority="79">
      <iconSet iconSet="3Arrows">
        <cfvo type="percent" val="0"/>
        <cfvo type="num" val="60"/>
        <cfvo type="num" val="95"/>
      </iconSet>
    </cfRule>
  </conditionalFormatting>
  <conditionalFormatting sqref="BU6:BX6">
    <cfRule type="containsBlanks" dxfId="826" priority="76">
      <formula>LEN(TRIM(BU6))=0</formula>
    </cfRule>
  </conditionalFormatting>
  <conditionalFormatting sqref="BW6">
    <cfRule type="iconSet" priority="77">
      <iconSet iconSet="3Arrows">
        <cfvo type="percent" val="0"/>
        <cfvo type="num" val="60"/>
        <cfvo type="num" val="95"/>
      </iconSet>
    </cfRule>
  </conditionalFormatting>
  <conditionalFormatting sqref="CH6:CK6">
    <cfRule type="containsBlanks" dxfId="825" priority="74">
      <formula>LEN(TRIM(CH6))=0</formula>
    </cfRule>
  </conditionalFormatting>
  <conditionalFormatting sqref="CJ6">
    <cfRule type="iconSet" priority="75">
      <iconSet iconSet="3Arrows">
        <cfvo type="percent" val="0"/>
        <cfvo type="num" val="60"/>
        <cfvo type="num" val="95"/>
      </iconSet>
    </cfRule>
  </conditionalFormatting>
  <conditionalFormatting sqref="CO6:CR6">
    <cfRule type="containsBlanks" dxfId="824" priority="72">
      <formula>LEN(TRIM(CO6))=0</formula>
    </cfRule>
  </conditionalFormatting>
  <conditionalFormatting sqref="CQ6">
    <cfRule type="iconSet" priority="73">
      <iconSet iconSet="3Arrows">
        <cfvo type="percent" val="0"/>
        <cfvo type="num" val="60"/>
        <cfvo type="num" val="95"/>
      </iconSet>
    </cfRule>
  </conditionalFormatting>
  <conditionalFormatting sqref="DH6:DK6">
    <cfRule type="containsBlanks" dxfId="823" priority="70">
      <formula>LEN(TRIM(DH6))=0</formula>
    </cfRule>
  </conditionalFormatting>
  <conditionalFormatting sqref="DJ6">
    <cfRule type="iconSet" priority="71">
      <iconSet iconSet="3Arrows">
        <cfvo type="percent" val="0"/>
        <cfvo type="num" val="60"/>
        <cfvo type="num" val="95"/>
      </iconSet>
    </cfRule>
  </conditionalFormatting>
  <conditionalFormatting sqref="DO6:DR6">
    <cfRule type="containsBlanks" dxfId="822" priority="68">
      <formula>LEN(TRIM(DO6))=0</formula>
    </cfRule>
  </conditionalFormatting>
  <conditionalFormatting sqref="DQ6">
    <cfRule type="iconSet" priority="69">
      <iconSet iconSet="3Arrows">
        <cfvo type="percent" val="0"/>
        <cfvo type="num" val="60"/>
        <cfvo type="num" val="95"/>
      </iconSet>
    </cfRule>
  </conditionalFormatting>
  <conditionalFormatting sqref="DW6:DZ6">
    <cfRule type="containsBlanks" dxfId="821" priority="66">
      <formula>LEN(TRIM(DW6))=0</formula>
    </cfRule>
  </conditionalFormatting>
  <conditionalFormatting sqref="DY6">
    <cfRule type="iconSet" priority="67">
      <iconSet iconSet="3Arrows">
        <cfvo type="percent" val="0"/>
        <cfvo type="num" val="60"/>
        <cfvo type="num" val="95"/>
      </iconSet>
    </cfRule>
  </conditionalFormatting>
  <conditionalFormatting sqref="EH6:EK6">
    <cfRule type="containsBlanks" dxfId="820" priority="64">
      <formula>LEN(TRIM(EH6))=0</formula>
    </cfRule>
  </conditionalFormatting>
  <conditionalFormatting sqref="EJ6">
    <cfRule type="iconSet" priority="65">
      <iconSet iconSet="3Arrows">
        <cfvo type="percent" val="0"/>
        <cfvo type="num" val="60"/>
        <cfvo type="num" val="95"/>
      </iconSet>
    </cfRule>
  </conditionalFormatting>
  <conditionalFormatting sqref="EN6:EQ6">
    <cfRule type="containsBlanks" dxfId="819" priority="62">
      <formula>LEN(TRIM(EN6))=0</formula>
    </cfRule>
  </conditionalFormatting>
  <conditionalFormatting sqref="EP6">
    <cfRule type="iconSet" priority="63">
      <iconSet iconSet="3Arrows">
        <cfvo type="percent" val="0"/>
        <cfvo type="num" val="60"/>
        <cfvo type="num" val="95"/>
      </iconSet>
    </cfRule>
  </conditionalFormatting>
  <conditionalFormatting sqref="EY6:FB6">
    <cfRule type="containsBlanks" dxfId="818" priority="60">
      <formula>LEN(TRIM(EY6))=0</formula>
    </cfRule>
  </conditionalFormatting>
  <conditionalFormatting sqref="FA6">
    <cfRule type="iconSet" priority="61">
      <iconSet iconSet="3Arrows">
        <cfvo type="percent" val="0"/>
        <cfvo type="num" val="60"/>
        <cfvo type="num" val="95"/>
      </iconSet>
    </cfRule>
  </conditionalFormatting>
  <conditionalFormatting sqref="FK6:FN6">
    <cfRule type="containsBlanks" dxfId="817" priority="58">
      <formula>LEN(TRIM(FK6))=0</formula>
    </cfRule>
  </conditionalFormatting>
  <conditionalFormatting sqref="FM6">
    <cfRule type="iconSet" priority="59">
      <iconSet iconSet="3Arrows">
        <cfvo type="percent" val="0"/>
        <cfvo type="num" val="60"/>
        <cfvo type="num" val="95"/>
      </iconSet>
    </cfRule>
  </conditionalFormatting>
  <conditionalFormatting sqref="FT6:FW6">
    <cfRule type="containsBlanks" dxfId="816" priority="56">
      <formula>LEN(TRIM(FT6))=0</formula>
    </cfRule>
  </conditionalFormatting>
  <conditionalFormatting sqref="FV6">
    <cfRule type="iconSet" priority="57">
      <iconSet iconSet="3Arrows">
        <cfvo type="percent" val="0"/>
        <cfvo type="num" val="60"/>
        <cfvo type="num" val="95"/>
      </iconSet>
    </cfRule>
  </conditionalFormatting>
  <conditionalFormatting sqref="FX6:GH6">
    <cfRule type="containsBlanks" dxfId="815" priority="54">
      <formula>LEN(TRIM(FX6))=0</formula>
    </cfRule>
  </conditionalFormatting>
  <conditionalFormatting sqref="UI6:UJ6 UE6:UG6">
    <cfRule type="containsBlanks" dxfId="814" priority="53">
      <formula>LEN(TRIM(UE6))=0</formula>
    </cfRule>
  </conditionalFormatting>
  <conditionalFormatting sqref="UH6">
    <cfRule type="containsBlanks" dxfId="813" priority="52">
      <formula>LEN(TRIM(UH6))=0</formula>
    </cfRule>
  </conditionalFormatting>
  <conditionalFormatting sqref="TY6:UA6 UC6:UD6">
    <cfRule type="containsBlanks" dxfId="812" priority="51">
      <formula>LEN(TRIM(TY6))=0</formula>
    </cfRule>
  </conditionalFormatting>
  <conditionalFormatting sqref="UB6">
    <cfRule type="containsBlanks" dxfId="811" priority="50">
      <formula>LEN(TRIM(UB6))=0</formula>
    </cfRule>
  </conditionalFormatting>
  <conditionalFormatting sqref="UU6:UV6 UQ6:US6">
    <cfRule type="containsBlanks" dxfId="810" priority="49">
      <formula>LEN(TRIM(UQ6))=0</formula>
    </cfRule>
  </conditionalFormatting>
  <conditionalFormatting sqref="UT6">
    <cfRule type="containsBlanks" dxfId="809" priority="48">
      <formula>LEN(TRIM(UT6))=0</formula>
    </cfRule>
  </conditionalFormatting>
  <conditionalFormatting sqref="UK6:UM6 UO6:UP6">
    <cfRule type="containsBlanks" dxfId="808" priority="47">
      <formula>LEN(TRIM(UK6))=0</formula>
    </cfRule>
  </conditionalFormatting>
  <conditionalFormatting sqref="UN6">
    <cfRule type="containsBlanks" dxfId="807" priority="46">
      <formula>LEN(TRIM(UN6))=0</formula>
    </cfRule>
  </conditionalFormatting>
  <conditionalFormatting sqref="VG6:VH6 VC6:VE6">
    <cfRule type="containsBlanks" dxfId="806" priority="45">
      <formula>LEN(TRIM(VC6))=0</formula>
    </cfRule>
  </conditionalFormatting>
  <conditionalFormatting sqref="VF6">
    <cfRule type="containsBlanks" dxfId="805" priority="44">
      <formula>LEN(TRIM(VF6))=0</formula>
    </cfRule>
  </conditionalFormatting>
  <conditionalFormatting sqref="UW6:UY6 VA6:VB6">
    <cfRule type="containsBlanks" dxfId="804" priority="43">
      <formula>LEN(TRIM(UW6))=0</formula>
    </cfRule>
  </conditionalFormatting>
  <conditionalFormatting sqref="UZ6">
    <cfRule type="containsBlanks" dxfId="803" priority="42">
      <formula>LEN(TRIM(UZ6))=0</formula>
    </cfRule>
  </conditionalFormatting>
  <conditionalFormatting sqref="VS6:VT6 VO6:VQ6">
    <cfRule type="containsBlanks" dxfId="802" priority="41">
      <formula>LEN(TRIM(VO6))=0</formula>
    </cfRule>
  </conditionalFormatting>
  <conditionalFormatting sqref="VR6">
    <cfRule type="containsBlanks" dxfId="801" priority="40">
      <formula>LEN(TRIM(VR6))=0</formula>
    </cfRule>
  </conditionalFormatting>
  <conditionalFormatting sqref="VI6:VK6 VM6:VN6">
    <cfRule type="containsBlanks" dxfId="800" priority="39">
      <formula>LEN(TRIM(VI6))=0</formula>
    </cfRule>
  </conditionalFormatting>
  <conditionalFormatting sqref="VL6">
    <cfRule type="containsBlanks" dxfId="799" priority="38">
      <formula>LEN(TRIM(VL6))=0</formula>
    </cfRule>
  </conditionalFormatting>
  <conditionalFormatting sqref="WE6:WF6 WA6:WC6">
    <cfRule type="containsBlanks" dxfId="798" priority="37">
      <formula>LEN(TRIM(WA6))=0</formula>
    </cfRule>
  </conditionalFormatting>
  <conditionalFormatting sqref="WD6">
    <cfRule type="containsBlanks" dxfId="797" priority="36">
      <formula>LEN(TRIM(WD6))=0</formula>
    </cfRule>
  </conditionalFormatting>
  <conditionalFormatting sqref="VU6:VW6 VY6:VZ6">
    <cfRule type="containsBlanks" dxfId="796" priority="35">
      <formula>LEN(TRIM(VU6))=0</formula>
    </cfRule>
  </conditionalFormatting>
  <conditionalFormatting sqref="VX6">
    <cfRule type="containsBlanks" dxfId="795" priority="34">
      <formula>LEN(TRIM(VX6))=0</formula>
    </cfRule>
  </conditionalFormatting>
  <conditionalFormatting sqref="WQ6:WR6 WM6:WO6">
    <cfRule type="containsBlanks" dxfId="794" priority="33">
      <formula>LEN(TRIM(WM6))=0</formula>
    </cfRule>
  </conditionalFormatting>
  <conditionalFormatting sqref="WP6">
    <cfRule type="containsBlanks" dxfId="793" priority="32">
      <formula>LEN(TRIM(WP6))=0</formula>
    </cfRule>
  </conditionalFormatting>
  <conditionalFormatting sqref="WG6:WI6 WK6:WL6">
    <cfRule type="containsBlanks" dxfId="792" priority="31">
      <formula>LEN(TRIM(WG6))=0</formula>
    </cfRule>
  </conditionalFormatting>
  <conditionalFormatting sqref="WJ6">
    <cfRule type="containsBlanks" dxfId="791" priority="30">
      <formula>LEN(TRIM(WJ6))=0</formula>
    </cfRule>
  </conditionalFormatting>
  <conditionalFormatting sqref="XC6:XD6 WY6:XA6">
    <cfRule type="containsBlanks" dxfId="790" priority="29">
      <formula>LEN(TRIM(WY6))=0</formula>
    </cfRule>
  </conditionalFormatting>
  <conditionalFormatting sqref="XB6">
    <cfRule type="containsBlanks" dxfId="789" priority="28">
      <formula>LEN(TRIM(XB6))=0</formula>
    </cfRule>
  </conditionalFormatting>
  <conditionalFormatting sqref="WS6:WU6 WW6:WX6">
    <cfRule type="containsBlanks" dxfId="788" priority="27">
      <formula>LEN(TRIM(WS6))=0</formula>
    </cfRule>
  </conditionalFormatting>
  <conditionalFormatting sqref="WV6">
    <cfRule type="containsBlanks" dxfId="787" priority="26">
      <formula>LEN(TRIM(WV6))=0</formula>
    </cfRule>
  </conditionalFormatting>
  <conditionalFormatting sqref="XO6:XP6 XK6:XM6">
    <cfRule type="containsBlanks" dxfId="786" priority="25">
      <formula>LEN(TRIM(XK6))=0</formula>
    </cfRule>
  </conditionalFormatting>
  <conditionalFormatting sqref="XN6">
    <cfRule type="containsBlanks" dxfId="785" priority="24">
      <formula>LEN(TRIM(XN6))=0</formula>
    </cfRule>
  </conditionalFormatting>
  <conditionalFormatting sqref="XE6:XG6 XI6:XJ6">
    <cfRule type="containsBlanks" dxfId="784" priority="23">
      <formula>LEN(TRIM(XE6))=0</formula>
    </cfRule>
  </conditionalFormatting>
  <conditionalFormatting sqref="XH6">
    <cfRule type="containsBlanks" dxfId="783" priority="22">
      <formula>LEN(TRIM(XH6))=0</formula>
    </cfRule>
  </conditionalFormatting>
  <conditionalFormatting sqref="YA6:YB6 XW6:XY6">
    <cfRule type="containsBlanks" dxfId="782" priority="21">
      <formula>LEN(TRIM(XW6))=0</formula>
    </cfRule>
  </conditionalFormatting>
  <conditionalFormatting sqref="XZ6">
    <cfRule type="containsBlanks" dxfId="781" priority="20">
      <formula>LEN(TRIM(XZ6))=0</formula>
    </cfRule>
  </conditionalFormatting>
  <conditionalFormatting sqref="XQ6:XS6 XU6:XV6">
    <cfRule type="containsBlanks" dxfId="780" priority="19">
      <formula>LEN(TRIM(XQ6))=0</formula>
    </cfRule>
  </conditionalFormatting>
  <conditionalFormatting sqref="XT6">
    <cfRule type="containsBlanks" dxfId="779" priority="18">
      <formula>LEN(TRIM(XT6))=0</formula>
    </cfRule>
  </conditionalFormatting>
  <conditionalFormatting sqref="YM6:YN6 YI6:YK6">
    <cfRule type="containsBlanks" dxfId="778" priority="17">
      <formula>LEN(TRIM(YI6))=0</formula>
    </cfRule>
  </conditionalFormatting>
  <conditionalFormatting sqref="YL6">
    <cfRule type="containsBlanks" dxfId="777" priority="16">
      <formula>LEN(TRIM(YL6))=0</formula>
    </cfRule>
  </conditionalFormatting>
  <conditionalFormatting sqref="YC6:YE6 YG6:YH6">
    <cfRule type="containsBlanks" dxfId="776" priority="15">
      <formula>LEN(TRIM(YC6))=0</formula>
    </cfRule>
  </conditionalFormatting>
  <conditionalFormatting sqref="YF6">
    <cfRule type="containsBlanks" dxfId="775" priority="14">
      <formula>LEN(TRIM(YF6))=0</formula>
    </cfRule>
  </conditionalFormatting>
  <conditionalFormatting sqref="YY6:YZ6 YU6:YW6">
    <cfRule type="containsBlanks" dxfId="774" priority="13">
      <formula>LEN(TRIM(YU6))=0</formula>
    </cfRule>
  </conditionalFormatting>
  <conditionalFormatting sqref="YX6">
    <cfRule type="containsBlanks" dxfId="773" priority="12">
      <formula>LEN(TRIM(YX6))=0</formula>
    </cfRule>
  </conditionalFormatting>
  <conditionalFormatting sqref="YO6:YQ6 YS6:YT6">
    <cfRule type="containsBlanks" dxfId="772" priority="11">
      <formula>LEN(TRIM(YO6))=0</formula>
    </cfRule>
  </conditionalFormatting>
  <conditionalFormatting sqref="YR6">
    <cfRule type="containsBlanks" dxfId="771" priority="10">
      <formula>LEN(TRIM(YR6))=0</formula>
    </cfRule>
  </conditionalFormatting>
  <conditionalFormatting sqref="ZK6:ZL6 ZG6:ZI6">
    <cfRule type="containsBlanks" dxfId="770" priority="9">
      <formula>LEN(TRIM(ZG6))=0</formula>
    </cfRule>
  </conditionalFormatting>
  <conditionalFormatting sqref="ZJ6">
    <cfRule type="containsBlanks" dxfId="769" priority="8">
      <formula>LEN(TRIM(ZJ6))=0</formula>
    </cfRule>
  </conditionalFormatting>
  <conditionalFormatting sqref="ZA6:ZC6 ZE6:ZF6">
    <cfRule type="containsBlanks" dxfId="768" priority="7">
      <formula>LEN(TRIM(ZA6))=0</formula>
    </cfRule>
  </conditionalFormatting>
  <conditionalFormatting sqref="ZD6">
    <cfRule type="containsBlanks" dxfId="767" priority="6">
      <formula>LEN(TRIM(ZD6))=0</formula>
    </cfRule>
  </conditionalFormatting>
  <conditionalFormatting sqref="ZW6:ZX6 ZS6:ZU6">
    <cfRule type="containsBlanks" dxfId="766" priority="5">
      <formula>LEN(TRIM(ZS6))=0</formula>
    </cfRule>
  </conditionalFormatting>
  <conditionalFormatting sqref="ZV6">
    <cfRule type="containsBlanks" dxfId="765" priority="4">
      <formula>LEN(TRIM(ZV6))=0</formula>
    </cfRule>
  </conditionalFormatting>
  <conditionalFormatting sqref="ZM6:ZO6 ZQ6:ZR6">
    <cfRule type="containsBlanks" dxfId="764" priority="3">
      <formula>LEN(TRIM(ZM6))=0</formula>
    </cfRule>
  </conditionalFormatting>
  <conditionalFormatting sqref="ZP6">
    <cfRule type="containsBlanks" dxfId="763" priority="2">
      <formula>LEN(TRIM(ZP6))=0</formula>
    </cfRule>
  </conditionalFormatting>
  <conditionalFormatting sqref="Q6">
    <cfRule type="containsBlanks" dxfId="762" priority="1">
      <formula>LEN(TRIM(Q6))=0</formula>
    </cfRule>
  </conditionalFormatting>
  <dataValidations count="17">
    <dataValidation type="list" allowBlank="1" showInputMessage="1" showErrorMessage="1" sqref="FC6:FJ6 AO6:AS6 FO6:FS6 BK6:BT6 CL6:CN6 CS6:DG6 DL6:DN6 DS6:DV6 EA6:EG6 EL6:EM6 ER6:EX6 AX6:BF6 BY6:CG6" xr:uid="{00000000-0002-0000-0000-000000000000}">
      <formula1>OPCION</formula1>
    </dataValidation>
    <dataValidation type="list" allowBlank="1" showInputMessage="1" showErrorMessage="1" sqref="D6" xr:uid="{00000000-0002-0000-0000-000001000000}">
      <formula1>IDSEDE</formula1>
    </dataValidation>
    <dataValidation type="list" allowBlank="1" showInputMessage="1" showErrorMessage="1" sqref="MO6 MZ6 MD6 II6 IT6 JE6 JP6 KA6 KL6 KW6 LH6 LS6" xr:uid="{00000000-0002-0000-0000-000002000000}">
      <formula1>ALIMENTACION</formula1>
    </dataValidation>
    <dataValidation type="list" allowBlank="1" showInputMessage="1" showErrorMessage="1" sqref="AI6" xr:uid="{00000000-0002-0000-0000-000003000000}">
      <formula1>PROFESIONAL</formula1>
    </dataValidation>
    <dataValidation type="time" allowBlank="1" showInputMessage="1" showErrorMessage="1" error="El formato de la hora es MILITAR de 01:00 a 23:59" sqref="O6:P6" xr:uid="{00000000-0002-0000-0000-000004000000}">
      <formula1>0.0416666666666667</formula1>
      <formula2>0.999988425925926</formula2>
    </dataValidation>
    <dataValidation type="list" allowBlank="1" showInputMessage="1" showErrorMessage="1" sqref="X6 V6 R6 T6" xr:uid="{00000000-0002-0000-0000-000005000000}">
      <formula1>CONCEPTO</formula1>
    </dataValidation>
    <dataValidation type="list" allowBlank="1" showInputMessage="1" showErrorMessage="1" sqref="IR6:IS6 RO6 OI6 QQ6 NW6 RZ6:SB6 RC6 PS6 NK6 SL6:SN6 JC6:JD6 PG6 IG6:IH6 OU6 QE6 TJ6:TL6 SX6:SZ6 MX6:MY6 MM6:MN6 MB6:MC6 LQ6:LR6 LF6:LG6 KU6:KV6 KJ6:KK6 JY6:JZ6 JN6:JO6 TV6:TX6 UH6:UJ6 UT6:UV6 VF6:VH6 VR6:VT6 WD6:WF6 WP6:WR6 XB6:XD6 XN6:XP6 XZ6:YB6 YL6:YN6 YX6:YZ6 ZJ6:ZL6 ZV6:ZX6" xr:uid="{00000000-0002-0000-0000-000006000000}">
      <formula1>CUMPLE</formula1>
    </dataValidation>
    <dataValidation type="list" allowBlank="1" showInputMessage="1" showErrorMessage="1" sqref="AG6" xr:uid="{00000000-0002-0000-0000-000007000000}">
      <formula1>SEMANA</formula1>
    </dataValidation>
    <dataValidation type="list" allowBlank="1" showInputMessage="1" showErrorMessage="1" sqref="AH6" xr:uid="{00000000-0002-0000-0000-000008000000}">
      <formula1>MENU</formula1>
    </dataValidation>
    <dataValidation type="list" allowBlank="1" showInputMessage="1" showErrorMessage="1" sqref="IK6:IO6 MF6:MJ6 HZ6:ID6 MQ6:MU6 LU6:LY6 LJ6:LN6 KY6:LC6 KN6:KR6 KC6:KG6 JR6:JV6 IV6:IZ6 JG6:JK6" xr:uid="{00000000-0002-0000-0000-000009000000}">
      <formula1>GRADO</formula1>
    </dataValidation>
    <dataValidation type="list" allowBlank="1" showInputMessage="1" showErrorMessage="1" sqref="L6 FX6:GH6" xr:uid="{00000000-0002-0000-0000-00000A000000}">
      <formula1>SINO</formula1>
    </dataValidation>
    <dataValidation type="list" allowBlank="1" showInputMessage="1" showErrorMessage="1" sqref="GI6:HP6" xr:uid="{00000000-0002-0000-0000-00000B000000}">
      <formula1>OPCION2</formula1>
    </dataValidation>
    <dataValidation type="list" allowBlank="1" showInputMessage="1" showErrorMessage="1" sqref="SC6 RE6 TA6 PU6 ME6 LT6 LI6 KX6 KM6 KB6 JQ6 JF6 IU6 IJ6 HY6 MP6 SO6 PI6 NA6 TM6 NM6 NY6 OK6 OW6 QG6 QS6 RQ6 TY6 UK6 UW6 VI6 VU6 WG6 WS6 XE6 XQ6 YC6 YO6 ZA6 ZM6" xr:uid="{00000000-0002-0000-0000-00000C000000}">
      <formula1>PRODUCTO</formula1>
    </dataValidation>
    <dataValidation type="list" allowBlank="1" showInputMessage="1" showErrorMessage="1" sqref="SD6 RF6 TB6 PJ6 OX6 OL6 NZ6 NN6 TN6 NB6 SP6 PV6 QH6 QT6 RR6 TZ6 UL6 UX6 VJ6 VV6 WH6 WT6 XF6 XR6 YD6 YP6 ZB6 ZN6" xr:uid="{00000000-0002-0000-0000-00000D000000}">
      <formula1>MARCA</formula1>
    </dataValidation>
    <dataValidation type="date" allowBlank="1" showInputMessage="1" showErrorMessage="1" error="El formato de la fecha debe ser _x000a_DD/MM/AAAA" sqref="C6 W6 U6 S6 Y6" xr:uid="{00000000-0002-0000-0000-00000E000000}">
      <formula1>40179</formula1>
      <formula2>47848</formula2>
    </dataValidation>
    <dataValidation type="list" allowBlank="1" showInputMessage="1" showErrorMessage="1" sqref="NE6:NF6 RI6:RJ6 TE6:TF6 SS6:ST6 SG6:SH6 RU6:RV6 QW6:QX6 QK6:QL6 PY6:PZ6 PM6:PN6 PA6:PB6 OO6:OP6 OC6:OD6 NQ6:NR6 TQ6:TR6 UC6:UD6 UO6:UP6 VA6:VB6 VM6:VN6 VY6:VZ6 WK6:WL6 WW6:WX6 XI6:XJ6 XU6:XV6 YG6:YH6 YS6:YT6 ZE6:ZF6 ZQ6:ZR6" xr:uid="{00000000-0002-0000-0000-00000F000000}">
      <formula1>TEMPE</formula1>
    </dataValidation>
    <dataValidation type="list" allowBlank="1" showInputMessage="1" showErrorMessage="1" sqref="NL6 RP6 QR6 QF6 PT6 PH6 OV6 OJ6 NX6 RD6" xr:uid="{00000000-0002-0000-0000-000010000000}">
      <formula1>KARDEX</formula1>
    </dataValidation>
  </dataValidations>
  <pageMargins left="0.7" right="0.7" top="0.75" bottom="0.75" header="0.3" footer="0.3"/>
  <pageSetup orientation="portrait" horizontalDpi="4294967293" r:id="rId1"/>
  <ignoredErrors>
    <ignoredError sqref="N6" calculatedColumn="1"/>
  </ignoredErrors>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11000000}">
          <x14:formula1>
            <xm:f>DATOS!$A$9:$A$13</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0957-781B-419F-A3E6-9F5190409537}">
  <dimension ref="A1:H154"/>
  <sheetViews>
    <sheetView topLeftCell="B31" workbookViewId="0">
      <selection activeCell="B47" sqref="B47"/>
    </sheetView>
  </sheetViews>
  <sheetFormatPr baseColWidth="10" defaultRowHeight="14.4"/>
  <cols>
    <col min="2" max="2" width="255.77734375" bestFit="1" customWidth="1"/>
  </cols>
  <sheetData>
    <row r="1" spans="1:8" ht="19.95" customHeight="1" thickBot="1">
      <c r="A1" s="600" t="s">
        <v>4200</v>
      </c>
      <c r="B1" s="600"/>
      <c r="C1" s="600"/>
      <c r="D1" s="600"/>
      <c r="E1" s="600"/>
      <c r="F1" s="600"/>
      <c r="G1" s="600"/>
      <c r="H1" s="600"/>
    </row>
    <row r="2" spans="1:8" ht="19.95" customHeight="1" thickBot="1">
      <c r="A2" s="489" t="s">
        <v>4201</v>
      </c>
      <c r="B2" s="490" t="s">
        <v>4202</v>
      </c>
      <c r="C2" s="491" t="s">
        <v>4203</v>
      </c>
      <c r="D2" s="492" t="s">
        <v>3401</v>
      </c>
      <c r="E2" s="491" t="s">
        <v>3403</v>
      </c>
      <c r="F2" s="491" t="s">
        <v>3399</v>
      </c>
      <c r="G2" s="491" t="s">
        <v>4204</v>
      </c>
      <c r="H2" s="493"/>
    </row>
    <row r="3" spans="1:8" ht="19.95" customHeight="1" thickBot="1">
      <c r="A3" s="594" t="s">
        <v>4326</v>
      </c>
      <c r="B3" s="595"/>
      <c r="C3" s="494"/>
      <c r="D3" s="495"/>
      <c r="E3" s="495"/>
      <c r="F3" s="495"/>
      <c r="G3" s="495"/>
      <c r="H3" s="493"/>
    </row>
    <row r="4" spans="1:8" ht="19.95" customHeight="1" thickBot="1">
      <c r="A4" s="496">
        <v>1</v>
      </c>
      <c r="B4" s="497" t="s">
        <v>4205</v>
      </c>
      <c r="C4" s="497"/>
      <c r="D4" s="498"/>
      <c r="E4" s="498"/>
      <c r="F4" s="498"/>
      <c r="G4" s="498"/>
      <c r="H4" s="493"/>
    </row>
    <row r="5" spans="1:8" ht="19.95" customHeight="1" thickBot="1">
      <c r="A5" s="496">
        <v>2</v>
      </c>
      <c r="B5" s="497" t="s">
        <v>4206</v>
      </c>
      <c r="C5" s="497"/>
      <c r="D5" s="498"/>
      <c r="E5" s="498"/>
      <c r="F5" s="498"/>
      <c r="G5" s="498"/>
      <c r="H5" s="493"/>
    </row>
    <row r="6" spans="1:8" ht="19.95" customHeight="1" thickBot="1">
      <c r="A6" s="496">
        <v>3</v>
      </c>
      <c r="B6" s="497" t="s">
        <v>4207</v>
      </c>
      <c r="C6" s="497"/>
      <c r="D6" s="498"/>
      <c r="E6" s="498"/>
      <c r="F6" s="498"/>
      <c r="G6" s="498"/>
      <c r="H6" s="493"/>
    </row>
    <row r="7" spans="1:8" ht="19.95" customHeight="1" thickBot="1">
      <c r="A7" s="496">
        <v>4</v>
      </c>
      <c r="B7" s="497" t="s">
        <v>4208</v>
      </c>
      <c r="C7" s="497"/>
      <c r="D7" s="498"/>
      <c r="E7" s="498"/>
      <c r="F7" s="498"/>
      <c r="G7" s="498"/>
      <c r="H7" s="493"/>
    </row>
    <row r="8" spans="1:8" ht="19.95" customHeight="1" thickBot="1">
      <c r="A8" s="496">
        <v>5</v>
      </c>
      <c r="B8" s="497" t="s">
        <v>4209</v>
      </c>
      <c r="C8" s="497"/>
      <c r="D8" s="498"/>
      <c r="E8" s="498"/>
      <c r="F8" s="498"/>
      <c r="G8" s="498"/>
      <c r="H8" s="493"/>
    </row>
    <row r="9" spans="1:8" ht="19.95" customHeight="1" thickBot="1">
      <c r="A9" s="594" t="s">
        <v>4294</v>
      </c>
      <c r="B9" s="595"/>
      <c r="C9" s="494"/>
      <c r="D9" s="495"/>
      <c r="E9" s="495"/>
      <c r="F9" s="495"/>
      <c r="G9" s="495"/>
      <c r="H9" s="493"/>
    </row>
    <row r="10" spans="1:8" ht="19.95" customHeight="1" thickBot="1">
      <c r="A10" s="496">
        <v>6</v>
      </c>
      <c r="B10" s="497" t="s">
        <v>4210</v>
      </c>
      <c r="C10" s="497"/>
      <c r="D10" s="498"/>
      <c r="E10" s="498"/>
      <c r="F10" s="498"/>
      <c r="G10" s="498"/>
      <c r="H10" s="493"/>
    </row>
    <row r="11" spans="1:8" ht="19.95" customHeight="1" thickBot="1">
      <c r="A11" s="496">
        <v>7</v>
      </c>
      <c r="B11" s="497" t="s">
        <v>4211</v>
      </c>
      <c r="C11" s="497"/>
      <c r="D11" s="498"/>
      <c r="E11" s="498"/>
      <c r="F11" s="498"/>
      <c r="G11" s="498"/>
      <c r="H11" s="493"/>
    </row>
    <row r="12" spans="1:8" ht="19.95" customHeight="1" thickBot="1">
      <c r="A12" s="496">
        <v>8</v>
      </c>
      <c r="B12" s="497" t="s">
        <v>4212</v>
      </c>
      <c r="C12" s="497"/>
      <c r="D12" s="498"/>
      <c r="E12" s="498"/>
      <c r="F12" s="498"/>
      <c r="G12" s="498"/>
      <c r="H12" s="493"/>
    </row>
    <row r="13" spans="1:8" ht="19.95" customHeight="1" thickBot="1">
      <c r="A13" s="496">
        <v>9</v>
      </c>
      <c r="B13" s="497" t="s">
        <v>4213</v>
      </c>
      <c r="C13" s="497"/>
      <c r="D13" s="498"/>
      <c r="E13" s="498"/>
      <c r="F13" s="498"/>
      <c r="G13" s="498"/>
      <c r="H13" s="493"/>
    </row>
    <row r="14" spans="1:8" ht="19.95" customHeight="1" thickBot="1">
      <c r="A14" s="496">
        <v>10</v>
      </c>
      <c r="B14" s="497" t="s">
        <v>4214</v>
      </c>
      <c r="C14" s="497"/>
      <c r="D14" s="498"/>
      <c r="E14" s="498"/>
      <c r="F14" s="498"/>
      <c r="G14" s="498"/>
      <c r="H14" s="493"/>
    </row>
    <row r="15" spans="1:8" ht="19.95" customHeight="1" thickBot="1">
      <c r="A15" s="496">
        <v>11</v>
      </c>
      <c r="B15" s="497" t="s">
        <v>4215</v>
      </c>
      <c r="C15" s="497"/>
      <c r="D15" s="498"/>
      <c r="E15" s="498"/>
      <c r="F15" s="498"/>
      <c r="G15" s="498"/>
      <c r="H15" s="493"/>
    </row>
    <row r="16" spans="1:8" ht="19.95" customHeight="1" thickBot="1">
      <c r="A16" s="496">
        <v>12</v>
      </c>
      <c r="B16" s="497" t="s">
        <v>4216</v>
      </c>
      <c r="C16" s="497"/>
      <c r="D16" s="498"/>
      <c r="E16" s="498"/>
      <c r="F16" s="498"/>
      <c r="G16" s="498"/>
      <c r="H16" s="493"/>
    </row>
    <row r="17" spans="1:8" ht="19.95" customHeight="1" thickBot="1">
      <c r="A17" s="496">
        <v>13</v>
      </c>
      <c r="B17" s="497" t="s">
        <v>4217</v>
      </c>
      <c r="C17" s="497"/>
      <c r="D17" s="498"/>
      <c r="E17" s="498"/>
      <c r="F17" s="498"/>
      <c r="G17" s="498"/>
      <c r="H17" s="493"/>
    </row>
    <row r="18" spans="1:8" ht="19.95" customHeight="1" thickBot="1">
      <c r="A18" s="496">
        <v>14</v>
      </c>
      <c r="B18" s="497" t="s">
        <v>4218</v>
      </c>
      <c r="C18" s="497"/>
      <c r="D18" s="498"/>
      <c r="E18" s="498"/>
      <c r="F18" s="498"/>
      <c r="G18" s="498"/>
      <c r="H18" s="493"/>
    </row>
    <row r="19" spans="1:8" ht="19.95" customHeight="1" thickBot="1">
      <c r="A19" s="594" t="s">
        <v>2930</v>
      </c>
      <c r="B19" s="595"/>
      <c r="C19" s="499"/>
      <c r="D19" s="495"/>
      <c r="E19" s="495"/>
      <c r="F19" s="495"/>
      <c r="G19" s="495"/>
      <c r="H19" s="493"/>
    </row>
    <row r="20" spans="1:8" ht="19.95" customHeight="1" thickBot="1">
      <c r="A20" s="496">
        <v>15</v>
      </c>
      <c r="B20" s="497" t="s">
        <v>4219</v>
      </c>
      <c r="C20" s="497"/>
      <c r="D20" s="498"/>
      <c r="E20" s="498"/>
      <c r="F20" s="498"/>
      <c r="G20" s="498"/>
      <c r="H20" s="493"/>
    </row>
    <row r="21" spans="1:8" ht="19.95" customHeight="1" thickBot="1">
      <c r="A21" s="500">
        <v>16</v>
      </c>
      <c r="B21" s="497" t="s">
        <v>4220</v>
      </c>
      <c r="C21" s="497"/>
      <c r="D21" s="498"/>
      <c r="E21" s="498"/>
      <c r="F21" s="498"/>
      <c r="G21" s="498"/>
      <c r="H21" s="493"/>
    </row>
    <row r="22" spans="1:8" ht="19.95" customHeight="1" thickBot="1">
      <c r="A22" s="500">
        <v>17</v>
      </c>
      <c r="B22" s="497" t="s">
        <v>4221</v>
      </c>
      <c r="C22" s="497"/>
      <c r="D22" s="498"/>
      <c r="E22" s="498"/>
      <c r="F22" s="498"/>
      <c r="G22" s="498"/>
      <c r="H22" s="493"/>
    </row>
    <row r="23" spans="1:8" ht="19.95" customHeight="1" thickBot="1">
      <c r="A23" s="500">
        <v>18</v>
      </c>
      <c r="B23" s="497" t="s">
        <v>4222</v>
      </c>
      <c r="C23" s="497"/>
      <c r="D23" s="495" t="s">
        <v>247</v>
      </c>
      <c r="E23" s="498"/>
      <c r="F23" s="498"/>
      <c r="G23" s="498"/>
      <c r="H23" s="493"/>
    </row>
    <row r="24" spans="1:8" ht="19.95" customHeight="1" thickBot="1">
      <c r="A24" s="500">
        <v>19</v>
      </c>
      <c r="B24" s="497" t="s">
        <v>4223</v>
      </c>
      <c r="C24" s="497"/>
      <c r="D24" s="498"/>
      <c r="E24" s="498"/>
      <c r="F24" s="498"/>
      <c r="G24" s="498"/>
      <c r="H24" s="493"/>
    </row>
    <row r="25" spans="1:8" ht="19.95" customHeight="1" thickBot="1">
      <c r="A25" s="500">
        <v>20</v>
      </c>
      <c r="B25" s="497" t="s">
        <v>4224</v>
      </c>
      <c r="C25" s="497"/>
      <c r="D25" s="498"/>
      <c r="E25" s="498"/>
      <c r="F25" s="498"/>
      <c r="G25" s="498"/>
      <c r="H25" s="493"/>
    </row>
    <row r="26" spans="1:8" ht="19.95" customHeight="1" thickBot="1">
      <c r="A26" s="500">
        <v>21</v>
      </c>
      <c r="B26" s="497" t="s">
        <v>4225</v>
      </c>
      <c r="C26" s="497"/>
      <c r="D26" s="498"/>
      <c r="E26" s="495" t="s">
        <v>247</v>
      </c>
      <c r="F26" s="495" t="s">
        <v>247</v>
      </c>
      <c r="G26" s="495" t="s">
        <v>247</v>
      </c>
      <c r="H26" s="493"/>
    </row>
    <row r="27" spans="1:8" ht="19.95" customHeight="1" thickBot="1">
      <c r="A27" s="500">
        <v>22</v>
      </c>
      <c r="B27" s="497" t="s">
        <v>4226</v>
      </c>
      <c r="C27" s="497"/>
      <c r="D27" s="498"/>
      <c r="E27" s="495" t="s">
        <v>247</v>
      </c>
      <c r="F27" s="495" t="s">
        <v>247</v>
      </c>
      <c r="G27" s="495" t="s">
        <v>247</v>
      </c>
      <c r="H27" s="493"/>
    </row>
    <row r="28" spans="1:8" ht="19.95" customHeight="1" thickBot="1">
      <c r="A28" s="500">
        <v>23</v>
      </c>
      <c r="B28" s="497" t="s">
        <v>4227</v>
      </c>
      <c r="C28" s="497"/>
      <c r="D28" s="498"/>
      <c r="E28" s="495" t="s">
        <v>247</v>
      </c>
      <c r="F28" s="495" t="s">
        <v>247</v>
      </c>
      <c r="G28" s="495" t="s">
        <v>247</v>
      </c>
      <c r="H28" s="493"/>
    </row>
    <row r="29" spans="1:8" ht="19.95" customHeight="1" thickBot="1">
      <c r="A29" s="500">
        <v>24</v>
      </c>
      <c r="B29" s="497" t="s">
        <v>4228</v>
      </c>
      <c r="C29" s="497"/>
      <c r="D29" s="498"/>
      <c r="E29" s="498"/>
      <c r="F29" s="498"/>
      <c r="G29" s="498"/>
      <c r="H29" s="493"/>
    </row>
    <row r="30" spans="1:8" ht="19.95" customHeight="1" thickBot="1">
      <c r="A30" s="594" t="s">
        <v>4327</v>
      </c>
      <c r="B30" s="595"/>
      <c r="C30" s="499"/>
      <c r="D30" s="495"/>
      <c r="E30" s="495"/>
      <c r="F30" s="495"/>
      <c r="G30" s="495"/>
      <c r="H30" s="493"/>
    </row>
    <row r="31" spans="1:8" ht="19.95" customHeight="1" thickBot="1">
      <c r="A31" s="500">
        <v>25</v>
      </c>
      <c r="B31" s="497" t="s">
        <v>4229</v>
      </c>
      <c r="C31" s="497"/>
      <c r="D31" s="498"/>
      <c r="E31" s="498"/>
      <c r="F31" s="498"/>
      <c r="G31" s="498"/>
      <c r="H31" s="493"/>
    </row>
    <row r="32" spans="1:8" ht="19.95" customHeight="1" thickBot="1">
      <c r="A32" s="500">
        <v>26</v>
      </c>
      <c r="B32" s="497" t="s">
        <v>4230</v>
      </c>
      <c r="C32" s="497"/>
      <c r="D32" s="498"/>
      <c r="E32" s="498"/>
      <c r="F32" s="498"/>
      <c r="G32" s="498"/>
      <c r="H32" s="493"/>
    </row>
    <row r="33" spans="1:8" ht="19.95" customHeight="1" thickBot="1">
      <c r="A33" s="500">
        <v>27</v>
      </c>
      <c r="B33" s="497" t="s">
        <v>4231</v>
      </c>
      <c r="C33" s="497"/>
      <c r="D33" s="498"/>
      <c r="E33" s="498"/>
      <c r="F33" s="498"/>
      <c r="G33" s="498"/>
      <c r="H33" s="493"/>
    </row>
    <row r="34" spans="1:8" ht="19.95" customHeight="1" thickBot="1">
      <c r="A34" s="500">
        <v>28</v>
      </c>
      <c r="B34" s="497" t="s">
        <v>4232</v>
      </c>
      <c r="C34" s="497"/>
      <c r="D34" s="498"/>
      <c r="E34" s="498"/>
      <c r="F34" s="495" t="s">
        <v>247</v>
      </c>
      <c r="G34" s="498"/>
      <c r="H34" s="493"/>
    </row>
    <row r="35" spans="1:8" ht="19.95" customHeight="1" thickBot="1">
      <c r="A35" s="500">
        <v>29</v>
      </c>
      <c r="B35" s="497" t="s">
        <v>4233</v>
      </c>
      <c r="C35" s="497"/>
      <c r="D35" s="498"/>
      <c r="E35" s="495" t="s">
        <v>247</v>
      </c>
      <c r="F35" s="495" t="s">
        <v>247</v>
      </c>
      <c r="G35" s="495" t="s">
        <v>247</v>
      </c>
      <c r="H35" s="493"/>
    </row>
    <row r="36" spans="1:8" ht="19.95" customHeight="1" thickBot="1">
      <c r="A36" s="500">
        <v>30</v>
      </c>
      <c r="B36" s="497" t="s">
        <v>4234</v>
      </c>
      <c r="C36" s="497"/>
      <c r="D36" s="498"/>
      <c r="E36" s="495" t="s">
        <v>247</v>
      </c>
      <c r="F36" s="495" t="s">
        <v>247</v>
      </c>
      <c r="G36" s="495" t="s">
        <v>247</v>
      </c>
      <c r="H36" s="493"/>
    </row>
    <row r="37" spans="1:8" ht="19.95" customHeight="1" thickBot="1">
      <c r="A37" s="510">
        <v>31</v>
      </c>
      <c r="B37" s="497" t="s">
        <v>4328</v>
      </c>
      <c r="C37" s="511"/>
      <c r="D37" s="511"/>
      <c r="E37" s="511"/>
      <c r="F37" s="511"/>
      <c r="G37" s="511"/>
      <c r="H37" s="512"/>
    </row>
    <row r="38" spans="1:8" ht="19.95" customHeight="1" thickBot="1">
      <c r="A38" s="500">
        <v>32</v>
      </c>
      <c r="B38" s="497" t="s">
        <v>4235</v>
      </c>
      <c r="C38" s="497"/>
      <c r="D38" s="498"/>
      <c r="E38" s="498"/>
      <c r="F38" s="498"/>
      <c r="G38" s="498"/>
      <c r="H38" s="493"/>
    </row>
    <row r="39" spans="1:8" ht="19.95" customHeight="1" thickBot="1">
      <c r="A39" s="500">
        <v>33</v>
      </c>
      <c r="B39" s="497" t="s">
        <v>4236</v>
      </c>
      <c r="C39" s="497"/>
      <c r="D39" s="498"/>
      <c r="E39" s="498"/>
      <c r="F39" s="498"/>
      <c r="G39" s="498"/>
      <c r="H39" s="493"/>
    </row>
    <row r="40" spans="1:8" ht="19.95" customHeight="1" thickBot="1">
      <c r="A40" s="594" t="s">
        <v>4342</v>
      </c>
      <c r="B40" s="595"/>
      <c r="C40" s="499"/>
      <c r="D40" s="495"/>
      <c r="E40" s="495"/>
      <c r="F40" s="495"/>
      <c r="G40" s="495"/>
      <c r="H40" s="493"/>
    </row>
    <row r="41" spans="1:8" ht="19.95" customHeight="1" thickBot="1">
      <c r="A41" s="500">
        <v>34</v>
      </c>
      <c r="B41" s="497" t="s">
        <v>4237</v>
      </c>
      <c r="C41" s="497"/>
      <c r="D41" s="498"/>
      <c r="E41" s="498"/>
      <c r="F41" s="498"/>
      <c r="G41" s="498"/>
      <c r="H41" s="493"/>
    </row>
    <row r="42" spans="1:8" ht="19.95" customHeight="1" thickBot="1">
      <c r="A42" s="500">
        <v>35</v>
      </c>
      <c r="B42" s="501" t="s">
        <v>4238</v>
      </c>
      <c r="C42" s="497"/>
      <c r="D42" s="498"/>
      <c r="E42" s="498"/>
      <c r="F42" s="498"/>
      <c r="G42" s="498"/>
      <c r="H42" s="493"/>
    </row>
    <row r="43" spans="1:8" ht="19.95" customHeight="1" thickBot="1">
      <c r="A43" s="502">
        <v>36</v>
      </c>
      <c r="B43" s="503" t="s">
        <v>4239</v>
      </c>
      <c r="C43" s="497"/>
      <c r="D43" s="498"/>
      <c r="E43" s="498"/>
      <c r="F43" s="498"/>
      <c r="G43" s="498"/>
      <c r="H43" s="493"/>
    </row>
    <row r="44" spans="1:8" ht="19.95" customHeight="1" thickBot="1">
      <c r="A44" s="598" t="s">
        <v>4351</v>
      </c>
      <c r="B44" s="599"/>
      <c r="C44" s="499"/>
      <c r="D44" s="495"/>
      <c r="E44" s="495"/>
      <c r="F44" s="495"/>
      <c r="G44" s="495"/>
      <c r="H44" s="493"/>
    </row>
    <row r="45" spans="1:8" ht="19.95" customHeight="1" thickBot="1">
      <c r="A45" s="500">
        <v>37</v>
      </c>
      <c r="B45" s="497" t="s">
        <v>4240</v>
      </c>
      <c r="C45" s="497"/>
      <c r="D45" s="498"/>
      <c r="E45" s="498"/>
      <c r="F45" s="498"/>
      <c r="G45" s="498"/>
      <c r="H45" s="493"/>
    </row>
    <row r="46" spans="1:8" ht="19.95" customHeight="1" thickBot="1">
      <c r="A46" s="500">
        <v>38</v>
      </c>
      <c r="B46" s="497" t="s">
        <v>4241</v>
      </c>
      <c r="C46" s="497"/>
      <c r="D46" s="498"/>
      <c r="E46" s="498"/>
      <c r="F46" s="498"/>
      <c r="G46" s="498"/>
      <c r="H46" s="493"/>
    </row>
    <row r="47" spans="1:8" ht="19.95" customHeight="1" thickBot="1">
      <c r="A47" s="500">
        <v>39</v>
      </c>
      <c r="B47" s="497" t="s">
        <v>4242</v>
      </c>
      <c r="C47" s="497"/>
      <c r="D47" s="498"/>
      <c r="E47" s="498"/>
      <c r="F47" s="498"/>
      <c r="G47" s="498"/>
      <c r="H47" s="493"/>
    </row>
    <row r="48" spans="1:8" ht="19.95" customHeight="1" thickBot="1">
      <c r="A48" s="500">
        <v>40</v>
      </c>
      <c r="B48" s="497" t="s">
        <v>4243</v>
      </c>
      <c r="C48" s="497"/>
      <c r="D48" s="498"/>
      <c r="E48" s="498"/>
      <c r="F48" s="498"/>
      <c r="G48" s="498"/>
      <c r="H48" s="493"/>
    </row>
    <row r="49" spans="1:8" ht="19.95" customHeight="1" thickBot="1">
      <c r="A49" s="500">
        <v>41</v>
      </c>
      <c r="B49" s="497" t="s">
        <v>4244</v>
      </c>
      <c r="C49" s="497"/>
      <c r="D49" s="498"/>
      <c r="E49" s="498"/>
      <c r="F49" s="498"/>
      <c r="G49" s="498"/>
      <c r="H49" s="493"/>
    </row>
    <row r="50" spans="1:8" ht="19.95" customHeight="1" thickBot="1">
      <c r="A50" s="500">
        <v>42</v>
      </c>
      <c r="B50" s="497" t="s">
        <v>4245</v>
      </c>
      <c r="C50" s="497"/>
      <c r="D50" s="498"/>
      <c r="E50" s="498"/>
      <c r="F50" s="498"/>
      <c r="G50" s="498"/>
      <c r="H50" s="493"/>
    </row>
    <row r="51" spans="1:8" ht="19.95" customHeight="1" thickBot="1">
      <c r="A51" s="500">
        <v>43</v>
      </c>
      <c r="B51" s="497" t="s">
        <v>4246</v>
      </c>
      <c r="C51" s="497"/>
      <c r="D51" s="498"/>
      <c r="E51" s="498"/>
      <c r="F51" s="498"/>
      <c r="G51" s="498"/>
      <c r="H51" s="493"/>
    </row>
    <row r="52" spans="1:8" ht="19.95" customHeight="1" thickBot="1">
      <c r="A52" s="500">
        <v>44</v>
      </c>
      <c r="B52" s="497" t="s">
        <v>4247</v>
      </c>
      <c r="C52" s="497"/>
      <c r="D52" s="498"/>
      <c r="E52" s="498"/>
      <c r="F52" s="495" t="s">
        <v>247</v>
      </c>
      <c r="G52" s="498"/>
      <c r="H52" s="493"/>
    </row>
    <row r="53" spans="1:8" ht="19.95" customHeight="1" thickBot="1">
      <c r="A53" s="500">
        <v>45</v>
      </c>
      <c r="B53" s="497" t="s">
        <v>4248</v>
      </c>
      <c r="C53" s="497"/>
      <c r="D53" s="498"/>
      <c r="E53" s="498"/>
      <c r="F53" s="498"/>
      <c r="G53" s="498"/>
      <c r="H53" s="493"/>
    </row>
    <row r="54" spans="1:8" ht="19.95" customHeight="1" thickBot="1">
      <c r="A54" s="500">
        <v>46</v>
      </c>
      <c r="B54" s="497" t="s">
        <v>4249</v>
      </c>
      <c r="C54" s="497"/>
      <c r="D54" s="498"/>
      <c r="E54" s="498"/>
      <c r="F54" s="498"/>
      <c r="G54" s="498"/>
      <c r="H54" s="493"/>
    </row>
    <row r="55" spans="1:8" ht="19.95" customHeight="1" thickBot="1">
      <c r="A55" s="500">
        <v>47</v>
      </c>
      <c r="B55" s="497" t="s">
        <v>4250</v>
      </c>
      <c r="C55" s="497"/>
      <c r="D55" s="498"/>
      <c r="E55" s="498"/>
      <c r="F55" s="498"/>
      <c r="G55" s="498"/>
      <c r="H55" s="493"/>
    </row>
    <row r="56" spans="1:8" ht="19.95" customHeight="1" thickBot="1">
      <c r="A56" s="500">
        <v>48</v>
      </c>
      <c r="B56" s="497" t="s">
        <v>4251</v>
      </c>
      <c r="C56" s="497"/>
      <c r="D56" s="498"/>
      <c r="E56" s="498"/>
      <c r="F56" s="498"/>
      <c r="G56" s="498"/>
      <c r="H56" s="493"/>
    </row>
    <row r="57" spans="1:8" ht="19.95" customHeight="1" thickBot="1">
      <c r="A57" s="500">
        <v>49</v>
      </c>
      <c r="B57" s="497" t="s">
        <v>4252</v>
      </c>
      <c r="C57" s="497"/>
      <c r="D57" s="498"/>
      <c r="E57" s="495" t="s">
        <v>247</v>
      </c>
      <c r="F57" s="495" t="s">
        <v>247</v>
      </c>
      <c r="G57" s="495" t="s">
        <v>247</v>
      </c>
      <c r="H57" s="493"/>
    </row>
    <row r="58" spans="1:8" ht="19.95" customHeight="1" thickBot="1">
      <c r="A58" s="500">
        <v>50</v>
      </c>
      <c r="B58" s="497" t="s">
        <v>4253</v>
      </c>
      <c r="C58" s="497"/>
      <c r="D58" s="498"/>
      <c r="E58" s="498"/>
      <c r="F58" s="498"/>
      <c r="G58" s="498"/>
      <c r="H58" s="493"/>
    </row>
    <row r="59" spans="1:8" ht="19.95" customHeight="1" thickBot="1">
      <c r="A59" s="500">
        <v>51</v>
      </c>
      <c r="B59" s="497" t="s">
        <v>4254</v>
      </c>
      <c r="C59" s="498"/>
      <c r="D59" s="498"/>
      <c r="E59" s="498"/>
      <c r="F59" s="498"/>
      <c r="G59" s="498"/>
      <c r="H59" s="493"/>
    </row>
    <row r="60" spans="1:8" ht="19.95" customHeight="1" thickBot="1">
      <c r="A60" s="594" t="s">
        <v>4372</v>
      </c>
      <c r="B60" s="595"/>
      <c r="C60" s="499"/>
      <c r="D60" s="495"/>
      <c r="E60" s="495"/>
      <c r="F60" s="495"/>
      <c r="G60" s="495"/>
      <c r="H60" s="493"/>
    </row>
    <row r="61" spans="1:8" ht="19.95" customHeight="1" thickBot="1">
      <c r="A61" s="500">
        <v>52</v>
      </c>
      <c r="B61" s="497" t="s">
        <v>4255</v>
      </c>
      <c r="C61" s="497"/>
      <c r="D61" s="498"/>
      <c r="E61" s="498"/>
      <c r="F61" s="498"/>
      <c r="G61" s="498"/>
      <c r="H61" s="493"/>
    </row>
    <row r="62" spans="1:8" ht="19.95" customHeight="1" thickBot="1">
      <c r="A62" s="500">
        <v>53</v>
      </c>
      <c r="B62" s="497" t="s">
        <v>4256</v>
      </c>
      <c r="C62" s="497"/>
      <c r="D62" s="498"/>
      <c r="E62" s="498"/>
      <c r="F62" s="498"/>
      <c r="G62" s="498"/>
      <c r="H62" s="493"/>
    </row>
    <row r="63" spans="1:8" ht="19.95" customHeight="1" thickBot="1">
      <c r="A63" s="500">
        <v>54</v>
      </c>
      <c r="B63" s="497" t="s">
        <v>4257</v>
      </c>
      <c r="C63" s="497"/>
      <c r="D63" s="498"/>
      <c r="E63" s="498"/>
      <c r="F63" s="498"/>
      <c r="G63" s="498"/>
      <c r="H63" s="493"/>
    </row>
    <row r="64" spans="1:8" ht="19.95" customHeight="1" thickBot="1">
      <c r="A64" s="594" t="s">
        <v>4380</v>
      </c>
      <c r="B64" s="595"/>
      <c r="C64" s="499"/>
      <c r="D64" s="495"/>
      <c r="E64" s="495"/>
      <c r="F64" s="495"/>
      <c r="G64" s="495"/>
      <c r="H64" s="493"/>
    </row>
    <row r="65" spans="1:8" ht="19.95" customHeight="1" thickBot="1">
      <c r="A65" s="500">
        <v>55</v>
      </c>
      <c r="B65" s="497" t="s">
        <v>4258</v>
      </c>
      <c r="C65" s="497"/>
      <c r="D65" s="498"/>
      <c r="E65" s="498"/>
      <c r="F65" s="498"/>
      <c r="G65" s="498"/>
      <c r="H65" s="493"/>
    </row>
    <row r="66" spans="1:8" ht="19.95" customHeight="1" thickBot="1">
      <c r="A66" s="500">
        <v>56</v>
      </c>
      <c r="B66" s="497" t="s">
        <v>4259</v>
      </c>
      <c r="C66" s="497"/>
      <c r="D66" s="498"/>
      <c r="E66" s="498"/>
      <c r="F66" s="498"/>
      <c r="G66" s="498"/>
      <c r="H66" s="493"/>
    </row>
    <row r="67" spans="1:8" ht="19.95" customHeight="1" thickBot="1">
      <c r="A67" s="500">
        <v>57</v>
      </c>
      <c r="B67" s="497" t="s">
        <v>4260</v>
      </c>
      <c r="C67" s="497"/>
      <c r="D67" s="498"/>
      <c r="E67" s="498"/>
      <c r="F67" s="498"/>
      <c r="G67" s="498"/>
      <c r="H67" s="493"/>
    </row>
    <row r="68" spans="1:8" ht="19.95" customHeight="1" thickBot="1">
      <c r="A68" s="500">
        <v>58</v>
      </c>
      <c r="B68" s="497" t="s">
        <v>4261</v>
      </c>
      <c r="C68" s="497"/>
      <c r="D68" s="498"/>
      <c r="E68" s="498"/>
      <c r="F68" s="498"/>
      <c r="G68" s="498"/>
      <c r="H68" s="493"/>
    </row>
    <row r="69" spans="1:8" ht="19.95" customHeight="1" thickBot="1">
      <c r="A69" s="594" t="s">
        <v>4389</v>
      </c>
      <c r="B69" s="595"/>
      <c r="C69" s="499"/>
      <c r="D69" s="495"/>
      <c r="E69" s="495"/>
      <c r="F69" s="495"/>
      <c r="G69" s="495"/>
      <c r="H69" s="493"/>
    </row>
    <row r="70" spans="1:8" ht="19.95" customHeight="1" thickBot="1">
      <c r="A70" s="500">
        <v>59</v>
      </c>
      <c r="B70" s="501" t="s">
        <v>4262</v>
      </c>
      <c r="C70" s="497"/>
      <c r="D70" s="498"/>
      <c r="E70" s="498"/>
      <c r="F70" s="498"/>
      <c r="G70" s="498"/>
      <c r="H70" s="493"/>
    </row>
    <row r="71" spans="1:8" ht="19.95" customHeight="1" thickBot="1">
      <c r="A71" s="500">
        <v>60</v>
      </c>
      <c r="B71" s="497" t="s">
        <v>4263</v>
      </c>
      <c r="C71" s="497"/>
      <c r="D71" s="498"/>
      <c r="E71" s="498"/>
      <c r="F71" s="498"/>
      <c r="G71" s="498"/>
      <c r="H71" s="493"/>
    </row>
    <row r="72" spans="1:8" ht="19.95" customHeight="1" thickBot="1">
      <c r="A72" s="500">
        <v>61</v>
      </c>
      <c r="B72" s="497" t="s">
        <v>4264</v>
      </c>
      <c r="C72" s="497"/>
      <c r="D72" s="498"/>
      <c r="E72" s="498"/>
      <c r="F72" s="498"/>
      <c r="G72" s="498"/>
      <c r="H72" s="493"/>
    </row>
    <row r="73" spans="1:8" ht="19.95" customHeight="1" thickBot="1">
      <c r="A73" s="500">
        <v>62</v>
      </c>
      <c r="B73" s="497" t="s">
        <v>4265</v>
      </c>
      <c r="C73" s="497"/>
      <c r="D73" s="498"/>
      <c r="E73" s="498"/>
      <c r="F73" s="498"/>
      <c r="G73" s="498"/>
      <c r="H73" s="493"/>
    </row>
    <row r="74" spans="1:8" ht="19.95" customHeight="1" thickBot="1">
      <c r="A74" s="500">
        <v>63</v>
      </c>
      <c r="B74" s="497" t="s">
        <v>4266</v>
      </c>
      <c r="C74" s="497"/>
      <c r="D74" s="498"/>
      <c r="E74" s="498"/>
      <c r="F74" s="498"/>
      <c r="G74" s="498"/>
      <c r="H74" s="493"/>
    </row>
    <row r="75" spans="1:8" ht="19.95" customHeight="1" thickBot="1">
      <c r="A75" s="500">
        <v>64</v>
      </c>
      <c r="B75" s="504" t="s">
        <v>4267</v>
      </c>
      <c r="C75" s="497"/>
      <c r="D75" s="498"/>
      <c r="E75" s="498"/>
      <c r="F75" s="498"/>
      <c r="G75" s="498"/>
      <c r="H75" s="493"/>
    </row>
    <row r="76" spans="1:8" ht="19.95" customHeight="1" thickBot="1">
      <c r="A76" s="500">
        <v>65</v>
      </c>
      <c r="B76" s="505" t="s">
        <v>4268</v>
      </c>
      <c r="C76" s="497"/>
      <c r="D76" s="498"/>
      <c r="E76" s="498"/>
      <c r="F76" s="498"/>
      <c r="G76" s="498"/>
      <c r="H76" s="493"/>
    </row>
    <row r="77" spans="1:8" ht="19.95" customHeight="1" thickBot="1">
      <c r="A77" s="598" t="s">
        <v>4394</v>
      </c>
      <c r="B77" s="599"/>
      <c r="C77" s="499"/>
      <c r="D77" s="495"/>
      <c r="E77" s="495"/>
      <c r="F77" s="495"/>
      <c r="G77" s="495"/>
      <c r="H77" s="493"/>
    </row>
    <row r="78" spans="1:8" ht="19.95" customHeight="1" thickBot="1">
      <c r="A78" s="500">
        <v>66</v>
      </c>
      <c r="B78" s="497" t="s">
        <v>4269</v>
      </c>
      <c r="C78" s="497"/>
      <c r="D78" s="498"/>
      <c r="E78" s="498"/>
      <c r="F78" s="498"/>
      <c r="G78" s="498"/>
      <c r="H78" s="493"/>
    </row>
    <row r="79" spans="1:8" ht="19.95" customHeight="1" thickBot="1">
      <c r="A79" s="500">
        <v>67</v>
      </c>
      <c r="B79" s="497" t="s">
        <v>4270</v>
      </c>
      <c r="C79" s="497"/>
      <c r="D79" s="498"/>
      <c r="E79" s="495" t="s">
        <v>247</v>
      </c>
      <c r="F79" s="495" t="s">
        <v>247</v>
      </c>
      <c r="G79" s="495" t="s">
        <v>247</v>
      </c>
      <c r="H79" s="493"/>
    </row>
    <row r="80" spans="1:8" ht="19.95" customHeight="1" thickBot="1">
      <c r="A80" s="594" t="s">
        <v>4408</v>
      </c>
      <c r="B80" s="595"/>
      <c r="C80" s="499"/>
      <c r="D80" s="495"/>
      <c r="E80" s="495"/>
      <c r="F80" s="495"/>
      <c r="G80" s="495"/>
      <c r="H80" s="493"/>
    </row>
    <row r="81" spans="1:8" ht="19.95" customHeight="1" thickBot="1">
      <c r="A81" s="500">
        <v>68</v>
      </c>
      <c r="B81" s="497" t="s">
        <v>4271</v>
      </c>
      <c r="C81" s="495" t="s">
        <v>247</v>
      </c>
      <c r="D81" s="495" t="s">
        <v>247</v>
      </c>
      <c r="E81" s="498"/>
      <c r="F81" s="498"/>
      <c r="G81" s="498"/>
      <c r="H81" s="493"/>
    </row>
    <row r="82" spans="1:8" ht="19.95" customHeight="1" thickBot="1">
      <c r="A82" s="510">
        <v>69</v>
      </c>
      <c r="B82" s="497" t="s">
        <v>4409</v>
      </c>
      <c r="C82" s="511"/>
      <c r="D82" s="520" t="s">
        <v>247</v>
      </c>
      <c r="E82" s="511"/>
      <c r="F82" s="511"/>
      <c r="G82" s="511"/>
      <c r="H82" s="512"/>
    </row>
    <row r="83" spans="1:8" ht="19.95" customHeight="1" thickBot="1">
      <c r="A83" s="500">
        <v>70</v>
      </c>
      <c r="B83" s="497" t="s">
        <v>4272</v>
      </c>
      <c r="C83" s="495" t="s">
        <v>247</v>
      </c>
      <c r="D83" s="495" t="s">
        <v>247</v>
      </c>
      <c r="E83" s="498"/>
      <c r="F83" s="498"/>
      <c r="G83" s="498"/>
      <c r="H83" s="493"/>
    </row>
    <row r="84" spans="1:8" ht="19.95" customHeight="1" thickBot="1">
      <c r="A84" s="500">
        <v>71</v>
      </c>
      <c r="B84" s="497" t="s">
        <v>4273</v>
      </c>
      <c r="C84" s="495" t="s">
        <v>247</v>
      </c>
      <c r="D84" s="495" t="s">
        <v>247</v>
      </c>
      <c r="E84" s="498"/>
      <c r="F84" s="495" t="s">
        <v>247</v>
      </c>
      <c r="G84" s="495" t="s">
        <v>247</v>
      </c>
      <c r="H84" s="493"/>
    </row>
    <row r="85" spans="1:8" ht="19.95" customHeight="1" thickBot="1">
      <c r="A85" s="500">
        <v>72</v>
      </c>
      <c r="B85" s="497" t="s">
        <v>4274</v>
      </c>
      <c r="C85" s="497"/>
      <c r="D85" s="498"/>
      <c r="E85" s="498"/>
      <c r="F85" s="495" t="s">
        <v>247</v>
      </c>
      <c r="G85" s="498"/>
      <c r="H85" s="493"/>
    </row>
    <row r="86" spans="1:8" ht="19.95" customHeight="1" thickBot="1">
      <c r="A86" s="500">
        <v>73</v>
      </c>
      <c r="B86" s="497" t="s">
        <v>4275</v>
      </c>
      <c r="C86" s="495" t="s">
        <v>247</v>
      </c>
      <c r="D86" s="498"/>
      <c r="E86" s="498"/>
      <c r="F86" s="498"/>
      <c r="G86" s="498"/>
      <c r="H86" s="493"/>
    </row>
    <row r="87" spans="1:8" ht="19.95" customHeight="1" thickBot="1">
      <c r="A87" s="500">
        <v>74</v>
      </c>
      <c r="B87" s="497" t="s">
        <v>4276</v>
      </c>
      <c r="C87" s="495" t="s">
        <v>247</v>
      </c>
      <c r="D87" s="495" t="s">
        <v>247</v>
      </c>
      <c r="E87" s="498"/>
      <c r="F87" s="495" t="s">
        <v>247</v>
      </c>
      <c r="G87" s="495" t="s">
        <v>247</v>
      </c>
      <c r="H87" s="493"/>
    </row>
    <row r="88" spans="1:8" ht="19.95" customHeight="1" thickBot="1">
      <c r="A88" s="594" t="s">
        <v>4421</v>
      </c>
      <c r="B88" s="595"/>
      <c r="C88" s="499"/>
      <c r="D88" s="495"/>
      <c r="E88" s="495"/>
      <c r="F88" s="495"/>
      <c r="G88" s="495"/>
      <c r="H88" s="493"/>
    </row>
    <row r="89" spans="1:8" ht="19.95" customHeight="1" thickBot="1">
      <c r="A89" s="500">
        <v>75</v>
      </c>
      <c r="B89" s="497" t="s">
        <v>4277</v>
      </c>
      <c r="C89" s="497"/>
      <c r="D89" s="498"/>
      <c r="E89" s="498"/>
      <c r="F89" s="498"/>
      <c r="G89" s="498"/>
      <c r="H89" s="493"/>
    </row>
    <row r="90" spans="1:8" ht="19.95" customHeight="1" thickBot="1">
      <c r="A90" s="500">
        <v>76</v>
      </c>
      <c r="B90" s="497" t="s">
        <v>4278</v>
      </c>
      <c r="C90" s="497"/>
      <c r="D90" s="498"/>
      <c r="E90" s="498"/>
      <c r="F90" s="498"/>
      <c r="G90" s="498"/>
      <c r="H90" s="493"/>
    </row>
    <row r="91" spans="1:8" ht="19.95" customHeight="1" thickBot="1">
      <c r="A91" s="500">
        <v>77</v>
      </c>
      <c r="B91" s="497" t="s">
        <v>4279</v>
      </c>
      <c r="C91" s="497"/>
      <c r="D91" s="498"/>
      <c r="E91" s="498"/>
      <c r="F91" s="498"/>
      <c r="G91" s="498"/>
      <c r="H91" s="493"/>
    </row>
    <row r="92" spans="1:8" ht="19.95" customHeight="1" thickBot="1">
      <c r="A92" s="500">
        <v>78</v>
      </c>
      <c r="B92" s="497" t="s">
        <v>4280</v>
      </c>
      <c r="C92" s="497"/>
      <c r="D92" s="498"/>
      <c r="E92" s="498"/>
      <c r="F92" s="498"/>
      <c r="G92" s="498"/>
      <c r="H92" s="493"/>
    </row>
    <row r="93" spans="1:8" ht="19.95" customHeight="1" thickBot="1">
      <c r="A93" s="500">
        <v>79</v>
      </c>
      <c r="B93" s="497" t="s">
        <v>4281</v>
      </c>
      <c r="C93" s="497"/>
      <c r="D93" s="498"/>
      <c r="E93" s="498"/>
      <c r="F93" s="498"/>
      <c r="G93" s="498"/>
      <c r="H93" s="493"/>
    </row>
    <row r="94" spans="1:8" ht="19.95" customHeight="1" thickBot="1">
      <c r="A94" s="500">
        <v>80</v>
      </c>
      <c r="B94" s="497" t="s">
        <v>4282</v>
      </c>
      <c r="C94" s="497"/>
      <c r="D94" s="498"/>
      <c r="E94" s="498"/>
      <c r="F94" s="498"/>
      <c r="G94" s="498"/>
      <c r="H94" s="493"/>
    </row>
    <row r="95" spans="1:8" ht="19.95" customHeight="1" thickBot="1">
      <c r="A95" s="500">
        <v>81</v>
      </c>
      <c r="B95" s="497" t="s">
        <v>4283</v>
      </c>
      <c r="C95" s="497"/>
      <c r="D95" s="498"/>
      <c r="E95" s="498"/>
      <c r="F95" s="498"/>
      <c r="G95" s="498"/>
      <c r="H95" s="493"/>
    </row>
    <row r="96" spans="1:8" ht="19.95" customHeight="1" thickBot="1">
      <c r="A96" s="500">
        <v>82</v>
      </c>
      <c r="B96" s="497" t="s">
        <v>4284</v>
      </c>
      <c r="C96" s="497"/>
      <c r="D96" s="498"/>
      <c r="E96" s="498"/>
      <c r="F96" s="498"/>
      <c r="G96" s="498"/>
      <c r="H96" s="493"/>
    </row>
    <row r="98" spans="1:7" ht="15" thickBot="1"/>
    <row r="99" spans="1:7" ht="15" thickBot="1">
      <c r="A99" s="521" t="s">
        <v>4201</v>
      </c>
      <c r="B99" s="522" t="s">
        <v>4435</v>
      </c>
      <c r="C99" s="523" t="s">
        <v>4203</v>
      </c>
      <c r="D99" s="523" t="s">
        <v>3401</v>
      </c>
      <c r="E99" s="523" t="s">
        <v>3403</v>
      </c>
      <c r="F99" s="523" t="s">
        <v>3399</v>
      </c>
      <c r="G99" s="523" t="s">
        <v>4204</v>
      </c>
    </row>
    <row r="100" spans="1:7" ht="15" thickBot="1">
      <c r="A100" s="524">
        <v>83</v>
      </c>
      <c r="B100" s="525" t="s">
        <v>4436</v>
      </c>
      <c r="C100" s="525"/>
      <c r="D100" s="525"/>
      <c r="E100" s="525"/>
      <c r="F100" s="525"/>
      <c r="G100" s="525"/>
    </row>
    <row r="101" spans="1:7" ht="15" thickBot="1">
      <c r="A101" s="524">
        <v>84</v>
      </c>
      <c r="B101" s="525" t="s">
        <v>4437</v>
      </c>
      <c r="C101" s="525"/>
      <c r="D101" s="525"/>
      <c r="E101" s="525"/>
      <c r="F101" s="525"/>
      <c r="G101" s="525"/>
    </row>
    <row r="102" spans="1:7" ht="15" thickBot="1">
      <c r="A102" s="524">
        <v>85</v>
      </c>
      <c r="B102" s="525" t="s">
        <v>4438</v>
      </c>
      <c r="C102" s="525"/>
      <c r="D102" s="525"/>
      <c r="E102" s="525"/>
      <c r="F102" s="525"/>
      <c r="G102" s="525"/>
    </row>
    <row r="103" spans="1:7" ht="15" thickBot="1">
      <c r="A103" s="524">
        <v>86</v>
      </c>
      <c r="B103" s="525" t="s">
        <v>4439</v>
      </c>
      <c r="C103" s="525"/>
      <c r="D103" s="525"/>
      <c r="E103" s="525"/>
      <c r="F103" s="525"/>
      <c r="G103" s="525"/>
    </row>
    <row r="104" spans="1:7" ht="15" thickBot="1">
      <c r="A104" s="524">
        <v>87</v>
      </c>
      <c r="B104" s="525" t="s">
        <v>4440</v>
      </c>
      <c r="C104" s="525"/>
      <c r="D104" s="525"/>
      <c r="E104" s="525"/>
      <c r="F104" s="525"/>
      <c r="G104" s="525"/>
    </row>
    <row r="105" spans="1:7" ht="15" thickBot="1">
      <c r="A105" s="526" t="s">
        <v>4201</v>
      </c>
      <c r="B105" s="494" t="s">
        <v>4441</v>
      </c>
      <c r="C105" s="527" t="s">
        <v>4203</v>
      </c>
      <c r="D105" s="527" t="s">
        <v>3401</v>
      </c>
      <c r="E105" s="527" t="s">
        <v>3403</v>
      </c>
      <c r="F105" s="527" t="s">
        <v>3399</v>
      </c>
      <c r="G105" s="527" t="s">
        <v>4204</v>
      </c>
    </row>
    <row r="106" spans="1:7" ht="15" thickBot="1">
      <c r="A106" s="524">
        <v>88</v>
      </c>
      <c r="B106" s="525" t="s">
        <v>4442</v>
      </c>
      <c r="C106" s="525"/>
      <c r="D106" s="525"/>
      <c r="E106" s="525"/>
      <c r="F106" s="525"/>
      <c r="G106" s="525"/>
    </row>
    <row r="107" spans="1:7" ht="15" thickBot="1">
      <c r="A107" s="524">
        <v>89</v>
      </c>
      <c r="B107" s="525" t="s">
        <v>4443</v>
      </c>
      <c r="C107" s="525"/>
      <c r="D107" s="525"/>
      <c r="E107" s="525"/>
      <c r="F107" s="525"/>
      <c r="G107" s="525"/>
    </row>
    <row r="108" spans="1:7" ht="15" thickBot="1">
      <c r="A108" s="524">
        <v>90</v>
      </c>
      <c r="B108" s="525" t="s">
        <v>4444</v>
      </c>
      <c r="C108" s="525"/>
      <c r="D108" s="525"/>
      <c r="E108" s="525"/>
      <c r="F108" s="525"/>
      <c r="G108" s="525"/>
    </row>
    <row r="109" spans="1:7" ht="15" thickBot="1">
      <c r="A109" s="524">
        <v>91</v>
      </c>
      <c r="B109" s="525" t="s">
        <v>4445</v>
      </c>
      <c r="C109" s="525"/>
      <c r="D109" s="525"/>
      <c r="E109" s="525"/>
      <c r="F109" s="525"/>
      <c r="G109" s="525"/>
    </row>
    <row r="110" spans="1:7" ht="15" thickBot="1">
      <c r="A110" s="524">
        <v>92</v>
      </c>
      <c r="B110" s="525" t="s">
        <v>4446</v>
      </c>
      <c r="C110" s="525"/>
      <c r="D110" s="525"/>
      <c r="E110" s="525"/>
      <c r="F110" s="525"/>
      <c r="G110" s="525"/>
    </row>
    <row r="111" spans="1:7" ht="15" thickBot="1">
      <c r="A111" s="524">
        <v>93</v>
      </c>
      <c r="B111" s="525" t="s">
        <v>4447</v>
      </c>
      <c r="C111" s="525"/>
      <c r="D111" s="525"/>
      <c r="E111" s="525"/>
      <c r="F111" s="525"/>
      <c r="G111" s="525"/>
    </row>
    <row r="112" spans="1:7" ht="15" thickBot="1">
      <c r="A112" s="524">
        <v>91</v>
      </c>
      <c r="B112" s="525" t="s">
        <v>4448</v>
      </c>
      <c r="C112" s="525"/>
      <c r="D112" s="525"/>
      <c r="E112" s="525"/>
      <c r="F112" s="525"/>
      <c r="G112" s="525"/>
    </row>
    <row r="113" spans="1:7" ht="15" thickBot="1">
      <c r="A113" s="524">
        <v>92</v>
      </c>
      <c r="B113" s="525" t="s">
        <v>4449</v>
      </c>
      <c r="C113" s="525"/>
      <c r="D113" s="525"/>
      <c r="E113" s="525"/>
      <c r="F113" s="525"/>
      <c r="G113" s="525"/>
    </row>
    <row r="114" spans="1:7" ht="15" thickBot="1">
      <c r="A114" s="524">
        <v>93</v>
      </c>
      <c r="B114" s="525" t="s">
        <v>4450</v>
      </c>
      <c r="C114" s="525"/>
      <c r="D114" s="525"/>
      <c r="E114" s="525"/>
      <c r="F114" s="525"/>
      <c r="G114" s="525"/>
    </row>
    <row r="115" spans="1:7" ht="15" thickBot="1">
      <c r="A115" s="524">
        <v>94</v>
      </c>
      <c r="B115" s="525" t="s">
        <v>4451</v>
      </c>
      <c r="C115" s="525"/>
      <c r="D115" s="525"/>
      <c r="E115" s="525"/>
      <c r="F115" s="525"/>
      <c r="G115" s="525"/>
    </row>
    <row r="116" spans="1:7" ht="15" thickBot="1">
      <c r="A116" s="524">
        <v>95</v>
      </c>
      <c r="B116" s="525" t="s">
        <v>4452</v>
      </c>
      <c r="C116" s="525"/>
      <c r="D116" s="525"/>
      <c r="E116" s="525"/>
      <c r="F116" s="525"/>
      <c r="G116" s="525"/>
    </row>
    <row r="118" spans="1:7" ht="15" thickBot="1"/>
    <row r="119" spans="1:7">
      <c r="A119" s="530" t="s">
        <v>4462</v>
      </c>
      <c r="B119" s="596" t="s">
        <v>2921</v>
      </c>
      <c r="C119" s="592" t="s">
        <v>4464</v>
      </c>
      <c r="D119" s="592" t="s">
        <v>3401</v>
      </c>
      <c r="E119" s="592" t="s">
        <v>3403</v>
      </c>
      <c r="F119" s="592" t="s">
        <v>3399</v>
      </c>
      <c r="G119" s="592" t="s">
        <v>4204</v>
      </c>
    </row>
    <row r="120" spans="1:7" ht="24.6" thickBot="1">
      <c r="A120" s="526" t="s">
        <v>4463</v>
      </c>
      <c r="B120" s="597"/>
      <c r="C120" s="593"/>
      <c r="D120" s="593"/>
      <c r="E120" s="593"/>
      <c r="F120" s="593"/>
      <c r="G120" s="593"/>
    </row>
    <row r="121" spans="1:7" ht="15" thickBot="1">
      <c r="A121" s="531" t="s">
        <v>2885</v>
      </c>
      <c r="B121" s="497" t="s">
        <v>2922</v>
      </c>
      <c r="C121" s="525"/>
      <c r="D121" s="525"/>
      <c r="E121" s="525"/>
      <c r="F121" s="525"/>
      <c r="G121" s="525"/>
    </row>
    <row r="122" spans="1:7" ht="15" thickBot="1">
      <c r="A122" s="531" t="s">
        <v>2886</v>
      </c>
      <c r="B122" s="497" t="s">
        <v>2907</v>
      </c>
      <c r="C122" s="525"/>
      <c r="D122" s="525"/>
      <c r="E122" s="525"/>
      <c r="F122" s="525"/>
      <c r="G122" s="525"/>
    </row>
    <row r="123" spans="1:7" ht="15" thickBot="1">
      <c r="A123" s="531" t="s">
        <v>2887</v>
      </c>
      <c r="B123" s="497" t="s">
        <v>4465</v>
      </c>
      <c r="C123" s="525"/>
      <c r="D123" s="525"/>
      <c r="E123" s="525"/>
      <c r="F123" s="525"/>
      <c r="G123" s="525"/>
    </row>
    <row r="124" spans="1:7" ht="15" thickBot="1">
      <c r="A124" s="531" t="s">
        <v>2888</v>
      </c>
      <c r="B124" s="497" t="s">
        <v>2923</v>
      </c>
      <c r="C124" s="525"/>
      <c r="D124" s="525"/>
      <c r="E124" s="525"/>
      <c r="F124" s="525"/>
      <c r="G124" s="525"/>
    </row>
    <row r="125" spans="1:7" ht="15" thickBot="1">
      <c r="A125" s="531" t="s">
        <v>2889</v>
      </c>
      <c r="B125" s="497" t="s">
        <v>2924</v>
      </c>
      <c r="C125" s="525"/>
      <c r="D125" s="525"/>
      <c r="E125" s="525"/>
      <c r="F125" s="525"/>
      <c r="G125" s="525"/>
    </row>
    <row r="126" spans="1:7" ht="24.6" thickBot="1">
      <c r="A126" s="531" t="s">
        <v>2890</v>
      </c>
      <c r="B126" s="497" t="s">
        <v>2925</v>
      </c>
      <c r="C126" s="525"/>
      <c r="D126" s="525"/>
      <c r="E126" s="525"/>
      <c r="F126" s="525"/>
      <c r="G126" s="525"/>
    </row>
    <row r="127" spans="1:7" ht="24.6" thickBot="1">
      <c r="A127" s="531" t="s">
        <v>2891</v>
      </c>
      <c r="B127" s="497" t="s">
        <v>2926</v>
      </c>
      <c r="C127" s="525"/>
      <c r="D127" s="525"/>
      <c r="E127" s="525"/>
      <c r="F127" s="525"/>
      <c r="G127" s="525"/>
    </row>
    <row r="128" spans="1:7" ht="15" thickBot="1">
      <c r="A128" s="531" t="s">
        <v>2892</v>
      </c>
      <c r="B128" s="497" t="s">
        <v>2927</v>
      </c>
      <c r="C128" s="525"/>
      <c r="D128" s="525"/>
      <c r="E128" s="525"/>
      <c r="F128" s="525"/>
      <c r="G128" s="525"/>
    </row>
    <row r="129" spans="1:7" ht="15" thickBot="1">
      <c r="A129" s="531" t="s">
        <v>4466</v>
      </c>
      <c r="B129" s="497" t="s">
        <v>2908</v>
      </c>
      <c r="C129" s="525"/>
      <c r="D129" s="525"/>
      <c r="E129" s="525"/>
      <c r="F129" s="525"/>
      <c r="G129" s="525"/>
    </row>
    <row r="130" spans="1:7" ht="24.6" thickBot="1">
      <c r="A130" s="531" t="s">
        <v>4467</v>
      </c>
      <c r="B130" s="497" t="s">
        <v>2928</v>
      </c>
      <c r="C130" s="525"/>
      <c r="D130" s="525"/>
      <c r="E130" s="525"/>
      <c r="F130" s="525"/>
      <c r="G130" s="525"/>
    </row>
    <row r="131" spans="1:7" ht="15" thickBot="1">
      <c r="A131" s="531" t="s">
        <v>4468</v>
      </c>
      <c r="B131" s="497" t="s">
        <v>2929</v>
      </c>
      <c r="C131" s="525"/>
      <c r="D131" s="525"/>
      <c r="E131" s="525"/>
      <c r="F131" s="525"/>
      <c r="G131" s="525"/>
    </row>
    <row r="132" spans="1:7" ht="15" thickBot="1">
      <c r="A132" s="531" t="s">
        <v>4469</v>
      </c>
      <c r="B132" s="497" t="s">
        <v>4470</v>
      </c>
      <c r="C132" s="525"/>
      <c r="D132" s="525"/>
      <c r="E132" s="525"/>
      <c r="F132" s="525"/>
      <c r="G132" s="525"/>
    </row>
    <row r="133" spans="1:7" ht="15" thickBot="1">
      <c r="A133" s="531" t="s">
        <v>4471</v>
      </c>
      <c r="B133" s="497" t="s">
        <v>4472</v>
      </c>
      <c r="C133" s="525"/>
      <c r="D133" s="525"/>
      <c r="E133" s="525"/>
      <c r="F133" s="525"/>
      <c r="G133" s="525"/>
    </row>
    <row r="134" spans="1:7" ht="15" thickBot="1">
      <c r="A134" s="531" t="s">
        <v>4473</v>
      </c>
      <c r="B134" s="497" t="s">
        <v>2909</v>
      </c>
      <c r="C134" s="525"/>
      <c r="D134" s="525"/>
      <c r="E134" s="525"/>
      <c r="F134" s="525"/>
      <c r="G134" s="525"/>
    </row>
    <row r="135" spans="1:7" ht="24.6" thickBot="1">
      <c r="A135" s="531" t="s">
        <v>4474</v>
      </c>
      <c r="B135" s="497" t="s">
        <v>2910</v>
      </c>
      <c r="C135" s="525"/>
      <c r="D135" s="525"/>
      <c r="E135" s="525"/>
      <c r="F135" s="525"/>
      <c r="G135" s="525"/>
    </row>
    <row r="136" spans="1:7" ht="24.6" thickBot="1">
      <c r="A136" s="531" t="s">
        <v>4475</v>
      </c>
      <c r="B136" s="497" t="s">
        <v>2911</v>
      </c>
      <c r="C136" s="525"/>
      <c r="D136" s="525"/>
      <c r="E136" s="525"/>
      <c r="F136" s="525"/>
      <c r="G136" s="525"/>
    </row>
    <row r="137" spans="1:7" ht="24.6" thickBot="1">
      <c r="A137" s="531" t="s">
        <v>4476</v>
      </c>
      <c r="B137" s="497" t="s">
        <v>2912</v>
      </c>
      <c r="C137" s="525"/>
      <c r="D137" s="525"/>
      <c r="E137" s="525"/>
      <c r="F137" s="525"/>
      <c r="G137" s="525"/>
    </row>
    <row r="138" spans="1:7" ht="24.6" thickBot="1">
      <c r="A138" s="531" t="s">
        <v>4477</v>
      </c>
      <c r="B138" s="497" t="s">
        <v>2913</v>
      </c>
      <c r="C138" s="525"/>
      <c r="D138" s="525"/>
      <c r="E138" s="525"/>
      <c r="F138" s="525"/>
      <c r="G138" s="525"/>
    </row>
    <row r="139" spans="1:7" ht="15" thickBot="1">
      <c r="A139" s="531" t="s">
        <v>2893</v>
      </c>
      <c r="B139" s="497" t="s">
        <v>2914</v>
      </c>
      <c r="C139" s="525"/>
      <c r="D139" s="532" t="s">
        <v>247</v>
      </c>
      <c r="E139" s="532" t="s">
        <v>247</v>
      </c>
      <c r="F139" s="532" t="s">
        <v>247</v>
      </c>
      <c r="G139" s="532" t="s">
        <v>247</v>
      </c>
    </row>
    <row r="140" spans="1:7" ht="15" thickBot="1">
      <c r="A140" s="531" t="s">
        <v>2894</v>
      </c>
      <c r="B140" s="497" t="s">
        <v>2915</v>
      </c>
      <c r="C140" s="525"/>
      <c r="D140" s="525"/>
      <c r="E140" s="525"/>
      <c r="F140" s="525"/>
      <c r="G140" s="525"/>
    </row>
    <row r="141" spans="1:7" ht="15" thickBot="1">
      <c r="A141" s="531" t="s">
        <v>2895</v>
      </c>
      <c r="B141" s="497" t="s">
        <v>2916</v>
      </c>
      <c r="C141" s="525"/>
      <c r="D141" s="525"/>
      <c r="E141" s="525"/>
      <c r="F141" s="525"/>
      <c r="G141" s="525"/>
    </row>
    <row r="142" spans="1:7" ht="15" thickBot="1">
      <c r="A142" s="531" t="s">
        <v>2896</v>
      </c>
      <c r="B142" s="497" t="s">
        <v>2917</v>
      </c>
      <c r="C142" s="525"/>
      <c r="D142" s="525"/>
      <c r="E142" s="525"/>
      <c r="F142" s="525"/>
      <c r="G142" s="525"/>
    </row>
    <row r="143" spans="1:7" ht="24.6" thickBot="1">
      <c r="A143" s="531" t="s">
        <v>4478</v>
      </c>
      <c r="B143" s="497" t="s">
        <v>2972</v>
      </c>
      <c r="C143" s="525"/>
      <c r="D143" s="525"/>
      <c r="E143" s="525"/>
      <c r="F143" s="525"/>
      <c r="G143" s="525"/>
    </row>
    <row r="144" spans="1:7" ht="15" thickBot="1">
      <c r="A144" s="531" t="s">
        <v>4479</v>
      </c>
      <c r="B144" s="497" t="s">
        <v>4480</v>
      </c>
      <c r="C144" s="525"/>
      <c r="D144" s="525"/>
      <c r="E144" s="525"/>
      <c r="F144" s="525"/>
      <c r="G144" s="525"/>
    </row>
    <row r="145" spans="1:7" ht="24.6" thickBot="1">
      <c r="A145" s="531" t="s">
        <v>4481</v>
      </c>
      <c r="B145" s="497" t="s">
        <v>4482</v>
      </c>
      <c r="C145" s="525"/>
      <c r="D145" s="525"/>
      <c r="E145" s="525"/>
      <c r="F145" s="525"/>
      <c r="G145" s="525"/>
    </row>
    <row r="146" spans="1:7" ht="15" thickBot="1">
      <c r="A146" s="531" t="s">
        <v>2897</v>
      </c>
      <c r="B146" s="497" t="s">
        <v>4483</v>
      </c>
      <c r="C146" s="525"/>
      <c r="D146" s="525"/>
      <c r="E146" s="525"/>
      <c r="F146" s="525"/>
      <c r="G146" s="525"/>
    </row>
    <row r="147" spans="1:7" ht="15" thickBot="1">
      <c r="A147" s="531" t="s">
        <v>2898</v>
      </c>
      <c r="B147" s="497" t="s">
        <v>4484</v>
      </c>
      <c r="C147" s="525"/>
      <c r="D147" s="525"/>
      <c r="E147" s="525"/>
      <c r="F147" s="525"/>
      <c r="G147" s="525"/>
    </row>
    <row r="148" spans="1:7" ht="15" thickBot="1">
      <c r="A148" s="531" t="s">
        <v>2899</v>
      </c>
      <c r="B148" s="497" t="s">
        <v>4485</v>
      </c>
      <c r="C148" s="525"/>
      <c r="D148" s="525"/>
      <c r="E148" s="525"/>
      <c r="F148" s="525"/>
      <c r="G148" s="525"/>
    </row>
    <row r="149" spans="1:7" ht="24.6" thickBot="1">
      <c r="A149" s="531" t="s">
        <v>4486</v>
      </c>
      <c r="B149" s="497" t="s">
        <v>4487</v>
      </c>
      <c r="C149" s="525"/>
      <c r="D149" s="525"/>
      <c r="E149" s="525"/>
      <c r="F149" s="525"/>
      <c r="G149" s="525"/>
    </row>
    <row r="150" spans="1:7" ht="24.6" thickBot="1">
      <c r="A150" s="531" t="s">
        <v>2900</v>
      </c>
      <c r="B150" s="497" t="s">
        <v>2918</v>
      </c>
      <c r="C150" s="525"/>
      <c r="D150" s="525"/>
      <c r="E150" s="525"/>
      <c r="F150" s="525"/>
      <c r="G150" s="525"/>
    </row>
    <row r="151" spans="1:7" ht="15" thickBot="1">
      <c r="A151" s="531" t="s">
        <v>2901</v>
      </c>
      <c r="B151" s="497" t="s">
        <v>2919</v>
      </c>
      <c r="C151" s="525"/>
      <c r="D151" s="525"/>
      <c r="E151" s="525"/>
      <c r="F151" s="525"/>
      <c r="G151" s="525"/>
    </row>
    <row r="152" spans="1:7" ht="24.6" thickBot="1">
      <c r="A152" s="531" t="s">
        <v>2902</v>
      </c>
      <c r="B152" s="497" t="s">
        <v>4488</v>
      </c>
      <c r="C152" s="525"/>
      <c r="D152" s="525"/>
      <c r="E152" s="525"/>
      <c r="F152" s="525"/>
      <c r="G152" s="525"/>
    </row>
    <row r="153" spans="1:7" ht="15" thickBot="1">
      <c r="A153" s="531" t="s">
        <v>2903</v>
      </c>
      <c r="B153" s="497" t="s">
        <v>2920</v>
      </c>
      <c r="C153" s="525"/>
      <c r="D153" s="525"/>
      <c r="E153" s="525"/>
      <c r="F153" s="525"/>
      <c r="G153" s="525"/>
    </row>
    <row r="154" spans="1:7" ht="15" thickBot="1">
      <c r="A154" s="531" t="s">
        <v>2904</v>
      </c>
      <c r="B154" s="497" t="s">
        <v>4489</v>
      </c>
      <c r="C154" s="525"/>
      <c r="D154" s="525"/>
      <c r="E154" s="525"/>
      <c r="F154" s="525"/>
      <c r="G154" s="525"/>
    </row>
  </sheetData>
  <mergeCells count="19">
    <mergeCell ref="A1:H1"/>
    <mergeCell ref="A3:B3"/>
    <mergeCell ref="A9:B9"/>
    <mergeCell ref="A19:B19"/>
    <mergeCell ref="A30:B30"/>
    <mergeCell ref="A69:B69"/>
    <mergeCell ref="A77:B77"/>
    <mergeCell ref="A80:B80"/>
    <mergeCell ref="A40:B40"/>
    <mergeCell ref="A44:B44"/>
    <mergeCell ref="A60:B60"/>
    <mergeCell ref="A64:B64"/>
    <mergeCell ref="G119:G120"/>
    <mergeCell ref="A88:B88"/>
    <mergeCell ref="B119:B120"/>
    <mergeCell ref="C119:C120"/>
    <mergeCell ref="D119:D120"/>
    <mergeCell ref="E119:E120"/>
    <mergeCell ref="F119:F120"/>
  </mergeCells>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04CF9-091A-46C3-8373-61715CA32D09}">
  <dimension ref="A1:B4"/>
  <sheetViews>
    <sheetView workbookViewId="0"/>
  </sheetViews>
  <sheetFormatPr baseColWidth="10" defaultRowHeight="14.4"/>
  <cols>
    <col min="1" max="1" width="56.6640625" customWidth="1"/>
  </cols>
  <sheetData>
    <row r="1" spans="1:2" ht="95.4" customHeight="1">
      <c r="A1" s="506" t="s">
        <v>4077</v>
      </c>
      <c r="B1" s="507" t="s">
        <v>4292</v>
      </c>
    </row>
    <row r="2" spans="1:2" ht="47.4" customHeight="1">
      <c r="A2" s="506" t="s">
        <v>4078</v>
      </c>
      <c r="B2" s="507" t="s">
        <v>4292</v>
      </c>
    </row>
    <row r="3" spans="1:2" ht="93" customHeight="1">
      <c r="A3" s="506" t="s">
        <v>4079</v>
      </c>
      <c r="B3" s="507" t="s">
        <v>4292</v>
      </c>
    </row>
    <row r="4" spans="1:2">
      <c r="A4" s="506" t="s">
        <v>4287</v>
      </c>
      <c r="B4" s="507" t="s">
        <v>4293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AH541"/>
  <sheetViews>
    <sheetView workbookViewId="0">
      <selection activeCell="B2" sqref="B2:B541"/>
    </sheetView>
  </sheetViews>
  <sheetFormatPr baseColWidth="10" defaultColWidth="11.44140625" defaultRowHeight="14.4"/>
  <cols>
    <col min="1" max="1" width="12.109375" style="44" bestFit="1" customWidth="1"/>
    <col min="2" max="2" width="15.5546875" style="44" bestFit="1" customWidth="1"/>
    <col min="3" max="3" width="45.5546875" style="44" customWidth="1"/>
    <col min="4" max="4" width="10.33203125" style="44" bestFit="1" customWidth="1"/>
    <col min="5" max="5" width="9.109375" style="44" bestFit="1" customWidth="1"/>
    <col min="6" max="6" width="8.44140625" style="42" customWidth="1"/>
    <col min="7" max="7" width="8" style="42" customWidth="1"/>
    <col min="8" max="8" width="20.6640625" style="79" customWidth="1"/>
    <col min="9" max="9" width="14.88671875" style="44" bestFit="1" customWidth="1"/>
    <col min="10" max="10" width="17.33203125" style="44" customWidth="1"/>
    <col min="11" max="11" width="10.109375" style="44" customWidth="1"/>
    <col min="12" max="13" width="7.6640625" style="42" bestFit="1" customWidth="1"/>
    <col min="14" max="14" width="23.109375" style="42" customWidth="1"/>
    <col min="15" max="15" width="22.33203125" style="42" customWidth="1"/>
    <col min="16" max="16" width="25.109375" style="42" customWidth="1"/>
    <col min="17" max="17" width="23.33203125" style="42" customWidth="1"/>
    <col min="18" max="18" width="14.44140625" style="44" customWidth="1"/>
    <col min="19" max="19" width="17.44140625" style="44" customWidth="1"/>
    <col min="20" max="22" width="14.5546875" style="44" bestFit="1" customWidth="1"/>
    <col min="23" max="23" width="15.6640625" style="44" bestFit="1" customWidth="1"/>
    <col min="24" max="24" width="39.6640625" style="44" bestFit="1" customWidth="1"/>
    <col min="25" max="25" width="15.44140625" style="44" bestFit="1" customWidth="1"/>
    <col min="26" max="26" width="23.6640625" style="44" customWidth="1"/>
    <col min="27" max="27" width="11.44140625" style="80"/>
    <col min="28" max="28" width="23.88671875" style="80" customWidth="1"/>
    <col min="29" max="16384" width="11.44140625" style="44"/>
  </cols>
  <sheetData>
    <row r="1" spans="1:34" ht="15" thickBot="1">
      <c r="A1" s="65">
        <v>1</v>
      </c>
      <c r="B1" s="65">
        <v>2</v>
      </c>
      <c r="C1" s="65">
        <v>3</v>
      </c>
      <c r="D1" s="65">
        <v>4</v>
      </c>
      <c r="E1" s="65">
        <v>5</v>
      </c>
      <c r="F1" s="65">
        <v>6</v>
      </c>
      <c r="G1" s="65">
        <v>7</v>
      </c>
      <c r="H1" s="66">
        <v>8</v>
      </c>
      <c r="I1" s="65">
        <v>9</v>
      </c>
      <c r="J1" s="65">
        <v>10</v>
      </c>
      <c r="K1" s="65">
        <v>11</v>
      </c>
      <c r="L1" s="65">
        <v>12</v>
      </c>
      <c r="M1" s="65">
        <v>13</v>
      </c>
      <c r="N1" s="65">
        <v>14</v>
      </c>
      <c r="O1" s="65">
        <v>15</v>
      </c>
      <c r="P1" s="65">
        <v>16</v>
      </c>
      <c r="Q1" s="65">
        <v>17</v>
      </c>
      <c r="R1" s="65">
        <v>18</v>
      </c>
      <c r="S1" s="65">
        <v>19</v>
      </c>
      <c r="T1" s="65">
        <v>20</v>
      </c>
      <c r="U1" s="65">
        <v>21</v>
      </c>
      <c r="V1" s="65">
        <v>22</v>
      </c>
      <c r="W1" s="65">
        <v>23</v>
      </c>
      <c r="X1" s="65">
        <v>24</v>
      </c>
      <c r="Y1" s="65">
        <v>25</v>
      </c>
      <c r="Z1" s="65">
        <v>26</v>
      </c>
      <c r="AA1" s="65">
        <v>27</v>
      </c>
      <c r="AB1" s="65">
        <v>28</v>
      </c>
      <c r="AC1" s="65">
        <v>29</v>
      </c>
      <c r="AD1" s="65">
        <v>30</v>
      </c>
      <c r="AE1" s="65">
        <v>31</v>
      </c>
      <c r="AF1" s="65">
        <v>32</v>
      </c>
      <c r="AG1" s="65">
        <v>33</v>
      </c>
      <c r="AH1" s="65">
        <v>34</v>
      </c>
    </row>
    <row r="2" spans="1:34" s="77" customFormat="1" ht="69.599999999999994">
      <c r="A2" s="67" t="s">
        <v>329</v>
      </c>
      <c r="B2" s="67" t="s">
        <v>2876</v>
      </c>
      <c r="C2" s="68" t="s">
        <v>268</v>
      </c>
      <c r="D2" s="67" t="s">
        <v>252</v>
      </c>
      <c r="E2" s="67" t="s">
        <v>330</v>
      </c>
      <c r="F2" s="69" t="s">
        <v>331</v>
      </c>
      <c r="G2" s="69" t="s">
        <v>332</v>
      </c>
      <c r="H2" s="70" t="s">
        <v>333</v>
      </c>
      <c r="I2" s="70" t="s">
        <v>334</v>
      </c>
      <c r="J2" s="70" t="s">
        <v>269</v>
      </c>
      <c r="K2" s="71" t="s">
        <v>335</v>
      </c>
      <c r="L2" s="71" t="s">
        <v>336</v>
      </c>
      <c r="M2" s="71" t="s">
        <v>337</v>
      </c>
      <c r="N2" s="72" t="s">
        <v>338</v>
      </c>
      <c r="O2" s="72" t="s">
        <v>339</v>
      </c>
      <c r="P2" s="72" t="s">
        <v>340</v>
      </c>
      <c r="Q2" s="72" t="s">
        <v>341</v>
      </c>
      <c r="R2" s="72" t="s">
        <v>342</v>
      </c>
      <c r="S2" s="72" t="s">
        <v>343</v>
      </c>
      <c r="T2" s="73" t="s">
        <v>344</v>
      </c>
      <c r="U2" s="73" t="s">
        <v>345</v>
      </c>
      <c r="V2" s="73" t="s">
        <v>346</v>
      </c>
      <c r="W2" s="72" t="s">
        <v>3389</v>
      </c>
      <c r="X2" s="72" t="s">
        <v>3391</v>
      </c>
      <c r="Y2" s="74" t="s">
        <v>3390</v>
      </c>
      <c r="Z2" s="73" t="s">
        <v>347</v>
      </c>
      <c r="AA2" s="73" t="s">
        <v>348</v>
      </c>
      <c r="AB2" s="73" t="s">
        <v>349</v>
      </c>
      <c r="AC2" s="75" t="s">
        <v>3392</v>
      </c>
      <c r="AD2" s="75" t="s">
        <v>3393</v>
      </c>
      <c r="AE2" s="76" t="s">
        <v>3394</v>
      </c>
      <c r="AF2" s="75" t="s">
        <v>350</v>
      </c>
      <c r="AG2" s="75" t="s">
        <v>351</v>
      </c>
      <c r="AH2" s="76" t="s">
        <v>15</v>
      </c>
    </row>
    <row r="3" spans="1:34" s="78" customFormat="1" ht="12" customHeight="1">
      <c r="A3" s="100">
        <v>1001</v>
      </c>
      <c r="B3" s="101" t="s">
        <v>3395</v>
      </c>
      <c r="C3" s="101" t="s">
        <v>3396</v>
      </c>
      <c r="D3" s="101" t="s">
        <v>3397</v>
      </c>
      <c r="E3" s="100">
        <v>1</v>
      </c>
      <c r="F3" s="102">
        <v>1</v>
      </c>
      <c r="G3" s="103">
        <v>1</v>
      </c>
      <c r="H3" s="104" t="s">
        <v>352</v>
      </c>
      <c r="I3" s="104" t="s">
        <v>352</v>
      </c>
      <c r="J3" s="105">
        <v>10500102667101</v>
      </c>
      <c r="K3" s="106" t="s">
        <v>353</v>
      </c>
      <c r="L3" s="106"/>
      <c r="M3" s="106">
        <v>1</v>
      </c>
      <c r="N3" s="104" t="s">
        <v>354</v>
      </c>
      <c r="O3" s="104" t="s">
        <v>355</v>
      </c>
      <c r="P3" s="107" t="s">
        <v>356</v>
      </c>
      <c r="Q3" s="104" t="s">
        <v>357</v>
      </c>
      <c r="R3" s="104" t="s">
        <v>358</v>
      </c>
      <c r="S3" s="108" t="s">
        <v>359</v>
      </c>
      <c r="T3" s="109">
        <v>214</v>
      </c>
      <c r="U3" s="110">
        <v>259</v>
      </c>
      <c r="V3" s="110">
        <v>77</v>
      </c>
      <c r="W3" s="111" t="s">
        <v>3397</v>
      </c>
      <c r="X3" s="111" t="s">
        <v>3396</v>
      </c>
      <c r="Y3" s="112">
        <v>550</v>
      </c>
      <c r="Z3" s="109">
        <v>0</v>
      </c>
      <c r="AA3" s="110">
        <v>0</v>
      </c>
      <c r="AB3" s="110">
        <v>0</v>
      </c>
      <c r="AC3" s="111"/>
      <c r="AD3" s="111"/>
      <c r="AE3" s="112">
        <v>0</v>
      </c>
      <c r="AF3" s="113">
        <f t="shared" ref="AF3:AF66" si="0">+Y3+AE3</f>
        <v>550</v>
      </c>
      <c r="AG3" s="114"/>
      <c r="AH3" s="115"/>
    </row>
    <row r="4" spans="1:34" s="78" customFormat="1" ht="12" customHeight="1">
      <c r="A4" s="100">
        <v>1002</v>
      </c>
      <c r="B4" s="101" t="s">
        <v>3395</v>
      </c>
      <c r="C4" s="101" t="s">
        <v>3396</v>
      </c>
      <c r="D4" s="101" t="s">
        <v>3397</v>
      </c>
      <c r="E4" s="100">
        <v>1</v>
      </c>
      <c r="F4" s="116">
        <v>1</v>
      </c>
      <c r="G4" s="103">
        <v>2</v>
      </c>
      <c r="H4" s="117" t="s">
        <v>360</v>
      </c>
      <c r="I4" s="118" t="s">
        <v>360</v>
      </c>
      <c r="J4" s="119">
        <v>10500102584402</v>
      </c>
      <c r="K4" s="120" t="s">
        <v>353</v>
      </c>
      <c r="L4" s="121"/>
      <c r="M4" s="120">
        <v>1</v>
      </c>
      <c r="N4" s="118" t="s">
        <v>361</v>
      </c>
      <c r="O4" s="118" t="s">
        <v>362</v>
      </c>
      <c r="P4" s="122" t="s">
        <v>363</v>
      </c>
      <c r="Q4" s="118" t="s">
        <v>364</v>
      </c>
      <c r="R4" s="118" t="s">
        <v>365</v>
      </c>
      <c r="S4" s="123" t="s">
        <v>366</v>
      </c>
      <c r="T4" s="124">
        <v>300</v>
      </c>
      <c r="U4" s="125">
        <v>150</v>
      </c>
      <c r="V4" s="125">
        <v>0</v>
      </c>
      <c r="W4" s="111" t="s">
        <v>3397</v>
      </c>
      <c r="X4" s="111" t="s">
        <v>3396</v>
      </c>
      <c r="Y4" s="112">
        <v>450</v>
      </c>
      <c r="Z4" s="124">
        <v>0</v>
      </c>
      <c r="AA4" s="125">
        <v>0</v>
      </c>
      <c r="AB4" s="125">
        <v>0</v>
      </c>
      <c r="AC4" s="111"/>
      <c r="AD4" s="111"/>
      <c r="AE4" s="112">
        <v>0</v>
      </c>
      <c r="AF4" s="126">
        <f t="shared" si="0"/>
        <v>450</v>
      </c>
      <c r="AG4" s="127"/>
      <c r="AH4" s="128" t="s">
        <v>367</v>
      </c>
    </row>
    <row r="5" spans="1:34" s="78" customFormat="1" ht="12" customHeight="1">
      <c r="A5" s="100">
        <v>1003</v>
      </c>
      <c r="B5" s="101" t="s">
        <v>3395</v>
      </c>
      <c r="C5" s="129" t="s">
        <v>4140</v>
      </c>
      <c r="D5" s="101" t="s">
        <v>3398</v>
      </c>
      <c r="E5" s="100">
        <v>1</v>
      </c>
      <c r="F5" s="102">
        <v>1</v>
      </c>
      <c r="G5" s="103">
        <v>3</v>
      </c>
      <c r="H5" s="104" t="s">
        <v>368</v>
      </c>
      <c r="I5" s="104" t="s">
        <v>368</v>
      </c>
      <c r="J5" s="105">
        <v>10500101258101</v>
      </c>
      <c r="K5" s="106" t="s">
        <v>353</v>
      </c>
      <c r="L5" s="106"/>
      <c r="M5" s="106">
        <v>1</v>
      </c>
      <c r="N5" s="104" t="s">
        <v>369</v>
      </c>
      <c r="O5" s="104" t="s">
        <v>370</v>
      </c>
      <c r="P5" s="107" t="s">
        <v>371</v>
      </c>
      <c r="Q5" s="104" t="s">
        <v>372</v>
      </c>
      <c r="R5" s="104" t="s">
        <v>373</v>
      </c>
      <c r="S5" s="130" t="s">
        <v>374</v>
      </c>
      <c r="T5" s="131">
        <v>265</v>
      </c>
      <c r="U5" s="132">
        <v>75</v>
      </c>
      <c r="V5" s="132">
        <v>110</v>
      </c>
      <c r="W5" s="111" t="s">
        <v>3397</v>
      </c>
      <c r="X5" s="111" t="s">
        <v>3396</v>
      </c>
      <c r="Y5" s="112">
        <v>450</v>
      </c>
      <c r="Z5" s="131">
        <v>100</v>
      </c>
      <c r="AA5" s="132">
        <v>300</v>
      </c>
      <c r="AB5" s="132">
        <v>0</v>
      </c>
      <c r="AC5" s="111" t="s">
        <v>3399</v>
      </c>
      <c r="AD5" s="111" t="s">
        <v>2879</v>
      </c>
      <c r="AE5" s="112">
        <v>400</v>
      </c>
      <c r="AF5" s="113">
        <f t="shared" si="0"/>
        <v>850</v>
      </c>
      <c r="AG5" s="114"/>
      <c r="AH5" s="115"/>
    </row>
    <row r="6" spans="1:34" s="78" customFormat="1" ht="12" customHeight="1">
      <c r="A6" s="100">
        <v>1004</v>
      </c>
      <c r="B6" s="101" t="s">
        <v>3395</v>
      </c>
      <c r="C6" s="129" t="s">
        <v>4140</v>
      </c>
      <c r="D6" s="101" t="s">
        <v>3398</v>
      </c>
      <c r="E6" s="100">
        <v>1</v>
      </c>
      <c r="F6" s="102">
        <v>1</v>
      </c>
      <c r="G6" s="103">
        <v>4</v>
      </c>
      <c r="H6" s="104" t="s">
        <v>375</v>
      </c>
      <c r="I6" s="104" t="s">
        <v>375</v>
      </c>
      <c r="J6" s="105">
        <v>10500101270002</v>
      </c>
      <c r="K6" s="106" t="s">
        <v>353</v>
      </c>
      <c r="L6" s="106"/>
      <c r="M6" s="106">
        <v>1</v>
      </c>
      <c r="N6" s="104" t="s">
        <v>376</v>
      </c>
      <c r="O6" s="104" t="s">
        <v>377</v>
      </c>
      <c r="P6" s="107">
        <v>2363305</v>
      </c>
      <c r="Q6" s="104" t="s">
        <v>378</v>
      </c>
      <c r="R6" s="104" t="s">
        <v>379</v>
      </c>
      <c r="S6" s="108" t="s">
        <v>380</v>
      </c>
      <c r="T6" s="131">
        <v>126</v>
      </c>
      <c r="U6" s="132">
        <v>214</v>
      </c>
      <c r="V6" s="132">
        <v>0</v>
      </c>
      <c r="W6" s="111" t="s">
        <v>3397</v>
      </c>
      <c r="X6" s="111" t="s">
        <v>3396</v>
      </c>
      <c r="Y6" s="112">
        <v>340</v>
      </c>
      <c r="Z6" s="131">
        <v>148</v>
      </c>
      <c r="AA6" s="132">
        <v>252</v>
      </c>
      <c r="AB6" s="132">
        <v>0</v>
      </c>
      <c r="AC6" s="111" t="s">
        <v>3399</v>
      </c>
      <c r="AD6" s="111" t="s">
        <v>2879</v>
      </c>
      <c r="AE6" s="112">
        <v>400</v>
      </c>
      <c r="AF6" s="113">
        <f t="shared" si="0"/>
        <v>740</v>
      </c>
      <c r="AG6" s="114"/>
      <c r="AH6" s="115"/>
    </row>
    <row r="7" spans="1:34" s="78" customFormat="1" ht="12" customHeight="1">
      <c r="A7" s="100">
        <v>1005</v>
      </c>
      <c r="B7" s="101" t="s">
        <v>3395</v>
      </c>
      <c r="C7" s="101" t="s">
        <v>3396</v>
      </c>
      <c r="D7" s="101" t="s">
        <v>3397</v>
      </c>
      <c r="E7" s="100">
        <v>1</v>
      </c>
      <c r="F7" s="102">
        <v>1</v>
      </c>
      <c r="G7" s="103">
        <v>5</v>
      </c>
      <c r="H7" s="104" t="s">
        <v>381</v>
      </c>
      <c r="I7" s="104" t="s">
        <v>381</v>
      </c>
      <c r="J7" s="105">
        <v>10500100182102</v>
      </c>
      <c r="K7" s="106" t="s">
        <v>353</v>
      </c>
      <c r="L7" s="106"/>
      <c r="M7" s="106">
        <v>1</v>
      </c>
      <c r="N7" s="104" t="s">
        <v>382</v>
      </c>
      <c r="O7" s="104" t="s">
        <v>383</v>
      </c>
      <c r="P7" s="107">
        <v>5284658</v>
      </c>
      <c r="Q7" s="104" t="s">
        <v>384</v>
      </c>
      <c r="R7" s="104" t="s">
        <v>385</v>
      </c>
      <c r="S7" s="108" t="s">
        <v>386</v>
      </c>
      <c r="T7" s="109">
        <v>324</v>
      </c>
      <c r="U7" s="110">
        <v>76</v>
      </c>
      <c r="V7" s="110">
        <v>0</v>
      </c>
      <c r="W7" s="111" t="s">
        <v>3397</v>
      </c>
      <c r="X7" s="111" t="s">
        <v>3396</v>
      </c>
      <c r="Y7" s="112">
        <v>400</v>
      </c>
      <c r="Z7" s="109">
        <v>0</v>
      </c>
      <c r="AA7" s="110">
        <v>0</v>
      </c>
      <c r="AB7" s="110">
        <v>0</v>
      </c>
      <c r="AC7" s="111"/>
      <c r="AD7" s="111"/>
      <c r="AE7" s="112">
        <v>0</v>
      </c>
      <c r="AF7" s="113">
        <f t="shared" si="0"/>
        <v>400</v>
      </c>
      <c r="AG7" s="114"/>
      <c r="AH7" s="115"/>
    </row>
    <row r="8" spans="1:34" s="78" customFormat="1" ht="12" customHeight="1">
      <c r="A8" s="100">
        <v>1006</v>
      </c>
      <c r="B8" s="101" t="s">
        <v>3395</v>
      </c>
      <c r="C8" s="129" t="s">
        <v>4140</v>
      </c>
      <c r="D8" s="101" t="s">
        <v>3398</v>
      </c>
      <c r="E8" s="100">
        <v>1</v>
      </c>
      <c r="F8" s="102">
        <v>1</v>
      </c>
      <c r="G8" s="103">
        <v>6</v>
      </c>
      <c r="H8" s="104" t="s">
        <v>387</v>
      </c>
      <c r="I8" s="104" t="s">
        <v>387</v>
      </c>
      <c r="J8" s="105">
        <v>10500100182101</v>
      </c>
      <c r="K8" s="106" t="s">
        <v>353</v>
      </c>
      <c r="L8" s="106"/>
      <c r="M8" s="106">
        <v>1</v>
      </c>
      <c r="N8" s="104" t="s">
        <v>388</v>
      </c>
      <c r="O8" s="104" t="s">
        <v>389</v>
      </c>
      <c r="P8" s="107" t="s">
        <v>390</v>
      </c>
      <c r="Q8" s="104" t="s">
        <v>391</v>
      </c>
      <c r="R8" s="104" t="s">
        <v>392</v>
      </c>
      <c r="S8" s="108" t="s">
        <v>393</v>
      </c>
      <c r="T8" s="109">
        <v>0</v>
      </c>
      <c r="U8" s="110">
        <v>200</v>
      </c>
      <c r="V8" s="110">
        <v>100</v>
      </c>
      <c r="W8" s="111" t="s">
        <v>3397</v>
      </c>
      <c r="X8" s="111" t="s">
        <v>3396</v>
      </c>
      <c r="Y8" s="112">
        <v>300</v>
      </c>
      <c r="Z8" s="109">
        <v>58</v>
      </c>
      <c r="AA8" s="110">
        <v>342</v>
      </c>
      <c r="AB8" s="110">
        <v>100</v>
      </c>
      <c r="AC8" s="111" t="s">
        <v>3399</v>
      </c>
      <c r="AD8" s="111" t="s">
        <v>2879</v>
      </c>
      <c r="AE8" s="112">
        <v>500</v>
      </c>
      <c r="AF8" s="113">
        <f t="shared" si="0"/>
        <v>800</v>
      </c>
      <c r="AG8" s="114"/>
      <c r="AH8" s="115"/>
    </row>
    <row r="9" spans="1:34" s="78" customFormat="1" ht="12" customHeight="1">
      <c r="A9" s="100">
        <v>1007</v>
      </c>
      <c r="B9" s="101" t="s">
        <v>3395</v>
      </c>
      <c r="C9" s="101" t="s">
        <v>3396</v>
      </c>
      <c r="D9" s="101" t="s">
        <v>3397</v>
      </c>
      <c r="E9" s="100">
        <v>1</v>
      </c>
      <c r="F9" s="102">
        <v>1</v>
      </c>
      <c r="G9" s="103">
        <v>7</v>
      </c>
      <c r="H9" s="104" t="s">
        <v>394</v>
      </c>
      <c r="I9" s="104" t="s">
        <v>394</v>
      </c>
      <c r="J9" s="105">
        <v>10500101216501</v>
      </c>
      <c r="K9" s="106" t="s">
        <v>353</v>
      </c>
      <c r="L9" s="106"/>
      <c r="M9" s="106">
        <v>1</v>
      </c>
      <c r="N9" s="104" t="s">
        <v>354</v>
      </c>
      <c r="O9" s="104" t="s">
        <v>395</v>
      </c>
      <c r="P9" s="107">
        <v>5211353</v>
      </c>
      <c r="Q9" s="104" t="s">
        <v>396</v>
      </c>
      <c r="R9" s="104" t="s">
        <v>397</v>
      </c>
      <c r="S9" s="108" t="s">
        <v>398</v>
      </c>
      <c r="T9" s="109">
        <v>0</v>
      </c>
      <c r="U9" s="110">
        <v>93</v>
      </c>
      <c r="V9" s="110">
        <v>87</v>
      </c>
      <c r="W9" s="111" t="s">
        <v>3397</v>
      </c>
      <c r="X9" s="111" t="s">
        <v>3396</v>
      </c>
      <c r="Y9" s="112">
        <v>180</v>
      </c>
      <c r="Z9" s="109">
        <v>0</v>
      </c>
      <c r="AA9" s="110">
        <v>0</v>
      </c>
      <c r="AB9" s="110">
        <v>0</v>
      </c>
      <c r="AC9" s="111"/>
      <c r="AD9" s="111"/>
      <c r="AE9" s="112">
        <v>0</v>
      </c>
      <c r="AF9" s="113">
        <f t="shared" si="0"/>
        <v>180</v>
      </c>
      <c r="AG9" s="114"/>
      <c r="AH9" s="115"/>
    </row>
    <row r="10" spans="1:34" s="78" customFormat="1" ht="12" customHeight="1">
      <c r="A10" s="100">
        <v>1008</v>
      </c>
      <c r="B10" s="101" t="s">
        <v>3395</v>
      </c>
      <c r="C10" s="101" t="s">
        <v>3396</v>
      </c>
      <c r="D10" s="101" t="s">
        <v>3397</v>
      </c>
      <c r="E10" s="100">
        <v>1</v>
      </c>
      <c r="F10" s="102">
        <v>1</v>
      </c>
      <c r="G10" s="103">
        <v>8</v>
      </c>
      <c r="H10" s="104" t="s">
        <v>399</v>
      </c>
      <c r="I10" s="104" t="s">
        <v>399</v>
      </c>
      <c r="J10" s="105">
        <v>10500101216503</v>
      </c>
      <c r="K10" s="106" t="s">
        <v>353</v>
      </c>
      <c r="L10" s="106"/>
      <c r="M10" s="106">
        <v>1</v>
      </c>
      <c r="N10" s="104" t="s">
        <v>400</v>
      </c>
      <c r="O10" s="104" t="s">
        <v>401</v>
      </c>
      <c r="P10" s="107">
        <v>5211438</v>
      </c>
      <c r="Q10" s="104" t="s">
        <v>396</v>
      </c>
      <c r="R10" s="104" t="s">
        <v>402</v>
      </c>
      <c r="S10" s="108" t="s">
        <v>403</v>
      </c>
      <c r="T10" s="109">
        <v>139</v>
      </c>
      <c r="U10" s="110">
        <v>361</v>
      </c>
      <c r="V10" s="110">
        <v>50</v>
      </c>
      <c r="W10" s="111" t="s">
        <v>3397</v>
      </c>
      <c r="X10" s="111" t="s">
        <v>3396</v>
      </c>
      <c r="Y10" s="112">
        <v>550</v>
      </c>
      <c r="Z10" s="109">
        <v>0</v>
      </c>
      <c r="AA10" s="110">
        <v>0</v>
      </c>
      <c r="AB10" s="110">
        <v>0</v>
      </c>
      <c r="AC10" s="111"/>
      <c r="AD10" s="111"/>
      <c r="AE10" s="112">
        <v>0</v>
      </c>
      <c r="AF10" s="113">
        <f t="shared" si="0"/>
        <v>550</v>
      </c>
      <c r="AG10" s="106" t="s">
        <v>404</v>
      </c>
      <c r="AH10" s="115"/>
    </row>
    <row r="11" spans="1:34" s="78" customFormat="1" ht="12" customHeight="1">
      <c r="A11" s="100">
        <v>1009</v>
      </c>
      <c r="B11" s="101" t="s">
        <v>3395</v>
      </c>
      <c r="C11" s="129" t="s">
        <v>4140</v>
      </c>
      <c r="D11" s="101" t="s">
        <v>3398</v>
      </c>
      <c r="E11" s="100">
        <v>1</v>
      </c>
      <c r="F11" s="102">
        <v>1</v>
      </c>
      <c r="G11" s="103">
        <v>9</v>
      </c>
      <c r="H11" s="104" t="s">
        <v>405</v>
      </c>
      <c r="I11" s="104" t="s">
        <v>405</v>
      </c>
      <c r="J11" s="105">
        <v>10500101169001</v>
      </c>
      <c r="K11" s="106" t="s">
        <v>353</v>
      </c>
      <c r="L11" s="106"/>
      <c r="M11" s="106">
        <v>1</v>
      </c>
      <c r="N11" s="104" t="s">
        <v>388</v>
      </c>
      <c r="O11" s="104" t="s">
        <v>406</v>
      </c>
      <c r="P11" s="107" t="s">
        <v>407</v>
      </c>
      <c r="Q11" s="104" t="s">
        <v>408</v>
      </c>
      <c r="R11" s="104" t="s">
        <v>409</v>
      </c>
      <c r="S11" s="108" t="s">
        <v>410</v>
      </c>
      <c r="T11" s="109">
        <v>0</v>
      </c>
      <c r="U11" s="110">
        <v>160</v>
      </c>
      <c r="V11" s="110">
        <v>110</v>
      </c>
      <c r="W11" s="111" t="s">
        <v>3397</v>
      </c>
      <c r="X11" s="111" t="s">
        <v>3396</v>
      </c>
      <c r="Y11" s="112">
        <v>270</v>
      </c>
      <c r="Z11" s="109">
        <v>0</v>
      </c>
      <c r="AA11" s="110">
        <v>173</v>
      </c>
      <c r="AB11" s="110">
        <v>77</v>
      </c>
      <c r="AC11" s="111" t="s">
        <v>3399</v>
      </c>
      <c r="AD11" s="111" t="s">
        <v>2879</v>
      </c>
      <c r="AE11" s="112">
        <v>250</v>
      </c>
      <c r="AF11" s="113">
        <f t="shared" si="0"/>
        <v>520</v>
      </c>
      <c r="AG11" s="114"/>
      <c r="AH11" s="115"/>
    </row>
    <row r="12" spans="1:34" s="78" customFormat="1" ht="12" customHeight="1">
      <c r="A12" s="100">
        <v>1010</v>
      </c>
      <c r="B12" s="101" t="s">
        <v>3395</v>
      </c>
      <c r="C12" s="129" t="s">
        <v>4140</v>
      </c>
      <c r="D12" s="101" t="s">
        <v>3398</v>
      </c>
      <c r="E12" s="100">
        <v>1</v>
      </c>
      <c r="F12" s="116">
        <v>1</v>
      </c>
      <c r="G12" s="103">
        <v>10</v>
      </c>
      <c r="H12" s="118" t="s">
        <v>411</v>
      </c>
      <c r="I12" s="118" t="s">
        <v>412</v>
      </c>
      <c r="J12" s="119">
        <v>10500101509102</v>
      </c>
      <c r="K12" s="120" t="s">
        <v>353</v>
      </c>
      <c r="L12" s="128"/>
      <c r="M12" s="120">
        <v>1</v>
      </c>
      <c r="N12" s="118" t="s">
        <v>413</v>
      </c>
      <c r="O12" s="118" t="s">
        <v>414</v>
      </c>
      <c r="P12" s="122" t="s">
        <v>415</v>
      </c>
      <c r="Q12" s="118" t="s">
        <v>416</v>
      </c>
      <c r="R12" s="118" t="s">
        <v>417</v>
      </c>
      <c r="S12" s="123" t="s">
        <v>418</v>
      </c>
      <c r="T12" s="124">
        <v>190</v>
      </c>
      <c r="U12" s="125">
        <v>199</v>
      </c>
      <c r="V12" s="125">
        <v>0</v>
      </c>
      <c r="W12" s="111" t="s">
        <v>3397</v>
      </c>
      <c r="X12" s="111" t="s">
        <v>3396</v>
      </c>
      <c r="Y12" s="112">
        <v>389</v>
      </c>
      <c r="Z12" s="124">
        <v>80</v>
      </c>
      <c r="AA12" s="125">
        <v>0</v>
      </c>
      <c r="AB12" s="125">
        <v>0</v>
      </c>
      <c r="AC12" s="111" t="s">
        <v>3399</v>
      </c>
      <c r="AD12" s="111" t="s">
        <v>2879</v>
      </c>
      <c r="AE12" s="112">
        <v>80</v>
      </c>
      <c r="AF12" s="113">
        <f t="shared" si="0"/>
        <v>469</v>
      </c>
      <c r="AG12" s="127"/>
      <c r="AH12" s="133" t="s">
        <v>419</v>
      </c>
    </row>
    <row r="13" spans="1:34" s="78" customFormat="1" ht="12" customHeight="1">
      <c r="A13" s="100">
        <v>1011</v>
      </c>
      <c r="B13" s="101" t="s">
        <v>3395</v>
      </c>
      <c r="C13" s="129" t="s">
        <v>4140</v>
      </c>
      <c r="D13" s="101" t="s">
        <v>3398</v>
      </c>
      <c r="E13" s="100">
        <v>1</v>
      </c>
      <c r="F13" s="116">
        <v>1</v>
      </c>
      <c r="G13" s="103">
        <v>11</v>
      </c>
      <c r="H13" s="118" t="s">
        <v>411</v>
      </c>
      <c r="I13" s="118" t="s">
        <v>411</v>
      </c>
      <c r="J13" s="119">
        <v>10500101509101</v>
      </c>
      <c r="K13" s="120" t="s">
        <v>353</v>
      </c>
      <c r="L13" s="128"/>
      <c r="M13" s="120">
        <v>1</v>
      </c>
      <c r="N13" s="118" t="s">
        <v>413</v>
      </c>
      <c r="O13" s="118" t="s">
        <v>414</v>
      </c>
      <c r="P13" s="122" t="s">
        <v>415</v>
      </c>
      <c r="Q13" s="118" t="s">
        <v>416</v>
      </c>
      <c r="R13" s="118" t="s">
        <v>417</v>
      </c>
      <c r="S13" s="123" t="s">
        <v>420</v>
      </c>
      <c r="T13" s="124">
        <v>50</v>
      </c>
      <c r="U13" s="125">
        <v>200</v>
      </c>
      <c r="V13" s="125">
        <v>70</v>
      </c>
      <c r="W13" s="111" t="s">
        <v>3397</v>
      </c>
      <c r="X13" s="111" t="s">
        <v>3396</v>
      </c>
      <c r="Y13" s="112">
        <v>320</v>
      </c>
      <c r="Z13" s="124">
        <v>0</v>
      </c>
      <c r="AA13" s="125">
        <v>0</v>
      </c>
      <c r="AB13" s="125">
        <v>120</v>
      </c>
      <c r="AC13" s="111" t="s">
        <v>3399</v>
      </c>
      <c r="AD13" s="111" t="s">
        <v>2879</v>
      </c>
      <c r="AE13" s="112">
        <v>120</v>
      </c>
      <c r="AF13" s="113">
        <f t="shared" si="0"/>
        <v>440</v>
      </c>
      <c r="AG13" s="127"/>
      <c r="AH13" s="134"/>
    </row>
    <row r="14" spans="1:34" s="78" customFormat="1" ht="12" customHeight="1">
      <c r="A14" s="100">
        <v>1012</v>
      </c>
      <c r="B14" s="101" t="s">
        <v>3395</v>
      </c>
      <c r="C14" s="129" t="s">
        <v>4140</v>
      </c>
      <c r="D14" s="101" t="s">
        <v>3398</v>
      </c>
      <c r="E14" s="100">
        <v>1</v>
      </c>
      <c r="F14" s="102">
        <v>1</v>
      </c>
      <c r="G14" s="103">
        <v>12</v>
      </c>
      <c r="H14" s="104" t="s">
        <v>421</v>
      </c>
      <c r="I14" s="104" t="s">
        <v>421</v>
      </c>
      <c r="J14" s="105">
        <v>10500100180501</v>
      </c>
      <c r="K14" s="106" t="s">
        <v>353</v>
      </c>
      <c r="L14" s="106"/>
      <c r="M14" s="106">
        <v>1</v>
      </c>
      <c r="N14" s="104" t="s">
        <v>388</v>
      </c>
      <c r="O14" s="104" t="s">
        <v>422</v>
      </c>
      <c r="P14" s="107">
        <v>5286518</v>
      </c>
      <c r="Q14" s="104" t="s">
        <v>423</v>
      </c>
      <c r="R14" s="104" t="s">
        <v>424</v>
      </c>
      <c r="S14" s="108" t="s">
        <v>425</v>
      </c>
      <c r="T14" s="131">
        <v>60</v>
      </c>
      <c r="U14" s="132">
        <v>300</v>
      </c>
      <c r="V14" s="132">
        <v>80</v>
      </c>
      <c r="W14" s="111" t="s">
        <v>3397</v>
      </c>
      <c r="X14" s="111" t="s">
        <v>3396</v>
      </c>
      <c r="Y14" s="112">
        <v>440</v>
      </c>
      <c r="Z14" s="131">
        <v>380</v>
      </c>
      <c r="AA14" s="132">
        <v>90</v>
      </c>
      <c r="AB14" s="132">
        <v>0</v>
      </c>
      <c r="AC14" s="111" t="s">
        <v>3399</v>
      </c>
      <c r="AD14" s="111" t="s">
        <v>2879</v>
      </c>
      <c r="AE14" s="112">
        <v>470</v>
      </c>
      <c r="AF14" s="113">
        <f t="shared" si="0"/>
        <v>910</v>
      </c>
      <c r="AG14" s="114"/>
      <c r="AH14" s="115"/>
    </row>
    <row r="15" spans="1:34" s="78" customFormat="1" ht="12" customHeight="1">
      <c r="A15" s="100">
        <v>1013</v>
      </c>
      <c r="B15" s="101" t="s">
        <v>3395</v>
      </c>
      <c r="C15" s="129" t="s">
        <v>4140</v>
      </c>
      <c r="D15" s="101" t="s">
        <v>3398</v>
      </c>
      <c r="E15" s="100">
        <v>1</v>
      </c>
      <c r="F15" s="102">
        <v>1</v>
      </c>
      <c r="G15" s="103">
        <v>13</v>
      </c>
      <c r="H15" s="104" t="s">
        <v>426</v>
      </c>
      <c r="I15" s="104" t="s">
        <v>426</v>
      </c>
      <c r="J15" s="105">
        <v>10500100180502</v>
      </c>
      <c r="K15" s="106" t="s">
        <v>353</v>
      </c>
      <c r="L15" s="106"/>
      <c r="M15" s="106">
        <v>1</v>
      </c>
      <c r="N15" s="104" t="s">
        <v>388</v>
      </c>
      <c r="O15" s="104" t="s">
        <v>427</v>
      </c>
      <c r="P15" s="107">
        <v>2369838</v>
      </c>
      <c r="Q15" s="104" t="s">
        <v>423</v>
      </c>
      <c r="R15" s="104" t="s">
        <v>428</v>
      </c>
      <c r="S15" s="108" t="s">
        <v>429</v>
      </c>
      <c r="T15" s="131">
        <v>50</v>
      </c>
      <c r="U15" s="132">
        <v>210</v>
      </c>
      <c r="V15" s="132">
        <v>155</v>
      </c>
      <c r="W15" s="111" t="s">
        <v>3397</v>
      </c>
      <c r="X15" s="111" t="s">
        <v>3396</v>
      </c>
      <c r="Y15" s="112">
        <v>415</v>
      </c>
      <c r="Z15" s="131">
        <v>165</v>
      </c>
      <c r="AA15" s="132">
        <v>175</v>
      </c>
      <c r="AB15" s="132">
        <v>0</v>
      </c>
      <c r="AC15" s="111" t="s">
        <v>3399</v>
      </c>
      <c r="AD15" s="111" t="s">
        <v>2879</v>
      </c>
      <c r="AE15" s="112">
        <v>340</v>
      </c>
      <c r="AF15" s="113">
        <f t="shared" si="0"/>
        <v>755</v>
      </c>
      <c r="AG15" s="114"/>
      <c r="AH15" s="115"/>
    </row>
    <row r="16" spans="1:34" s="78" customFormat="1" ht="12" customHeight="1">
      <c r="A16" s="100">
        <v>1014</v>
      </c>
      <c r="B16" s="101" t="s">
        <v>3395</v>
      </c>
      <c r="C16" s="101" t="s">
        <v>3396</v>
      </c>
      <c r="D16" s="101" t="s">
        <v>3397</v>
      </c>
      <c r="E16" s="100">
        <v>1</v>
      </c>
      <c r="F16" s="102">
        <v>1</v>
      </c>
      <c r="G16" s="103">
        <v>14</v>
      </c>
      <c r="H16" s="104" t="s">
        <v>430</v>
      </c>
      <c r="I16" s="104" t="s">
        <v>430</v>
      </c>
      <c r="J16" s="105">
        <v>30500102009401</v>
      </c>
      <c r="K16" s="106" t="s">
        <v>431</v>
      </c>
      <c r="L16" s="106"/>
      <c r="M16" s="106">
        <v>1</v>
      </c>
      <c r="N16" s="104" t="s">
        <v>354</v>
      </c>
      <c r="O16" s="104" t="s">
        <v>432</v>
      </c>
      <c r="P16" s="107" t="s">
        <v>433</v>
      </c>
      <c r="Q16" s="104" t="s">
        <v>434</v>
      </c>
      <c r="R16" s="104" t="s">
        <v>435</v>
      </c>
      <c r="S16" s="108" t="s">
        <v>436</v>
      </c>
      <c r="T16" s="109">
        <v>68</v>
      </c>
      <c r="U16" s="110">
        <v>104</v>
      </c>
      <c r="V16" s="110">
        <v>83</v>
      </c>
      <c r="W16" s="111" t="s">
        <v>3397</v>
      </c>
      <c r="X16" s="111" t="s">
        <v>3396</v>
      </c>
      <c r="Y16" s="112">
        <v>255</v>
      </c>
      <c r="Z16" s="109">
        <v>0</v>
      </c>
      <c r="AA16" s="110">
        <v>0</v>
      </c>
      <c r="AB16" s="110">
        <v>0</v>
      </c>
      <c r="AC16" s="111"/>
      <c r="AD16" s="111"/>
      <c r="AE16" s="112">
        <v>0</v>
      </c>
      <c r="AF16" s="113">
        <f t="shared" si="0"/>
        <v>255</v>
      </c>
      <c r="AG16" s="114"/>
      <c r="AH16" s="115"/>
    </row>
    <row r="17" spans="1:34" s="78" customFormat="1" ht="12" customHeight="1">
      <c r="A17" s="100">
        <v>1015</v>
      </c>
      <c r="B17" s="101" t="s">
        <v>3395</v>
      </c>
      <c r="C17" s="101" t="s">
        <v>3396</v>
      </c>
      <c r="D17" s="101" t="s">
        <v>3397</v>
      </c>
      <c r="E17" s="100">
        <v>1</v>
      </c>
      <c r="F17" s="116">
        <v>1</v>
      </c>
      <c r="G17" s="103">
        <v>15</v>
      </c>
      <c r="H17" s="118" t="s">
        <v>437</v>
      </c>
      <c r="I17" s="118" t="s">
        <v>437</v>
      </c>
      <c r="J17" s="119">
        <v>10500100671801</v>
      </c>
      <c r="K17" s="120" t="s">
        <v>353</v>
      </c>
      <c r="L17" s="120"/>
      <c r="M17" s="120">
        <v>2</v>
      </c>
      <c r="N17" s="118" t="s">
        <v>438</v>
      </c>
      <c r="O17" s="118" t="s">
        <v>439</v>
      </c>
      <c r="P17" s="122" t="s">
        <v>440</v>
      </c>
      <c r="Q17" s="118" t="s">
        <v>441</v>
      </c>
      <c r="R17" s="118" t="s">
        <v>442</v>
      </c>
      <c r="S17" s="123" t="s">
        <v>443</v>
      </c>
      <c r="T17" s="124">
        <v>0</v>
      </c>
      <c r="U17" s="125">
        <v>200</v>
      </c>
      <c r="V17" s="125">
        <v>200</v>
      </c>
      <c r="W17" s="111" t="s">
        <v>3397</v>
      </c>
      <c r="X17" s="111" t="s">
        <v>3396</v>
      </c>
      <c r="Y17" s="112">
        <v>400</v>
      </c>
      <c r="Z17" s="124">
        <v>0</v>
      </c>
      <c r="AA17" s="125">
        <v>0</v>
      </c>
      <c r="AB17" s="125">
        <v>0</v>
      </c>
      <c r="AC17" s="111"/>
      <c r="AD17" s="111"/>
      <c r="AE17" s="112">
        <v>0</v>
      </c>
      <c r="AF17" s="113">
        <f t="shared" si="0"/>
        <v>400</v>
      </c>
      <c r="AG17" s="127"/>
      <c r="AH17" s="128" t="s">
        <v>444</v>
      </c>
    </row>
    <row r="18" spans="1:34" s="78" customFormat="1" ht="12" customHeight="1">
      <c r="A18" s="100">
        <v>1016</v>
      </c>
      <c r="B18" s="101" t="s">
        <v>3395</v>
      </c>
      <c r="C18" s="101" t="s">
        <v>3396</v>
      </c>
      <c r="D18" s="101" t="s">
        <v>3397</v>
      </c>
      <c r="E18" s="100">
        <v>1</v>
      </c>
      <c r="F18" s="135">
        <v>1</v>
      </c>
      <c r="G18" s="103">
        <v>16</v>
      </c>
      <c r="H18" s="118" t="s">
        <v>437</v>
      </c>
      <c r="I18" s="118" t="s">
        <v>445</v>
      </c>
      <c r="J18" s="119">
        <v>10500100671803</v>
      </c>
      <c r="K18" s="120" t="s">
        <v>353</v>
      </c>
      <c r="L18" s="128"/>
      <c r="M18" s="120">
        <v>2</v>
      </c>
      <c r="N18" s="118" t="s">
        <v>438</v>
      </c>
      <c r="O18" s="118" t="s">
        <v>439</v>
      </c>
      <c r="P18" s="122" t="s">
        <v>440</v>
      </c>
      <c r="Q18" s="118" t="s">
        <v>441</v>
      </c>
      <c r="R18" s="118" t="s">
        <v>442</v>
      </c>
      <c r="S18" s="123" t="s">
        <v>443</v>
      </c>
      <c r="T18" s="124">
        <v>200</v>
      </c>
      <c r="U18" s="125">
        <v>0</v>
      </c>
      <c r="V18" s="125">
        <v>0</v>
      </c>
      <c r="W18" s="111" t="s">
        <v>3397</v>
      </c>
      <c r="X18" s="111" t="s">
        <v>3396</v>
      </c>
      <c r="Y18" s="112">
        <v>200</v>
      </c>
      <c r="Z18" s="124">
        <v>0</v>
      </c>
      <c r="AA18" s="125">
        <v>0</v>
      </c>
      <c r="AB18" s="125">
        <v>0</v>
      </c>
      <c r="AC18" s="111"/>
      <c r="AD18" s="111"/>
      <c r="AE18" s="112">
        <v>0</v>
      </c>
      <c r="AF18" s="113">
        <f t="shared" si="0"/>
        <v>200</v>
      </c>
      <c r="AG18" s="127"/>
      <c r="AH18" s="128" t="s">
        <v>444</v>
      </c>
    </row>
    <row r="19" spans="1:34" s="78" customFormat="1" ht="12" customHeight="1">
      <c r="A19" s="100">
        <v>1017</v>
      </c>
      <c r="B19" s="101" t="s">
        <v>3395</v>
      </c>
      <c r="C19" s="129" t="s">
        <v>4140</v>
      </c>
      <c r="D19" s="101" t="s">
        <v>3398</v>
      </c>
      <c r="E19" s="100">
        <v>1</v>
      </c>
      <c r="F19" s="102">
        <v>1</v>
      </c>
      <c r="G19" s="103">
        <v>17</v>
      </c>
      <c r="H19" s="104" t="s">
        <v>446</v>
      </c>
      <c r="I19" s="104" t="s">
        <v>446</v>
      </c>
      <c r="J19" s="105">
        <v>10500100671802</v>
      </c>
      <c r="K19" s="106" t="s">
        <v>353</v>
      </c>
      <c r="L19" s="106"/>
      <c r="M19" s="106">
        <v>2</v>
      </c>
      <c r="N19" s="104" t="s">
        <v>438</v>
      </c>
      <c r="O19" s="104" t="s">
        <v>447</v>
      </c>
      <c r="P19" s="107" t="s">
        <v>448</v>
      </c>
      <c r="Q19" s="115"/>
      <c r="R19" s="115"/>
      <c r="S19" s="136"/>
      <c r="T19" s="109">
        <v>235</v>
      </c>
      <c r="U19" s="110">
        <v>130</v>
      </c>
      <c r="V19" s="110">
        <v>0</v>
      </c>
      <c r="W19" s="111" t="s">
        <v>3397</v>
      </c>
      <c r="X19" s="111" t="s">
        <v>3396</v>
      </c>
      <c r="Y19" s="112">
        <v>365</v>
      </c>
      <c r="Z19" s="109">
        <v>130</v>
      </c>
      <c r="AA19" s="110">
        <v>35</v>
      </c>
      <c r="AB19" s="110">
        <v>0</v>
      </c>
      <c r="AC19" s="111" t="s">
        <v>3399</v>
      </c>
      <c r="AD19" s="111" t="s">
        <v>2879</v>
      </c>
      <c r="AE19" s="112">
        <v>165</v>
      </c>
      <c r="AF19" s="113">
        <f t="shared" si="0"/>
        <v>530</v>
      </c>
      <c r="AG19" s="114"/>
      <c r="AH19" s="115"/>
    </row>
    <row r="20" spans="1:34" s="78" customFormat="1" ht="12" customHeight="1">
      <c r="A20" s="100">
        <v>1018</v>
      </c>
      <c r="B20" s="101" t="s">
        <v>3395</v>
      </c>
      <c r="C20" s="129" t="s">
        <v>4140</v>
      </c>
      <c r="D20" s="101" t="s">
        <v>3398</v>
      </c>
      <c r="E20" s="100">
        <v>1</v>
      </c>
      <c r="F20" s="102">
        <v>1</v>
      </c>
      <c r="G20" s="103">
        <v>18</v>
      </c>
      <c r="H20" s="104" t="s">
        <v>449</v>
      </c>
      <c r="I20" s="104" t="s">
        <v>449</v>
      </c>
      <c r="J20" s="105">
        <v>10500101945302</v>
      </c>
      <c r="K20" s="106" t="s">
        <v>353</v>
      </c>
      <c r="L20" s="106"/>
      <c r="M20" s="106">
        <v>2</v>
      </c>
      <c r="N20" s="104" t="s">
        <v>450</v>
      </c>
      <c r="O20" s="104" t="s">
        <v>451</v>
      </c>
      <c r="P20" s="107" t="s">
        <v>452</v>
      </c>
      <c r="Q20" s="104" t="s">
        <v>453</v>
      </c>
      <c r="R20" s="104" t="s">
        <v>454</v>
      </c>
      <c r="S20" s="108" t="s">
        <v>455</v>
      </c>
      <c r="T20" s="131">
        <v>379</v>
      </c>
      <c r="U20" s="132">
        <v>341</v>
      </c>
      <c r="V20" s="132">
        <v>0</v>
      </c>
      <c r="W20" s="111" t="s">
        <v>3397</v>
      </c>
      <c r="X20" s="111" t="s">
        <v>3396</v>
      </c>
      <c r="Y20" s="112">
        <v>720</v>
      </c>
      <c r="Z20" s="131">
        <v>393</v>
      </c>
      <c r="AA20" s="132">
        <v>487</v>
      </c>
      <c r="AB20" s="132">
        <v>0</v>
      </c>
      <c r="AC20" s="111" t="s">
        <v>3399</v>
      </c>
      <c r="AD20" s="111" t="s">
        <v>2879</v>
      </c>
      <c r="AE20" s="112">
        <v>880</v>
      </c>
      <c r="AF20" s="113">
        <f t="shared" si="0"/>
        <v>1600</v>
      </c>
      <c r="AG20" s="137"/>
      <c r="AH20" s="115"/>
    </row>
    <row r="21" spans="1:34" s="78" customFormat="1" ht="12" customHeight="1">
      <c r="A21" s="100">
        <v>1019</v>
      </c>
      <c r="B21" s="101" t="s">
        <v>3395</v>
      </c>
      <c r="C21" s="129" t="s">
        <v>4140</v>
      </c>
      <c r="D21" s="101" t="s">
        <v>3398</v>
      </c>
      <c r="E21" s="100">
        <v>1</v>
      </c>
      <c r="F21" s="102">
        <v>1</v>
      </c>
      <c r="G21" s="103">
        <v>19</v>
      </c>
      <c r="H21" s="104" t="s">
        <v>456</v>
      </c>
      <c r="I21" s="104" t="s">
        <v>457</v>
      </c>
      <c r="J21" s="105">
        <v>10500101945304</v>
      </c>
      <c r="K21" s="106" t="s">
        <v>353</v>
      </c>
      <c r="L21" s="106"/>
      <c r="M21" s="106">
        <v>2</v>
      </c>
      <c r="N21" s="104" t="s">
        <v>458</v>
      </c>
      <c r="O21" s="104" t="s">
        <v>459</v>
      </c>
      <c r="P21" s="107" t="s">
        <v>460</v>
      </c>
      <c r="Q21" s="104" t="s">
        <v>453</v>
      </c>
      <c r="R21" s="104" t="s">
        <v>461</v>
      </c>
      <c r="S21" s="108" t="s">
        <v>462</v>
      </c>
      <c r="T21" s="131">
        <v>298</v>
      </c>
      <c r="U21" s="132">
        <v>102</v>
      </c>
      <c r="V21" s="132">
        <v>0</v>
      </c>
      <c r="W21" s="111" t="s">
        <v>3397</v>
      </c>
      <c r="X21" s="111" t="s">
        <v>3396</v>
      </c>
      <c r="Y21" s="112">
        <v>400</v>
      </c>
      <c r="Z21" s="131">
        <v>59</v>
      </c>
      <c r="AA21" s="132">
        <v>381</v>
      </c>
      <c r="AB21" s="132">
        <v>0</v>
      </c>
      <c r="AC21" s="111" t="s">
        <v>3399</v>
      </c>
      <c r="AD21" s="111" t="s">
        <v>2879</v>
      </c>
      <c r="AE21" s="112">
        <v>440</v>
      </c>
      <c r="AF21" s="113">
        <f t="shared" si="0"/>
        <v>840</v>
      </c>
      <c r="AG21" s="114"/>
      <c r="AH21" s="115"/>
    </row>
    <row r="22" spans="1:34" s="78" customFormat="1" ht="12" customHeight="1">
      <c r="A22" s="100">
        <v>1020</v>
      </c>
      <c r="B22" s="101" t="s">
        <v>3395</v>
      </c>
      <c r="C22" s="129" t="s">
        <v>4140</v>
      </c>
      <c r="D22" s="101" t="s">
        <v>3398</v>
      </c>
      <c r="E22" s="100">
        <v>1</v>
      </c>
      <c r="F22" s="102">
        <v>1</v>
      </c>
      <c r="G22" s="103">
        <v>20</v>
      </c>
      <c r="H22" s="104" t="s">
        <v>463</v>
      </c>
      <c r="I22" s="104" t="s">
        <v>463</v>
      </c>
      <c r="J22" s="105">
        <v>10500100127901</v>
      </c>
      <c r="K22" s="106" t="s">
        <v>353</v>
      </c>
      <c r="L22" s="106"/>
      <c r="M22" s="106">
        <v>2</v>
      </c>
      <c r="N22" s="104" t="s">
        <v>464</v>
      </c>
      <c r="O22" s="104" t="s">
        <v>465</v>
      </c>
      <c r="P22" s="107" t="s">
        <v>466</v>
      </c>
      <c r="Q22" s="104" t="s">
        <v>467</v>
      </c>
      <c r="R22" s="104" t="s">
        <v>468</v>
      </c>
      <c r="S22" s="108" t="s">
        <v>469</v>
      </c>
      <c r="T22" s="131">
        <v>0</v>
      </c>
      <c r="U22" s="132">
        <v>190</v>
      </c>
      <c r="V22" s="132">
        <v>130</v>
      </c>
      <c r="W22" s="111" t="s">
        <v>3397</v>
      </c>
      <c r="X22" s="111" t="s">
        <v>3396</v>
      </c>
      <c r="Y22" s="112">
        <v>320</v>
      </c>
      <c r="Z22" s="131">
        <v>0</v>
      </c>
      <c r="AA22" s="132">
        <v>220</v>
      </c>
      <c r="AB22" s="132">
        <v>100</v>
      </c>
      <c r="AC22" s="111" t="s">
        <v>3399</v>
      </c>
      <c r="AD22" s="111" t="s">
        <v>2879</v>
      </c>
      <c r="AE22" s="112">
        <v>320</v>
      </c>
      <c r="AF22" s="113">
        <f t="shared" si="0"/>
        <v>640</v>
      </c>
      <c r="AG22" s="114"/>
      <c r="AH22" s="115"/>
    </row>
    <row r="23" spans="1:34" s="78" customFormat="1" ht="12" customHeight="1">
      <c r="A23" s="100">
        <v>1021</v>
      </c>
      <c r="B23" s="101" t="s">
        <v>3395</v>
      </c>
      <c r="C23" s="129" t="s">
        <v>4140</v>
      </c>
      <c r="D23" s="101" t="s">
        <v>3398</v>
      </c>
      <c r="E23" s="100">
        <v>1</v>
      </c>
      <c r="F23" s="102">
        <v>1</v>
      </c>
      <c r="G23" s="103">
        <v>21</v>
      </c>
      <c r="H23" s="104" t="s">
        <v>470</v>
      </c>
      <c r="I23" s="104" t="s">
        <v>470</v>
      </c>
      <c r="J23" s="105">
        <v>10500100797801</v>
      </c>
      <c r="K23" s="106" t="s">
        <v>353</v>
      </c>
      <c r="L23" s="106"/>
      <c r="M23" s="106">
        <v>2</v>
      </c>
      <c r="N23" s="104" t="s">
        <v>471</v>
      </c>
      <c r="O23" s="104" t="s">
        <v>472</v>
      </c>
      <c r="P23" s="107" t="s">
        <v>473</v>
      </c>
      <c r="Q23" s="104" t="s">
        <v>474</v>
      </c>
      <c r="R23" s="104" t="s">
        <v>475</v>
      </c>
      <c r="S23" s="108" t="s">
        <v>476</v>
      </c>
      <c r="T23" s="109">
        <v>134</v>
      </c>
      <c r="U23" s="110">
        <v>269</v>
      </c>
      <c r="V23" s="110">
        <v>67</v>
      </c>
      <c r="W23" s="111" t="s">
        <v>3397</v>
      </c>
      <c r="X23" s="111" t="s">
        <v>3396</v>
      </c>
      <c r="Y23" s="112">
        <v>470</v>
      </c>
      <c r="Z23" s="109">
        <v>0</v>
      </c>
      <c r="AA23" s="110">
        <v>147</v>
      </c>
      <c r="AB23" s="110">
        <v>53</v>
      </c>
      <c r="AC23" s="111" t="s">
        <v>3399</v>
      </c>
      <c r="AD23" s="111" t="s">
        <v>2879</v>
      </c>
      <c r="AE23" s="112">
        <v>200</v>
      </c>
      <c r="AF23" s="113">
        <f t="shared" si="0"/>
        <v>670</v>
      </c>
      <c r="AG23" s="114"/>
      <c r="AH23" s="115"/>
    </row>
    <row r="24" spans="1:34" s="78" customFormat="1" ht="12" customHeight="1">
      <c r="A24" s="100">
        <v>1022</v>
      </c>
      <c r="B24" s="101" t="s">
        <v>3395</v>
      </c>
      <c r="C24" s="101" t="s">
        <v>3396</v>
      </c>
      <c r="D24" s="101" t="s">
        <v>3397</v>
      </c>
      <c r="E24" s="100">
        <v>1</v>
      </c>
      <c r="F24" s="102">
        <v>1</v>
      </c>
      <c r="G24" s="103">
        <v>22</v>
      </c>
      <c r="H24" s="104" t="s">
        <v>477</v>
      </c>
      <c r="I24" s="104" t="s">
        <v>477</v>
      </c>
      <c r="J24" s="105">
        <v>10500100313102</v>
      </c>
      <c r="K24" s="106" t="s">
        <v>353</v>
      </c>
      <c r="L24" s="106"/>
      <c r="M24" s="106">
        <v>2</v>
      </c>
      <c r="N24" s="104" t="s">
        <v>464</v>
      </c>
      <c r="O24" s="104" t="s">
        <v>478</v>
      </c>
      <c r="P24" s="107">
        <v>5214683</v>
      </c>
      <c r="Q24" s="104" t="s">
        <v>479</v>
      </c>
      <c r="R24" s="104" t="s">
        <v>480</v>
      </c>
      <c r="S24" s="108" t="s">
        <v>481</v>
      </c>
      <c r="T24" s="131">
        <v>205</v>
      </c>
      <c r="U24" s="132">
        <v>125</v>
      </c>
      <c r="V24" s="132">
        <v>0</v>
      </c>
      <c r="W24" s="111" t="s">
        <v>3397</v>
      </c>
      <c r="X24" s="111" t="s">
        <v>3396</v>
      </c>
      <c r="Y24" s="112">
        <v>330</v>
      </c>
      <c r="Z24" s="109">
        <v>0</v>
      </c>
      <c r="AA24" s="110">
        <v>0</v>
      </c>
      <c r="AB24" s="110">
        <v>0</v>
      </c>
      <c r="AC24" s="111"/>
      <c r="AD24" s="111"/>
      <c r="AE24" s="112">
        <v>0</v>
      </c>
      <c r="AF24" s="113">
        <f t="shared" si="0"/>
        <v>330</v>
      </c>
      <c r="AG24" s="137"/>
      <c r="AH24" s="115"/>
    </row>
    <row r="25" spans="1:34" s="78" customFormat="1" ht="12" customHeight="1">
      <c r="A25" s="100">
        <v>1023</v>
      </c>
      <c r="B25" s="101" t="s">
        <v>3395</v>
      </c>
      <c r="C25" s="101" t="s">
        <v>3396</v>
      </c>
      <c r="D25" s="101" t="s">
        <v>3397</v>
      </c>
      <c r="E25" s="100">
        <v>1</v>
      </c>
      <c r="F25" s="102">
        <v>1</v>
      </c>
      <c r="G25" s="103">
        <v>23</v>
      </c>
      <c r="H25" s="104" t="s">
        <v>482</v>
      </c>
      <c r="I25" s="104" t="s">
        <v>482</v>
      </c>
      <c r="J25" s="105">
        <v>10500100004301</v>
      </c>
      <c r="K25" s="106" t="s">
        <v>353</v>
      </c>
      <c r="L25" s="106"/>
      <c r="M25" s="106">
        <v>2</v>
      </c>
      <c r="N25" s="104" t="s">
        <v>483</v>
      </c>
      <c r="O25" s="104" t="s">
        <v>484</v>
      </c>
      <c r="P25" s="107">
        <v>5294058</v>
      </c>
      <c r="Q25" s="104" t="s">
        <v>485</v>
      </c>
      <c r="R25" s="104" t="s">
        <v>486</v>
      </c>
      <c r="S25" s="108" t="s">
        <v>487</v>
      </c>
      <c r="T25" s="109">
        <v>0</v>
      </c>
      <c r="U25" s="110">
        <v>227</v>
      </c>
      <c r="V25" s="110">
        <v>183</v>
      </c>
      <c r="W25" s="111" t="s">
        <v>3397</v>
      </c>
      <c r="X25" s="111" t="s">
        <v>3396</v>
      </c>
      <c r="Y25" s="112">
        <v>410</v>
      </c>
      <c r="Z25" s="109">
        <v>0</v>
      </c>
      <c r="AA25" s="110">
        <v>0</v>
      </c>
      <c r="AB25" s="110">
        <v>0</v>
      </c>
      <c r="AC25" s="111"/>
      <c r="AD25" s="111"/>
      <c r="AE25" s="112">
        <v>0</v>
      </c>
      <c r="AF25" s="113">
        <f t="shared" si="0"/>
        <v>410</v>
      </c>
      <c r="AG25" s="137"/>
      <c r="AH25" s="115"/>
    </row>
    <row r="26" spans="1:34" s="78" customFormat="1" ht="12" customHeight="1">
      <c r="A26" s="100">
        <v>1024</v>
      </c>
      <c r="B26" s="101" t="s">
        <v>3395</v>
      </c>
      <c r="C26" s="101" t="s">
        <v>3396</v>
      </c>
      <c r="D26" s="101" t="s">
        <v>3397</v>
      </c>
      <c r="E26" s="100">
        <v>1</v>
      </c>
      <c r="F26" s="102">
        <v>1</v>
      </c>
      <c r="G26" s="103">
        <v>24</v>
      </c>
      <c r="H26" s="104" t="s">
        <v>488</v>
      </c>
      <c r="I26" s="104" t="s">
        <v>488</v>
      </c>
      <c r="J26" s="105">
        <v>10500102396502</v>
      </c>
      <c r="K26" s="106" t="s">
        <v>353</v>
      </c>
      <c r="L26" s="106"/>
      <c r="M26" s="106">
        <v>2</v>
      </c>
      <c r="N26" s="104" t="s">
        <v>489</v>
      </c>
      <c r="O26" s="104" t="s">
        <v>490</v>
      </c>
      <c r="P26" s="107">
        <v>2369693</v>
      </c>
      <c r="Q26" s="104" t="s">
        <v>491</v>
      </c>
      <c r="R26" s="104" t="s">
        <v>492</v>
      </c>
      <c r="S26" s="108" t="s">
        <v>493</v>
      </c>
      <c r="T26" s="109">
        <v>20</v>
      </c>
      <c r="U26" s="110">
        <v>140</v>
      </c>
      <c r="V26" s="110">
        <v>0</v>
      </c>
      <c r="W26" s="111" t="s">
        <v>3397</v>
      </c>
      <c r="X26" s="111" t="s">
        <v>3396</v>
      </c>
      <c r="Y26" s="112">
        <v>160</v>
      </c>
      <c r="Z26" s="109">
        <v>0</v>
      </c>
      <c r="AA26" s="110">
        <v>0</v>
      </c>
      <c r="AB26" s="110">
        <v>0</v>
      </c>
      <c r="AC26" s="111"/>
      <c r="AD26" s="111"/>
      <c r="AE26" s="112">
        <v>0</v>
      </c>
      <c r="AF26" s="113">
        <f t="shared" si="0"/>
        <v>160</v>
      </c>
      <c r="AG26" s="114"/>
      <c r="AH26" s="115"/>
    </row>
    <row r="27" spans="1:34" s="78" customFormat="1" ht="12" customHeight="1">
      <c r="A27" s="100">
        <v>1025</v>
      </c>
      <c r="B27" s="101" t="s">
        <v>3395</v>
      </c>
      <c r="C27" s="101" t="s">
        <v>3396</v>
      </c>
      <c r="D27" s="101" t="s">
        <v>3397</v>
      </c>
      <c r="E27" s="100">
        <v>1</v>
      </c>
      <c r="F27" s="102">
        <v>1</v>
      </c>
      <c r="G27" s="103">
        <v>25</v>
      </c>
      <c r="H27" s="104" t="s">
        <v>494</v>
      </c>
      <c r="I27" s="104" t="s">
        <v>494</v>
      </c>
      <c r="J27" s="105">
        <v>10500100538001</v>
      </c>
      <c r="K27" s="106" t="s">
        <v>353</v>
      </c>
      <c r="L27" s="106"/>
      <c r="M27" s="106">
        <v>2</v>
      </c>
      <c r="N27" s="104" t="s">
        <v>495</v>
      </c>
      <c r="O27" s="104" t="s">
        <v>496</v>
      </c>
      <c r="P27" s="107">
        <v>2581854</v>
      </c>
      <c r="Q27" s="104" t="s">
        <v>497</v>
      </c>
      <c r="R27" s="104" t="s">
        <v>498</v>
      </c>
      <c r="S27" s="108" t="s">
        <v>499</v>
      </c>
      <c r="T27" s="131">
        <v>377</v>
      </c>
      <c r="U27" s="132">
        <v>124</v>
      </c>
      <c r="V27" s="132">
        <v>39</v>
      </c>
      <c r="W27" s="111" t="s">
        <v>3397</v>
      </c>
      <c r="X27" s="111" t="s">
        <v>3396</v>
      </c>
      <c r="Y27" s="112">
        <v>540</v>
      </c>
      <c r="Z27" s="109">
        <v>0</v>
      </c>
      <c r="AA27" s="110">
        <v>0</v>
      </c>
      <c r="AB27" s="110">
        <v>0</v>
      </c>
      <c r="AC27" s="111"/>
      <c r="AD27" s="111"/>
      <c r="AE27" s="112">
        <v>0</v>
      </c>
      <c r="AF27" s="113">
        <f t="shared" si="0"/>
        <v>540</v>
      </c>
      <c r="AG27" s="114"/>
      <c r="AH27" s="115"/>
    </row>
    <row r="28" spans="1:34" s="78" customFormat="1" ht="12" customHeight="1">
      <c r="A28" s="100">
        <v>1026</v>
      </c>
      <c r="B28" s="101" t="s">
        <v>3395</v>
      </c>
      <c r="C28" s="101" t="s">
        <v>3396</v>
      </c>
      <c r="D28" s="101" t="s">
        <v>3397</v>
      </c>
      <c r="E28" s="100">
        <v>1</v>
      </c>
      <c r="F28" s="102">
        <v>1</v>
      </c>
      <c r="G28" s="103">
        <v>26</v>
      </c>
      <c r="H28" s="104" t="s">
        <v>500</v>
      </c>
      <c r="I28" s="104" t="s">
        <v>500</v>
      </c>
      <c r="J28" s="105">
        <v>10500100538002</v>
      </c>
      <c r="K28" s="106" t="s">
        <v>353</v>
      </c>
      <c r="L28" s="106"/>
      <c r="M28" s="106">
        <v>2</v>
      </c>
      <c r="N28" s="104" t="s">
        <v>489</v>
      </c>
      <c r="O28" s="104" t="s">
        <v>501</v>
      </c>
      <c r="P28" s="107">
        <v>5213916</v>
      </c>
      <c r="Q28" s="104" t="s">
        <v>502</v>
      </c>
      <c r="R28" s="104" t="s">
        <v>503</v>
      </c>
      <c r="S28" s="108" t="s">
        <v>504</v>
      </c>
      <c r="T28" s="131">
        <v>150</v>
      </c>
      <c r="U28" s="132">
        <v>100</v>
      </c>
      <c r="V28" s="132">
        <v>0</v>
      </c>
      <c r="W28" s="111" t="s">
        <v>3397</v>
      </c>
      <c r="X28" s="111" t="s">
        <v>3396</v>
      </c>
      <c r="Y28" s="112">
        <v>250</v>
      </c>
      <c r="Z28" s="109">
        <v>0</v>
      </c>
      <c r="AA28" s="110">
        <v>0</v>
      </c>
      <c r="AB28" s="110">
        <v>0</v>
      </c>
      <c r="AC28" s="111"/>
      <c r="AD28" s="111"/>
      <c r="AE28" s="112">
        <v>0</v>
      </c>
      <c r="AF28" s="113">
        <f t="shared" si="0"/>
        <v>250</v>
      </c>
      <c r="AG28" s="114"/>
      <c r="AH28" s="115"/>
    </row>
    <row r="29" spans="1:34" s="78" customFormat="1" ht="12" customHeight="1">
      <c r="A29" s="100">
        <v>1027</v>
      </c>
      <c r="B29" s="101" t="s">
        <v>3395</v>
      </c>
      <c r="C29" s="101" t="s">
        <v>3396</v>
      </c>
      <c r="D29" s="101" t="s">
        <v>3397</v>
      </c>
      <c r="E29" s="100">
        <v>1</v>
      </c>
      <c r="F29" s="102">
        <v>1</v>
      </c>
      <c r="G29" s="103">
        <v>27</v>
      </c>
      <c r="H29" s="104" t="s">
        <v>505</v>
      </c>
      <c r="I29" s="104" t="s">
        <v>505</v>
      </c>
      <c r="J29" s="105">
        <v>10500102654902</v>
      </c>
      <c r="K29" s="106" t="s">
        <v>353</v>
      </c>
      <c r="L29" s="106"/>
      <c r="M29" s="106">
        <v>3</v>
      </c>
      <c r="N29" s="104" t="s">
        <v>506</v>
      </c>
      <c r="O29" s="104" t="s">
        <v>507</v>
      </c>
      <c r="P29" s="107">
        <v>5290858</v>
      </c>
      <c r="Q29" s="104" t="s">
        <v>508</v>
      </c>
      <c r="R29" s="104" t="s">
        <v>509</v>
      </c>
      <c r="S29" s="108" t="s">
        <v>510</v>
      </c>
      <c r="T29" s="131">
        <v>114</v>
      </c>
      <c r="U29" s="132">
        <v>61</v>
      </c>
      <c r="V29" s="132">
        <v>0</v>
      </c>
      <c r="W29" s="111" t="s">
        <v>3397</v>
      </c>
      <c r="X29" s="111" t="s">
        <v>3396</v>
      </c>
      <c r="Y29" s="112">
        <v>175</v>
      </c>
      <c r="Z29" s="109">
        <v>0</v>
      </c>
      <c r="AA29" s="110">
        <v>0</v>
      </c>
      <c r="AB29" s="110">
        <v>0</v>
      </c>
      <c r="AC29" s="111"/>
      <c r="AD29" s="111"/>
      <c r="AE29" s="112">
        <v>0</v>
      </c>
      <c r="AF29" s="113">
        <f t="shared" si="0"/>
        <v>175</v>
      </c>
      <c r="AG29" s="114"/>
      <c r="AH29" s="115"/>
    </row>
    <row r="30" spans="1:34" s="78" customFormat="1" ht="12" customHeight="1">
      <c r="A30" s="100">
        <v>1028</v>
      </c>
      <c r="B30" s="101" t="s">
        <v>3395</v>
      </c>
      <c r="C30" s="101" t="s">
        <v>3396</v>
      </c>
      <c r="D30" s="101" t="s">
        <v>3397</v>
      </c>
      <c r="E30" s="100">
        <v>1</v>
      </c>
      <c r="F30" s="102">
        <v>1</v>
      </c>
      <c r="G30" s="103">
        <v>28</v>
      </c>
      <c r="H30" s="104" t="s">
        <v>511</v>
      </c>
      <c r="I30" s="104" t="s">
        <v>511</v>
      </c>
      <c r="J30" s="105">
        <v>10500100147301</v>
      </c>
      <c r="K30" s="106" t="s">
        <v>353</v>
      </c>
      <c r="L30" s="106"/>
      <c r="M30" s="106">
        <v>3</v>
      </c>
      <c r="N30" s="104" t="s">
        <v>512</v>
      </c>
      <c r="O30" s="104" t="s">
        <v>513</v>
      </c>
      <c r="P30" s="107" t="s">
        <v>514</v>
      </c>
      <c r="Q30" s="104" t="s">
        <v>515</v>
      </c>
      <c r="R30" s="104" t="s">
        <v>516</v>
      </c>
      <c r="S30" s="108" t="s">
        <v>517</v>
      </c>
      <c r="T30" s="109">
        <v>0</v>
      </c>
      <c r="U30" s="110">
        <v>220</v>
      </c>
      <c r="V30" s="110">
        <v>110</v>
      </c>
      <c r="W30" s="111" t="s">
        <v>3397</v>
      </c>
      <c r="X30" s="111" t="s">
        <v>3396</v>
      </c>
      <c r="Y30" s="112">
        <v>330</v>
      </c>
      <c r="Z30" s="109">
        <v>0</v>
      </c>
      <c r="AA30" s="110">
        <v>0</v>
      </c>
      <c r="AB30" s="110">
        <v>0</v>
      </c>
      <c r="AC30" s="111"/>
      <c r="AD30" s="111"/>
      <c r="AE30" s="112">
        <v>0</v>
      </c>
      <c r="AF30" s="113">
        <f t="shared" si="0"/>
        <v>330</v>
      </c>
      <c r="AG30" s="114"/>
      <c r="AH30" s="115"/>
    </row>
    <row r="31" spans="1:34" s="78" customFormat="1" ht="12" customHeight="1">
      <c r="A31" s="100">
        <v>1029</v>
      </c>
      <c r="B31" s="101" t="s">
        <v>3395</v>
      </c>
      <c r="C31" s="129" t="s">
        <v>4140</v>
      </c>
      <c r="D31" s="101" t="s">
        <v>3398</v>
      </c>
      <c r="E31" s="100">
        <v>1</v>
      </c>
      <c r="F31" s="102">
        <v>1</v>
      </c>
      <c r="G31" s="103">
        <v>29</v>
      </c>
      <c r="H31" s="104" t="s">
        <v>518</v>
      </c>
      <c r="I31" s="104" t="s">
        <v>518</v>
      </c>
      <c r="J31" s="105">
        <v>10500100248803</v>
      </c>
      <c r="K31" s="106" t="s">
        <v>353</v>
      </c>
      <c r="L31" s="106"/>
      <c r="M31" s="106">
        <v>3</v>
      </c>
      <c r="N31" s="104" t="s">
        <v>519</v>
      </c>
      <c r="O31" s="104" t="s">
        <v>520</v>
      </c>
      <c r="P31" s="107">
        <v>2843485</v>
      </c>
      <c r="Q31" s="104" t="s">
        <v>521</v>
      </c>
      <c r="R31" s="104" t="s">
        <v>522</v>
      </c>
      <c r="S31" s="108" t="s">
        <v>523</v>
      </c>
      <c r="T31" s="138">
        <v>368</v>
      </c>
      <c r="U31" s="139">
        <v>232</v>
      </c>
      <c r="V31" s="140">
        <v>0</v>
      </c>
      <c r="W31" s="111" t="s">
        <v>3397</v>
      </c>
      <c r="X31" s="111" t="s">
        <v>3396</v>
      </c>
      <c r="Y31" s="112">
        <v>600</v>
      </c>
      <c r="Z31" s="109">
        <v>125</v>
      </c>
      <c r="AA31" s="110">
        <v>41</v>
      </c>
      <c r="AB31" s="110">
        <v>0</v>
      </c>
      <c r="AC31" s="111" t="s">
        <v>3399</v>
      </c>
      <c r="AD31" s="111" t="s">
        <v>2879</v>
      </c>
      <c r="AE31" s="112" t="e">
        <f>SUM([1]!Table_1[[#This Row],[ COMPLEMENTO VASO DE LECHE 0° a 3°]:[ COMPLEMENTO VASO DE LECHE 9° a 11°]])</f>
        <v>#REF!</v>
      </c>
      <c r="AF31" s="113" t="e">
        <f t="shared" si="0"/>
        <v>#REF!</v>
      </c>
      <c r="AG31" s="137"/>
      <c r="AH31" s="115"/>
    </row>
    <row r="32" spans="1:34" s="78" customFormat="1" ht="12" customHeight="1">
      <c r="A32" s="100">
        <v>1030</v>
      </c>
      <c r="B32" s="101" t="s">
        <v>3395</v>
      </c>
      <c r="C32" s="129" t="s">
        <v>4140</v>
      </c>
      <c r="D32" s="101" t="s">
        <v>3398</v>
      </c>
      <c r="E32" s="100">
        <v>1</v>
      </c>
      <c r="F32" s="102">
        <v>1</v>
      </c>
      <c r="G32" s="103">
        <v>30</v>
      </c>
      <c r="H32" s="104" t="s">
        <v>524</v>
      </c>
      <c r="I32" s="104" t="s">
        <v>524</v>
      </c>
      <c r="J32" s="105">
        <v>10500100552501</v>
      </c>
      <c r="K32" s="106" t="s">
        <v>353</v>
      </c>
      <c r="L32" s="106"/>
      <c r="M32" s="106">
        <v>3</v>
      </c>
      <c r="N32" s="104" t="s">
        <v>519</v>
      </c>
      <c r="O32" s="104" t="s">
        <v>525</v>
      </c>
      <c r="P32" s="107" t="s">
        <v>526</v>
      </c>
      <c r="Q32" s="104" t="s">
        <v>527</v>
      </c>
      <c r="R32" s="104" t="s">
        <v>528</v>
      </c>
      <c r="S32" s="108" t="s">
        <v>529</v>
      </c>
      <c r="T32" s="109">
        <v>68</v>
      </c>
      <c r="U32" s="110">
        <v>170</v>
      </c>
      <c r="V32" s="110">
        <v>82</v>
      </c>
      <c r="W32" s="111" t="s">
        <v>3397</v>
      </c>
      <c r="X32" s="111" t="s">
        <v>3396</v>
      </c>
      <c r="Y32" s="112">
        <v>320</v>
      </c>
      <c r="Z32" s="109">
        <v>215</v>
      </c>
      <c r="AA32" s="110">
        <v>290</v>
      </c>
      <c r="AB32" s="110">
        <v>95</v>
      </c>
      <c r="AC32" s="111" t="s">
        <v>3399</v>
      </c>
      <c r="AD32" s="111" t="s">
        <v>2879</v>
      </c>
      <c r="AE32" s="112">
        <v>600</v>
      </c>
      <c r="AF32" s="113">
        <f t="shared" si="0"/>
        <v>920</v>
      </c>
      <c r="AG32" s="114"/>
      <c r="AH32" s="115"/>
    </row>
    <row r="33" spans="1:34" s="78" customFormat="1" ht="12" customHeight="1">
      <c r="A33" s="100">
        <v>1031</v>
      </c>
      <c r="B33" s="101" t="s">
        <v>3395</v>
      </c>
      <c r="C33" s="129" t="s">
        <v>4140</v>
      </c>
      <c r="D33" s="101" t="s">
        <v>3398</v>
      </c>
      <c r="E33" s="100">
        <v>1</v>
      </c>
      <c r="F33" s="102">
        <v>1</v>
      </c>
      <c r="G33" s="103">
        <v>31</v>
      </c>
      <c r="H33" s="104" t="s">
        <v>530</v>
      </c>
      <c r="I33" s="104" t="s">
        <v>530</v>
      </c>
      <c r="J33" s="105">
        <v>10500100965201</v>
      </c>
      <c r="K33" s="106" t="s">
        <v>353</v>
      </c>
      <c r="L33" s="106"/>
      <c r="M33" s="106">
        <v>3</v>
      </c>
      <c r="N33" s="104" t="s">
        <v>531</v>
      </c>
      <c r="O33" s="104" t="s">
        <v>532</v>
      </c>
      <c r="P33" s="107" t="s">
        <v>533</v>
      </c>
      <c r="Q33" s="104" t="s">
        <v>534</v>
      </c>
      <c r="R33" s="104" t="s">
        <v>535</v>
      </c>
      <c r="S33" s="108" t="s">
        <v>536</v>
      </c>
      <c r="T33" s="109">
        <v>69</v>
      </c>
      <c r="U33" s="110">
        <v>167</v>
      </c>
      <c r="V33" s="110">
        <v>164</v>
      </c>
      <c r="W33" s="111" t="s">
        <v>3397</v>
      </c>
      <c r="X33" s="111" t="s">
        <v>3396</v>
      </c>
      <c r="Y33" s="112">
        <v>400</v>
      </c>
      <c r="Z33" s="109">
        <v>0</v>
      </c>
      <c r="AA33" s="110">
        <v>130</v>
      </c>
      <c r="AB33" s="110">
        <v>70</v>
      </c>
      <c r="AC33" s="111" t="s">
        <v>3399</v>
      </c>
      <c r="AD33" s="111" t="s">
        <v>2879</v>
      </c>
      <c r="AE33" s="112">
        <v>200</v>
      </c>
      <c r="AF33" s="113">
        <f t="shared" si="0"/>
        <v>600</v>
      </c>
      <c r="AG33" s="114"/>
      <c r="AH33" s="115"/>
    </row>
    <row r="34" spans="1:34" s="78" customFormat="1" ht="12" customHeight="1">
      <c r="A34" s="100">
        <v>1032</v>
      </c>
      <c r="B34" s="101" t="s">
        <v>3395</v>
      </c>
      <c r="C34" s="129" t="s">
        <v>4140</v>
      </c>
      <c r="D34" s="101" t="s">
        <v>3398</v>
      </c>
      <c r="E34" s="100">
        <v>1</v>
      </c>
      <c r="F34" s="102">
        <v>1</v>
      </c>
      <c r="G34" s="103">
        <v>32</v>
      </c>
      <c r="H34" s="118" t="s">
        <v>537</v>
      </c>
      <c r="I34" s="118" t="s">
        <v>537</v>
      </c>
      <c r="J34" s="119">
        <v>10500101058801</v>
      </c>
      <c r="K34" s="120" t="s">
        <v>353</v>
      </c>
      <c r="L34" s="120"/>
      <c r="M34" s="120">
        <v>3</v>
      </c>
      <c r="N34" s="118" t="s">
        <v>538</v>
      </c>
      <c r="O34" s="118" t="s">
        <v>539</v>
      </c>
      <c r="P34" s="122">
        <v>2631727</v>
      </c>
      <c r="Q34" s="118" t="s">
        <v>540</v>
      </c>
      <c r="R34" s="118" t="s">
        <v>541</v>
      </c>
      <c r="S34" s="123" t="s">
        <v>542</v>
      </c>
      <c r="T34" s="124">
        <v>0</v>
      </c>
      <c r="U34" s="125">
        <v>200</v>
      </c>
      <c r="V34" s="125">
        <v>200</v>
      </c>
      <c r="W34" s="111" t="s">
        <v>3397</v>
      </c>
      <c r="X34" s="111" t="s">
        <v>3396</v>
      </c>
      <c r="Y34" s="112">
        <v>400</v>
      </c>
      <c r="Z34" s="124">
        <v>0</v>
      </c>
      <c r="AA34" s="125">
        <v>200</v>
      </c>
      <c r="AB34" s="125">
        <v>200</v>
      </c>
      <c r="AC34" s="111" t="s">
        <v>3399</v>
      </c>
      <c r="AD34" s="111" t="s">
        <v>2879</v>
      </c>
      <c r="AE34" s="112">
        <v>400</v>
      </c>
      <c r="AF34" s="113">
        <f t="shared" si="0"/>
        <v>800</v>
      </c>
      <c r="AG34" s="127"/>
      <c r="AH34" s="133" t="s">
        <v>543</v>
      </c>
    </row>
    <row r="35" spans="1:34" s="78" customFormat="1" ht="12" customHeight="1">
      <c r="A35" s="100">
        <v>1033</v>
      </c>
      <c r="B35" s="101" t="s">
        <v>3395</v>
      </c>
      <c r="C35" s="129" t="s">
        <v>4140</v>
      </c>
      <c r="D35" s="101" t="s">
        <v>3398</v>
      </c>
      <c r="E35" s="100">
        <v>1</v>
      </c>
      <c r="F35" s="141">
        <v>1</v>
      </c>
      <c r="G35" s="103">
        <v>33</v>
      </c>
      <c r="H35" s="118" t="s">
        <v>537</v>
      </c>
      <c r="I35" s="118" t="s">
        <v>544</v>
      </c>
      <c r="J35" s="119">
        <v>10500101058802</v>
      </c>
      <c r="K35" s="120" t="s">
        <v>353</v>
      </c>
      <c r="L35" s="128"/>
      <c r="M35" s="120">
        <v>3</v>
      </c>
      <c r="N35" s="118" t="s">
        <v>538</v>
      </c>
      <c r="O35" s="118" t="s">
        <v>539</v>
      </c>
      <c r="P35" s="122">
        <v>2631727</v>
      </c>
      <c r="Q35" s="118" t="s">
        <v>540</v>
      </c>
      <c r="R35" s="118" t="s">
        <v>541</v>
      </c>
      <c r="S35" s="123" t="s">
        <v>542</v>
      </c>
      <c r="T35" s="124">
        <v>0</v>
      </c>
      <c r="U35" s="125">
        <v>200</v>
      </c>
      <c r="V35" s="125">
        <v>0</v>
      </c>
      <c r="W35" s="111" t="s">
        <v>3397</v>
      </c>
      <c r="X35" s="111" t="s">
        <v>3396</v>
      </c>
      <c r="Y35" s="112">
        <v>200</v>
      </c>
      <c r="Z35" s="124">
        <v>400</v>
      </c>
      <c r="AA35" s="125">
        <v>200</v>
      </c>
      <c r="AB35" s="125">
        <v>0</v>
      </c>
      <c r="AC35" s="111" t="s">
        <v>3399</v>
      </c>
      <c r="AD35" s="111" t="s">
        <v>2879</v>
      </c>
      <c r="AE35" s="112">
        <v>600</v>
      </c>
      <c r="AF35" s="113">
        <f t="shared" si="0"/>
        <v>800</v>
      </c>
      <c r="AG35" s="127"/>
      <c r="AH35" s="134"/>
    </row>
    <row r="36" spans="1:34" s="78" customFormat="1" ht="12" customHeight="1">
      <c r="A36" s="100">
        <v>1034</v>
      </c>
      <c r="B36" s="101" t="s">
        <v>3395</v>
      </c>
      <c r="C36" s="101" t="s">
        <v>3396</v>
      </c>
      <c r="D36" s="101" t="s">
        <v>3397</v>
      </c>
      <c r="E36" s="100">
        <v>1</v>
      </c>
      <c r="F36" s="102">
        <v>1</v>
      </c>
      <c r="G36" s="103">
        <v>34</v>
      </c>
      <c r="H36" s="104" t="s">
        <v>545</v>
      </c>
      <c r="I36" s="104" t="s">
        <v>545</v>
      </c>
      <c r="J36" s="105">
        <v>10500100115501</v>
      </c>
      <c r="K36" s="106" t="s">
        <v>353</v>
      </c>
      <c r="L36" s="106"/>
      <c r="M36" s="106">
        <v>3</v>
      </c>
      <c r="N36" s="104" t="s">
        <v>546</v>
      </c>
      <c r="O36" s="104" t="s">
        <v>547</v>
      </c>
      <c r="P36" s="107" t="s">
        <v>548</v>
      </c>
      <c r="Q36" s="104" t="s">
        <v>549</v>
      </c>
      <c r="R36" s="104" t="s">
        <v>550</v>
      </c>
      <c r="S36" s="108" t="s">
        <v>551</v>
      </c>
      <c r="T36" s="109">
        <v>206</v>
      </c>
      <c r="U36" s="110">
        <v>311</v>
      </c>
      <c r="V36" s="110">
        <v>83</v>
      </c>
      <c r="W36" s="111" t="s">
        <v>3397</v>
      </c>
      <c r="X36" s="111" t="s">
        <v>3396</v>
      </c>
      <c r="Y36" s="112">
        <v>600</v>
      </c>
      <c r="Z36" s="109">
        <v>0</v>
      </c>
      <c r="AA36" s="110">
        <v>0</v>
      </c>
      <c r="AB36" s="110">
        <v>0</v>
      </c>
      <c r="AC36" s="111"/>
      <c r="AD36" s="111"/>
      <c r="AE36" s="112">
        <v>0</v>
      </c>
      <c r="AF36" s="113">
        <f t="shared" si="0"/>
        <v>600</v>
      </c>
      <c r="AG36" s="114"/>
      <c r="AH36" s="115"/>
    </row>
    <row r="37" spans="1:34" s="78" customFormat="1" ht="12" customHeight="1">
      <c r="A37" s="100">
        <v>1035</v>
      </c>
      <c r="B37" s="101" t="s">
        <v>3395</v>
      </c>
      <c r="C37" s="129" t="s">
        <v>4140</v>
      </c>
      <c r="D37" s="101" t="s">
        <v>3398</v>
      </c>
      <c r="E37" s="100">
        <v>1</v>
      </c>
      <c r="F37" s="102">
        <v>1</v>
      </c>
      <c r="G37" s="103">
        <v>35</v>
      </c>
      <c r="H37" s="104" t="s">
        <v>552</v>
      </c>
      <c r="I37" s="104" t="s">
        <v>552</v>
      </c>
      <c r="J37" s="105">
        <v>10500100166001</v>
      </c>
      <c r="K37" s="106" t="s">
        <v>353</v>
      </c>
      <c r="L37" s="106"/>
      <c r="M37" s="106">
        <v>3</v>
      </c>
      <c r="N37" s="104" t="s">
        <v>546</v>
      </c>
      <c r="O37" s="104" t="s">
        <v>553</v>
      </c>
      <c r="P37" s="107">
        <v>2363000</v>
      </c>
      <c r="Q37" s="104" t="s">
        <v>554</v>
      </c>
      <c r="R37" s="104" t="s">
        <v>555</v>
      </c>
      <c r="S37" s="108" t="s">
        <v>556</v>
      </c>
      <c r="T37" s="131">
        <v>0</v>
      </c>
      <c r="U37" s="132">
        <v>140</v>
      </c>
      <c r="V37" s="132">
        <v>110</v>
      </c>
      <c r="W37" s="111" t="s">
        <v>3397</v>
      </c>
      <c r="X37" s="111" t="s">
        <v>3396</v>
      </c>
      <c r="Y37" s="112">
        <v>250</v>
      </c>
      <c r="Z37" s="131">
        <v>228</v>
      </c>
      <c r="AA37" s="132">
        <v>352</v>
      </c>
      <c r="AB37" s="132">
        <v>70</v>
      </c>
      <c r="AC37" s="111" t="s">
        <v>3399</v>
      </c>
      <c r="AD37" s="111" t="s">
        <v>2879</v>
      </c>
      <c r="AE37" s="112">
        <v>650</v>
      </c>
      <c r="AF37" s="113">
        <f t="shared" si="0"/>
        <v>900</v>
      </c>
      <c r="AG37" s="114"/>
      <c r="AH37" s="115"/>
    </row>
    <row r="38" spans="1:34" s="78" customFormat="1" ht="12" customHeight="1">
      <c r="A38" s="100">
        <v>1036</v>
      </c>
      <c r="B38" s="101" t="s">
        <v>3395</v>
      </c>
      <c r="C38" s="101" t="s">
        <v>3396</v>
      </c>
      <c r="D38" s="101" t="s">
        <v>3397</v>
      </c>
      <c r="E38" s="100">
        <v>1</v>
      </c>
      <c r="F38" s="102">
        <v>1</v>
      </c>
      <c r="G38" s="103">
        <v>36</v>
      </c>
      <c r="H38" s="104" t="s">
        <v>557</v>
      </c>
      <c r="I38" s="104" t="s">
        <v>557</v>
      </c>
      <c r="J38" s="105">
        <v>10500100986501</v>
      </c>
      <c r="K38" s="106" t="s">
        <v>353</v>
      </c>
      <c r="L38" s="106"/>
      <c r="M38" s="106">
        <v>3</v>
      </c>
      <c r="N38" s="104" t="s">
        <v>558</v>
      </c>
      <c r="O38" s="104" t="s">
        <v>559</v>
      </c>
      <c r="P38" s="107"/>
      <c r="Q38" s="104" t="s">
        <v>560</v>
      </c>
      <c r="R38" s="104" t="s">
        <v>561</v>
      </c>
      <c r="S38" s="108" t="s">
        <v>562</v>
      </c>
      <c r="T38" s="109">
        <v>0</v>
      </c>
      <c r="U38" s="110">
        <v>228</v>
      </c>
      <c r="V38" s="110">
        <v>72</v>
      </c>
      <c r="W38" s="111" t="s">
        <v>3397</v>
      </c>
      <c r="X38" s="111" t="s">
        <v>3396</v>
      </c>
      <c r="Y38" s="112">
        <v>300</v>
      </c>
      <c r="Z38" s="109">
        <v>0</v>
      </c>
      <c r="AA38" s="110">
        <v>0</v>
      </c>
      <c r="AB38" s="110">
        <v>0</v>
      </c>
      <c r="AC38" s="111"/>
      <c r="AD38" s="111"/>
      <c r="AE38" s="112">
        <v>0</v>
      </c>
      <c r="AF38" s="113">
        <f t="shared" si="0"/>
        <v>300</v>
      </c>
      <c r="AG38" s="114"/>
      <c r="AH38" s="115"/>
    </row>
    <row r="39" spans="1:34" s="78" customFormat="1" ht="12" customHeight="1">
      <c r="A39" s="100">
        <v>1037</v>
      </c>
      <c r="B39" s="101" t="s">
        <v>3395</v>
      </c>
      <c r="C39" s="129" t="s">
        <v>4140</v>
      </c>
      <c r="D39" s="101" t="s">
        <v>3398</v>
      </c>
      <c r="E39" s="100">
        <v>1</v>
      </c>
      <c r="F39" s="102">
        <v>1</v>
      </c>
      <c r="G39" s="103">
        <v>37</v>
      </c>
      <c r="H39" s="104" t="s">
        <v>563</v>
      </c>
      <c r="I39" s="104" t="s">
        <v>563</v>
      </c>
      <c r="J39" s="105">
        <v>10500102210101</v>
      </c>
      <c r="K39" s="106" t="s">
        <v>353</v>
      </c>
      <c r="L39" s="106"/>
      <c r="M39" s="106">
        <v>3</v>
      </c>
      <c r="N39" s="104" t="s">
        <v>531</v>
      </c>
      <c r="O39" s="104" t="s">
        <v>564</v>
      </c>
      <c r="P39" s="107">
        <v>5710070</v>
      </c>
      <c r="Q39" s="104" t="s">
        <v>565</v>
      </c>
      <c r="R39" s="104" t="s">
        <v>566</v>
      </c>
      <c r="S39" s="108" t="s">
        <v>567</v>
      </c>
      <c r="T39" s="109">
        <v>183</v>
      </c>
      <c r="U39" s="110">
        <v>119</v>
      </c>
      <c r="V39" s="110">
        <v>58</v>
      </c>
      <c r="W39" s="111" t="s">
        <v>3397</v>
      </c>
      <c r="X39" s="111" t="s">
        <v>3396</v>
      </c>
      <c r="Y39" s="112">
        <v>360</v>
      </c>
      <c r="Z39" s="109">
        <v>43</v>
      </c>
      <c r="AA39" s="110">
        <v>215</v>
      </c>
      <c r="AB39" s="110">
        <v>67</v>
      </c>
      <c r="AC39" s="111" t="s">
        <v>3399</v>
      </c>
      <c r="AD39" s="111" t="s">
        <v>2879</v>
      </c>
      <c r="AE39" s="112">
        <v>325</v>
      </c>
      <c r="AF39" s="113">
        <f t="shared" si="0"/>
        <v>685</v>
      </c>
      <c r="AG39" s="114"/>
      <c r="AH39" s="115"/>
    </row>
    <row r="40" spans="1:34" s="78" customFormat="1" ht="12" customHeight="1">
      <c r="A40" s="100">
        <v>1038</v>
      </c>
      <c r="B40" s="101" t="s">
        <v>3395</v>
      </c>
      <c r="C40" s="129" t="s">
        <v>4140</v>
      </c>
      <c r="D40" s="101" t="s">
        <v>3398</v>
      </c>
      <c r="E40" s="100">
        <v>1</v>
      </c>
      <c r="F40" s="102">
        <v>1</v>
      </c>
      <c r="G40" s="103">
        <v>38</v>
      </c>
      <c r="H40" s="104" t="s">
        <v>568</v>
      </c>
      <c r="I40" s="104" t="s">
        <v>568</v>
      </c>
      <c r="J40" s="105">
        <v>10500100213501</v>
      </c>
      <c r="K40" s="106" t="s">
        <v>353</v>
      </c>
      <c r="L40" s="106"/>
      <c r="M40" s="106">
        <v>3</v>
      </c>
      <c r="N40" s="104" t="s">
        <v>569</v>
      </c>
      <c r="O40" s="104" t="s">
        <v>570</v>
      </c>
      <c r="P40" s="107">
        <v>2636985</v>
      </c>
      <c r="Q40" s="104" t="s">
        <v>508</v>
      </c>
      <c r="R40" s="104" t="s">
        <v>571</v>
      </c>
      <c r="S40" s="108" t="s">
        <v>572</v>
      </c>
      <c r="T40" s="131">
        <v>200</v>
      </c>
      <c r="U40" s="132">
        <v>200</v>
      </c>
      <c r="V40" s="132">
        <v>0</v>
      </c>
      <c r="W40" s="111" t="s">
        <v>3397</v>
      </c>
      <c r="X40" s="111" t="s">
        <v>3396</v>
      </c>
      <c r="Y40" s="112">
        <v>400</v>
      </c>
      <c r="Z40" s="131">
        <v>145</v>
      </c>
      <c r="AA40" s="132">
        <v>373</v>
      </c>
      <c r="AB40" s="132">
        <v>107</v>
      </c>
      <c r="AC40" s="111" t="s">
        <v>3399</v>
      </c>
      <c r="AD40" s="111" t="s">
        <v>2879</v>
      </c>
      <c r="AE40" s="112">
        <v>625</v>
      </c>
      <c r="AF40" s="113">
        <f t="shared" si="0"/>
        <v>1025</v>
      </c>
      <c r="AG40" s="114"/>
      <c r="AH40" s="115"/>
    </row>
    <row r="41" spans="1:34" s="78" customFormat="1" ht="12" customHeight="1">
      <c r="A41" s="100">
        <v>1039</v>
      </c>
      <c r="B41" s="101" t="s">
        <v>3395</v>
      </c>
      <c r="C41" s="101" t="s">
        <v>3396</v>
      </c>
      <c r="D41" s="101" t="s">
        <v>3397</v>
      </c>
      <c r="E41" s="100">
        <v>1</v>
      </c>
      <c r="F41" s="102">
        <v>1</v>
      </c>
      <c r="G41" s="103">
        <v>39</v>
      </c>
      <c r="H41" s="104" t="s">
        <v>573</v>
      </c>
      <c r="I41" s="104" t="s">
        <v>573</v>
      </c>
      <c r="J41" s="105">
        <v>10500100213503</v>
      </c>
      <c r="K41" s="106" t="s">
        <v>353</v>
      </c>
      <c r="L41" s="106"/>
      <c r="M41" s="106">
        <v>3</v>
      </c>
      <c r="N41" s="104" t="s">
        <v>574</v>
      </c>
      <c r="O41" s="104" t="s">
        <v>575</v>
      </c>
      <c r="P41" s="107" t="s">
        <v>576</v>
      </c>
      <c r="Q41" s="104" t="s">
        <v>508</v>
      </c>
      <c r="R41" s="104" t="s">
        <v>577</v>
      </c>
      <c r="S41" s="108" t="s">
        <v>578</v>
      </c>
      <c r="T41" s="131">
        <v>290</v>
      </c>
      <c r="U41" s="132">
        <v>110</v>
      </c>
      <c r="V41" s="132">
        <v>0</v>
      </c>
      <c r="W41" s="111" t="s">
        <v>3397</v>
      </c>
      <c r="X41" s="111" t="s">
        <v>3396</v>
      </c>
      <c r="Y41" s="112">
        <v>400</v>
      </c>
      <c r="Z41" s="109">
        <v>0</v>
      </c>
      <c r="AA41" s="110">
        <v>0</v>
      </c>
      <c r="AB41" s="110">
        <v>0</v>
      </c>
      <c r="AC41" s="111"/>
      <c r="AD41" s="111"/>
      <c r="AE41" s="112">
        <v>0</v>
      </c>
      <c r="AF41" s="113">
        <f t="shared" si="0"/>
        <v>400</v>
      </c>
      <c r="AG41" s="114"/>
      <c r="AH41" s="115"/>
    </row>
    <row r="42" spans="1:34" s="78" customFormat="1" ht="12" customHeight="1">
      <c r="A42" s="100">
        <v>1040</v>
      </c>
      <c r="B42" s="101" t="s">
        <v>3395</v>
      </c>
      <c r="C42" s="129" t="s">
        <v>4140</v>
      </c>
      <c r="D42" s="101" t="s">
        <v>3398</v>
      </c>
      <c r="E42" s="100">
        <v>1</v>
      </c>
      <c r="F42" s="102">
        <v>1</v>
      </c>
      <c r="G42" s="103">
        <v>40</v>
      </c>
      <c r="H42" s="104" t="s">
        <v>579</v>
      </c>
      <c r="I42" s="104" t="s">
        <v>579</v>
      </c>
      <c r="J42" s="105">
        <v>10500100087601</v>
      </c>
      <c r="K42" s="106" t="s">
        <v>353</v>
      </c>
      <c r="L42" s="106"/>
      <c r="M42" s="106">
        <v>4</v>
      </c>
      <c r="N42" s="104" t="s">
        <v>580</v>
      </c>
      <c r="O42" s="104" t="s">
        <v>581</v>
      </c>
      <c r="P42" s="107" t="s">
        <v>582</v>
      </c>
      <c r="Q42" s="104" t="s">
        <v>583</v>
      </c>
      <c r="R42" s="104" t="s">
        <v>584</v>
      </c>
      <c r="S42" s="108" t="s">
        <v>585</v>
      </c>
      <c r="T42" s="109">
        <v>220</v>
      </c>
      <c r="U42" s="110">
        <v>120</v>
      </c>
      <c r="V42" s="110">
        <v>60</v>
      </c>
      <c r="W42" s="111" t="s">
        <v>3397</v>
      </c>
      <c r="X42" s="111" t="s">
        <v>3396</v>
      </c>
      <c r="Y42" s="112">
        <v>400</v>
      </c>
      <c r="Z42" s="109">
        <v>20</v>
      </c>
      <c r="AA42" s="110">
        <v>249</v>
      </c>
      <c r="AB42" s="110">
        <v>91</v>
      </c>
      <c r="AC42" s="111" t="s">
        <v>3399</v>
      </c>
      <c r="AD42" s="111" t="s">
        <v>2879</v>
      </c>
      <c r="AE42" s="112">
        <v>360</v>
      </c>
      <c r="AF42" s="113">
        <f t="shared" si="0"/>
        <v>760</v>
      </c>
      <c r="AG42" s="114"/>
      <c r="AH42" s="115"/>
    </row>
    <row r="43" spans="1:34" s="78" customFormat="1" ht="12" customHeight="1">
      <c r="A43" s="100">
        <v>1041</v>
      </c>
      <c r="B43" s="101" t="s">
        <v>3395</v>
      </c>
      <c r="C43" s="129" t="s">
        <v>4140</v>
      </c>
      <c r="D43" s="101" t="s">
        <v>3398</v>
      </c>
      <c r="E43" s="100">
        <v>1</v>
      </c>
      <c r="F43" s="102">
        <v>1</v>
      </c>
      <c r="G43" s="103">
        <v>41</v>
      </c>
      <c r="H43" s="104" t="s">
        <v>586</v>
      </c>
      <c r="I43" s="104" t="s">
        <v>586</v>
      </c>
      <c r="J43" s="105">
        <v>10500101906201</v>
      </c>
      <c r="K43" s="106" t="s">
        <v>353</v>
      </c>
      <c r="L43" s="106"/>
      <c r="M43" s="106">
        <v>4</v>
      </c>
      <c r="N43" s="104" t="s">
        <v>587</v>
      </c>
      <c r="O43" s="104" t="s">
        <v>588</v>
      </c>
      <c r="P43" s="107" t="s">
        <v>589</v>
      </c>
      <c r="Q43" s="104" t="s">
        <v>590</v>
      </c>
      <c r="R43" s="104" t="s">
        <v>591</v>
      </c>
      <c r="S43" s="108" t="s">
        <v>592</v>
      </c>
      <c r="T43" s="131">
        <v>0</v>
      </c>
      <c r="U43" s="132">
        <v>97</v>
      </c>
      <c r="V43" s="132">
        <v>73</v>
      </c>
      <c r="W43" s="111" t="s">
        <v>3397</v>
      </c>
      <c r="X43" s="111" t="s">
        <v>3396</v>
      </c>
      <c r="Y43" s="112">
        <v>170</v>
      </c>
      <c r="Z43" s="131">
        <v>0</v>
      </c>
      <c r="AA43" s="132">
        <v>81</v>
      </c>
      <c r="AB43" s="132">
        <v>54</v>
      </c>
      <c r="AC43" s="111" t="s">
        <v>3399</v>
      </c>
      <c r="AD43" s="111" t="s">
        <v>2879</v>
      </c>
      <c r="AE43" s="112">
        <v>135</v>
      </c>
      <c r="AF43" s="113">
        <f t="shared" si="0"/>
        <v>305</v>
      </c>
      <c r="AG43" s="114"/>
      <c r="AH43" s="115"/>
    </row>
    <row r="44" spans="1:34" s="78" customFormat="1" ht="12" customHeight="1">
      <c r="A44" s="100">
        <v>1042</v>
      </c>
      <c r="B44" s="101" t="s">
        <v>3395</v>
      </c>
      <c r="C44" s="101" t="s">
        <v>3396</v>
      </c>
      <c r="D44" s="101" t="s">
        <v>3397</v>
      </c>
      <c r="E44" s="100">
        <v>1</v>
      </c>
      <c r="F44" s="102">
        <v>1</v>
      </c>
      <c r="G44" s="103">
        <v>42</v>
      </c>
      <c r="H44" s="104" t="s">
        <v>593</v>
      </c>
      <c r="I44" s="104" t="s">
        <v>593</v>
      </c>
      <c r="J44" s="105">
        <v>10500101906202</v>
      </c>
      <c r="K44" s="106" t="s">
        <v>353</v>
      </c>
      <c r="L44" s="106"/>
      <c r="M44" s="106">
        <v>4</v>
      </c>
      <c r="N44" s="104" t="s">
        <v>594</v>
      </c>
      <c r="O44" s="104" t="s">
        <v>595</v>
      </c>
      <c r="P44" s="107">
        <v>2334295</v>
      </c>
      <c r="Q44" s="104" t="s">
        <v>590</v>
      </c>
      <c r="R44" s="104" t="s">
        <v>596</v>
      </c>
      <c r="S44" s="108" t="s">
        <v>597</v>
      </c>
      <c r="T44" s="131">
        <v>133</v>
      </c>
      <c r="U44" s="132">
        <v>67</v>
      </c>
      <c r="V44" s="132">
        <v>0</v>
      </c>
      <c r="W44" s="111" t="s">
        <v>3397</v>
      </c>
      <c r="X44" s="111" t="s">
        <v>3396</v>
      </c>
      <c r="Y44" s="112">
        <v>200</v>
      </c>
      <c r="Z44" s="109">
        <v>0</v>
      </c>
      <c r="AA44" s="110">
        <v>0</v>
      </c>
      <c r="AB44" s="110">
        <v>0</v>
      </c>
      <c r="AC44" s="111"/>
      <c r="AD44" s="111"/>
      <c r="AE44" s="112">
        <v>0</v>
      </c>
      <c r="AF44" s="113">
        <f t="shared" si="0"/>
        <v>200</v>
      </c>
      <c r="AG44" s="137"/>
      <c r="AH44" s="115"/>
    </row>
    <row r="45" spans="1:34" s="78" customFormat="1" ht="12" customHeight="1">
      <c r="A45" s="100">
        <v>1043</v>
      </c>
      <c r="B45" s="101" t="s">
        <v>3395</v>
      </c>
      <c r="C45" s="101" t="s">
        <v>3396</v>
      </c>
      <c r="D45" s="101" t="s">
        <v>3397</v>
      </c>
      <c r="E45" s="100">
        <v>1</v>
      </c>
      <c r="F45" s="102">
        <v>1</v>
      </c>
      <c r="G45" s="103">
        <v>43</v>
      </c>
      <c r="H45" s="104" t="s">
        <v>598</v>
      </c>
      <c r="I45" s="104" t="s">
        <v>598</v>
      </c>
      <c r="J45" s="105">
        <v>10500100529101</v>
      </c>
      <c r="K45" s="106" t="s">
        <v>353</v>
      </c>
      <c r="L45" s="106"/>
      <c r="M45" s="106">
        <v>4</v>
      </c>
      <c r="N45" s="104" t="s">
        <v>587</v>
      </c>
      <c r="O45" s="104" t="s">
        <v>599</v>
      </c>
      <c r="P45" s="107" t="s">
        <v>600</v>
      </c>
      <c r="Q45" s="104" t="s">
        <v>601</v>
      </c>
      <c r="R45" s="104" t="s">
        <v>602</v>
      </c>
      <c r="S45" s="108" t="s">
        <v>603</v>
      </c>
      <c r="T45" s="131">
        <v>86</v>
      </c>
      <c r="U45" s="132">
        <v>163</v>
      </c>
      <c r="V45" s="132">
        <v>71</v>
      </c>
      <c r="W45" s="111" t="s">
        <v>3397</v>
      </c>
      <c r="X45" s="111" t="s">
        <v>3396</v>
      </c>
      <c r="Y45" s="112">
        <v>320</v>
      </c>
      <c r="Z45" s="109">
        <v>0</v>
      </c>
      <c r="AA45" s="110">
        <v>0</v>
      </c>
      <c r="AB45" s="110">
        <v>0</v>
      </c>
      <c r="AC45" s="111"/>
      <c r="AD45" s="111"/>
      <c r="AE45" s="112">
        <v>0</v>
      </c>
      <c r="AF45" s="113">
        <f t="shared" si="0"/>
        <v>320</v>
      </c>
      <c r="AG45" s="114"/>
      <c r="AH45" s="115"/>
    </row>
    <row r="46" spans="1:34" s="78" customFormat="1" ht="12" customHeight="1">
      <c r="A46" s="100">
        <v>1044</v>
      </c>
      <c r="B46" s="101" t="s">
        <v>3395</v>
      </c>
      <c r="C46" s="129" t="s">
        <v>4140</v>
      </c>
      <c r="D46" s="101" t="s">
        <v>3398</v>
      </c>
      <c r="E46" s="100">
        <v>1</v>
      </c>
      <c r="F46" s="102">
        <v>1</v>
      </c>
      <c r="G46" s="103">
        <v>44</v>
      </c>
      <c r="H46" s="104" t="s">
        <v>604</v>
      </c>
      <c r="I46" s="104" t="s">
        <v>604</v>
      </c>
      <c r="J46" s="105">
        <v>10500100587801</v>
      </c>
      <c r="K46" s="106" t="s">
        <v>353</v>
      </c>
      <c r="L46" s="106"/>
      <c r="M46" s="106">
        <v>4</v>
      </c>
      <c r="N46" s="104" t="s">
        <v>605</v>
      </c>
      <c r="O46" s="104" t="s">
        <v>606</v>
      </c>
      <c r="P46" s="107" t="s">
        <v>607</v>
      </c>
      <c r="Q46" s="104" t="s">
        <v>608</v>
      </c>
      <c r="R46" s="104" t="s">
        <v>609</v>
      </c>
      <c r="S46" s="108" t="s">
        <v>610</v>
      </c>
      <c r="T46" s="109">
        <v>0</v>
      </c>
      <c r="U46" s="110">
        <v>282</v>
      </c>
      <c r="V46" s="110">
        <v>78</v>
      </c>
      <c r="W46" s="111" t="s">
        <v>3397</v>
      </c>
      <c r="X46" s="111" t="s">
        <v>3396</v>
      </c>
      <c r="Y46" s="112">
        <v>360</v>
      </c>
      <c r="Z46" s="109">
        <v>0</v>
      </c>
      <c r="AA46" s="110">
        <v>350</v>
      </c>
      <c r="AB46" s="110">
        <v>100</v>
      </c>
      <c r="AC46" s="111" t="s">
        <v>3399</v>
      </c>
      <c r="AD46" s="111" t="s">
        <v>2879</v>
      </c>
      <c r="AE46" s="112">
        <v>450</v>
      </c>
      <c r="AF46" s="113">
        <f t="shared" si="0"/>
        <v>810</v>
      </c>
      <c r="AG46" s="114"/>
      <c r="AH46" s="115"/>
    </row>
    <row r="47" spans="1:34" s="78" customFormat="1" ht="12" customHeight="1">
      <c r="A47" s="100">
        <v>1045</v>
      </c>
      <c r="B47" s="101" t="s">
        <v>3395</v>
      </c>
      <c r="C47" s="129" t="s">
        <v>4140</v>
      </c>
      <c r="D47" s="101" t="s">
        <v>3398</v>
      </c>
      <c r="E47" s="100">
        <v>1</v>
      </c>
      <c r="F47" s="102">
        <v>1</v>
      </c>
      <c r="G47" s="103">
        <v>45</v>
      </c>
      <c r="H47" s="104" t="s">
        <v>611</v>
      </c>
      <c r="I47" s="104" t="s">
        <v>611</v>
      </c>
      <c r="J47" s="105">
        <v>10500100587802</v>
      </c>
      <c r="K47" s="106" t="s">
        <v>353</v>
      </c>
      <c r="L47" s="106"/>
      <c r="M47" s="106">
        <v>4</v>
      </c>
      <c r="N47" s="104" t="s">
        <v>605</v>
      </c>
      <c r="O47" s="104" t="s">
        <v>612</v>
      </c>
      <c r="P47" s="107">
        <v>2333510</v>
      </c>
      <c r="Q47" s="104" t="s">
        <v>608</v>
      </c>
      <c r="R47" s="104" t="s">
        <v>613</v>
      </c>
      <c r="S47" s="108" t="s">
        <v>614</v>
      </c>
      <c r="T47" s="109">
        <v>225</v>
      </c>
      <c r="U47" s="110">
        <v>0</v>
      </c>
      <c r="V47" s="110">
        <v>0</v>
      </c>
      <c r="W47" s="111" t="s">
        <v>3397</v>
      </c>
      <c r="X47" s="111" t="s">
        <v>3396</v>
      </c>
      <c r="Y47" s="112">
        <v>225</v>
      </c>
      <c r="Z47" s="109">
        <v>340</v>
      </c>
      <c r="AA47" s="110">
        <v>0</v>
      </c>
      <c r="AB47" s="110">
        <v>0</v>
      </c>
      <c r="AC47" s="111" t="s">
        <v>3399</v>
      </c>
      <c r="AD47" s="111" t="s">
        <v>2879</v>
      </c>
      <c r="AE47" s="112">
        <v>340</v>
      </c>
      <c r="AF47" s="113">
        <f t="shared" si="0"/>
        <v>565</v>
      </c>
      <c r="AG47" s="114"/>
      <c r="AH47" s="115"/>
    </row>
    <row r="48" spans="1:34" s="78" customFormat="1" ht="12" customHeight="1">
      <c r="A48" s="100">
        <v>1046</v>
      </c>
      <c r="B48" s="101" t="s">
        <v>3395</v>
      </c>
      <c r="C48" s="101" t="s">
        <v>3396</v>
      </c>
      <c r="D48" s="101" t="s">
        <v>3397</v>
      </c>
      <c r="E48" s="100">
        <v>1</v>
      </c>
      <c r="F48" s="102">
        <v>1</v>
      </c>
      <c r="G48" s="103">
        <v>46</v>
      </c>
      <c r="H48" s="104" t="s">
        <v>615</v>
      </c>
      <c r="I48" s="104" t="s">
        <v>615</v>
      </c>
      <c r="J48" s="105">
        <v>10500100210101</v>
      </c>
      <c r="K48" s="106" t="s">
        <v>353</v>
      </c>
      <c r="L48" s="106"/>
      <c r="M48" s="106">
        <v>4</v>
      </c>
      <c r="N48" s="104" t="s">
        <v>616</v>
      </c>
      <c r="O48" s="104" t="s">
        <v>617</v>
      </c>
      <c r="P48" s="107" t="s">
        <v>618</v>
      </c>
      <c r="Q48" s="104" t="s">
        <v>619</v>
      </c>
      <c r="R48" s="104" t="s">
        <v>620</v>
      </c>
      <c r="S48" s="108" t="s">
        <v>621</v>
      </c>
      <c r="T48" s="109">
        <v>100</v>
      </c>
      <c r="U48" s="110">
        <v>100</v>
      </c>
      <c r="V48" s="110">
        <v>100</v>
      </c>
      <c r="W48" s="111" t="s">
        <v>3397</v>
      </c>
      <c r="X48" s="111" t="s">
        <v>3396</v>
      </c>
      <c r="Y48" s="112">
        <v>300</v>
      </c>
      <c r="Z48" s="109">
        <v>0</v>
      </c>
      <c r="AA48" s="110">
        <v>0</v>
      </c>
      <c r="AB48" s="110">
        <v>0</v>
      </c>
      <c r="AC48" s="111"/>
      <c r="AD48" s="111"/>
      <c r="AE48" s="112">
        <v>0</v>
      </c>
      <c r="AF48" s="113">
        <f t="shared" si="0"/>
        <v>300</v>
      </c>
      <c r="AG48" s="114"/>
      <c r="AH48" s="115"/>
    </row>
    <row r="49" spans="1:34" s="78" customFormat="1" ht="12" customHeight="1">
      <c r="A49" s="100">
        <v>1047</v>
      </c>
      <c r="B49" s="101" t="s">
        <v>3395</v>
      </c>
      <c r="C49" s="101" t="s">
        <v>3396</v>
      </c>
      <c r="D49" s="101" t="s">
        <v>3397</v>
      </c>
      <c r="E49" s="100">
        <v>1</v>
      </c>
      <c r="F49" s="102">
        <v>1</v>
      </c>
      <c r="G49" s="103">
        <v>47</v>
      </c>
      <c r="H49" s="104" t="s">
        <v>622</v>
      </c>
      <c r="I49" s="104" t="s">
        <v>622</v>
      </c>
      <c r="J49" s="105">
        <v>10500100014101</v>
      </c>
      <c r="K49" s="106" t="s">
        <v>353</v>
      </c>
      <c r="L49" s="106"/>
      <c r="M49" s="106">
        <v>4</v>
      </c>
      <c r="N49" s="104" t="s">
        <v>587</v>
      </c>
      <c r="O49" s="104" t="s">
        <v>623</v>
      </c>
      <c r="P49" s="107">
        <v>2338044</v>
      </c>
      <c r="Q49" s="104" t="s">
        <v>624</v>
      </c>
      <c r="R49" s="104" t="s">
        <v>625</v>
      </c>
      <c r="S49" s="108" t="s">
        <v>626</v>
      </c>
      <c r="T49" s="131">
        <v>60</v>
      </c>
      <c r="U49" s="132">
        <v>81</v>
      </c>
      <c r="V49" s="132">
        <v>59</v>
      </c>
      <c r="W49" s="111" t="s">
        <v>3397</v>
      </c>
      <c r="X49" s="111" t="s">
        <v>3396</v>
      </c>
      <c r="Y49" s="112">
        <v>200</v>
      </c>
      <c r="Z49" s="109">
        <v>0</v>
      </c>
      <c r="AA49" s="110">
        <v>0</v>
      </c>
      <c r="AB49" s="110">
        <v>0</v>
      </c>
      <c r="AC49" s="111"/>
      <c r="AD49" s="111"/>
      <c r="AE49" s="112">
        <v>0</v>
      </c>
      <c r="AF49" s="113">
        <f t="shared" si="0"/>
        <v>200</v>
      </c>
      <c r="AG49" s="137"/>
      <c r="AH49" s="115"/>
    </row>
    <row r="50" spans="1:34" s="78" customFormat="1" ht="12" customHeight="1">
      <c r="A50" s="100">
        <v>1048</v>
      </c>
      <c r="B50" s="101" t="s">
        <v>3395</v>
      </c>
      <c r="C50" s="129" t="s">
        <v>4140</v>
      </c>
      <c r="D50" s="101" t="s">
        <v>3398</v>
      </c>
      <c r="E50" s="100">
        <v>1</v>
      </c>
      <c r="F50" s="102">
        <v>1</v>
      </c>
      <c r="G50" s="103">
        <v>48</v>
      </c>
      <c r="H50" s="104" t="s">
        <v>627</v>
      </c>
      <c r="I50" s="104" t="s">
        <v>627</v>
      </c>
      <c r="J50" s="105">
        <v>10500101787601</v>
      </c>
      <c r="K50" s="106" t="s">
        <v>353</v>
      </c>
      <c r="L50" s="106"/>
      <c r="M50" s="106">
        <v>4</v>
      </c>
      <c r="N50" s="104" t="s">
        <v>628</v>
      </c>
      <c r="O50" s="104" t="s">
        <v>629</v>
      </c>
      <c r="P50" s="107" t="s">
        <v>630</v>
      </c>
      <c r="Q50" s="104" t="s">
        <v>631</v>
      </c>
      <c r="R50" s="104" t="s">
        <v>632</v>
      </c>
      <c r="S50" s="108" t="s">
        <v>633</v>
      </c>
      <c r="T50" s="131">
        <v>90</v>
      </c>
      <c r="U50" s="132">
        <v>280</v>
      </c>
      <c r="V50" s="132">
        <v>130</v>
      </c>
      <c r="W50" s="111" t="s">
        <v>3397</v>
      </c>
      <c r="X50" s="111" t="s">
        <v>3396</v>
      </c>
      <c r="Y50" s="112">
        <v>500</v>
      </c>
      <c r="Z50" s="131">
        <v>49</v>
      </c>
      <c r="AA50" s="132">
        <v>121</v>
      </c>
      <c r="AB50" s="132">
        <v>80</v>
      </c>
      <c r="AC50" s="111" t="s">
        <v>3399</v>
      </c>
      <c r="AD50" s="111" t="s">
        <v>2879</v>
      </c>
      <c r="AE50" s="112">
        <v>250</v>
      </c>
      <c r="AF50" s="113">
        <f t="shared" si="0"/>
        <v>750</v>
      </c>
      <c r="AG50" s="114"/>
      <c r="AH50" s="115"/>
    </row>
    <row r="51" spans="1:34" s="78" customFormat="1" ht="12" customHeight="1">
      <c r="A51" s="100">
        <v>1049</v>
      </c>
      <c r="B51" s="101" t="s">
        <v>3395</v>
      </c>
      <c r="C51" s="101" t="s">
        <v>3396</v>
      </c>
      <c r="D51" s="101" t="s">
        <v>3397</v>
      </c>
      <c r="E51" s="100">
        <v>1</v>
      </c>
      <c r="F51" s="102">
        <v>1</v>
      </c>
      <c r="G51" s="103">
        <v>49</v>
      </c>
      <c r="H51" s="104" t="s">
        <v>634</v>
      </c>
      <c r="I51" s="104" t="s">
        <v>634</v>
      </c>
      <c r="J51" s="105">
        <v>10500100098105</v>
      </c>
      <c r="K51" s="106" t="s">
        <v>353</v>
      </c>
      <c r="L51" s="106"/>
      <c r="M51" s="106">
        <v>4</v>
      </c>
      <c r="N51" s="104" t="s">
        <v>635</v>
      </c>
      <c r="O51" s="104" t="s">
        <v>636</v>
      </c>
      <c r="P51" s="107">
        <v>3668358</v>
      </c>
      <c r="Q51" s="104" t="s">
        <v>637</v>
      </c>
      <c r="R51" s="104" t="s">
        <v>638</v>
      </c>
      <c r="S51" s="108" t="s">
        <v>639</v>
      </c>
      <c r="T51" s="131">
        <v>100</v>
      </c>
      <c r="U51" s="132">
        <v>100</v>
      </c>
      <c r="V51" s="132">
        <v>0</v>
      </c>
      <c r="W51" s="111" t="s">
        <v>3397</v>
      </c>
      <c r="X51" s="111" t="s">
        <v>3396</v>
      </c>
      <c r="Y51" s="112">
        <v>200</v>
      </c>
      <c r="Z51" s="109">
        <v>0</v>
      </c>
      <c r="AA51" s="110">
        <v>0</v>
      </c>
      <c r="AB51" s="110">
        <v>0</v>
      </c>
      <c r="AC51" s="111"/>
      <c r="AD51" s="111"/>
      <c r="AE51" s="112">
        <v>0</v>
      </c>
      <c r="AF51" s="113">
        <f t="shared" si="0"/>
        <v>200</v>
      </c>
      <c r="AG51" s="114"/>
      <c r="AH51" s="115"/>
    </row>
    <row r="52" spans="1:34" s="78" customFormat="1" ht="12" customHeight="1">
      <c r="A52" s="100">
        <v>1050</v>
      </c>
      <c r="B52" s="101" t="s">
        <v>3395</v>
      </c>
      <c r="C52" s="101" t="s">
        <v>3396</v>
      </c>
      <c r="D52" s="101" t="s">
        <v>3397</v>
      </c>
      <c r="E52" s="100">
        <v>1</v>
      </c>
      <c r="F52" s="102">
        <v>1</v>
      </c>
      <c r="G52" s="103">
        <v>50</v>
      </c>
      <c r="H52" s="104" t="s">
        <v>640</v>
      </c>
      <c r="I52" s="104" t="s">
        <v>640</v>
      </c>
      <c r="J52" s="105">
        <v>10500100098103</v>
      </c>
      <c r="K52" s="106" t="s">
        <v>353</v>
      </c>
      <c r="L52" s="106"/>
      <c r="M52" s="106">
        <v>4</v>
      </c>
      <c r="N52" s="104" t="s">
        <v>641</v>
      </c>
      <c r="O52" s="104" t="s">
        <v>642</v>
      </c>
      <c r="P52" s="107">
        <v>2367667</v>
      </c>
      <c r="Q52" s="104" t="s">
        <v>637</v>
      </c>
      <c r="R52" s="104" t="s">
        <v>643</v>
      </c>
      <c r="S52" s="108" t="s">
        <v>644</v>
      </c>
      <c r="T52" s="131">
        <v>122</v>
      </c>
      <c r="U52" s="132">
        <v>63</v>
      </c>
      <c r="V52" s="132">
        <v>0</v>
      </c>
      <c r="W52" s="111" t="s">
        <v>3397</v>
      </c>
      <c r="X52" s="111" t="s">
        <v>3396</v>
      </c>
      <c r="Y52" s="112">
        <v>185</v>
      </c>
      <c r="Z52" s="109">
        <v>0</v>
      </c>
      <c r="AA52" s="110">
        <v>0</v>
      </c>
      <c r="AB52" s="110">
        <v>0</v>
      </c>
      <c r="AC52" s="111"/>
      <c r="AD52" s="111"/>
      <c r="AE52" s="112">
        <v>0</v>
      </c>
      <c r="AF52" s="113">
        <f t="shared" si="0"/>
        <v>185</v>
      </c>
      <c r="AG52" s="114"/>
      <c r="AH52" s="115"/>
    </row>
    <row r="53" spans="1:34" s="78" customFormat="1" ht="12" customHeight="1">
      <c r="A53" s="100">
        <v>1051</v>
      </c>
      <c r="B53" s="101" t="s">
        <v>3395</v>
      </c>
      <c r="C53" s="129" t="s">
        <v>4140</v>
      </c>
      <c r="D53" s="101" t="s">
        <v>3398</v>
      </c>
      <c r="E53" s="100">
        <v>1</v>
      </c>
      <c r="F53" s="102">
        <v>1</v>
      </c>
      <c r="G53" s="103">
        <v>51</v>
      </c>
      <c r="H53" s="104" t="s">
        <v>645</v>
      </c>
      <c r="I53" s="104" t="s">
        <v>645</v>
      </c>
      <c r="J53" s="105">
        <v>10500100020501</v>
      </c>
      <c r="K53" s="106" t="s">
        <v>353</v>
      </c>
      <c r="L53" s="106"/>
      <c r="M53" s="106">
        <v>4</v>
      </c>
      <c r="N53" s="104" t="s">
        <v>628</v>
      </c>
      <c r="O53" s="104" t="s">
        <v>646</v>
      </c>
      <c r="P53" s="107">
        <v>2630607</v>
      </c>
      <c r="Q53" s="104" t="s">
        <v>647</v>
      </c>
      <c r="R53" s="104" t="s">
        <v>648</v>
      </c>
      <c r="S53" s="108" t="s">
        <v>649</v>
      </c>
      <c r="T53" s="131">
        <v>90</v>
      </c>
      <c r="U53" s="132">
        <v>225</v>
      </c>
      <c r="V53" s="132">
        <v>85</v>
      </c>
      <c r="W53" s="111" t="s">
        <v>3397</v>
      </c>
      <c r="X53" s="111" t="s">
        <v>3396</v>
      </c>
      <c r="Y53" s="112">
        <v>400</v>
      </c>
      <c r="Z53" s="131">
        <v>179</v>
      </c>
      <c r="AA53" s="132">
        <v>118</v>
      </c>
      <c r="AB53" s="132">
        <v>63</v>
      </c>
      <c r="AC53" s="111" t="s">
        <v>3399</v>
      </c>
      <c r="AD53" s="111" t="s">
        <v>2879</v>
      </c>
      <c r="AE53" s="112">
        <v>360</v>
      </c>
      <c r="AF53" s="113">
        <f t="shared" si="0"/>
        <v>760</v>
      </c>
      <c r="AG53" s="114"/>
      <c r="AH53" s="115"/>
    </row>
    <row r="54" spans="1:34" s="78" customFormat="1" ht="12" customHeight="1">
      <c r="A54" s="100">
        <v>1052</v>
      </c>
      <c r="B54" s="101" t="s">
        <v>3395</v>
      </c>
      <c r="C54" s="129" t="s">
        <v>4140</v>
      </c>
      <c r="D54" s="101" t="s">
        <v>3398</v>
      </c>
      <c r="E54" s="100">
        <v>1</v>
      </c>
      <c r="F54" s="102">
        <v>1</v>
      </c>
      <c r="G54" s="103">
        <v>52</v>
      </c>
      <c r="H54" s="104" t="s">
        <v>650</v>
      </c>
      <c r="I54" s="104" t="s">
        <v>650</v>
      </c>
      <c r="J54" s="105">
        <v>10500100329802</v>
      </c>
      <c r="K54" s="106" t="s">
        <v>353</v>
      </c>
      <c r="L54" s="106"/>
      <c r="M54" s="106">
        <v>4</v>
      </c>
      <c r="N54" s="104" t="s">
        <v>651</v>
      </c>
      <c r="O54" s="104" t="s">
        <v>652</v>
      </c>
      <c r="P54" s="107">
        <v>2360023</v>
      </c>
      <c r="Q54" s="104" t="s">
        <v>653</v>
      </c>
      <c r="R54" s="104" t="s">
        <v>654</v>
      </c>
      <c r="S54" s="108" t="s">
        <v>655</v>
      </c>
      <c r="T54" s="131">
        <v>104</v>
      </c>
      <c r="U54" s="132">
        <v>106</v>
      </c>
      <c r="V54" s="132">
        <v>0</v>
      </c>
      <c r="W54" s="111" t="s">
        <v>3397</v>
      </c>
      <c r="X54" s="111" t="s">
        <v>3396</v>
      </c>
      <c r="Y54" s="112">
        <v>210</v>
      </c>
      <c r="Z54" s="131">
        <v>81</v>
      </c>
      <c r="AA54" s="132">
        <v>44</v>
      </c>
      <c r="AB54" s="132">
        <v>0</v>
      </c>
      <c r="AC54" s="111" t="s">
        <v>3399</v>
      </c>
      <c r="AD54" s="111" t="s">
        <v>2879</v>
      </c>
      <c r="AE54" s="112">
        <v>125</v>
      </c>
      <c r="AF54" s="113">
        <f t="shared" si="0"/>
        <v>335</v>
      </c>
      <c r="AG54" s="114"/>
      <c r="AH54" s="115"/>
    </row>
    <row r="55" spans="1:34" s="78" customFormat="1" ht="12" customHeight="1">
      <c r="A55" s="100">
        <v>1053</v>
      </c>
      <c r="B55" s="101" t="s">
        <v>3395</v>
      </c>
      <c r="C55" s="129" t="s">
        <v>4140</v>
      </c>
      <c r="D55" s="101" t="s">
        <v>3398</v>
      </c>
      <c r="E55" s="100">
        <v>1</v>
      </c>
      <c r="F55" s="102">
        <v>1</v>
      </c>
      <c r="G55" s="103">
        <v>53</v>
      </c>
      <c r="H55" s="104" t="s">
        <v>656</v>
      </c>
      <c r="I55" s="104" t="s">
        <v>656</v>
      </c>
      <c r="J55" s="105">
        <v>10500100329803</v>
      </c>
      <c r="K55" s="106" t="s">
        <v>353</v>
      </c>
      <c r="L55" s="106"/>
      <c r="M55" s="106">
        <v>4</v>
      </c>
      <c r="N55" s="104" t="s">
        <v>641</v>
      </c>
      <c r="O55" s="104" t="s">
        <v>657</v>
      </c>
      <c r="P55" s="107">
        <v>2365847</v>
      </c>
      <c r="Q55" s="104" t="s">
        <v>653</v>
      </c>
      <c r="R55" s="104" t="s">
        <v>654</v>
      </c>
      <c r="S55" s="108" t="s">
        <v>658</v>
      </c>
      <c r="T55" s="131">
        <v>115</v>
      </c>
      <c r="U55" s="132">
        <v>115</v>
      </c>
      <c r="V55" s="132">
        <v>0</v>
      </c>
      <c r="W55" s="111" t="s">
        <v>3397</v>
      </c>
      <c r="X55" s="111" t="s">
        <v>3396</v>
      </c>
      <c r="Y55" s="112">
        <v>230</v>
      </c>
      <c r="Z55" s="131">
        <v>54</v>
      </c>
      <c r="AA55" s="132">
        <v>66</v>
      </c>
      <c r="AB55" s="132">
        <v>0</v>
      </c>
      <c r="AC55" s="111" t="s">
        <v>3399</v>
      </c>
      <c r="AD55" s="111" t="s">
        <v>2879</v>
      </c>
      <c r="AE55" s="112">
        <v>120</v>
      </c>
      <c r="AF55" s="113">
        <f t="shared" si="0"/>
        <v>350</v>
      </c>
      <c r="AG55" s="114"/>
      <c r="AH55" s="115"/>
    </row>
    <row r="56" spans="1:34" s="78" customFormat="1" ht="12" customHeight="1">
      <c r="A56" s="100">
        <v>1054</v>
      </c>
      <c r="B56" s="101" t="s">
        <v>3395</v>
      </c>
      <c r="C56" s="129" t="s">
        <v>4140</v>
      </c>
      <c r="D56" s="101" t="s">
        <v>3398</v>
      </c>
      <c r="E56" s="100">
        <v>1</v>
      </c>
      <c r="F56" s="102">
        <v>1</v>
      </c>
      <c r="G56" s="103">
        <v>54</v>
      </c>
      <c r="H56" s="104" t="s">
        <v>659</v>
      </c>
      <c r="I56" s="104" t="s">
        <v>659</v>
      </c>
      <c r="J56" s="105">
        <v>10500100533901</v>
      </c>
      <c r="K56" s="106" t="s">
        <v>353</v>
      </c>
      <c r="L56" s="106"/>
      <c r="M56" s="106">
        <v>4</v>
      </c>
      <c r="N56" s="104" t="s">
        <v>628</v>
      </c>
      <c r="O56" s="104" t="s">
        <v>660</v>
      </c>
      <c r="P56" s="107" t="s">
        <v>661</v>
      </c>
      <c r="Q56" s="104" t="s">
        <v>662</v>
      </c>
      <c r="R56" s="104" t="s">
        <v>663</v>
      </c>
      <c r="S56" s="108" t="s">
        <v>664</v>
      </c>
      <c r="T56" s="131">
        <v>0</v>
      </c>
      <c r="U56" s="132">
        <v>160</v>
      </c>
      <c r="V56" s="132">
        <v>120</v>
      </c>
      <c r="W56" s="111" t="s">
        <v>3397</v>
      </c>
      <c r="X56" s="111" t="s">
        <v>3396</v>
      </c>
      <c r="Y56" s="142">
        <v>280</v>
      </c>
      <c r="Z56" s="131">
        <v>0</v>
      </c>
      <c r="AA56" s="132">
        <v>209</v>
      </c>
      <c r="AB56" s="132">
        <v>191</v>
      </c>
      <c r="AC56" s="111" t="s">
        <v>3399</v>
      </c>
      <c r="AD56" s="111" t="s">
        <v>2879</v>
      </c>
      <c r="AE56" s="142">
        <v>400</v>
      </c>
      <c r="AF56" s="113">
        <f t="shared" si="0"/>
        <v>680</v>
      </c>
      <c r="AG56" s="114"/>
      <c r="AH56" s="115"/>
    </row>
    <row r="57" spans="1:34" s="78" customFormat="1" ht="12" customHeight="1">
      <c r="A57" s="100">
        <v>1055</v>
      </c>
      <c r="B57" s="101" t="s">
        <v>3395</v>
      </c>
      <c r="C57" s="129" t="s">
        <v>4140</v>
      </c>
      <c r="D57" s="101" t="s">
        <v>3398</v>
      </c>
      <c r="E57" s="100">
        <v>1</v>
      </c>
      <c r="F57" s="102">
        <v>1</v>
      </c>
      <c r="G57" s="103">
        <v>55</v>
      </c>
      <c r="H57" s="104" t="s">
        <v>665</v>
      </c>
      <c r="I57" s="104" t="s">
        <v>665</v>
      </c>
      <c r="J57" s="105">
        <v>10500100203801</v>
      </c>
      <c r="K57" s="106" t="s">
        <v>353</v>
      </c>
      <c r="L57" s="106"/>
      <c r="M57" s="106">
        <v>4</v>
      </c>
      <c r="N57" s="104" t="s">
        <v>641</v>
      </c>
      <c r="O57" s="104" t="s">
        <v>666</v>
      </c>
      <c r="P57" s="107" t="s">
        <v>667</v>
      </c>
      <c r="Q57" s="104" t="s">
        <v>668</v>
      </c>
      <c r="R57" s="104" t="s">
        <v>669</v>
      </c>
      <c r="S57" s="108" t="s">
        <v>670</v>
      </c>
      <c r="T57" s="131">
        <v>164</v>
      </c>
      <c r="U57" s="132">
        <v>165</v>
      </c>
      <c r="V57" s="132">
        <v>71</v>
      </c>
      <c r="W57" s="111" t="s">
        <v>3397</v>
      </c>
      <c r="X57" s="111" t="s">
        <v>3396</v>
      </c>
      <c r="Y57" s="142">
        <v>400</v>
      </c>
      <c r="Z57" s="131">
        <v>193</v>
      </c>
      <c r="AA57" s="132">
        <v>279</v>
      </c>
      <c r="AB57" s="132">
        <v>88</v>
      </c>
      <c r="AC57" s="111" t="s">
        <v>3399</v>
      </c>
      <c r="AD57" s="111" t="s">
        <v>2879</v>
      </c>
      <c r="AE57" s="142">
        <v>560</v>
      </c>
      <c r="AF57" s="113">
        <f t="shared" si="0"/>
        <v>960</v>
      </c>
      <c r="AG57" s="114"/>
      <c r="AH57" s="115"/>
    </row>
    <row r="58" spans="1:34" s="78" customFormat="1" ht="12" customHeight="1">
      <c r="A58" s="100">
        <v>1056</v>
      </c>
      <c r="B58" s="101" t="s">
        <v>3395</v>
      </c>
      <c r="C58" s="129" t="s">
        <v>4140</v>
      </c>
      <c r="D58" s="101" t="s">
        <v>3398</v>
      </c>
      <c r="E58" s="100">
        <v>1</v>
      </c>
      <c r="F58" s="143">
        <v>2</v>
      </c>
      <c r="G58" s="103">
        <v>56</v>
      </c>
      <c r="H58" s="144" t="s">
        <v>671</v>
      </c>
      <c r="I58" s="145" t="s">
        <v>671</v>
      </c>
      <c r="J58" s="146">
        <v>10500100093101</v>
      </c>
      <c r="K58" s="147" t="s">
        <v>353</v>
      </c>
      <c r="L58" s="147"/>
      <c r="M58" s="147">
        <v>5</v>
      </c>
      <c r="N58" s="148" t="s">
        <v>672</v>
      </c>
      <c r="O58" s="144" t="s">
        <v>673</v>
      </c>
      <c r="P58" s="148" t="s">
        <v>674</v>
      </c>
      <c r="Q58" s="144" t="s">
        <v>675</v>
      </c>
      <c r="R58" s="144" t="s">
        <v>676</v>
      </c>
      <c r="S58" s="149" t="s">
        <v>677</v>
      </c>
      <c r="T58" s="131">
        <v>0</v>
      </c>
      <c r="U58" s="132">
        <v>150</v>
      </c>
      <c r="V58" s="132">
        <v>50</v>
      </c>
      <c r="W58" s="111" t="s">
        <v>3397</v>
      </c>
      <c r="X58" s="111" t="s">
        <v>3396</v>
      </c>
      <c r="Y58" s="142">
        <v>200</v>
      </c>
      <c r="Z58" s="131">
        <v>0</v>
      </c>
      <c r="AA58" s="132">
        <v>405</v>
      </c>
      <c r="AB58" s="132">
        <v>245</v>
      </c>
      <c r="AC58" s="111" t="s">
        <v>3399</v>
      </c>
      <c r="AD58" s="111" t="s">
        <v>2879</v>
      </c>
      <c r="AE58" s="142">
        <v>650</v>
      </c>
      <c r="AF58" s="150">
        <f t="shared" si="0"/>
        <v>850</v>
      </c>
      <c r="AG58" s="151"/>
      <c r="AH58" s="152"/>
    </row>
    <row r="59" spans="1:34" s="78" customFormat="1" ht="12" customHeight="1">
      <c r="A59" s="100">
        <v>1057</v>
      </c>
      <c r="B59" s="101" t="s">
        <v>3395</v>
      </c>
      <c r="C59" s="129" t="s">
        <v>4140</v>
      </c>
      <c r="D59" s="101" t="s">
        <v>3398</v>
      </c>
      <c r="E59" s="100">
        <v>1</v>
      </c>
      <c r="F59" s="143">
        <v>2</v>
      </c>
      <c r="G59" s="103">
        <v>57</v>
      </c>
      <c r="H59" s="144" t="s">
        <v>678</v>
      </c>
      <c r="I59" s="145" t="s">
        <v>678</v>
      </c>
      <c r="J59" s="146">
        <v>10500100093102</v>
      </c>
      <c r="K59" s="147" t="s">
        <v>353</v>
      </c>
      <c r="L59" s="147"/>
      <c r="M59" s="147">
        <v>5</v>
      </c>
      <c r="N59" s="148" t="s">
        <v>679</v>
      </c>
      <c r="O59" s="144" t="s">
        <v>680</v>
      </c>
      <c r="P59" s="148" t="s">
        <v>681</v>
      </c>
      <c r="Q59" s="144" t="s">
        <v>675</v>
      </c>
      <c r="R59" s="144" t="s">
        <v>682</v>
      </c>
      <c r="S59" s="149" t="s">
        <v>683</v>
      </c>
      <c r="T59" s="131">
        <v>120</v>
      </c>
      <c r="U59" s="132">
        <v>60</v>
      </c>
      <c r="V59" s="132">
        <v>0</v>
      </c>
      <c r="W59" s="111" t="s">
        <v>3397</v>
      </c>
      <c r="X59" s="111" t="s">
        <v>3396</v>
      </c>
      <c r="Y59" s="142">
        <v>180</v>
      </c>
      <c r="Z59" s="131">
        <v>360</v>
      </c>
      <c r="AA59" s="132">
        <v>240</v>
      </c>
      <c r="AB59" s="132">
        <v>0</v>
      </c>
      <c r="AC59" s="111" t="s">
        <v>3399</v>
      </c>
      <c r="AD59" s="111" t="s">
        <v>2879</v>
      </c>
      <c r="AE59" s="142">
        <v>600</v>
      </c>
      <c r="AF59" s="150">
        <f t="shared" si="0"/>
        <v>780</v>
      </c>
      <c r="AG59" s="151"/>
      <c r="AH59" s="152"/>
    </row>
    <row r="60" spans="1:34" s="78" customFormat="1" ht="12" customHeight="1">
      <c r="A60" s="100">
        <v>1058</v>
      </c>
      <c r="B60" s="101" t="s">
        <v>3395</v>
      </c>
      <c r="C60" s="101" t="s">
        <v>3396</v>
      </c>
      <c r="D60" s="101" t="s">
        <v>3397</v>
      </c>
      <c r="E60" s="100">
        <v>1</v>
      </c>
      <c r="F60" s="153">
        <v>2</v>
      </c>
      <c r="G60" s="103">
        <v>58</v>
      </c>
      <c r="H60" s="154" t="s">
        <v>684</v>
      </c>
      <c r="I60" s="155" t="s">
        <v>684</v>
      </c>
      <c r="J60" s="156">
        <v>10500101979801</v>
      </c>
      <c r="K60" s="157" t="s">
        <v>353</v>
      </c>
      <c r="L60" s="157"/>
      <c r="M60" s="157">
        <v>5</v>
      </c>
      <c r="N60" s="158" t="s">
        <v>685</v>
      </c>
      <c r="O60" s="154" t="s">
        <v>686</v>
      </c>
      <c r="P60" s="158" t="s">
        <v>687</v>
      </c>
      <c r="Q60" s="154" t="s">
        <v>688</v>
      </c>
      <c r="R60" s="154" t="s">
        <v>689</v>
      </c>
      <c r="S60" s="159" t="s">
        <v>690</v>
      </c>
      <c r="T60" s="160">
        <v>0</v>
      </c>
      <c r="U60" s="161">
        <v>150</v>
      </c>
      <c r="V60" s="161">
        <v>0</v>
      </c>
      <c r="W60" s="111" t="s">
        <v>3397</v>
      </c>
      <c r="X60" s="111" t="s">
        <v>3396</v>
      </c>
      <c r="Y60" s="142">
        <v>150</v>
      </c>
      <c r="Z60" s="160">
        <v>0</v>
      </c>
      <c r="AA60" s="161">
        <v>0</v>
      </c>
      <c r="AB60" s="161">
        <v>0</v>
      </c>
      <c r="AC60" s="111"/>
      <c r="AD60" s="111"/>
      <c r="AE60" s="142">
        <v>0</v>
      </c>
      <c r="AF60" s="150">
        <f t="shared" si="0"/>
        <v>150</v>
      </c>
      <c r="AG60" s="162"/>
      <c r="AH60" s="152"/>
    </row>
    <row r="61" spans="1:34" s="78" customFormat="1" ht="12" customHeight="1">
      <c r="A61" s="100">
        <v>1059</v>
      </c>
      <c r="B61" s="101" t="s">
        <v>3395</v>
      </c>
      <c r="C61" s="101" t="s">
        <v>3396</v>
      </c>
      <c r="D61" s="101" t="s">
        <v>3397</v>
      </c>
      <c r="E61" s="100">
        <v>1</v>
      </c>
      <c r="F61" s="143">
        <v>2</v>
      </c>
      <c r="G61" s="103">
        <v>59</v>
      </c>
      <c r="H61" s="144" t="s">
        <v>691</v>
      </c>
      <c r="I61" s="145" t="s">
        <v>691</v>
      </c>
      <c r="J61" s="146">
        <v>10500101979802</v>
      </c>
      <c r="K61" s="147" t="s">
        <v>353</v>
      </c>
      <c r="L61" s="147"/>
      <c r="M61" s="147">
        <v>5</v>
      </c>
      <c r="N61" s="148" t="s">
        <v>685</v>
      </c>
      <c r="O61" s="144" t="s">
        <v>692</v>
      </c>
      <c r="P61" s="148" t="s">
        <v>693</v>
      </c>
      <c r="Q61" s="144" t="s">
        <v>688</v>
      </c>
      <c r="R61" s="144" t="s">
        <v>694</v>
      </c>
      <c r="S61" s="149" t="s">
        <v>690</v>
      </c>
      <c r="T61" s="131">
        <v>174</v>
      </c>
      <c r="U61" s="132">
        <v>126</v>
      </c>
      <c r="V61" s="132">
        <v>0</v>
      </c>
      <c r="W61" s="111" t="s">
        <v>3397</v>
      </c>
      <c r="X61" s="111" t="s">
        <v>3396</v>
      </c>
      <c r="Y61" s="142">
        <v>300</v>
      </c>
      <c r="Z61" s="131">
        <v>0</v>
      </c>
      <c r="AA61" s="132">
        <v>0</v>
      </c>
      <c r="AB61" s="132">
        <v>0</v>
      </c>
      <c r="AC61" s="111"/>
      <c r="AD61" s="111"/>
      <c r="AE61" s="142">
        <v>0</v>
      </c>
      <c r="AF61" s="150">
        <f t="shared" si="0"/>
        <v>300</v>
      </c>
      <c r="AG61" s="151"/>
      <c r="AH61" s="152"/>
    </row>
    <row r="62" spans="1:34" s="78" customFormat="1" ht="12" customHeight="1">
      <c r="A62" s="100">
        <v>1060</v>
      </c>
      <c r="B62" s="101" t="s">
        <v>3395</v>
      </c>
      <c r="C62" s="101" t="s">
        <v>3396</v>
      </c>
      <c r="D62" s="101" t="s">
        <v>3397</v>
      </c>
      <c r="E62" s="100">
        <v>1</v>
      </c>
      <c r="F62" s="143">
        <v>2</v>
      </c>
      <c r="G62" s="103">
        <v>60</v>
      </c>
      <c r="H62" s="144" t="s">
        <v>695</v>
      </c>
      <c r="I62" s="145" t="s">
        <v>695</v>
      </c>
      <c r="J62" s="146">
        <v>10500100606802</v>
      </c>
      <c r="K62" s="147" t="s">
        <v>353</v>
      </c>
      <c r="L62" s="147"/>
      <c r="M62" s="147">
        <v>5</v>
      </c>
      <c r="N62" s="148" t="s">
        <v>696</v>
      </c>
      <c r="O62" s="144" t="s">
        <v>697</v>
      </c>
      <c r="P62" s="148" t="s">
        <v>698</v>
      </c>
      <c r="Q62" s="144" t="s">
        <v>699</v>
      </c>
      <c r="R62" s="144" t="s">
        <v>700</v>
      </c>
      <c r="S62" s="149" t="s">
        <v>701</v>
      </c>
      <c r="T62" s="163">
        <v>21</v>
      </c>
      <c r="U62" s="164">
        <v>88</v>
      </c>
      <c r="V62" s="164">
        <v>63</v>
      </c>
      <c r="W62" s="111" t="s">
        <v>3397</v>
      </c>
      <c r="X62" s="111" t="s">
        <v>3396</v>
      </c>
      <c r="Y62" s="142">
        <v>172</v>
      </c>
      <c r="Z62" s="163">
        <v>0</v>
      </c>
      <c r="AA62" s="164">
        <v>0</v>
      </c>
      <c r="AB62" s="132">
        <v>0</v>
      </c>
      <c r="AC62" s="111"/>
      <c r="AD62" s="111"/>
      <c r="AE62" s="142">
        <v>0</v>
      </c>
      <c r="AF62" s="150">
        <f t="shared" si="0"/>
        <v>172</v>
      </c>
      <c r="AG62" s="151"/>
      <c r="AH62" s="152"/>
    </row>
    <row r="63" spans="1:34" s="78" customFormat="1" ht="12" customHeight="1">
      <c r="A63" s="100">
        <v>1061</v>
      </c>
      <c r="B63" s="101" t="s">
        <v>3395</v>
      </c>
      <c r="C63" s="101" t="s">
        <v>3396</v>
      </c>
      <c r="D63" s="101" t="s">
        <v>3397</v>
      </c>
      <c r="E63" s="100">
        <v>1</v>
      </c>
      <c r="F63" s="143">
        <v>2</v>
      </c>
      <c r="G63" s="103">
        <v>61</v>
      </c>
      <c r="H63" s="144" t="s">
        <v>702</v>
      </c>
      <c r="I63" s="145" t="s">
        <v>702</v>
      </c>
      <c r="J63" s="146">
        <v>10500101307201</v>
      </c>
      <c r="K63" s="147" t="s">
        <v>353</v>
      </c>
      <c r="L63" s="147"/>
      <c r="M63" s="147">
        <v>5</v>
      </c>
      <c r="N63" s="148" t="s">
        <v>672</v>
      </c>
      <c r="O63" s="144" t="s">
        <v>703</v>
      </c>
      <c r="P63" s="148" t="s">
        <v>704</v>
      </c>
      <c r="Q63" s="144" t="s">
        <v>705</v>
      </c>
      <c r="R63" s="144" t="s">
        <v>706</v>
      </c>
      <c r="S63" s="149" t="s">
        <v>707</v>
      </c>
      <c r="T63" s="163">
        <v>0</v>
      </c>
      <c r="U63" s="164">
        <v>140</v>
      </c>
      <c r="V63" s="164">
        <v>60</v>
      </c>
      <c r="W63" s="111" t="s">
        <v>3397</v>
      </c>
      <c r="X63" s="111" t="s">
        <v>3396</v>
      </c>
      <c r="Y63" s="142">
        <v>200</v>
      </c>
      <c r="Z63" s="163">
        <v>0</v>
      </c>
      <c r="AA63" s="164">
        <v>0</v>
      </c>
      <c r="AB63" s="132">
        <v>0</v>
      </c>
      <c r="AC63" s="111"/>
      <c r="AD63" s="111"/>
      <c r="AE63" s="142">
        <v>0</v>
      </c>
      <c r="AF63" s="150">
        <f t="shared" si="0"/>
        <v>200</v>
      </c>
      <c r="AG63" s="151"/>
      <c r="AH63" s="152"/>
    </row>
    <row r="64" spans="1:34" s="78" customFormat="1" ht="12" customHeight="1">
      <c r="A64" s="100">
        <v>1062</v>
      </c>
      <c r="B64" s="101" t="s">
        <v>3395</v>
      </c>
      <c r="C64" s="129" t="s">
        <v>4140</v>
      </c>
      <c r="D64" s="101" t="s">
        <v>3398</v>
      </c>
      <c r="E64" s="100">
        <v>1</v>
      </c>
      <c r="F64" s="143">
        <v>2</v>
      </c>
      <c r="G64" s="103">
        <v>62</v>
      </c>
      <c r="H64" s="144" t="s">
        <v>708</v>
      </c>
      <c r="I64" s="145" t="s">
        <v>708</v>
      </c>
      <c r="J64" s="146">
        <v>10500101307202</v>
      </c>
      <c r="K64" s="147" t="s">
        <v>353</v>
      </c>
      <c r="L64" s="147"/>
      <c r="M64" s="147">
        <v>5</v>
      </c>
      <c r="N64" s="148" t="s">
        <v>672</v>
      </c>
      <c r="O64" s="144" t="s">
        <v>709</v>
      </c>
      <c r="P64" s="148">
        <v>2730379</v>
      </c>
      <c r="Q64" s="144" t="s">
        <v>710</v>
      </c>
      <c r="R64" s="144" t="s">
        <v>711</v>
      </c>
      <c r="S64" s="149" t="s">
        <v>712</v>
      </c>
      <c r="T64" s="163">
        <v>260</v>
      </c>
      <c r="U64" s="164">
        <v>30</v>
      </c>
      <c r="V64" s="164">
        <v>0</v>
      </c>
      <c r="W64" s="111" t="s">
        <v>3397</v>
      </c>
      <c r="X64" s="111" t="s">
        <v>3396</v>
      </c>
      <c r="Y64" s="142">
        <v>290</v>
      </c>
      <c r="Z64" s="163">
        <v>84</v>
      </c>
      <c r="AA64" s="164">
        <v>166</v>
      </c>
      <c r="AB64" s="132">
        <v>0</v>
      </c>
      <c r="AC64" s="111" t="s">
        <v>3399</v>
      </c>
      <c r="AD64" s="111" t="s">
        <v>2879</v>
      </c>
      <c r="AE64" s="142">
        <v>250</v>
      </c>
      <c r="AF64" s="150">
        <f t="shared" si="0"/>
        <v>540</v>
      </c>
      <c r="AG64" s="151"/>
      <c r="AH64" s="152"/>
    </row>
    <row r="65" spans="1:34" s="78" customFormat="1" ht="12" customHeight="1">
      <c r="A65" s="100">
        <v>1063</v>
      </c>
      <c r="B65" s="101" t="s">
        <v>3395</v>
      </c>
      <c r="C65" s="129" t="s">
        <v>4140</v>
      </c>
      <c r="D65" s="101" t="s">
        <v>3398</v>
      </c>
      <c r="E65" s="100">
        <v>1</v>
      </c>
      <c r="F65" s="143">
        <v>2</v>
      </c>
      <c r="G65" s="103">
        <v>63</v>
      </c>
      <c r="H65" s="144" t="s">
        <v>713</v>
      </c>
      <c r="I65" s="145" t="s">
        <v>713</v>
      </c>
      <c r="J65" s="146">
        <v>10500102578002</v>
      </c>
      <c r="K65" s="147" t="s">
        <v>353</v>
      </c>
      <c r="L65" s="147"/>
      <c r="M65" s="147">
        <v>5</v>
      </c>
      <c r="N65" s="148" t="s">
        <v>714</v>
      </c>
      <c r="O65" s="144" t="s">
        <v>715</v>
      </c>
      <c r="P65" s="148">
        <v>2730920</v>
      </c>
      <c r="Q65" s="144" t="s">
        <v>716</v>
      </c>
      <c r="R65" s="144" t="s">
        <v>717</v>
      </c>
      <c r="S65" s="149" t="s">
        <v>718</v>
      </c>
      <c r="T65" s="131">
        <v>90</v>
      </c>
      <c r="U65" s="132">
        <v>140</v>
      </c>
      <c r="V65" s="132">
        <v>0</v>
      </c>
      <c r="W65" s="111" t="s">
        <v>3397</v>
      </c>
      <c r="X65" s="111" t="s">
        <v>3396</v>
      </c>
      <c r="Y65" s="142">
        <v>230</v>
      </c>
      <c r="Z65" s="131">
        <v>80</v>
      </c>
      <c r="AA65" s="132">
        <v>110</v>
      </c>
      <c r="AB65" s="132">
        <v>0</v>
      </c>
      <c r="AC65" s="111" t="s">
        <v>3399</v>
      </c>
      <c r="AD65" s="111" t="s">
        <v>2879</v>
      </c>
      <c r="AE65" s="142">
        <v>190</v>
      </c>
      <c r="AF65" s="150">
        <f t="shared" si="0"/>
        <v>420</v>
      </c>
      <c r="AG65" s="151"/>
      <c r="AH65" s="152"/>
    </row>
    <row r="66" spans="1:34" s="78" customFormat="1" ht="12" customHeight="1">
      <c r="A66" s="100">
        <v>1064</v>
      </c>
      <c r="B66" s="101" t="s">
        <v>3395</v>
      </c>
      <c r="C66" s="129" t="s">
        <v>4140</v>
      </c>
      <c r="D66" s="101" t="s">
        <v>3398</v>
      </c>
      <c r="E66" s="100">
        <v>1</v>
      </c>
      <c r="F66" s="143">
        <v>2</v>
      </c>
      <c r="G66" s="103">
        <v>64</v>
      </c>
      <c r="H66" s="144" t="s">
        <v>719</v>
      </c>
      <c r="I66" s="145" t="s">
        <v>719</v>
      </c>
      <c r="J66" s="146">
        <v>10500101642001</v>
      </c>
      <c r="K66" s="147" t="s">
        <v>353</v>
      </c>
      <c r="L66" s="147"/>
      <c r="M66" s="147">
        <v>5</v>
      </c>
      <c r="N66" s="148" t="s">
        <v>720</v>
      </c>
      <c r="O66" s="144" t="s">
        <v>721</v>
      </c>
      <c r="P66" s="148" t="s">
        <v>722</v>
      </c>
      <c r="Q66" s="144" t="s">
        <v>723</v>
      </c>
      <c r="R66" s="144" t="s">
        <v>724</v>
      </c>
      <c r="S66" s="149" t="s">
        <v>725</v>
      </c>
      <c r="T66" s="131">
        <v>0</v>
      </c>
      <c r="U66" s="132">
        <v>75</v>
      </c>
      <c r="V66" s="132">
        <v>75</v>
      </c>
      <c r="W66" s="111" t="s">
        <v>3397</v>
      </c>
      <c r="X66" s="111" t="s">
        <v>3396</v>
      </c>
      <c r="Y66" s="142">
        <v>150</v>
      </c>
      <c r="Z66" s="131">
        <v>0</v>
      </c>
      <c r="AA66" s="132">
        <v>183</v>
      </c>
      <c r="AB66" s="132">
        <v>111</v>
      </c>
      <c r="AC66" s="111" t="s">
        <v>3399</v>
      </c>
      <c r="AD66" s="111" t="s">
        <v>2879</v>
      </c>
      <c r="AE66" s="142">
        <v>294</v>
      </c>
      <c r="AF66" s="150">
        <f t="shared" si="0"/>
        <v>444</v>
      </c>
      <c r="AG66" s="151"/>
      <c r="AH66" s="152"/>
    </row>
    <row r="67" spans="1:34" s="78" customFormat="1" ht="12" customHeight="1">
      <c r="A67" s="100">
        <v>1065</v>
      </c>
      <c r="B67" s="101" t="s">
        <v>3395</v>
      </c>
      <c r="C67" s="129" t="s">
        <v>4140</v>
      </c>
      <c r="D67" s="101" t="s">
        <v>3398</v>
      </c>
      <c r="E67" s="100">
        <v>1</v>
      </c>
      <c r="F67" s="143">
        <v>2</v>
      </c>
      <c r="G67" s="103">
        <v>65</v>
      </c>
      <c r="H67" s="144" t="s">
        <v>726</v>
      </c>
      <c r="I67" s="145" t="s">
        <v>726</v>
      </c>
      <c r="J67" s="146">
        <v>10500101642002</v>
      </c>
      <c r="K67" s="147" t="s">
        <v>353</v>
      </c>
      <c r="L67" s="147"/>
      <c r="M67" s="147">
        <v>5</v>
      </c>
      <c r="N67" s="148" t="s">
        <v>720</v>
      </c>
      <c r="O67" s="144" t="s">
        <v>727</v>
      </c>
      <c r="P67" s="148">
        <v>2671734</v>
      </c>
      <c r="Q67" s="144" t="s">
        <v>728</v>
      </c>
      <c r="R67" s="144" t="s">
        <v>729</v>
      </c>
      <c r="S67" s="149" t="s">
        <v>730</v>
      </c>
      <c r="T67" s="131">
        <v>155</v>
      </c>
      <c r="U67" s="132">
        <v>75</v>
      </c>
      <c r="V67" s="132">
        <v>0</v>
      </c>
      <c r="W67" s="111" t="s">
        <v>3397</v>
      </c>
      <c r="X67" s="111" t="s">
        <v>3396</v>
      </c>
      <c r="Y67" s="142">
        <v>230</v>
      </c>
      <c r="Z67" s="131">
        <v>90</v>
      </c>
      <c r="AA67" s="132">
        <v>50</v>
      </c>
      <c r="AB67" s="132">
        <v>0</v>
      </c>
      <c r="AC67" s="111" t="s">
        <v>3399</v>
      </c>
      <c r="AD67" s="111" t="s">
        <v>2879</v>
      </c>
      <c r="AE67" s="142">
        <v>140</v>
      </c>
      <c r="AF67" s="150">
        <f t="shared" ref="AF67:AF130" si="1">+Y67+AE67</f>
        <v>370</v>
      </c>
      <c r="AG67" s="165"/>
      <c r="AH67" s="152"/>
    </row>
    <row r="68" spans="1:34" s="78" customFormat="1" ht="12" customHeight="1">
      <c r="A68" s="100">
        <v>1066</v>
      </c>
      <c r="B68" s="101" t="s">
        <v>3395</v>
      </c>
      <c r="C68" s="129" t="s">
        <v>4140</v>
      </c>
      <c r="D68" s="101" t="s">
        <v>3398</v>
      </c>
      <c r="E68" s="100">
        <v>1</v>
      </c>
      <c r="F68" s="143">
        <v>2</v>
      </c>
      <c r="G68" s="103">
        <v>66</v>
      </c>
      <c r="H68" s="144" t="s">
        <v>731</v>
      </c>
      <c r="I68" s="145" t="s">
        <v>731</v>
      </c>
      <c r="J68" s="146">
        <v>10500100606801</v>
      </c>
      <c r="K68" s="147" t="s">
        <v>353</v>
      </c>
      <c r="L68" s="147"/>
      <c r="M68" s="147">
        <v>5</v>
      </c>
      <c r="N68" s="148" t="s">
        <v>732</v>
      </c>
      <c r="O68" s="144" t="s">
        <v>733</v>
      </c>
      <c r="P68" s="148">
        <v>2573923</v>
      </c>
      <c r="Q68" s="144" t="s">
        <v>734</v>
      </c>
      <c r="R68" s="144" t="s">
        <v>735</v>
      </c>
      <c r="S68" s="149" t="s">
        <v>736</v>
      </c>
      <c r="T68" s="131">
        <v>140</v>
      </c>
      <c r="U68" s="132">
        <v>180</v>
      </c>
      <c r="V68" s="132">
        <v>80</v>
      </c>
      <c r="W68" s="111" t="s">
        <v>3397</v>
      </c>
      <c r="X68" s="111" t="s">
        <v>3396</v>
      </c>
      <c r="Y68" s="142">
        <v>400</v>
      </c>
      <c r="Z68" s="131">
        <v>280</v>
      </c>
      <c r="AA68" s="132">
        <v>280</v>
      </c>
      <c r="AB68" s="132">
        <v>140</v>
      </c>
      <c r="AC68" s="111" t="s">
        <v>3399</v>
      </c>
      <c r="AD68" s="111" t="s">
        <v>2879</v>
      </c>
      <c r="AE68" s="142">
        <v>700</v>
      </c>
      <c r="AF68" s="150">
        <f t="shared" si="1"/>
        <v>1100</v>
      </c>
      <c r="AG68" s="151"/>
      <c r="AH68" s="152"/>
    </row>
    <row r="69" spans="1:34" s="78" customFormat="1" ht="12" customHeight="1">
      <c r="A69" s="100">
        <v>1067</v>
      </c>
      <c r="B69" s="101" t="s">
        <v>3395</v>
      </c>
      <c r="C69" s="129" t="s">
        <v>4140</v>
      </c>
      <c r="D69" s="101" t="s">
        <v>3398</v>
      </c>
      <c r="E69" s="100">
        <v>1</v>
      </c>
      <c r="F69" s="143">
        <v>2</v>
      </c>
      <c r="G69" s="103">
        <v>67</v>
      </c>
      <c r="H69" s="144" t="s">
        <v>737</v>
      </c>
      <c r="I69" s="145" t="s">
        <v>737</v>
      </c>
      <c r="J69" s="146">
        <v>10500100648301</v>
      </c>
      <c r="K69" s="147" t="s">
        <v>353</v>
      </c>
      <c r="L69" s="147"/>
      <c r="M69" s="147">
        <v>5</v>
      </c>
      <c r="N69" s="148" t="s">
        <v>738</v>
      </c>
      <c r="O69" s="144" t="s">
        <v>739</v>
      </c>
      <c r="P69" s="148">
        <v>2677445</v>
      </c>
      <c r="Q69" s="144" t="s">
        <v>740</v>
      </c>
      <c r="R69" s="144" t="s">
        <v>741</v>
      </c>
      <c r="S69" s="149" t="s">
        <v>742</v>
      </c>
      <c r="T69" s="163">
        <v>110</v>
      </c>
      <c r="U69" s="164">
        <v>70</v>
      </c>
      <c r="V69" s="164">
        <v>20</v>
      </c>
      <c r="W69" s="111" t="s">
        <v>3397</v>
      </c>
      <c r="X69" s="111" t="s">
        <v>3396</v>
      </c>
      <c r="Y69" s="142">
        <v>200</v>
      </c>
      <c r="Z69" s="163">
        <v>0</v>
      </c>
      <c r="AA69" s="164">
        <v>100</v>
      </c>
      <c r="AB69" s="164">
        <v>50</v>
      </c>
      <c r="AC69" s="111" t="s">
        <v>3399</v>
      </c>
      <c r="AD69" s="111" t="s">
        <v>2879</v>
      </c>
      <c r="AE69" s="142">
        <v>150</v>
      </c>
      <c r="AF69" s="150">
        <f t="shared" si="1"/>
        <v>350</v>
      </c>
      <c r="AG69" s="151"/>
      <c r="AH69" s="152"/>
    </row>
    <row r="70" spans="1:34" s="78" customFormat="1" ht="12" customHeight="1">
      <c r="A70" s="100">
        <v>1068</v>
      </c>
      <c r="B70" s="101" t="s">
        <v>3395</v>
      </c>
      <c r="C70" s="101" t="s">
        <v>3396</v>
      </c>
      <c r="D70" s="101" t="s">
        <v>3397</v>
      </c>
      <c r="E70" s="100">
        <v>1</v>
      </c>
      <c r="F70" s="153">
        <v>2</v>
      </c>
      <c r="G70" s="103">
        <v>68</v>
      </c>
      <c r="H70" s="166" t="s">
        <v>743</v>
      </c>
      <c r="I70" s="155" t="s">
        <v>744</v>
      </c>
      <c r="J70" s="156">
        <v>30500101568601</v>
      </c>
      <c r="K70" s="157" t="s">
        <v>353</v>
      </c>
      <c r="L70" s="167"/>
      <c r="M70" s="157">
        <v>5</v>
      </c>
      <c r="N70" s="158" t="s">
        <v>738</v>
      </c>
      <c r="O70" s="154" t="s">
        <v>745</v>
      </c>
      <c r="P70" s="158">
        <v>4719328</v>
      </c>
      <c r="Q70" s="154" t="s">
        <v>746</v>
      </c>
      <c r="R70" s="154" t="s">
        <v>747</v>
      </c>
      <c r="S70" s="159" t="s">
        <v>748</v>
      </c>
      <c r="T70" s="160">
        <v>180</v>
      </c>
      <c r="U70" s="161">
        <v>20</v>
      </c>
      <c r="V70" s="161">
        <v>0</v>
      </c>
      <c r="W70" s="111" t="s">
        <v>3397</v>
      </c>
      <c r="X70" s="111" t="s">
        <v>3396</v>
      </c>
      <c r="Y70" s="142">
        <v>200</v>
      </c>
      <c r="Z70" s="160">
        <v>0</v>
      </c>
      <c r="AA70" s="161">
        <v>0</v>
      </c>
      <c r="AB70" s="161">
        <v>0</v>
      </c>
      <c r="AC70" s="111"/>
      <c r="AD70" s="111"/>
      <c r="AE70" s="142">
        <v>0</v>
      </c>
      <c r="AF70" s="168">
        <f t="shared" si="1"/>
        <v>200</v>
      </c>
      <c r="AG70" s="162"/>
      <c r="AH70" s="152"/>
    </row>
    <row r="71" spans="1:34" s="78" customFormat="1" ht="12" customHeight="1">
      <c r="A71" s="100">
        <v>1069</v>
      </c>
      <c r="B71" s="101" t="s">
        <v>3395</v>
      </c>
      <c r="C71" s="101" t="s">
        <v>3396</v>
      </c>
      <c r="D71" s="101" t="s">
        <v>3397</v>
      </c>
      <c r="E71" s="100">
        <v>1</v>
      </c>
      <c r="F71" s="153">
        <v>2</v>
      </c>
      <c r="G71" s="103">
        <v>69</v>
      </c>
      <c r="H71" s="166" t="s">
        <v>743</v>
      </c>
      <c r="I71" s="155" t="s">
        <v>743</v>
      </c>
      <c r="J71" s="156">
        <v>30500101568603</v>
      </c>
      <c r="K71" s="157" t="s">
        <v>353</v>
      </c>
      <c r="L71" s="167"/>
      <c r="M71" s="157">
        <v>5</v>
      </c>
      <c r="N71" s="158" t="s">
        <v>738</v>
      </c>
      <c r="O71" s="154" t="s">
        <v>749</v>
      </c>
      <c r="P71" s="158" t="s">
        <v>750</v>
      </c>
      <c r="Q71" s="154" t="s">
        <v>751</v>
      </c>
      <c r="R71" s="154" t="s">
        <v>752</v>
      </c>
      <c r="S71" s="159"/>
      <c r="T71" s="160">
        <v>0</v>
      </c>
      <c r="U71" s="161">
        <v>140</v>
      </c>
      <c r="V71" s="161">
        <v>40</v>
      </c>
      <c r="W71" s="111" t="s">
        <v>3397</v>
      </c>
      <c r="X71" s="111" t="s">
        <v>3396</v>
      </c>
      <c r="Y71" s="142">
        <v>180</v>
      </c>
      <c r="Z71" s="160">
        <v>0</v>
      </c>
      <c r="AA71" s="161">
        <v>0</v>
      </c>
      <c r="AB71" s="161">
        <v>0</v>
      </c>
      <c r="AC71" s="111"/>
      <c r="AD71" s="111"/>
      <c r="AE71" s="142">
        <v>0</v>
      </c>
      <c r="AF71" s="168">
        <f t="shared" si="1"/>
        <v>180</v>
      </c>
      <c r="AG71" s="162"/>
      <c r="AH71" s="152"/>
    </row>
    <row r="72" spans="1:34" s="78" customFormat="1" ht="12" customHeight="1">
      <c r="A72" s="100">
        <v>1070</v>
      </c>
      <c r="B72" s="101" t="s">
        <v>3395</v>
      </c>
      <c r="C72" s="101" t="s">
        <v>3396</v>
      </c>
      <c r="D72" s="101" t="s">
        <v>3397</v>
      </c>
      <c r="E72" s="100">
        <v>1</v>
      </c>
      <c r="F72" s="153">
        <v>2</v>
      </c>
      <c r="G72" s="103">
        <v>70</v>
      </c>
      <c r="H72" s="166" t="s">
        <v>743</v>
      </c>
      <c r="I72" s="155" t="s">
        <v>753</v>
      </c>
      <c r="J72" s="156">
        <v>30500101568602</v>
      </c>
      <c r="K72" s="157" t="s">
        <v>353</v>
      </c>
      <c r="L72" s="167"/>
      <c r="M72" s="157">
        <v>5</v>
      </c>
      <c r="N72" s="158" t="s">
        <v>738</v>
      </c>
      <c r="O72" s="154" t="s">
        <v>749</v>
      </c>
      <c r="P72" s="158" t="s">
        <v>750</v>
      </c>
      <c r="Q72" s="154" t="s">
        <v>751</v>
      </c>
      <c r="R72" s="154" t="s">
        <v>752</v>
      </c>
      <c r="S72" s="159" t="s">
        <v>754</v>
      </c>
      <c r="T72" s="160">
        <v>0</v>
      </c>
      <c r="U72" s="161">
        <v>120</v>
      </c>
      <c r="V72" s="161">
        <v>20</v>
      </c>
      <c r="W72" s="111" t="s">
        <v>3397</v>
      </c>
      <c r="X72" s="111" t="s">
        <v>3396</v>
      </c>
      <c r="Y72" s="142">
        <v>140</v>
      </c>
      <c r="Z72" s="160">
        <v>0</v>
      </c>
      <c r="AA72" s="161">
        <v>0</v>
      </c>
      <c r="AB72" s="161">
        <v>0</v>
      </c>
      <c r="AC72" s="111"/>
      <c r="AD72" s="111"/>
      <c r="AE72" s="142">
        <v>0</v>
      </c>
      <c r="AF72" s="168">
        <f t="shared" si="1"/>
        <v>140</v>
      </c>
      <c r="AG72" s="162"/>
      <c r="AH72" s="152"/>
    </row>
    <row r="73" spans="1:34" s="78" customFormat="1" ht="12" customHeight="1">
      <c r="A73" s="100">
        <v>1071</v>
      </c>
      <c r="B73" s="101" t="s">
        <v>3395</v>
      </c>
      <c r="C73" s="129" t="s">
        <v>4140</v>
      </c>
      <c r="D73" s="101" t="s">
        <v>3398</v>
      </c>
      <c r="E73" s="100">
        <v>1</v>
      </c>
      <c r="F73" s="143">
        <v>2</v>
      </c>
      <c r="G73" s="103">
        <v>71</v>
      </c>
      <c r="H73" s="144" t="s">
        <v>755</v>
      </c>
      <c r="I73" s="145" t="s">
        <v>755</v>
      </c>
      <c r="J73" s="146">
        <v>10500101796502</v>
      </c>
      <c r="K73" s="147" t="s">
        <v>353</v>
      </c>
      <c r="L73" s="147"/>
      <c r="M73" s="147">
        <v>5</v>
      </c>
      <c r="N73" s="148" t="s">
        <v>738</v>
      </c>
      <c r="O73" s="144" t="s">
        <v>756</v>
      </c>
      <c r="P73" s="148">
        <v>2371508</v>
      </c>
      <c r="Q73" s="144" t="s">
        <v>757</v>
      </c>
      <c r="R73" s="144" t="s">
        <v>758</v>
      </c>
      <c r="S73" s="149" t="s">
        <v>759</v>
      </c>
      <c r="T73" s="131">
        <v>130</v>
      </c>
      <c r="U73" s="132">
        <v>90</v>
      </c>
      <c r="V73" s="132">
        <v>0</v>
      </c>
      <c r="W73" s="111" t="s">
        <v>3397</v>
      </c>
      <c r="X73" s="111" t="s">
        <v>3396</v>
      </c>
      <c r="Y73" s="142">
        <v>220</v>
      </c>
      <c r="Z73" s="131">
        <v>157</v>
      </c>
      <c r="AA73" s="132">
        <v>103</v>
      </c>
      <c r="AB73" s="132">
        <v>0</v>
      </c>
      <c r="AC73" s="111" t="s">
        <v>3399</v>
      </c>
      <c r="AD73" s="111" t="s">
        <v>2879</v>
      </c>
      <c r="AE73" s="142">
        <v>260</v>
      </c>
      <c r="AF73" s="150">
        <f t="shared" si="1"/>
        <v>480</v>
      </c>
      <c r="AG73" s="151"/>
      <c r="AH73" s="152"/>
    </row>
    <row r="74" spans="1:34" s="78" customFormat="1" ht="12" customHeight="1">
      <c r="A74" s="100">
        <v>1072</v>
      </c>
      <c r="B74" s="101" t="s">
        <v>3395</v>
      </c>
      <c r="C74" s="129" t="s">
        <v>4140</v>
      </c>
      <c r="D74" s="101" t="s">
        <v>3398</v>
      </c>
      <c r="E74" s="100">
        <v>1</v>
      </c>
      <c r="F74" s="143">
        <v>2</v>
      </c>
      <c r="G74" s="103">
        <v>72</v>
      </c>
      <c r="H74" s="144" t="s">
        <v>760</v>
      </c>
      <c r="I74" s="145" t="s">
        <v>760</v>
      </c>
      <c r="J74" s="146">
        <v>10500100609201</v>
      </c>
      <c r="K74" s="147" t="s">
        <v>353</v>
      </c>
      <c r="L74" s="147"/>
      <c r="M74" s="147">
        <v>5</v>
      </c>
      <c r="N74" s="148" t="s">
        <v>761</v>
      </c>
      <c r="O74" s="144" t="s">
        <v>762</v>
      </c>
      <c r="P74" s="148" t="s">
        <v>763</v>
      </c>
      <c r="Q74" s="144" t="s">
        <v>764</v>
      </c>
      <c r="R74" s="144" t="s">
        <v>765</v>
      </c>
      <c r="S74" s="149" t="s">
        <v>766</v>
      </c>
      <c r="T74" s="131">
        <v>90</v>
      </c>
      <c r="U74" s="132">
        <v>100</v>
      </c>
      <c r="V74" s="132">
        <v>120</v>
      </c>
      <c r="W74" s="111" t="s">
        <v>3397</v>
      </c>
      <c r="X74" s="111" t="s">
        <v>3396</v>
      </c>
      <c r="Y74" s="142">
        <v>310</v>
      </c>
      <c r="Z74" s="131">
        <v>200</v>
      </c>
      <c r="AA74" s="132">
        <v>294</v>
      </c>
      <c r="AB74" s="132">
        <v>116</v>
      </c>
      <c r="AC74" s="111" t="s">
        <v>3399</v>
      </c>
      <c r="AD74" s="111" t="s">
        <v>2879</v>
      </c>
      <c r="AE74" s="142">
        <v>610</v>
      </c>
      <c r="AF74" s="150">
        <f t="shared" si="1"/>
        <v>920</v>
      </c>
      <c r="AG74" s="151"/>
      <c r="AH74" s="152"/>
    </row>
    <row r="75" spans="1:34" s="78" customFormat="1" ht="12" customHeight="1">
      <c r="A75" s="100">
        <v>1073</v>
      </c>
      <c r="B75" s="101" t="s">
        <v>3395</v>
      </c>
      <c r="C75" s="129" t="s">
        <v>4140</v>
      </c>
      <c r="D75" s="101" t="s">
        <v>3398</v>
      </c>
      <c r="E75" s="100">
        <v>1</v>
      </c>
      <c r="F75" s="143">
        <v>2</v>
      </c>
      <c r="G75" s="103">
        <v>73</v>
      </c>
      <c r="H75" s="144" t="s">
        <v>767</v>
      </c>
      <c r="I75" s="145" t="s">
        <v>767</v>
      </c>
      <c r="J75" s="146">
        <v>10500102163605</v>
      </c>
      <c r="K75" s="147" t="s">
        <v>353</v>
      </c>
      <c r="L75" s="147"/>
      <c r="M75" s="147">
        <v>6</v>
      </c>
      <c r="N75" s="148" t="s">
        <v>768</v>
      </c>
      <c r="O75" s="144" t="s">
        <v>769</v>
      </c>
      <c r="P75" s="148" t="s">
        <v>770</v>
      </c>
      <c r="Q75" s="144" t="s">
        <v>771</v>
      </c>
      <c r="R75" s="144" t="s">
        <v>772</v>
      </c>
      <c r="S75" s="149" t="s">
        <v>773</v>
      </c>
      <c r="T75" s="131">
        <v>180</v>
      </c>
      <c r="U75" s="132">
        <v>120</v>
      </c>
      <c r="V75" s="132">
        <v>0</v>
      </c>
      <c r="W75" s="111" t="s">
        <v>3397</v>
      </c>
      <c r="X75" s="111" t="s">
        <v>3396</v>
      </c>
      <c r="Y75" s="142">
        <v>300</v>
      </c>
      <c r="Z75" s="131">
        <v>142</v>
      </c>
      <c r="AA75" s="132">
        <v>58</v>
      </c>
      <c r="AB75" s="132">
        <v>0</v>
      </c>
      <c r="AC75" s="111" t="s">
        <v>3399</v>
      </c>
      <c r="AD75" s="111" t="s">
        <v>2879</v>
      </c>
      <c r="AE75" s="142">
        <v>200</v>
      </c>
      <c r="AF75" s="150">
        <f t="shared" si="1"/>
        <v>500</v>
      </c>
      <c r="AG75" s="169" t="s">
        <v>404</v>
      </c>
      <c r="AH75" s="152"/>
    </row>
    <row r="76" spans="1:34" s="78" customFormat="1" ht="12" customHeight="1">
      <c r="A76" s="100">
        <v>1074</v>
      </c>
      <c r="B76" s="101" t="s">
        <v>3395</v>
      </c>
      <c r="C76" s="129" t="s">
        <v>4140</v>
      </c>
      <c r="D76" s="101" t="s">
        <v>3398</v>
      </c>
      <c r="E76" s="100">
        <v>1</v>
      </c>
      <c r="F76" s="143">
        <v>2</v>
      </c>
      <c r="G76" s="103">
        <v>74</v>
      </c>
      <c r="H76" s="144" t="s">
        <v>774</v>
      </c>
      <c r="I76" s="145" t="s">
        <v>774</v>
      </c>
      <c r="J76" s="146">
        <v>10500102163604</v>
      </c>
      <c r="K76" s="147" t="s">
        <v>353</v>
      </c>
      <c r="L76" s="147"/>
      <c r="M76" s="147">
        <v>6</v>
      </c>
      <c r="N76" s="148" t="s">
        <v>775</v>
      </c>
      <c r="O76" s="144" t="s">
        <v>776</v>
      </c>
      <c r="P76" s="148">
        <v>4715003</v>
      </c>
      <c r="Q76" s="144" t="s">
        <v>777</v>
      </c>
      <c r="R76" s="144" t="s">
        <v>778</v>
      </c>
      <c r="S76" s="149" t="s">
        <v>779</v>
      </c>
      <c r="T76" s="131">
        <v>227</v>
      </c>
      <c r="U76" s="132">
        <v>30</v>
      </c>
      <c r="V76" s="132">
        <v>0</v>
      </c>
      <c r="W76" s="111" t="s">
        <v>3397</v>
      </c>
      <c r="X76" s="111" t="s">
        <v>3396</v>
      </c>
      <c r="Y76" s="142">
        <v>257</v>
      </c>
      <c r="Z76" s="131">
        <v>0</v>
      </c>
      <c r="AA76" s="132">
        <v>104</v>
      </c>
      <c r="AB76" s="132">
        <v>0</v>
      </c>
      <c r="AC76" s="111" t="s">
        <v>3399</v>
      </c>
      <c r="AD76" s="111" t="s">
        <v>2879</v>
      </c>
      <c r="AE76" s="142">
        <v>104</v>
      </c>
      <c r="AF76" s="150">
        <f t="shared" si="1"/>
        <v>361</v>
      </c>
      <c r="AG76" s="151"/>
      <c r="AH76" s="152"/>
    </row>
    <row r="77" spans="1:34" s="78" customFormat="1" ht="12" customHeight="1">
      <c r="A77" s="100">
        <v>1075</v>
      </c>
      <c r="B77" s="101" t="s">
        <v>3395</v>
      </c>
      <c r="C77" s="129" t="s">
        <v>4140</v>
      </c>
      <c r="D77" s="101" t="s">
        <v>3398</v>
      </c>
      <c r="E77" s="100">
        <v>1</v>
      </c>
      <c r="F77" s="143">
        <v>2</v>
      </c>
      <c r="G77" s="103">
        <v>75</v>
      </c>
      <c r="H77" s="144" t="s">
        <v>780</v>
      </c>
      <c r="I77" s="145" t="s">
        <v>780</v>
      </c>
      <c r="J77" s="146">
        <v>10500102163602</v>
      </c>
      <c r="K77" s="147" t="s">
        <v>353</v>
      </c>
      <c r="L77" s="147"/>
      <c r="M77" s="147">
        <v>6</v>
      </c>
      <c r="N77" s="148" t="s">
        <v>768</v>
      </c>
      <c r="O77" s="144" t="s">
        <v>781</v>
      </c>
      <c r="P77" s="148" t="s">
        <v>782</v>
      </c>
      <c r="Q77" s="144" t="s">
        <v>783</v>
      </c>
      <c r="R77" s="144" t="s">
        <v>784</v>
      </c>
      <c r="S77" s="149" t="s">
        <v>779</v>
      </c>
      <c r="T77" s="131">
        <v>190</v>
      </c>
      <c r="U77" s="132">
        <v>80</v>
      </c>
      <c r="V77" s="132">
        <v>0</v>
      </c>
      <c r="W77" s="111" t="s">
        <v>3397</v>
      </c>
      <c r="X77" s="111" t="s">
        <v>3396</v>
      </c>
      <c r="Y77" s="142">
        <v>270</v>
      </c>
      <c r="Z77" s="131">
        <v>0</v>
      </c>
      <c r="AA77" s="132">
        <v>51</v>
      </c>
      <c r="AB77" s="132">
        <v>0</v>
      </c>
      <c r="AC77" s="111" t="s">
        <v>3399</v>
      </c>
      <c r="AD77" s="111" t="s">
        <v>2879</v>
      </c>
      <c r="AE77" s="142">
        <v>51</v>
      </c>
      <c r="AF77" s="150">
        <f t="shared" si="1"/>
        <v>321</v>
      </c>
      <c r="AG77" s="169" t="s">
        <v>404</v>
      </c>
      <c r="AH77" s="152"/>
    </row>
    <row r="78" spans="1:34" s="78" customFormat="1" ht="12" customHeight="1">
      <c r="A78" s="100">
        <v>1076</v>
      </c>
      <c r="B78" s="101" t="s">
        <v>3395</v>
      </c>
      <c r="C78" s="129" t="s">
        <v>4140</v>
      </c>
      <c r="D78" s="101" t="s">
        <v>3398</v>
      </c>
      <c r="E78" s="100">
        <v>1</v>
      </c>
      <c r="F78" s="143">
        <v>2</v>
      </c>
      <c r="G78" s="103">
        <v>76</v>
      </c>
      <c r="H78" s="144" t="s">
        <v>785</v>
      </c>
      <c r="I78" s="145" t="s">
        <v>785</v>
      </c>
      <c r="J78" s="146">
        <v>10500102163603</v>
      </c>
      <c r="K78" s="147" t="s">
        <v>353</v>
      </c>
      <c r="L78" s="147"/>
      <c r="M78" s="147">
        <v>6</v>
      </c>
      <c r="N78" s="148" t="s">
        <v>768</v>
      </c>
      <c r="O78" s="144" t="s">
        <v>786</v>
      </c>
      <c r="P78" s="148">
        <v>2573224</v>
      </c>
      <c r="Q78" s="144" t="s">
        <v>777</v>
      </c>
      <c r="R78" s="144" t="s">
        <v>787</v>
      </c>
      <c r="S78" s="149" t="s">
        <v>788</v>
      </c>
      <c r="T78" s="131">
        <v>150</v>
      </c>
      <c r="U78" s="132">
        <v>0</v>
      </c>
      <c r="V78" s="132">
        <v>0</v>
      </c>
      <c r="W78" s="111" t="s">
        <v>3397</v>
      </c>
      <c r="X78" s="111" t="s">
        <v>3396</v>
      </c>
      <c r="Y78" s="142">
        <v>150</v>
      </c>
      <c r="Z78" s="131">
        <v>75</v>
      </c>
      <c r="AA78" s="132">
        <v>85</v>
      </c>
      <c r="AB78" s="132">
        <v>0</v>
      </c>
      <c r="AC78" s="111" t="s">
        <v>3399</v>
      </c>
      <c r="AD78" s="111" t="s">
        <v>2879</v>
      </c>
      <c r="AE78" s="142">
        <v>160</v>
      </c>
      <c r="AF78" s="150">
        <f t="shared" si="1"/>
        <v>310</v>
      </c>
      <c r="AG78" s="151"/>
      <c r="AH78" s="152"/>
    </row>
    <row r="79" spans="1:34" s="78" customFormat="1" ht="12" customHeight="1">
      <c r="A79" s="100">
        <v>1077</v>
      </c>
      <c r="B79" s="101" t="s">
        <v>3395</v>
      </c>
      <c r="C79" s="129" t="s">
        <v>4140</v>
      </c>
      <c r="D79" s="101" t="s">
        <v>3398</v>
      </c>
      <c r="E79" s="100">
        <v>1</v>
      </c>
      <c r="F79" s="143">
        <v>2</v>
      </c>
      <c r="G79" s="103">
        <v>77</v>
      </c>
      <c r="H79" s="144" t="s">
        <v>789</v>
      </c>
      <c r="I79" s="145" t="s">
        <v>789</v>
      </c>
      <c r="J79" s="146">
        <v>10500100079501</v>
      </c>
      <c r="K79" s="147" t="s">
        <v>353</v>
      </c>
      <c r="L79" s="147"/>
      <c r="M79" s="147">
        <v>6</v>
      </c>
      <c r="N79" s="148" t="s">
        <v>738</v>
      </c>
      <c r="O79" s="144" t="s">
        <v>790</v>
      </c>
      <c r="P79" s="148" t="s">
        <v>791</v>
      </c>
      <c r="Q79" s="144" t="s">
        <v>792</v>
      </c>
      <c r="R79" s="144" t="s">
        <v>793</v>
      </c>
      <c r="S79" s="149" t="s">
        <v>794</v>
      </c>
      <c r="T79" s="131">
        <v>160</v>
      </c>
      <c r="U79" s="132">
        <v>150</v>
      </c>
      <c r="V79" s="132">
        <v>50</v>
      </c>
      <c r="W79" s="111" t="s">
        <v>3397</v>
      </c>
      <c r="X79" s="111" t="s">
        <v>3396</v>
      </c>
      <c r="Y79" s="142">
        <v>360</v>
      </c>
      <c r="Z79" s="131">
        <v>26</v>
      </c>
      <c r="AA79" s="132">
        <v>219</v>
      </c>
      <c r="AB79" s="132">
        <v>95</v>
      </c>
      <c r="AC79" s="111" t="s">
        <v>3399</v>
      </c>
      <c r="AD79" s="111" t="s">
        <v>2879</v>
      </c>
      <c r="AE79" s="142">
        <v>340</v>
      </c>
      <c r="AF79" s="150">
        <f t="shared" si="1"/>
        <v>700</v>
      </c>
      <c r="AG79" s="151"/>
      <c r="AH79" s="152"/>
    </row>
    <row r="80" spans="1:34" s="78" customFormat="1" ht="12" customHeight="1">
      <c r="A80" s="100">
        <v>1078</v>
      </c>
      <c r="B80" s="101" t="s">
        <v>3395</v>
      </c>
      <c r="C80" s="129" t="s">
        <v>4140</v>
      </c>
      <c r="D80" s="101" t="s">
        <v>3398</v>
      </c>
      <c r="E80" s="100">
        <v>1</v>
      </c>
      <c r="F80" s="143">
        <v>2</v>
      </c>
      <c r="G80" s="103">
        <v>78</v>
      </c>
      <c r="H80" s="144" t="s">
        <v>795</v>
      </c>
      <c r="I80" s="145" t="s">
        <v>795</v>
      </c>
      <c r="J80" s="146">
        <v>10500101011101</v>
      </c>
      <c r="K80" s="147" t="s">
        <v>353</v>
      </c>
      <c r="L80" s="147"/>
      <c r="M80" s="147">
        <v>6</v>
      </c>
      <c r="N80" s="148" t="s">
        <v>796</v>
      </c>
      <c r="O80" s="144" t="s">
        <v>797</v>
      </c>
      <c r="P80" s="148" t="s">
        <v>798</v>
      </c>
      <c r="Q80" s="144" t="s">
        <v>799</v>
      </c>
      <c r="R80" s="144" t="s">
        <v>800</v>
      </c>
      <c r="S80" s="149" t="s">
        <v>801</v>
      </c>
      <c r="T80" s="131">
        <v>0</v>
      </c>
      <c r="U80" s="132">
        <v>120</v>
      </c>
      <c r="V80" s="132">
        <v>100</v>
      </c>
      <c r="W80" s="111" t="s">
        <v>3397</v>
      </c>
      <c r="X80" s="111" t="s">
        <v>3396</v>
      </c>
      <c r="Y80" s="142">
        <v>220</v>
      </c>
      <c r="Z80" s="131">
        <v>0</v>
      </c>
      <c r="AA80" s="132">
        <v>130</v>
      </c>
      <c r="AB80" s="132">
        <v>120</v>
      </c>
      <c r="AC80" s="111" t="s">
        <v>3399</v>
      </c>
      <c r="AD80" s="111" t="s">
        <v>2879</v>
      </c>
      <c r="AE80" s="142">
        <v>250</v>
      </c>
      <c r="AF80" s="150">
        <f t="shared" si="1"/>
        <v>470</v>
      </c>
      <c r="AG80" s="151"/>
      <c r="AH80" s="152"/>
    </row>
    <row r="81" spans="1:34" s="78" customFormat="1" ht="12" customHeight="1">
      <c r="A81" s="100">
        <v>1079</v>
      </c>
      <c r="B81" s="101" t="s">
        <v>3395</v>
      </c>
      <c r="C81" s="129" t="s">
        <v>4140</v>
      </c>
      <c r="D81" s="101" t="s">
        <v>3398</v>
      </c>
      <c r="E81" s="100">
        <v>1</v>
      </c>
      <c r="F81" s="143">
        <v>2</v>
      </c>
      <c r="G81" s="103">
        <v>79</v>
      </c>
      <c r="H81" s="144" t="s">
        <v>802</v>
      </c>
      <c r="I81" s="145" t="s">
        <v>802</v>
      </c>
      <c r="J81" s="146">
        <v>10500101011102</v>
      </c>
      <c r="K81" s="147" t="s">
        <v>353</v>
      </c>
      <c r="L81" s="147"/>
      <c r="M81" s="147">
        <v>6</v>
      </c>
      <c r="N81" s="148" t="s">
        <v>796</v>
      </c>
      <c r="O81" s="144" t="s">
        <v>803</v>
      </c>
      <c r="P81" s="148">
        <v>4761516</v>
      </c>
      <c r="Q81" s="144" t="s">
        <v>799</v>
      </c>
      <c r="R81" s="144" t="s">
        <v>804</v>
      </c>
      <c r="S81" s="149" t="s">
        <v>805</v>
      </c>
      <c r="T81" s="131">
        <v>180</v>
      </c>
      <c r="U81" s="132">
        <v>70</v>
      </c>
      <c r="V81" s="132">
        <v>0</v>
      </c>
      <c r="W81" s="111" t="s">
        <v>3397</v>
      </c>
      <c r="X81" s="111" t="s">
        <v>3396</v>
      </c>
      <c r="Y81" s="142">
        <v>250</v>
      </c>
      <c r="Z81" s="131">
        <v>81</v>
      </c>
      <c r="AA81" s="132">
        <v>79</v>
      </c>
      <c r="AB81" s="132">
        <v>0</v>
      </c>
      <c r="AC81" s="111" t="s">
        <v>3399</v>
      </c>
      <c r="AD81" s="111" t="s">
        <v>2879</v>
      </c>
      <c r="AE81" s="142">
        <v>160</v>
      </c>
      <c r="AF81" s="150">
        <f t="shared" si="1"/>
        <v>410</v>
      </c>
      <c r="AG81" s="151"/>
      <c r="AH81" s="152"/>
    </row>
    <row r="82" spans="1:34" s="78" customFormat="1" ht="12" customHeight="1">
      <c r="A82" s="100">
        <v>1080</v>
      </c>
      <c r="B82" s="101" t="s">
        <v>3395</v>
      </c>
      <c r="C82" s="129" t="s">
        <v>4140</v>
      </c>
      <c r="D82" s="101" t="s">
        <v>3398</v>
      </c>
      <c r="E82" s="100">
        <v>1</v>
      </c>
      <c r="F82" s="143">
        <v>2</v>
      </c>
      <c r="G82" s="103">
        <v>80</v>
      </c>
      <c r="H82" s="144" t="s">
        <v>806</v>
      </c>
      <c r="I82" s="145" t="s">
        <v>806</v>
      </c>
      <c r="J82" s="146">
        <v>10500101919401</v>
      </c>
      <c r="K82" s="147" t="s">
        <v>353</v>
      </c>
      <c r="L82" s="147"/>
      <c r="M82" s="147">
        <v>6</v>
      </c>
      <c r="N82" s="148" t="s">
        <v>796</v>
      </c>
      <c r="O82" s="144" t="s">
        <v>807</v>
      </c>
      <c r="P82" s="148" t="s">
        <v>808</v>
      </c>
      <c r="Q82" s="144" t="s">
        <v>809</v>
      </c>
      <c r="R82" s="144" t="s">
        <v>810</v>
      </c>
      <c r="S82" s="149" t="s">
        <v>811</v>
      </c>
      <c r="T82" s="131">
        <v>0</v>
      </c>
      <c r="U82" s="132">
        <v>110</v>
      </c>
      <c r="V82" s="132">
        <v>90</v>
      </c>
      <c r="W82" s="111" t="s">
        <v>3397</v>
      </c>
      <c r="X82" s="111" t="s">
        <v>3396</v>
      </c>
      <c r="Y82" s="142">
        <v>200</v>
      </c>
      <c r="Z82" s="131">
        <v>0</v>
      </c>
      <c r="AA82" s="132">
        <v>228</v>
      </c>
      <c r="AB82" s="132">
        <v>122</v>
      </c>
      <c r="AC82" s="111" t="s">
        <v>3399</v>
      </c>
      <c r="AD82" s="111" t="s">
        <v>2879</v>
      </c>
      <c r="AE82" s="142">
        <v>350</v>
      </c>
      <c r="AF82" s="150">
        <f t="shared" si="1"/>
        <v>550</v>
      </c>
      <c r="AG82" s="151"/>
      <c r="AH82" s="152"/>
    </row>
    <row r="83" spans="1:34" s="78" customFormat="1" ht="12" customHeight="1">
      <c r="A83" s="100">
        <v>1081</v>
      </c>
      <c r="B83" s="101" t="s">
        <v>3395</v>
      </c>
      <c r="C83" s="129" t="s">
        <v>4140</v>
      </c>
      <c r="D83" s="101" t="s">
        <v>3398</v>
      </c>
      <c r="E83" s="100">
        <v>1</v>
      </c>
      <c r="F83" s="143">
        <v>2</v>
      </c>
      <c r="G83" s="103">
        <v>81</v>
      </c>
      <c r="H83" s="144" t="s">
        <v>812</v>
      </c>
      <c r="I83" s="145" t="s">
        <v>812</v>
      </c>
      <c r="J83" s="146">
        <v>10500101919402</v>
      </c>
      <c r="K83" s="147" t="s">
        <v>353</v>
      </c>
      <c r="L83" s="147"/>
      <c r="M83" s="147">
        <v>6</v>
      </c>
      <c r="N83" s="148" t="s">
        <v>796</v>
      </c>
      <c r="O83" s="144" t="s">
        <v>813</v>
      </c>
      <c r="P83" s="148" t="s">
        <v>814</v>
      </c>
      <c r="Q83" s="144" t="s">
        <v>809</v>
      </c>
      <c r="R83" s="144" t="s">
        <v>815</v>
      </c>
      <c r="S83" s="149" t="s">
        <v>816</v>
      </c>
      <c r="T83" s="131">
        <v>260</v>
      </c>
      <c r="U83" s="132">
        <v>130</v>
      </c>
      <c r="V83" s="132">
        <v>0</v>
      </c>
      <c r="W83" s="111" t="s">
        <v>3397</v>
      </c>
      <c r="X83" s="111" t="s">
        <v>3396</v>
      </c>
      <c r="Y83" s="142">
        <v>390</v>
      </c>
      <c r="Z83" s="131">
        <v>100</v>
      </c>
      <c r="AA83" s="132">
        <v>90</v>
      </c>
      <c r="AB83" s="132">
        <v>0</v>
      </c>
      <c r="AC83" s="111" t="s">
        <v>3399</v>
      </c>
      <c r="AD83" s="111" t="s">
        <v>2879</v>
      </c>
      <c r="AE83" s="142">
        <v>190</v>
      </c>
      <c r="AF83" s="150">
        <f t="shared" si="1"/>
        <v>580</v>
      </c>
      <c r="AG83" s="151"/>
      <c r="AH83" s="152"/>
    </row>
    <row r="84" spans="1:34" s="78" customFormat="1" ht="12" customHeight="1">
      <c r="A84" s="100">
        <v>1082</v>
      </c>
      <c r="B84" s="101" t="s">
        <v>3395</v>
      </c>
      <c r="C84" s="129" t="s">
        <v>4140</v>
      </c>
      <c r="D84" s="101" t="s">
        <v>3398</v>
      </c>
      <c r="E84" s="100">
        <v>1</v>
      </c>
      <c r="F84" s="143">
        <v>2</v>
      </c>
      <c r="G84" s="103">
        <v>82</v>
      </c>
      <c r="H84" s="144" t="s">
        <v>817</v>
      </c>
      <c r="I84" s="145" t="s">
        <v>817</v>
      </c>
      <c r="J84" s="146">
        <v>10500100788901</v>
      </c>
      <c r="K84" s="147" t="s">
        <v>353</v>
      </c>
      <c r="L84" s="147"/>
      <c r="M84" s="147">
        <v>6</v>
      </c>
      <c r="N84" s="148" t="s">
        <v>818</v>
      </c>
      <c r="O84" s="144" t="s">
        <v>819</v>
      </c>
      <c r="P84" s="148">
        <v>2673506</v>
      </c>
      <c r="Q84" s="144" t="s">
        <v>820</v>
      </c>
      <c r="R84" s="144" t="s">
        <v>821</v>
      </c>
      <c r="S84" s="149" t="s">
        <v>822</v>
      </c>
      <c r="T84" s="131">
        <v>120</v>
      </c>
      <c r="U84" s="132">
        <v>110</v>
      </c>
      <c r="V84" s="132">
        <v>120</v>
      </c>
      <c r="W84" s="111" t="s">
        <v>3397</v>
      </c>
      <c r="X84" s="111" t="s">
        <v>3396</v>
      </c>
      <c r="Y84" s="142">
        <v>350</v>
      </c>
      <c r="Z84" s="131">
        <v>130</v>
      </c>
      <c r="AA84" s="132">
        <v>100</v>
      </c>
      <c r="AB84" s="132">
        <v>30</v>
      </c>
      <c r="AC84" s="111" t="s">
        <v>3399</v>
      </c>
      <c r="AD84" s="111" t="s">
        <v>2879</v>
      </c>
      <c r="AE84" s="142">
        <v>260</v>
      </c>
      <c r="AF84" s="150">
        <f t="shared" si="1"/>
        <v>610</v>
      </c>
      <c r="AG84" s="151" t="s">
        <v>404</v>
      </c>
      <c r="AH84" s="152"/>
    </row>
    <row r="85" spans="1:34" s="78" customFormat="1" ht="12" customHeight="1">
      <c r="A85" s="100">
        <v>1083</v>
      </c>
      <c r="B85" s="101" t="s">
        <v>3395</v>
      </c>
      <c r="C85" s="129" t="s">
        <v>4140</v>
      </c>
      <c r="D85" s="101" t="s">
        <v>3398</v>
      </c>
      <c r="E85" s="100">
        <v>1</v>
      </c>
      <c r="F85" s="143">
        <v>2</v>
      </c>
      <c r="G85" s="103">
        <v>83</v>
      </c>
      <c r="H85" s="144" t="s">
        <v>823</v>
      </c>
      <c r="I85" s="145" t="s">
        <v>823</v>
      </c>
      <c r="J85" s="146">
        <v>30500101654201</v>
      </c>
      <c r="K85" s="147" t="s">
        <v>353</v>
      </c>
      <c r="L85" s="147"/>
      <c r="M85" s="147">
        <v>6</v>
      </c>
      <c r="N85" s="148" t="s">
        <v>824</v>
      </c>
      <c r="O85" s="144" t="s">
        <v>825</v>
      </c>
      <c r="P85" s="148" t="s">
        <v>826</v>
      </c>
      <c r="Q85" s="144" t="s">
        <v>827</v>
      </c>
      <c r="R85" s="144" t="s">
        <v>828</v>
      </c>
      <c r="S85" s="149" t="s">
        <v>829</v>
      </c>
      <c r="T85" s="131">
        <v>99</v>
      </c>
      <c r="U85" s="132">
        <v>364</v>
      </c>
      <c r="V85" s="132">
        <v>112</v>
      </c>
      <c r="W85" s="111" t="s">
        <v>3397</v>
      </c>
      <c r="X85" s="111" t="s">
        <v>3396</v>
      </c>
      <c r="Y85" s="142">
        <v>575</v>
      </c>
      <c r="Z85" s="131">
        <v>111</v>
      </c>
      <c r="AA85" s="132">
        <v>82</v>
      </c>
      <c r="AB85" s="132">
        <v>67</v>
      </c>
      <c r="AC85" s="111" t="s">
        <v>3399</v>
      </c>
      <c r="AD85" s="111" t="s">
        <v>2879</v>
      </c>
      <c r="AE85" s="142">
        <v>260</v>
      </c>
      <c r="AF85" s="150">
        <f t="shared" si="1"/>
        <v>835</v>
      </c>
      <c r="AG85" s="151"/>
      <c r="AH85" s="152"/>
    </row>
    <row r="86" spans="1:34" s="78" customFormat="1" ht="12" customHeight="1">
      <c r="A86" s="100">
        <v>1084</v>
      </c>
      <c r="B86" s="101" t="s">
        <v>3395</v>
      </c>
      <c r="C86" s="101" t="s">
        <v>3396</v>
      </c>
      <c r="D86" s="101" t="s">
        <v>3397</v>
      </c>
      <c r="E86" s="100">
        <v>1</v>
      </c>
      <c r="F86" s="143">
        <v>2</v>
      </c>
      <c r="G86" s="103">
        <v>84</v>
      </c>
      <c r="H86" s="144" t="s">
        <v>830</v>
      </c>
      <c r="I86" s="145" t="s">
        <v>830</v>
      </c>
      <c r="J86" s="146">
        <v>30500101654202</v>
      </c>
      <c r="K86" s="147" t="s">
        <v>353</v>
      </c>
      <c r="L86" s="147"/>
      <c r="M86" s="147">
        <v>6</v>
      </c>
      <c r="N86" s="148" t="s">
        <v>824</v>
      </c>
      <c r="O86" s="144" t="s">
        <v>831</v>
      </c>
      <c r="P86" s="148">
        <v>4776954</v>
      </c>
      <c r="Q86" s="144" t="s">
        <v>832</v>
      </c>
      <c r="R86" s="144" t="s">
        <v>833</v>
      </c>
      <c r="S86" s="149" t="s">
        <v>834</v>
      </c>
      <c r="T86" s="131">
        <v>132</v>
      </c>
      <c r="U86" s="132">
        <v>78</v>
      </c>
      <c r="V86" s="132">
        <v>0</v>
      </c>
      <c r="W86" s="111" t="s">
        <v>3397</v>
      </c>
      <c r="X86" s="111" t="s">
        <v>3396</v>
      </c>
      <c r="Y86" s="142">
        <v>210</v>
      </c>
      <c r="Z86" s="131">
        <v>0</v>
      </c>
      <c r="AA86" s="132">
        <v>0</v>
      </c>
      <c r="AB86" s="132">
        <v>0</v>
      </c>
      <c r="AC86" s="111"/>
      <c r="AD86" s="111"/>
      <c r="AE86" s="142">
        <v>0</v>
      </c>
      <c r="AF86" s="150">
        <f t="shared" si="1"/>
        <v>210</v>
      </c>
      <c r="AG86" s="151"/>
      <c r="AH86" s="152"/>
    </row>
    <row r="87" spans="1:34" s="78" customFormat="1" ht="12" customHeight="1">
      <c r="A87" s="100">
        <v>1085</v>
      </c>
      <c r="B87" s="101" t="s">
        <v>3395</v>
      </c>
      <c r="C87" s="129" t="s">
        <v>4141</v>
      </c>
      <c r="D87" s="101" t="s">
        <v>3398</v>
      </c>
      <c r="E87" s="100">
        <v>1</v>
      </c>
      <c r="F87" s="143">
        <v>2</v>
      </c>
      <c r="G87" s="103">
        <v>85</v>
      </c>
      <c r="H87" s="144" t="s">
        <v>835</v>
      </c>
      <c r="I87" s="145" t="s">
        <v>835</v>
      </c>
      <c r="J87" s="146">
        <v>10500101209201</v>
      </c>
      <c r="K87" s="147" t="s">
        <v>353</v>
      </c>
      <c r="L87" s="147"/>
      <c r="M87" s="147">
        <v>6</v>
      </c>
      <c r="N87" s="148" t="s">
        <v>818</v>
      </c>
      <c r="O87" s="144" t="s">
        <v>836</v>
      </c>
      <c r="P87" s="148" t="s">
        <v>837</v>
      </c>
      <c r="Q87" s="144" t="s">
        <v>838</v>
      </c>
      <c r="R87" s="144" t="s">
        <v>839</v>
      </c>
      <c r="S87" s="149" t="s">
        <v>840</v>
      </c>
      <c r="T87" s="163">
        <v>80</v>
      </c>
      <c r="U87" s="164">
        <v>180</v>
      </c>
      <c r="V87" s="164">
        <v>120</v>
      </c>
      <c r="W87" s="111" t="s">
        <v>3397</v>
      </c>
      <c r="X87" s="111" t="s">
        <v>2879</v>
      </c>
      <c r="Y87" s="142">
        <v>380</v>
      </c>
      <c r="Z87" s="131">
        <v>113</v>
      </c>
      <c r="AA87" s="132">
        <v>267</v>
      </c>
      <c r="AB87" s="132">
        <v>160</v>
      </c>
      <c r="AC87" s="111" t="s">
        <v>3399</v>
      </c>
      <c r="AD87" s="111" t="s">
        <v>2879</v>
      </c>
      <c r="AE87" s="142">
        <v>540</v>
      </c>
      <c r="AF87" s="150">
        <f t="shared" si="1"/>
        <v>920</v>
      </c>
      <c r="AG87" s="151"/>
      <c r="AH87" s="152"/>
    </row>
    <row r="88" spans="1:34" s="78" customFormat="1" ht="12" customHeight="1">
      <c r="A88" s="100">
        <v>1086</v>
      </c>
      <c r="B88" s="101" t="s">
        <v>3395</v>
      </c>
      <c r="C88" s="129" t="s">
        <v>4140</v>
      </c>
      <c r="D88" s="101" t="s">
        <v>3398</v>
      </c>
      <c r="E88" s="100">
        <v>1</v>
      </c>
      <c r="F88" s="143">
        <v>2</v>
      </c>
      <c r="G88" s="103">
        <v>86</v>
      </c>
      <c r="H88" s="144" t="s">
        <v>841</v>
      </c>
      <c r="I88" s="145" t="s">
        <v>841</v>
      </c>
      <c r="J88" s="146">
        <v>10500102636101</v>
      </c>
      <c r="K88" s="147" t="s">
        <v>353</v>
      </c>
      <c r="L88" s="147"/>
      <c r="M88" s="147">
        <v>6</v>
      </c>
      <c r="N88" s="148" t="s">
        <v>775</v>
      </c>
      <c r="O88" s="144" t="s">
        <v>842</v>
      </c>
      <c r="P88" s="148">
        <v>4771397</v>
      </c>
      <c r="Q88" s="144" t="s">
        <v>843</v>
      </c>
      <c r="R88" s="144" t="s">
        <v>844</v>
      </c>
      <c r="S88" s="149" t="s">
        <v>845</v>
      </c>
      <c r="T88" s="163">
        <v>220</v>
      </c>
      <c r="U88" s="164">
        <v>150</v>
      </c>
      <c r="V88" s="164">
        <v>80</v>
      </c>
      <c r="W88" s="111" t="s">
        <v>3397</v>
      </c>
      <c r="X88" s="111" t="s">
        <v>3396</v>
      </c>
      <c r="Y88" s="142">
        <v>450</v>
      </c>
      <c r="Z88" s="131">
        <v>60</v>
      </c>
      <c r="AA88" s="132">
        <v>200</v>
      </c>
      <c r="AB88" s="132">
        <v>180</v>
      </c>
      <c r="AC88" s="111" t="s">
        <v>3399</v>
      </c>
      <c r="AD88" s="111" t="s">
        <v>2879</v>
      </c>
      <c r="AE88" s="142">
        <v>440</v>
      </c>
      <c r="AF88" s="150">
        <f t="shared" si="1"/>
        <v>890</v>
      </c>
      <c r="AG88" s="151"/>
      <c r="AH88" s="152"/>
    </row>
    <row r="89" spans="1:34" s="78" customFormat="1" ht="12" customHeight="1">
      <c r="A89" s="100">
        <v>1087</v>
      </c>
      <c r="B89" s="101" t="s">
        <v>3395</v>
      </c>
      <c r="C89" s="129" t="s">
        <v>4141</v>
      </c>
      <c r="D89" s="101" t="s">
        <v>3398</v>
      </c>
      <c r="E89" s="100">
        <v>1</v>
      </c>
      <c r="F89" s="143">
        <v>2</v>
      </c>
      <c r="G89" s="103">
        <v>87</v>
      </c>
      <c r="H89" s="144" t="s">
        <v>846</v>
      </c>
      <c r="I89" s="145" t="s">
        <v>846</v>
      </c>
      <c r="J89" s="146">
        <v>30500100759401</v>
      </c>
      <c r="K89" s="147" t="s">
        <v>353</v>
      </c>
      <c r="L89" s="147"/>
      <c r="M89" s="147">
        <v>6</v>
      </c>
      <c r="N89" s="148" t="s">
        <v>796</v>
      </c>
      <c r="O89" s="144" t="s">
        <v>847</v>
      </c>
      <c r="P89" s="148" t="s">
        <v>848</v>
      </c>
      <c r="Q89" s="144" t="s">
        <v>849</v>
      </c>
      <c r="R89" s="144" t="s">
        <v>850</v>
      </c>
      <c r="S89" s="149" t="s">
        <v>851</v>
      </c>
      <c r="T89" s="163">
        <v>70</v>
      </c>
      <c r="U89" s="164">
        <v>80</v>
      </c>
      <c r="V89" s="164">
        <v>50</v>
      </c>
      <c r="W89" s="111" t="s">
        <v>3397</v>
      </c>
      <c r="X89" s="111" t="s">
        <v>2879</v>
      </c>
      <c r="Y89" s="142">
        <v>200</v>
      </c>
      <c r="Z89" s="131">
        <v>166</v>
      </c>
      <c r="AA89" s="132">
        <v>258</v>
      </c>
      <c r="AB89" s="132">
        <v>136</v>
      </c>
      <c r="AC89" s="111" t="s">
        <v>3399</v>
      </c>
      <c r="AD89" s="111" t="s">
        <v>2879</v>
      </c>
      <c r="AE89" s="142">
        <v>560</v>
      </c>
      <c r="AF89" s="150">
        <f t="shared" si="1"/>
        <v>760</v>
      </c>
      <c r="AG89" s="151"/>
      <c r="AH89" s="152"/>
    </row>
    <row r="90" spans="1:34" s="78" customFormat="1" ht="12" customHeight="1">
      <c r="A90" s="100">
        <v>1088</v>
      </c>
      <c r="B90" s="101" t="s">
        <v>3395</v>
      </c>
      <c r="C90" s="129" t="s">
        <v>4140</v>
      </c>
      <c r="D90" s="101" t="s">
        <v>3398</v>
      </c>
      <c r="E90" s="100">
        <v>1</v>
      </c>
      <c r="F90" s="143">
        <v>2</v>
      </c>
      <c r="G90" s="103">
        <v>88</v>
      </c>
      <c r="H90" s="144" t="s">
        <v>852</v>
      </c>
      <c r="I90" s="145" t="s">
        <v>852</v>
      </c>
      <c r="J90" s="146">
        <v>10500102670101</v>
      </c>
      <c r="K90" s="147" t="s">
        <v>353</v>
      </c>
      <c r="L90" s="147"/>
      <c r="M90" s="147">
        <v>6</v>
      </c>
      <c r="N90" s="148" t="s">
        <v>853</v>
      </c>
      <c r="O90" s="144" t="s">
        <v>854</v>
      </c>
      <c r="P90" s="148" t="s">
        <v>855</v>
      </c>
      <c r="Q90" s="144" t="s">
        <v>856</v>
      </c>
      <c r="R90" s="144" t="s">
        <v>857</v>
      </c>
      <c r="S90" s="149" t="s">
        <v>858</v>
      </c>
      <c r="T90" s="131">
        <v>160</v>
      </c>
      <c r="U90" s="132">
        <v>120</v>
      </c>
      <c r="V90" s="132">
        <v>40</v>
      </c>
      <c r="W90" s="111" t="s">
        <v>3397</v>
      </c>
      <c r="X90" s="111" t="s">
        <v>3396</v>
      </c>
      <c r="Y90" s="142">
        <v>320</v>
      </c>
      <c r="Z90" s="131">
        <v>0</v>
      </c>
      <c r="AA90" s="132">
        <v>219</v>
      </c>
      <c r="AB90" s="132">
        <v>96</v>
      </c>
      <c r="AC90" s="111" t="s">
        <v>3399</v>
      </c>
      <c r="AD90" s="111" t="s">
        <v>2879</v>
      </c>
      <c r="AE90" s="142">
        <v>315</v>
      </c>
      <c r="AF90" s="150">
        <f t="shared" si="1"/>
        <v>635</v>
      </c>
      <c r="AG90" s="151"/>
      <c r="AH90" s="152"/>
    </row>
    <row r="91" spans="1:34" s="78" customFormat="1" ht="12" customHeight="1">
      <c r="A91" s="100">
        <v>1089</v>
      </c>
      <c r="B91" s="101" t="s">
        <v>3395</v>
      </c>
      <c r="C91" s="129" t="s">
        <v>4141</v>
      </c>
      <c r="D91" s="101" t="s">
        <v>3398</v>
      </c>
      <c r="E91" s="100">
        <v>1</v>
      </c>
      <c r="F91" s="143">
        <v>2</v>
      </c>
      <c r="G91" s="103">
        <v>89</v>
      </c>
      <c r="H91" s="144" t="s">
        <v>859</v>
      </c>
      <c r="I91" s="145" t="s">
        <v>859</v>
      </c>
      <c r="J91" s="146">
        <v>10500101108801</v>
      </c>
      <c r="K91" s="147" t="s">
        <v>353</v>
      </c>
      <c r="L91" s="147"/>
      <c r="M91" s="147">
        <v>6</v>
      </c>
      <c r="N91" s="148" t="s">
        <v>818</v>
      </c>
      <c r="O91" s="144" t="s">
        <v>860</v>
      </c>
      <c r="P91" s="148" t="s">
        <v>861</v>
      </c>
      <c r="Q91" s="144" t="s">
        <v>862</v>
      </c>
      <c r="R91" s="144" t="s">
        <v>863</v>
      </c>
      <c r="S91" s="149" t="s">
        <v>864</v>
      </c>
      <c r="T91" s="131">
        <v>235</v>
      </c>
      <c r="U91" s="132">
        <v>219</v>
      </c>
      <c r="V91" s="132">
        <v>46</v>
      </c>
      <c r="W91" s="111" t="s">
        <v>3397</v>
      </c>
      <c r="X91" s="111" t="s">
        <v>2879</v>
      </c>
      <c r="Y91" s="142">
        <v>500</v>
      </c>
      <c r="Z91" s="131">
        <v>0</v>
      </c>
      <c r="AA91" s="132">
        <v>215</v>
      </c>
      <c r="AB91" s="132">
        <v>135</v>
      </c>
      <c r="AC91" s="111" t="s">
        <v>3399</v>
      </c>
      <c r="AD91" s="111" t="s">
        <v>2879</v>
      </c>
      <c r="AE91" s="142">
        <v>350</v>
      </c>
      <c r="AF91" s="150">
        <f t="shared" si="1"/>
        <v>850</v>
      </c>
      <c r="AG91" s="151"/>
      <c r="AH91" s="152"/>
    </row>
    <row r="92" spans="1:34" s="78" customFormat="1" ht="12" customHeight="1">
      <c r="A92" s="100">
        <v>1090</v>
      </c>
      <c r="B92" s="101" t="s">
        <v>3395</v>
      </c>
      <c r="C92" s="129" t="s">
        <v>4140</v>
      </c>
      <c r="D92" s="101" t="s">
        <v>3398</v>
      </c>
      <c r="E92" s="100">
        <v>1</v>
      </c>
      <c r="F92" s="143">
        <v>2</v>
      </c>
      <c r="G92" s="103">
        <v>90</v>
      </c>
      <c r="H92" s="144" t="s">
        <v>865</v>
      </c>
      <c r="I92" s="145" t="s">
        <v>865</v>
      </c>
      <c r="J92" s="146">
        <v>10500101136301</v>
      </c>
      <c r="K92" s="147" t="s">
        <v>353</v>
      </c>
      <c r="L92" s="147"/>
      <c r="M92" s="147">
        <v>6</v>
      </c>
      <c r="N92" s="148" t="s">
        <v>866</v>
      </c>
      <c r="O92" s="144" t="s">
        <v>867</v>
      </c>
      <c r="P92" s="148" t="s">
        <v>868</v>
      </c>
      <c r="Q92" s="144" t="s">
        <v>869</v>
      </c>
      <c r="R92" s="144" t="s">
        <v>870</v>
      </c>
      <c r="S92" s="149" t="s">
        <v>871</v>
      </c>
      <c r="T92" s="131">
        <v>0</v>
      </c>
      <c r="U92" s="132">
        <v>142</v>
      </c>
      <c r="V92" s="132">
        <v>128</v>
      </c>
      <c r="W92" s="111" t="s">
        <v>3397</v>
      </c>
      <c r="X92" s="111" t="s">
        <v>3396</v>
      </c>
      <c r="Y92" s="142">
        <v>270</v>
      </c>
      <c r="Z92" s="131">
        <v>0</v>
      </c>
      <c r="AA92" s="132">
        <v>145</v>
      </c>
      <c r="AB92" s="132">
        <v>125</v>
      </c>
      <c r="AC92" s="111" t="s">
        <v>3399</v>
      </c>
      <c r="AD92" s="111" t="s">
        <v>2879</v>
      </c>
      <c r="AE92" s="142">
        <v>270</v>
      </c>
      <c r="AF92" s="150">
        <f t="shared" si="1"/>
        <v>540</v>
      </c>
      <c r="AG92" s="151"/>
      <c r="AH92" s="152"/>
    </row>
    <row r="93" spans="1:34" s="78" customFormat="1" ht="12" customHeight="1">
      <c r="A93" s="100">
        <v>1091</v>
      </c>
      <c r="B93" s="101" t="s">
        <v>3395</v>
      </c>
      <c r="C93" s="129" t="s">
        <v>4140</v>
      </c>
      <c r="D93" s="101" t="s">
        <v>3398</v>
      </c>
      <c r="E93" s="100">
        <v>1</v>
      </c>
      <c r="F93" s="143">
        <v>2</v>
      </c>
      <c r="G93" s="103">
        <v>91</v>
      </c>
      <c r="H93" s="144" t="s">
        <v>872</v>
      </c>
      <c r="I93" s="145" t="s">
        <v>872</v>
      </c>
      <c r="J93" s="146">
        <v>10500101136302</v>
      </c>
      <c r="K93" s="147" t="s">
        <v>353</v>
      </c>
      <c r="L93" s="147"/>
      <c r="M93" s="147">
        <v>6</v>
      </c>
      <c r="N93" s="148" t="s">
        <v>866</v>
      </c>
      <c r="O93" s="144" t="s">
        <v>873</v>
      </c>
      <c r="P93" s="148" t="s">
        <v>874</v>
      </c>
      <c r="Q93" s="144" t="s">
        <v>875</v>
      </c>
      <c r="R93" s="144" t="s">
        <v>876</v>
      </c>
      <c r="S93" s="149" t="s">
        <v>877</v>
      </c>
      <c r="T93" s="131">
        <v>137</v>
      </c>
      <c r="U93" s="132">
        <v>83</v>
      </c>
      <c r="V93" s="132">
        <v>0</v>
      </c>
      <c r="W93" s="111" t="s">
        <v>3397</v>
      </c>
      <c r="X93" s="111" t="s">
        <v>3396</v>
      </c>
      <c r="Y93" s="142">
        <v>220</v>
      </c>
      <c r="Z93" s="131">
        <v>195</v>
      </c>
      <c r="AA93" s="132">
        <v>75</v>
      </c>
      <c r="AB93" s="132">
        <v>0</v>
      </c>
      <c r="AC93" s="111" t="s">
        <v>3399</v>
      </c>
      <c r="AD93" s="111" t="s">
        <v>2879</v>
      </c>
      <c r="AE93" s="142">
        <v>270</v>
      </c>
      <c r="AF93" s="150">
        <f t="shared" si="1"/>
        <v>490</v>
      </c>
      <c r="AG93" s="151"/>
      <c r="AH93" s="152"/>
    </row>
    <row r="94" spans="1:34" s="78" customFormat="1" ht="12" customHeight="1">
      <c r="A94" s="100">
        <v>1092</v>
      </c>
      <c r="B94" s="101" t="s">
        <v>3395</v>
      </c>
      <c r="C94" s="129" t="s">
        <v>4140</v>
      </c>
      <c r="D94" s="101" t="s">
        <v>3398</v>
      </c>
      <c r="E94" s="100">
        <v>1</v>
      </c>
      <c r="F94" s="143">
        <v>2</v>
      </c>
      <c r="G94" s="103">
        <v>92</v>
      </c>
      <c r="H94" s="144" t="s">
        <v>878</v>
      </c>
      <c r="I94" s="145" t="s">
        <v>878</v>
      </c>
      <c r="J94" s="146">
        <v>10500100119801</v>
      </c>
      <c r="K94" s="147" t="s">
        <v>353</v>
      </c>
      <c r="L94" s="147"/>
      <c r="M94" s="147">
        <v>7</v>
      </c>
      <c r="N94" s="148" t="s">
        <v>879</v>
      </c>
      <c r="O94" s="144" t="s">
        <v>880</v>
      </c>
      <c r="P94" s="148">
        <v>2640826</v>
      </c>
      <c r="Q94" s="144" t="s">
        <v>881</v>
      </c>
      <c r="R94" s="144" t="s">
        <v>882</v>
      </c>
      <c r="S94" s="149" t="s">
        <v>883</v>
      </c>
      <c r="T94" s="131">
        <v>120</v>
      </c>
      <c r="U94" s="132">
        <v>170</v>
      </c>
      <c r="V94" s="132">
        <v>90</v>
      </c>
      <c r="W94" s="111" t="s">
        <v>3397</v>
      </c>
      <c r="X94" s="111" t="s">
        <v>3396</v>
      </c>
      <c r="Y94" s="142">
        <v>380</v>
      </c>
      <c r="Z94" s="131">
        <v>260</v>
      </c>
      <c r="AA94" s="132">
        <v>270</v>
      </c>
      <c r="AB94" s="132">
        <v>120</v>
      </c>
      <c r="AC94" s="111" t="s">
        <v>3399</v>
      </c>
      <c r="AD94" s="111" t="s">
        <v>2879</v>
      </c>
      <c r="AE94" s="142">
        <v>650</v>
      </c>
      <c r="AF94" s="150">
        <f t="shared" si="1"/>
        <v>1030</v>
      </c>
      <c r="AG94" s="151"/>
      <c r="AH94" s="152"/>
    </row>
    <row r="95" spans="1:34" s="78" customFormat="1" ht="12" customHeight="1">
      <c r="A95" s="100">
        <v>1093</v>
      </c>
      <c r="B95" s="101" t="s">
        <v>3395</v>
      </c>
      <c r="C95" s="101" t="s">
        <v>3396</v>
      </c>
      <c r="D95" s="101" t="s">
        <v>3397</v>
      </c>
      <c r="E95" s="100">
        <v>1</v>
      </c>
      <c r="F95" s="143">
        <v>2</v>
      </c>
      <c r="G95" s="103">
        <v>93</v>
      </c>
      <c r="H95" s="144" t="s">
        <v>884</v>
      </c>
      <c r="I95" s="145" t="s">
        <v>884</v>
      </c>
      <c r="J95" s="146">
        <v>10500100119802</v>
      </c>
      <c r="K95" s="147" t="s">
        <v>353</v>
      </c>
      <c r="L95" s="147"/>
      <c r="M95" s="147">
        <v>7</v>
      </c>
      <c r="N95" s="148" t="s">
        <v>879</v>
      </c>
      <c r="O95" s="144" t="s">
        <v>885</v>
      </c>
      <c r="P95" s="148">
        <v>4226723</v>
      </c>
      <c r="Q95" s="144" t="s">
        <v>881</v>
      </c>
      <c r="R95" s="144" t="s">
        <v>886</v>
      </c>
      <c r="S95" s="149" t="s">
        <v>887</v>
      </c>
      <c r="T95" s="131">
        <v>110</v>
      </c>
      <c r="U95" s="132">
        <v>150</v>
      </c>
      <c r="V95" s="132">
        <v>40</v>
      </c>
      <c r="W95" s="111" t="s">
        <v>3397</v>
      </c>
      <c r="X95" s="111" t="s">
        <v>3396</v>
      </c>
      <c r="Y95" s="142">
        <v>300</v>
      </c>
      <c r="Z95" s="131">
        <v>0</v>
      </c>
      <c r="AA95" s="132">
        <v>0</v>
      </c>
      <c r="AB95" s="132">
        <v>0</v>
      </c>
      <c r="AC95" s="111"/>
      <c r="AD95" s="111"/>
      <c r="AE95" s="142">
        <v>0</v>
      </c>
      <c r="AF95" s="150">
        <f t="shared" si="1"/>
        <v>300</v>
      </c>
      <c r="AG95" s="151"/>
      <c r="AH95" s="152"/>
    </row>
    <row r="96" spans="1:34" s="78" customFormat="1" ht="12" customHeight="1">
      <c r="A96" s="100">
        <v>1094</v>
      </c>
      <c r="B96" s="101" t="s">
        <v>3395</v>
      </c>
      <c r="C96" s="129" t="s">
        <v>4140</v>
      </c>
      <c r="D96" s="101" t="s">
        <v>3398</v>
      </c>
      <c r="E96" s="100">
        <v>1</v>
      </c>
      <c r="F96" s="143">
        <v>2</v>
      </c>
      <c r="G96" s="103">
        <v>94</v>
      </c>
      <c r="H96" s="144" t="s">
        <v>888</v>
      </c>
      <c r="I96" s="145" t="s">
        <v>888</v>
      </c>
      <c r="J96" s="146">
        <v>20500101028101</v>
      </c>
      <c r="K96" s="147" t="s">
        <v>353</v>
      </c>
      <c r="L96" s="147"/>
      <c r="M96" s="147">
        <v>7</v>
      </c>
      <c r="N96" s="148" t="s">
        <v>889</v>
      </c>
      <c r="O96" s="144" t="s">
        <v>890</v>
      </c>
      <c r="P96" s="148" t="s">
        <v>891</v>
      </c>
      <c r="Q96" s="144" t="s">
        <v>892</v>
      </c>
      <c r="R96" s="144" t="s">
        <v>893</v>
      </c>
      <c r="S96" s="149" t="s">
        <v>894</v>
      </c>
      <c r="T96" s="131">
        <v>95</v>
      </c>
      <c r="U96" s="132">
        <v>125</v>
      </c>
      <c r="V96" s="132">
        <v>50</v>
      </c>
      <c r="W96" s="111" t="s">
        <v>3397</v>
      </c>
      <c r="X96" s="111" t="s">
        <v>3396</v>
      </c>
      <c r="Y96" s="142">
        <v>270</v>
      </c>
      <c r="Z96" s="131">
        <v>210</v>
      </c>
      <c r="AA96" s="132">
        <v>305</v>
      </c>
      <c r="AB96" s="132">
        <v>115</v>
      </c>
      <c r="AC96" s="111" t="s">
        <v>3399</v>
      </c>
      <c r="AD96" s="111" t="s">
        <v>2879</v>
      </c>
      <c r="AE96" s="142">
        <v>630</v>
      </c>
      <c r="AF96" s="150">
        <f t="shared" si="1"/>
        <v>900</v>
      </c>
      <c r="AG96" s="151"/>
      <c r="AH96" s="152"/>
    </row>
    <row r="97" spans="1:34" s="78" customFormat="1" ht="12" customHeight="1">
      <c r="A97" s="100">
        <v>1095</v>
      </c>
      <c r="B97" s="101" t="s">
        <v>3395</v>
      </c>
      <c r="C97" s="129" t="s">
        <v>4140</v>
      </c>
      <c r="D97" s="101" t="s">
        <v>3398</v>
      </c>
      <c r="E97" s="100">
        <v>1</v>
      </c>
      <c r="F97" s="143">
        <v>2</v>
      </c>
      <c r="G97" s="103">
        <v>95</v>
      </c>
      <c r="H97" s="144" t="s">
        <v>895</v>
      </c>
      <c r="I97" s="145" t="s">
        <v>896</v>
      </c>
      <c r="J97" s="146">
        <v>10500102599201</v>
      </c>
      <c r="K97" s="147" t="s">
        <v>353</v>
      </c>
      <c r="L97" s="147"/>
      <c r="M97" s="147">
        <v>7</v>
      </c>
      <c r="N97" s="148" t="s">
        <v>889</v>
      </c>
      <c r="O97" s="144" t="s">
        <v>897</v>
      </c>
      <c r="P97" s="148">
        <v>4379554</v>
      </c>
      <c r="Q97" s="144" t="s">
        <v>898</v>
      </c>
      <c r="R97" s="144" t="s">
        <v>899</v>
      </c>
      <c r="S97" s="149" t="s">
        <v>900</v>
      </c>
      <c r="T97" s="131">
        <v>200</v>
      </c>
      <c r="U97" s="132">
        <v>300</v>
      </c>
      <c r="V97" s="132">
        <v>160</v>
      </c>
      <c r="W97" s="111" t="s">
        <v>3397</v>
      </c>
      <c r="X97" s="111" t="s">
        <v>3396</v>
      </c>
      <c r="Y97" s="142">
        <v>660</v>
      </c>
      <c r="Z97" s="131">
        <v>35</v>
      </c>
      <c r="AA97" s="132">
        <v>285</v>
      </c>
      <c r="AB97" s="132">
        <v>80</v>
      </c>
      <c r="AC97" s="111" t="s">
        <v>3399</v>
      </c>
      <c r="AD97" s="111" t="s">
        <v>2879</v>
      </c>
      <c r="AE97" s="142">
        <v>400</v>
      </c>
      <c r="AF97" s="150">
        <f t="shared" si="1"/>
        <v>1060</v>
      </c>
      <c r="AG97" s="151"/>
      <c r="AH97" s="152"/>
    </row>
    <row r="98" spans="1:34" s="78" customFormat="1" ht="12" customHeight="1">
      <c r="A98" s="100">
        <v>1096</v>
      </c>
      <c r="B98" s="101" t="s">
        <v>3395</v>
      </c>
      <c r="C98" s="129" t="s">
        <v>4140</v>
      </c>
      <c r="D98" s="101" t="s">
        <v>3398</v>
      </c>
      <c r="E98" s="100">
        <v>1</v>
      </c>
      <c r="F98" s="143">
        <v>2</v>
      </c>
      <c r="G98" s="103">
        <v>96</v>
      </c>
      <c r="H98" s="144" t="s">
        <v>901</v>
      </c>
      <c r="I98" s="145" t="s">
        <v>901</v>
      </c>
      <c r="J98" s="146">
        <v>10500102005201</v>
      </c>
      <c r="K98" s="147" t="s">
        <v>353</v>
      </c>
      <c r="L98" s="147"/>
      <c r="M98" s="147">
        <v>7</v>
      </c>
      <c r="N98" s="148" t="s">
        <v>902</v>
      </c>
      <c r="O98" s="144" t="s">
        <v>903</v>
      </c>
      <c r="P98" s="148">
        <v>4263216</v>
      </c>
      <c r="Q98" s="144" t="s">
        <v>904</v>
      </c>
      <c r="R98" s="144" t="s">
        <v>905</v>
      </c>
      <c r="S98" s="149" t="s">
        <v>906</v>
      </c>
      <c r="T98" s="131">
        <v>60</v>
      </c>
      <c r="U98" s="132">
        <v>110</v>
      </c>
      <c r="V98" s="132">
        <v>60</v>
      </c>
      <c r="W98" s="111" t="s">
        <v>3397</v>
      </c>
      <c r="X98" s="111" t="s">
        <v>3396</v>
      </c>
      <c r="Y98" s="142">
        <v>230</v>
      </c>
      <c r="Z98" s="131">
        <v>80</v>
      </c>
      <c r="AA98" s="132">
        <v>90</v>
      </c>
      <c r="AB98" s="132">
        <v>40</v>
      </c>
      <c r="AC98" s="111" t="s">
        <v>3399</v>
      </c>
      <c r="AD98" s="111" t="s">
        <v>2879</v>
      </c>
      <c r="AE98" s="142">
        <v>210</v>
      </c>
      <c r="AF98" s="150">
        <f t="shared" si="1"/>
        <v>440</v>
      </c>
      <c r="AG98" s="151"/>
      <c r="AH98" s="152"/>
    </row>
    <row r="99" spans="1:34" s="78" customFormat="1" ht="12" customHeight="1">
      <c r="A99" s="100">
        <v>1097</v>
      </c>
      <c r="B99" s="101" t="s">
        <v>3395</v>
      </c>
      <c r="C99" s="129" t="s">
        <v>4140</v>
      </c>
      <c r="D99" s="101" t="s">
        <v>3398</v>
      </c>
      <c r="E99" s="100">
        <v>1</v>
      </c>
      <c r="F99" s="143">
        <v>2</v>
      </c>
      <c r="G99" s="103">
        <v>97</v>
      </c>
      <c r="H99" s="144" t="s">
        <v>907</v>
      </c>
      <c r="I99" s="145" t="s">
        <v>907</v>
      </c>
      <c r="J99" s="146">
        <v>10500101933001</v>
      </c>
      <c r="K99" s="147" t="s">
        <v>353</v>
      </c>
      <c r="L99" s="147"/>
      <c r="M99" s="147">
        <v>7</v>
      </c>
      <c r="N99" s="148" t="s">
        <v>908</v>
      </c>
      <c r="O99" s="144" t="s">
        <v>909</v>
      </c>
      <c r="P99" s="148" t="s">
        <v>910</v>
      </c>
      <c r="Q99" s="144" t="s">
        <v>911</v>
      </c>
      <c r="R99" s="144" t="s">
        <v>912</v>
      </c>
      <c r="S99" s="149" t="s">
        <v>913</v>
      </c>
      <c r="T99" s="131">
        <v>0</v>
      </c>
      <c r="U99" s="132">
        <v>310</v>
      </c>
      <c r="V99" s="132">
        <v>140</v>
      </c>
      <c r="W99" s="111" t="s">
        <v>3397</v>
      </c>
      <c r="X99" s="111" t="s">
        <v>3396</v>
      </c>
      <c r="Y99" s="142">
        <v>450</v>
      </c>
      <c r="Z99" s="131">
        <v>0</v>
      </c>
      <c r="AA99" s="132">
        <v>150</v>
      </c>
      <c r="AB99" s="132">
        <v>50</v>
      </c>
      <c r="AC99" s="111" t="s">
        <v>3399</v>
      </c>
      <c r="AD99" s="111" t="s">
        <v>2879</v>
      </c>
      <c r="AE99" s="142">
        <v>200</v>
      </c>
      <c r="AF99" s="150">
        <f t="shared" si="1"/>
        <v>650</v>
      </c>
      <c r="AG99" s="151"/>
      <c r="AH99" s="152"/>
    </row>
    <row r="100" spans="1:34" s="78" customFormat="1" ht="12" customHeight="1">
      <c r="A100" s="100">
        <v>1098</v>
      </c>
      <c r="B100" s="101" t="s">
        <v>3395</v>
      </c>
      <c r="C100" s="129" t="s">
        <v>4140</v>
      </c>
      <c r="D100" s="101" t="s">
        <v>3398</v>
      </c>
      <c r="E100" s="100">
        <v>1</v>
      </c>
      <c r="F100" s="143">
        <v>2</v>
      </c>
      <c r="G100" s="103">
        <v>98</v>
      </c>
      <c r="H100" s="144" t="s">
        <v>914</v>
      </c>
      <c r="I100" s="145" t="s">
        <v>914</v>
      </c>
      <c r="J100" s="146">
        <v>10500101933003</v>
      </c>
      <c r="K100" s="147" t="s">
        <v>353</v>
      </c>
      <c r="L100" s="147"/>
      <c r="M100" s="147">
        <v>7</v>
      </c>
      <c r="N100" s="148" t="s">
        <v>908</v>
      </c>
      <c r="O100" s="144" t="s">
        <v>915</v>
      </c>
      <c r="P100" s="148">
        <v>4270846</v>
      </c>
      <c r="Q100" s="144" t="s">
        <v>911</v>
      </c>
      <c r="R100" s="144" t="s">
        <v>916</v>
      </c>
      <c r="S100" s="149" t="s">
        <v>917</v>
      </c>
      <c r="T100" s="131">
        <v>110</v>
      </c>
      <c r="U100" s="132">
        <v>80</v>
      </c>
      <c r="V100" s="132">
        <v>0</v>
      </c>
      <c r="W100" s="111" t="s">
        <v>3397</v>
      </c>
      <c r="X100" s="111" t="s">
        <v>3396</v>
      </c>
      <c r="Y100" s="142">
        <v>190</v>
      </c>
      <c r="Z100" s="131">
        <v>130</v>
      </c>
      <c r="AA100" s="132">
        <v>70</v>
      </c>
      <c r="AB100" s="132">
        <v>0</v>
      </c>
      <c r="AC100" s="111" t="s">
        <v>3399</v>
      </c>
      <c r="AD100" s="111" t="s">
        <v>2879</v>
      </c>
      <c r="AE100" s="142">
        <v>200</v>
      </c>
      <c r="AF100" s="150">
        <f t="shared" si="1"/>
        <v>390</v>
      </c>
      <c r="AG100" s="151"/>
      <c r="AH100" s="152"/>
    </row>
    <row r="101" spans="1:34" s="78" customFormat="1" ht="12" customHeight="1">
      <c r="A101" s="100">
        <v>1099</v>
      </c>
      <c r="B101" s="101" t="s">
        <v>3395</v>
      </c>
      <c r="C101" s="129" t="s">
        <v>4140</v>
      </c>
      <c r="D101" s="101" t="s">
        <v>3398</v>
      </c>
      <c r="E101" s="100">
        <v>1</v>
      </c>
      <c r="F101" s="143">
        <v>2</v>
      </c>
      <c r="G101" s="103">
        <v>99</v>
      </c>
      <c r="H101" s="144" t="s">
        <v>918</v>
      </c>
      <c r="I101" s="145" t="s">
        <v>918</v>
      </c>
      <c r="J101" s="146">
        <v>10500101933002</v>
      </c>
      <c r="K101" s="147" t="s">
        <v>353</v>
      </c>
      <c r="L101" s="147"/>
      <c r="M101" s="147">
        <v>7</v>
      </c>
      <c r="N101" s="148" t="s">
        <v>908</v>
      </c>
      <c r="O101" s="144" t="s">
        <v>919</v>
      </c>
      <c r="P101" s="148">
        <v>4271134</v>
      </c>
      <c r="Q101" s="144" t="s">
        <v>911</v>
      </c>
      <c r="R101" s="144" t="s">
        <v>920</v>
      </c>
      <c r="S101" s="149" t="s">
        <v>921</v>
      </c>
      <c r="T101" s="131">
        <v>140</v>
      </c>
      <c r="U101" s="132">
        <v>140</v>
      </c>
      <c r="V101" s="132">
        <v>0</v>
      </c>
      <c r="W101" s="111" t="s">
        <v>3397</v>
      </c>
      <c r="X101" s="111" t="s">
        <v>3396</v>
      </c>
      <c r="Y101" s="142">
        <v>280</v>
      </c>
      <c r="Z101" s="131">
        <v>110</v>
      </c>
      <c r="AA101" s="132">
        <v>20</v>
      </c>
      <c r="AB101" s="132">
        <v>0</v>
      </c>
      <c r="AC101" s="111" t="s">
        <v>3399</v>
      </c>
      <c r="AD101" s="111" t="s">
        <v>2879</v>
      </c>
      <c r="AE101" s="142">
        <v>130</v>
      </c>
      <c r="AF101" s="150">
        <f t="shared" si="1"/>
        <v>410</v>
      </c>
      <c r="AG101" s="151"/>
      <c r="AH101" s="152"/>
    </row>
    <row r="102" spans="1:34" s="78" customFormat="1" ht="12" customHeight="1">
      <c r="A102" s="100">
        <v>1100</v>
      </c>
      <c r="B102" s="101" t="s">
        <v>3395</v>
      </c>
      <c r="C102" s="129" t="s">
        <v>4140</v>
      </c>
      <c r="D102" s="101" t="s">
        <v>3398</v>
      </c>
      <c r="E102" s="100">
        <v>1</v>
      </c>
      <c r="F102" s="143">
        <v>2</v>
      </c>
      <c r="G102" s="103">
        <v>100</v>
      </c>
      <c r="H102" s="144" t="s">
        <v>922</v>
      </c>
      <c r="I102" s="145" t="s">
        <v>922</v>
      </c>
      <c r="J102" s="146">
        <v>10500102600001</v>
      </c>
      <c r="K102" s="147" t="s">
        <v>353</v>
      </c>
      <c r="L102" s="147"/>
      <c r="M102" s="147">
        <v>7</v>
      </c>
      <c r="N102" s="148" t="s">
        <v>889</v>
      </c>
      <c r="O102" s="144" t="s">
        <v>923</v>
      </c>
      <c r="P102" s="148" t="s">
        <v>924</v>
      </c>
      <c r="Q102" s="144" t="s">
        <v>925</v>
      </c>
      <c r="R102" s="144" t="s">
        <v>926</v>
      </c>
      <c r="S102" s="149" t="s">
        <v>927</v>
      </c>
      <c r="T102" s="131">
        <v>430</v>
      </c>
      <c r="U102" s="132">
        <v>160</v>
      </c>
      <c r="V102" s="132">
        <v>130</v>
      </c>
      <c r="W102" s="111" t="s">
        <v>3397</v>
      </c>
      <c r="X102" s="111" t="s">
        <v>3396</v>
      </c>
      <c r="Y102" s="142">
        <v>720</v>
      </c>
      <c r="Z102" s="131">
        <v>150</v>
      </c>
      <c r="AA102" s="132">
        <v>700</v>
      </c>
      <c r="AB102" s="132">
        <v>350</v>
      </c>
      <c r="AC102" s="111" t="s">
        <v>3399</v>
      </c>
      <c r="AD102" s="111" t="s">
        <v>2879</v>
      </c>
      <c r="AE102" s="142">
        <v>1200</v>
      </c>
      <c r="AF102" s="150">
        <f t="shared" si="1"/>
        <v>1920</v>
      </c>
      <c r="AG102" s="151"/>
      <c r="AH102" s="152"/>
    </row>
    <row r="103" spans="1:34" s="78" customFormat="1" ht="12" customHeight="1">
      <c r="A103" s="100">
        <v>1101</v>
      </c>
      <c r="B103" s="101" t="s">
        <v>3395</v>
      </c>
      <c r="C103" s="129" t="s">
        <v>4140</v>
      </c>
      <c r="D103" s="101" t="s">
        <v>3398</v>
      </c>
      <c r="E103" s="100">
        <v>1</v>
      </c>
      <c r="F103" s="143">
        <v>2</v>
      </c>
      <c r="G103" s="103">
        <v>101</v>
      </c>
      <c r="H103" s="144" t="s">
        <v>928</v>
      </c>
      <c r="I103" s="145" t="s">
        <v>928</v>
      </c>
      <c r="J103" s="146">
        <v>10500100624601</v>
      </c>
      <c r="K103" s="147" t="s">
        <v>353</v>
      </c>
      <c r="L103" s="147"/>
      <c r="M103" s="147">
        <v>7</v>
      </c>
      <c r="N103" s="148" t="s">
        <v>929</v>
      </c>
      <c r="O103" s="144" t="s">
        <v>930</v>
      </c>
      <c r="P103" s="148" t="s">
        <v>931</v>
      </c>
      <c r="Q103" s="144" t="s">
        <v>932</v>
      </c>
      <c r="R103" s="144" t="s">
        <v>933</v>
      </c>
      <c r="S103" s="149" t="s">
        <v>934</v>
      </c>
      <c r="T103" s="131">
        <v>140</v>
      </c>
      <c r="U103" s="132">
        <v>170</v>
      </c>
      <c r="V103" s="132">
        <v>90</v>
      </c>
      <c r="W103" s="111" t="s">
        <v>3397</v>
      </c>
      <c r="X103" s="111" t="s">
        <v>3396</v>
      </c>
      <c r="Y103" s="142">
        <v>400</v>
      </c>
      <c r="Z103" s="131">
        <v>115</v>
      </c>
      <c r="AA103" s="132">
        <v>295</v>
      </c>
      <c r="AB103" s="132">
        <v>160</v>
      </c>
      <c r="AC103" s="111" t="s">
        <v>3399</v>
      </c>
      <c r="AD103" s="111" t="s">
        <v>2879</v>
      </c>
      <c r="AE103" s="142">
        <v>570</v>
      </c>
      <c r="AF103" s="150">
        <f t="shared" si="1"/>
        <v>970</v>
      </c>
      <c r="AG103" s="151"/>
      <c r="AH103" s="152"/>
    </row>
    <row r="104" spans="1:34" s="78" customFormat="1" ht="12" customHeight="1">
      <c r="A104" s="100">
        <v>1102</v>
      </c>
      <c r="B104" s="101" t="s">
        <v>3395</v>
      </c>
      <c r="C104" s="129" t="s">
        <v>4140</v>
      </c>
      <c r="D104" s="101" t="s">
        <v>3398</v>
      </c>
      <c r="E104" s="100">
        <v>1</v>
      </c>
      <c r="F104" s="143">
        <v>2</v>
      </c>
      <c r="G104" s="103">
        <v>102</v>
      </c>
      <c r="H104" s="144" t="s">
        <v>935</v>
      </c>
      <c r="I104" s="145" t="s">
        <v>935</v>
      </c>
      <c r="J104" s="146">
        <v>10500102154701</v>
      </c>
      <c r="K104" s="147" t="s">
        <v>353</v>
      </c>
      <c r="L104" s="147"/>
      <c r="M104" s="147">
        <v>7</v>
      </c>
      <c r="N104" s="148" t="s">
        <v>936</v>
      </c>
      <c r="O104" s="144" t="s">
        <v>937</v>
      </c>
      <c r="P104" s="148" t="s">
        <v>938</v>
      </c>
      <c r="Q104" s="144" t="s">
        <v>939</v>
      </c>
      <c r="R104" s="144" t="s">
        <v>940</v>
      </c>
      <c r="S104" s="149" t="s">
        <v>941</v>
      </c>
      <c r="T104" s="131">
        <v>80</v>
      </c>
      <c r="U104" s="132">
        <v>90</v>
      </c>
      <c r="V104" s="132">
        <v>100</v>
      </c>
      <c r="W104" s="111" t="s">
        <v>3397</v>
      </c>
      <c r="X104" s="111" t="s">
        <v>3396</v>
      </c>
      <c r="Y104" s="142">
        <v>270</v>
      </c>
      <c r="Z104" s="131">
        <v>110</v>
      </c>
      <c r="AA104" s="132">
        <v>110</v>
      </c>
      <c r="AB104" s="132">
        <v>50</v>
      </c>
      <c r="AC104" s="111" t="s">
        <v>3399</v>
      </c>
      <c r="AD104" s="111" t="s">
        <v>2879</v>
      </c>
      <c r="AE104" s="142">
        <v>270</v>
      </c>
      <c r="AF104" s="150">
        <f t="shared" si="1"/>
        <v>540</v>
      </c>
      <c r="AG104" s="151"/>
      <c r="AH104" s="152"/>
    </row>
    <row r="105" spans="1:34" s="78" customFormat="1" ht="12" customHeight="1">
      <c r="A105" s="100">
        <v>1103</v>
      </c>
      <c r="B105" s="101" t="s">
        <v>3395</v>
      </c>
      <c r="C105" s="129" t="s">
        <v>4140</v>
      </c>
      <c r="D105" s="101" t="s">
        <v>3398</v>
      </c>
      <c r="E105" s="100">
        <v>1</v>
      </c>
      <c r="F105" s="143">
        <v>2</v>
      </c>
      <c r="G105" s="103">
        <v>103</v>
      </c>
      <c r="H105" s="144" t="s">
        <v>942</v>
      </c>
      <c r="I105" s="145" t="s">
        <v>942</v>
      </c>
      <c r="J105" s="146">
        <v>10500100230501</v>
      </c>
      <c r="K105" s="147" t="s">
        <v>353</v>
      </c>
      <c r="L105" s="147"/>
      <c r="M105" s="147">
        <v>7</v>
      </c>
      <c r="N105" s="148" t="s">
        <v>929</v>
      </c>
      <c r="O105" s="144" t="s">
        <v>943</v>
      </c>
      <c r="P105" s="148" t="s">
        <v>944</v>
      </c>
      <c r="Q105" s="144" t="s">
        <v>945</v>
      </c>
      <c r="R105" s="144" t="s">
        <v>946</v>
      </c>
      <c r="S105" s="149" t="s">
        <v>947</v>
      </c>
      <c r="T105" s="131">
        <v>50</v>
      </c>
      <c r="U105" s="132">
        <v>150</v>
      </c>
      <c r="V105" s="132">
        <v>130</v>
      </c>
      <c r="W105" s="111" t="s">
        <v>3397</v>
      </c>
      <c r="X105" s="111" t="s">
        <v>3396</v>
      </c>
      <c r="Y105" s="142">
        <v>330</v>
      </c>
      <c r="Z105" s="131">
        <v>0</v>
      </c>
      <c r="AA105" s="132">
        <v>100</v>
      </c>
      <c r="AB105" s="132">
        <v>60</v>
      </c>
      <c r="AC105" s="111" t="s">
        <v>3399</v>
      </c>
      <c r="AD105" s="111" t="s">
        <v>2879</v>
      </c>
      <c r="AE105" s="142">
        <v>160</v>
      </c>
      <c r="AF105" s="150">
        <f t="shared" si="1"/>
        <v>490</v>
      </c>
      <c r="AG105" s="151"/>
      <c r="AH105" s="152"/>
    </row>
    <row r="106" spans="1:34" s="78" customFormat="1" ht="12" customHeight="1">
      <c r="A106" s="100">
        <v>1104</v>
      </c>
      <c r="B106" s="101" t="s">
        <v>3395</v>
      </c>
      <c r="C106" s="129" t="s">
        <v>4140</v>
      </c>
      <c r="D106" s="101" t="s">
        <v>3398</v>
      </c>
      <c r="E106" s="100">
        <v>1</v>
      </c>
      <c r="F106" s="143">
        <v>2</v>
      </c>
      <c r="G106" s="103">
        <v>104</v>
      </c>
      <c r="H106" s="144" t="s">
        <v>948</v>
      </c>
      <c r="I106" s="145" t="s">
        <v>948</v>
      </c>
      <c r="J106" s="146">
        <v>10500101514801</v>
      </c>
      <c r="K106" s="147" t="s">
        <v>353</v>
      </c>
      <c r="L106" s="147"/>
      <c r="M106" s="147">
        <v>7</v>
      </c>
      <c r="N106" s="148" t="s">
        <v>949</v>
      </c>
      <c r="O106" s="144" t="s">
        <v>950</v>
      </c>
      <c r="P106" s="148" t="s">
        <v>951</v>
      </c>
      <c r="Q106" s="144" t="s">
        <v>952</v>
      </c>
      <c r="R106" s="144" t="s">
        <v>953</v>
      </c>
      <c r="S106" s="149" t="s">
        <v>954</v>
      </c>
      <c r="T106" s="131">
        <v>100</v>
      </c>
      <c r="U106" s="132">
        <v>150</v>
      </c>
      <c r="V106" s="132">
        <v>90</v>
      </c>
      <c r="W106" s="111" t="s">
        <v>3397</v>
      </c>
      <c r="X106" s="111" t="s">
        <v>3396</v>
      </c>
      <c r="Y106" s="142">
        <v>340</v>
      </c>
      <c r="Z106" s="131">
        <v>0</v>
      </c>
      <c r="AA106" s="132">
        <v>150</v>
      </c>
      <c r="AB106" s="132">
        <v>100</v>
      </c>
      <c r="AC106" s="111" t="s">
        <v>3399</v>
      </c>
      <c r="AD106" s="111" t="s">
        <v>2879</v>
      </c>
      <c r="AE106" s="142">
        <v>250</v>
      </c>
      <c r="AF106" s="150">
        <f t="shared" si="1"/>
        <v>590</v>
      </c>
      <c r="AG106" s="151" t="s">
        <v>404</v>
      </c>
      <c r="AH106" s="152"/>
    </row>
    <row r="107" spans="1:34" s="78" customFormat="1" ht="12" customHeight="1">
      <c r="A107" s="100">
        <v>1105</v>
      </c>
      <c r="B107" s="101" t="s">
        <v>3395</v>
      </c>
      <c r="C107" s="129" t="s">
        <v>4140</v>
      </c>
      <c r="D107" s="101" t="s">
        <v>3398</v>
      </c>
      <c r="E107" s="100">
        <v>1</v>
      </c>
      <c r="F107" s="143">
        <v>2</v>
      </c>
      <c r="G107" s="103">
        <v>105</v>
      </c>
      <c r="H107" s="144" t="s">
        <v>955</v>
      </c>
      <c r="I107" s="145" t="s">
        <v>955</v>
      </c>
      <c r="J107" s="146">
        <v>10500101583101</v>
      </c>
      <c r="K107" s="147" t="s">
        <v>353</v>
      </c>
      <c r="L107" s="147"/>
      <c r="M107" s="147">
        <v>7</v>
      </c>
      <c r="N107" s="148" t="s">
        <v>956</v>
      </c>
      <c r="O107" s="144" t="s">
        <v>957</v>
      </c>
      <c r="P107" s="148" t="s">
        <v>958</v>
      </c>
      <c r="Q107" s="144" t="s">
        <v>959</v>
      </c>
      <c r="R107" s="144" t="s">
        <v>960</v>
      </c>
      <c r="S107" s="149" t="s">
        <v>961</v>
      </c>
      <c r="T107" s="131">
        <v>190</v>
      </c>
      <c r="U107" s="132">
        <v>140</v>
      </c>
      <c r="V107" s="132">
        <v>120</v>
      </c>
      <c r="W107" s="111" t="s">
        <v>3397</v>
      </c>
      <c r="X107" s="111" t="s">
        <v>3396</v>
      </c>
      <c r="Y107" s="142">
        <v>450</v>
      </c>
      <c r="Z107" s="131">
        <v>0</v>
      </c>
      <c r="AA107" s="132">
        <v>210</v>
      </c>
      <c r="AB107" s="132">
        <v>50</v>
      </c>
      <c r="AC107" s="111" t="s">
        <v>3399</v>
      </c>
      <c r="AD107" s="111" t="s">
        <v>2879</v>
      </c>
      <c r="AE107" s="142">
        <v>260</v>
      </c>
      <c r="AF107" s="150">
        <f t="shared" si="1"/>
        <v>710</v>
      </c>
      <c r="AG107" s="151"/>
      <c r="AH107" s="152"/>
    </row>
    <row r="108" spans="1:34" s="78" customFormat="1" ht="12" customHeight="1">
      <c r="A108" s="100">
        <v>1106</v>
      </c>
      <c r="B108" s="101" t="s">
        <v>3395</v>
      </c>
      <c r="C108" s="129" t="s">
        <v>4140</v>
      </c>
      <c r="D108" s="101" t="s">
        <v>3398</v>
      </c>
      <c r="E108" s="100">
        <v>1</v>
      </c>
      <c r="F108" s="143">
        <v>2</v>
      </c>
      <c r="G108" s="103">
        <v>106</v>
      </c>
      <c r="H108" s="144" t="s">
        <v>962</v>
      </c>
      <c r="I108" s="145" t="s">
        <v>962</v>
      </c>
      <c r="J108" s="146">
        <v>10500101171101</v>
      </c>
      <c r="K108" s="147" t="s">
        <v>353</v>
      </c>
      <c r="L108" s="147"/>
      <c r="M108" s="147">
        <v>7</v>
      </c>
      <c r="N108" s="148" t="s">
        <v>879</v>
      </c>
      <c r="O108" s="144" t="s">
        <v>963</v>
      </c>
      <c r="P108" s="148">
        <v>2642310</v>
      </c>
      <c r="Q108" s="144" t="s">
        <v>964</v>
      </c>
      <c r="R108" s="144" t="s">
        <v>965</v>
      </c>
      <c r="S108" s="149" t="s">
        <v>966</v>
      </c>
      <c r="T108" s="131">
        <v>260</v>
      </c>
      <c r="U108" s="132">
        <v>100</v>
      </c>
      <c r="V108" s="132">
        <v>70</v>
      </c>
      <c r="W108" s="111" t="s">
        <v>3397</v>
      </c>
      <c r="X108" s="111" t="s">
        <v>3396</v>
      </c>
      <c r="Y108" s="142">
        <v>430</v>
      </c>
      <c r="Z108" s="131">
        <v>30</v>
      </c>
      <c r="AA108" s="132">
        <v>220</v>
      </c>
      <c r="AB108" s="132">
        <v>70</v>
      </c>
      <c r="AC108" s="111" t="s">
        <v>3399</v>
      </c>
      <c r="AD108" s="111" t="s">
        <v>2879</v>
      </c>
      <c r="AE108" s="142">
        <v>320</v>
      </c>
      <c r="AF108" s="150">
        <f t="shared" si="1"/>
        <v>750</v>
      </c>
      <c r="AG108" s="151"/>
      <c r="AH108" s="152"/>
    </row>
    <row r="109" spans="1:34" s="78" customFormat="1" ht="12" customHeight="1">
      <c r="A109" s="100">
        <v>1107</v>
      </c>
      <c r="B109" s="101" t="s">
        <v>3395</v>
      </c>
      <c r="C109" s="129" t="s">
        <v>4140</v>
      </c>
      <c r="D109" s="101" t="s">
        <v>3398</v>
      </c>
      <c r="E109" s="100">
        <v>1</v>
      </c>
      <c r="F109" s="143">
        <v>2</v>
      </c>
      <c r="G109" s="103">
        <v>107</v>
      </c>
      <c r="H109" s="144" t="s">
        <v>967</v>
      </c>
      <c r="I109" s="145" t="s">
        <v>967</v>
      </c>
      <c r="J109" s="146">
        <v>10500101146101</v>
      </c>
      <c r="K109" s="147" t="s">
        <v>353</v>
      </c>
      <c r="L109" s="147"/>
      <c r="M109" s="147">
        <v>7</v>
      </c>
      <c r="N109" s="148" t="s">
        <v>968</v>
      </c>
      <c r="O109" s="144" t="s">
        <v>969</v>
      </c>
      <c r="P109" s="148">
        <v>2575489</v>
      </c>
      <c r="Q109" s="144" t="s">
        <v>970</v>
      </c>
      <c r="R109" s="144" t="s">
        <v>971</v>
      </c>
      <c r="S109" s="149" t="s">
        <v>972</v>
      </c>
      <c r="T109" s="163">
        <v>200</v>
      </c>
      <c r="U109" s="164">
        <v>150</v>
      </c>
      <c r="V109" s="164">
        <v>70</v>
      </c>
      <c r="W109" s="111" t="s">
        <v>3397</v>
      </c>
      <c r="X109" s="111" t="s">
        <v>3396</v>
      </c>
      <c r="Y109" s="142">
        <v>420</v>
      </c>
      <c r="Z109" s="131">
        <v>38</v>
      </c>
      <c r="AA109" s="132">
        <v>202</v>
      </c>
      <c r="AB109" s="132">
        <v>100</v>
      </c>
      <c r="AC109" s="111" t="s">
        <v>3399</v>
      </c>
      <c r="AD109" s="111" t="s">
        <v>2879</v>
      </c>
      <c r="AE109" s="142">
        <v>340</v>
      </c>
      <c r="AF109" s="150">
        <f t="shared" si="1"/>
        <v>760</v>
      </c>
      <c r="AG109" s="151"/>
      <c r="AH109" s="152"/>
    </row>
    <row r="110" spans="1:34" s="78" customFormat="1" ht="12" customHeight="1">
      <c r="A110" s="100">
        <v>1108</v>
      </c>
      <c r="B110" s="101" t="s">
        <v>3395</v>
      </c>
      <c r="C110" s="129" t="s">
        <v>4140</v>
      </c>
      <c r="D110" s="101" t="s">
        <v>3398</v>
      </c>
      <c r="E110" s="100">
        <v>1</v>
      </c>
      <c r="F110" s="143">
        <v>2</v>
      </c>
      <c r="G110" s="103">
        <v>108</v>
      </c>
      <c r="H110" s="144" t="s">
        <v>973</v>
      </c>
      <c r="I110" s="145" t="s">
        <v>973</v>
      </c>
      <c r="J110" s="146">
        <v>30500102217801</v>
      </c>
      <c r="K110" s="147" t="s">
        <v>431</v>
      </c>
      <c r="L110" s="147"/>
      <c r="M110" s="147">
        <v>7</v>
      </c>
      <c r="N110" s="148" t="s">
        <v>929</v>
      </c>
      <c r="O110" s="144" t="s">
        <v>974</v>
      </c>
      <c r="P110" s="148">
        <v>4221790</v>
      </c>
      <c r="Q110" s="144" t="s">
        <v>975</v>
      </c>
      <c r="R110" s="144" t="s">
        <v>976</v>
      </c>
      <c r="S110" s="149" t="s">
        <v>977</v>
      </c>
      <c r="T110" s="163">
        <v>90</v>
      </c>
      <c r="U110" s="164">
        <v>150</v>
      </c>
      <c r="V110" s="164">
        <v>60</v>
      </c>
      <c r="W110" s="111" t="s">
        <v>3397</v>
      </c>
      <c r="X110" s="111" t="s">
        <v>3396</v>
      </c>
      <c r="Y110" s="142">
        <v>300</v>
      </c>
      <c r="Z110" s="131">
        <v>0</v>
      </c>
      <c r="AA110" s="132">
        <v>100</v>
      </c>
      <c r="AB110" s="132">
        <v>50</v>
      </c>
      <c r="AC110" s="111" t="s">
        <v>3399</v>
      </c>
      <c r="AD110" s="111" t="s">
        <v>2879</v>
      </c>
      <c r="AE110" s="142">
        <v>150</v>
      </c>
      <c r="AF110" s="150">
        <f t="shared" si="1"/>
        <v>450</v>
      </c>
      <c r="AG110" s="151"/>
      <c r="AH110" s="152"/>
    </row>
    <row r="111" spans="1:34" s="78" customFormat="1" ht="12" customHeight="1">
      <c r="A111" s="100">
        <v>1109</v>
      </c>
      <c r="B111" s="101" t="s">
        <v>3395</v>
      </c>
      <c r="C111" s="129" t="s">
        <v>4140</v>
      </c>
      <c r="D111" s="101" t="s">
        <v>3398</v>
      </c>
      <c r="E111" s="100">
        <v>1</v>
      </c>
      <c r="F111" s="143">
        <v>2</v>
      </c>
      <c r="G111" s="103">
        <v>109</v>
      </c>
      <c r="H111" s="144" t="s">
        <v>978</v>
      </c>
      <c r="I111" s="145" t="s">
        <v>978</v>
      </c>
      <c r="J111" s="146">
        <v>10500101713201</v>
      </c>
      <c r="K111" s="147" t="s">
        <v>353</v>
      </c>
      <c r="L111" s="147"/>
      <c r="M111" s="147">
        <v>7</v>
      </c>
      <c r="N111" s="148" t="s">
        <v>979</v>
      </c>
      <c r="O111" s="144" t="s">
        <v>980</v>
      </c>
      <c r="P111" s="148">
        <v>4414908</v>
      </c>
      <c r="Q111" s="144" t="s">
        <v>981</v>
      </c>
      <c r="R111" s="144" t="s">
        <v>982</v>
      </c>
      <c r="S111" s="149" t="s">
        <v>983</v>
      </c>
      <c r="T111" s="170">
        <v>135</v>
      </c>
      <c r="U111" s="171">
        <v>175</v>
      </c>
      <c r="V111" s="171">
        <v>140</v>
      </c>
      <c r="W111" s="111" t="s">
        <v>3397</v>
      </c>
      <c r="X111" s="111" t="s">
        <v>3396</v>
      </c>
      <c r="Y111" s="142">
        <v>450</v>
      </c>
      <c r="Z111" s="163">
        <v>130</v>
      </c>
      <c r="AA111" s="164">
        <v>180</v>
      </c>
      <c r="AB111" s="164">
        <v>60</v>
      </c>
      <c r="AC111" s="111" t="s">
        <v>3399</v>
      </c>
      <c r="AD111" s="111" t="s">
        <v>2879</v>
      </c>
      <c r="AE111" s="142">
        <v>370</v>
      </c>
      <c r="AF111" s="150">
        <f t="shared" si="1"/>
        <v>820</v>
      </c>
      <c r="AG111" s="151"/>
      <c r="AH111" s="152"/>
    </row>
    <row r="112" spans="1:34" s="78" customFormat="1" ht="12" customHeight="1">
      <c r="A112" s="100">
        <v>1110</v>
      </c>
      <c r="B112" s="101" t="s">
        <v>3395</v>
      </c>
      <c r="C112" s="129" t="s">
        <v>4140</v>
      </c>
      <c r="D112" s="101" t="s">
        <v>3398</v>
      </c>
      <c r="E112" s="100">
        <v>1</v>
      </c>
      <c r="F112" s="143">
        <v>2</v>
      </c>
      <c r="G112" s="103">
        <v>110</v>
      </c>
      <c r="H112" s="144" t="s">
        <v>984</v>
      </c>
      <c r="I112" s="145" t="s">
        <v>984</v>
      </c>
      <c r="J112" s="146">
        <v>30500102223201</v>
      </c>
      <c r="K112" s="147" t="s">
        <v>353</v>
      </c>
      <c r="L112" s="147"/>
      <c r="M112" s="147">
        <v>7</v>
      </c>
      <c r="N112" s="148" t="s">
        <v>985</v>
      </c>
      <c r="O112" s="144" t="s">
        <v>986</v>
      </c>
      <c r="P112" s="148" t="s">
        <v>987</v>
      </c>
      <c r="Q112" s="144" t="s">
        <v>988</v>
      </c>
      <c r="R112" s="144" t="s">
        <v>989</v>
      </c>
      <c r="S112" s="149" t="s">
        <v>990</v>
      </c>
      <c r="T112" s="131">
        <v>314</v>
      </c>
      <c r="U112" s="132">
        <v>183</v>
      </c>
      <c r="V112" s="132">
        <v>73</v>
      </c>
      <c r="W112" s="111" t="s">
        <v>3397</v>
      </c>
      <c r="X112" s="111" t="s">
        <v>3396</v>
      </c>
      <c r="Y112" s="142">
        <v>570</v>
      </c>
      <c r="Z112" s="131">
        <v>145</v>
      </c>
      <c r="AA112" s="132">
        <v>415</v>
      </c>
      <c r="AB112" s="132">
        <v>40</v>
      </c>
      <c r="AC112" s="111" t="s">
        <v>3399</v>
      </c>
      <c r="AD112" s="111" t="s">
        <v>2879</v>
      </c>
      <c r="AE112" s="142">
        <v>600</v>
      </c>
      <c r="AF112" s="150">
        <f t="shared" si="1"/>
        <v>1170</v>
      </c>
      <c r="AG112" s="151"/>
      <c r="AH112" s="152"/>
    </row>
    <row r="113" spans="1:34" s="78" customFormat="1" ht="12" customHeight="1">
      <c r="A113" s="100">
        <v>1111</v>
      </c>
      <c r="B113" s="101" t="s">
        <v>3395</v>
      </c>
      <c r="C113" s="129" t="s">
        <v>4140</v>
      </c>
      <c r="D113" s="101" t="s">
        <v>3398</v>
      </c>
      <c r="E113" s="100">
        <v>1</v>
      </c>
      <c r="F113" s="143">
        <v>2</v>
      </c>
      <c r="G113" s="103">
        <v>111</v>
      </c>
      <c r="H113" s="144" t="s">
        <v>991</v>
      </c>
      <c r="I113" s="145" t="s">
        <v>991</v>
      </c>
      <c r="J113" s="146">
        <v>10500101914301</v>
      </c>
      <c r="K113" s="147" t="s">
        <v>353</v>
      </c>
      <c r="L113" s="147"/>
      <c r="M113" s="147">
        <v>7</v>
      </c>
      <c r="N113" s="148" t="s">
        <v>866</v>
      </c>
      <c r="O113" s="144" t="s">
        <v>992</v>
      </c>
      <c r="P113" s="148">
        <v>2578292</v>
      </c>
      <c r="Q113" s="144" t="s">
        <v>993</v>
      </c>
      <c r="R113" s="144" t="s">
        <v>994</v>
      </c>
      <c r="S113" s="149" t="s">
        <v>995</v>
      </c>
      <c r="T113" s="131">
        <v>100</v>
      </c>
      <c r="U113" s="132">
        <v>150</v>
      </c>
      <c r="V113" s="132">
        <v>100</v>
      </c>
      <c r="W113" s="111" t="s">
        <v>3397</v>
      </c>
      <c r="X113" s="111" t="s">
        <v>3396</v>
      </c>
      <c r="Y113" s="142">
        <v>350</v>
      </c>
      <c r="Z113" s="131">
        <v>180</v>
      </c>
      <c r="AA113" s="132">
        <v>240</v>
      </c>
      <c r="AB113" s="132">
        <v>60</v>
      </c>
      <c r="AC113" s="111" t="s">
        <v>3399</v>
      </c>
      <c r="AD113" s="111" t="s">
        <v>2879</v>
      </c>
      <c r="AE113" s="142">
        <v>480</v>
      </c>
      <c r="AF113" s="150">
        <f t="shared" si="1"/>
        <v>830</v>
      </c>
      <c r="AG113" s="151"/>
      <c r="AH113" s="152"/>
    </row>
    <row r="114" spans="1:34" s="78" customFormat="1" ht="12" customHeight="1">
      <c r="A114" s="100">
        <v>1112</v>
      </c>
      <c r="B114" s="101" t="s">
        <v>3395</v>
      </c>
      <c r="C114" s="129" t="s">
        <v>4140</v>
      </c>
      <c r="D114" s="101" t="s">
        <v>3398</v>
      </c>
      <c r="E114" s="100">
        <v>1</v>
      </c>
      <c r="F114" s="143">
        <v>2</v>
      </c>
      <c r="G114" s="103">
        <v>112</v>
      </c>
      <c r="H114" s="144" t="s">
        <v>996</v>
      </c>
      <c r="I114" s="145" t="s">
        <v>996</v>
      </c>
      <c r="J114" s="146">
        <v>10500100247001</v>
      </c>
      <c r="K114" s="147" t="s">
        <v>353</v>
      </c>
      <c r="L114" s="147"/>
      <c r="M114" s="147">
        <v>7</v>
      </c>
      <c r="N114" s="148" t="s">
        <v>997</v>
      </c>
      <c r="O114" s="144" t="s">
        <v>998</v>
      </c>
      <c r="P114" s="148" t="s">
        <v>999</v>
      </c>
      <c r="Q114" s="144" t="s">
        <v>1000</v>
      </c>
      <c r="R114" s="144" t="s">
        <v>1001</v>
      </c>
      <c r="S114" s="149" t="s">
        <v>1002</v>
      </c>
      <c r="T114" s="131">
        <v>54</v>
      </c>
      <c r="U114" s="132">
        <v>94</v>
      </c>
      <c r="V114" s="132">
        <v>142</v>
      </c>
      <c r="W114" s="111" t="s">
        <v>3397</v>
      </c>
      <c r="X114" s="111" t="s">
        <v>3396</v>
      </c>
      <c r="Y114" s="142">
        <v>290</v>
      </c>
      <c r="Z114" s="131">
        <v>0</v>
      </c>
      <c r="AA114" s="132">
        <v>191</v>
      </c>
      <c r="AB114" s="132">
        <v>99</v>
      </c>
      <c r="AC114" s="111" t="s">
        <v>3399</v>
      </c>
      <c r="AD114" s="111" t="s">
        <v>2879</v>
      </c>
      <c r="AE114" s="142">
        <v>290</v>
      </c>
      <c r="AF114" s="150">
        <f t="shared" si="1"/>
        <v>580</v>
      </c>
      <c r="AG114" s="151"/>
      <c r="AH114" s="152"/>
    </row>
    <row r="115" spans="1:34" s="78" customFormat="1" ht="12" customHeight="1">
      <c r="A115" s="100">
        <v>1113</v>
      </c>
      <c r="B115" s="101" t="s">
        <v>3395</v>
      </c>
      <c r="C115" s="129" t="s">
        <v>4140</v>
      </c>
      <c r="D115" s="101" t="s">
        <v>3398</v>
      </c>
      <c r="E115" s="100">
        <v>1</v>
      </c>
      <c r="F115" s="143">
        <v>2</v>
      </c>
      <c r="G115" s="103">
        <v>113</v>
      </c>
      <c r="H115" s="144" t="s">
        <v>1003</v>
      </c>
      <c r="I115" s="145" t="s">
        <v>1003</v>
      </c>
      <c r="J115" s="146">
        <v>10500180011202</v>
      </c>
      <c r="K115" s="147" t="s">
        <v>353</v>
      </c>
      <c r="L115" s="147"/>
      <c r="M115" s="147">
        <v>7</v>
      </c>
      <c r="N115" s="148" t="s">
        <v>1004</v>
      </c>
      <c r="O115" s="144" t="s">
        <v>1005</v>
      </c>
      <c r="P115" s="148">
        <v>2570003</v>
      </c>
      <c r="Q115" s="144" t="s">
        <v>1006</v>
      </c>
      <c r="R115" s="144" t="s">
        <v>1007</v>
      </c>
      <c r="S115" s="149" t="s">
        <v>1008</v>
      </c>
      <c r="T115" s="131">
        <v>280</v>
      </c>
      <c r="U115" s="132">
        <v>119</v>
      </c>
      <c r="V115" s="132">
        <v>0</v>
      </c>
      <c r="W115" s="111" t="s">
        <v>3397</v>
      </c>
      <c r="X115" s="111" t="s">
        <v>3396</v>
      </c>
      <c r="Y115" s="142">
        <v>399</v>
      </c>
      <c r="Z115" s="131">
        <v>131</v>
      </c>
      <c r="AA115" s="132">
        <v>69</v>
      </c>
      <c r="AB115" s="132">
        <v>0</v>
      </c>
      <c r="AC115" s="111" t="s">
        <v>3399</v>
      </c>
      <c r="AD115" s="111" t="s">
        <v>2879</v>
      </c>
      <c r="AE115" s="142">
        <v>200</v>
      </c>
      <c r="AF115" s="150">
        <f t="shared" si="1"/>
        <v>599</v>
      </c>
      <c r="AG115" s="151"/>
      <c r="AH115" s="152"/>
    </row>
    <row r="116" spans="1:34" s="78" customFormat="1" ht="12" customHeight="1">
      <c r="A116" s="100">
        <v>1114</v>
      </c>
      <c r="B116" s="101" t="s">
        <v>3395</v>
      </c>
      <c r="C116" s="129" t="s">
        <v>4140</v>
      </c>
      <c r="D116" s="101" t="s">
        <v>3398</v>
      </c>
      <c r="E116" s="100">
        <v>1</v>
      </c>
      <c r="F116" s="143">
        <v>2</v>
      </c>
      <c r="G116" s="103">
        <v>114</v>
      </c>
      <c r="H116" s="144" t="s">
        <v>1009</v>
      </c>
      <c r="I116" s="145" t="s">
        <v>1009</v>
      </c>
      <c r="J116" s="146">
        <v>10500100179102</v>
      </c>
      <c r="K116" s="147" t="s">
        <v>353</v>
      </c>
      <c r="L116" s="147"/>
      <c r="M116" s="147">
        <v>7</v>
      </c>
      <c r="N116" s="148" t="s">
        <v>979</v>
      </c>
      <c r="O116" s="144" t="s">
        <v>1010</v>
      </c>
      <c r="P116" s="148">
        <v>2570719</v>
      </c>
      <c r="Q116" s="144" t="s">
        <v>1011</v>
      </c>
      <c r="R116" s="144" t="s">
        <v>1012</v>
      </c>
      <c r="S116" s="149" t="s">
        <v>1013</v>
      </c>
      <c r="T116" s="131">
        <v>150</v>
      </c>
      <c r="U116" s="132">
        <v>20</v>
      </c>
      <c r="V116" s="132">
        <v>0</v>
      </c>
      <c r="W116" s="111" t="s">
        <v>3397</v>
      </c>
      <c r="X116" s="111" t="s">
        <v>3396</v>
      </c>
      <c r="Y116" s="142">
        <v>170</v>
      </c>
      <c r="Z116" s="131">
        <v>40</v>
      </c>
      <c r="AA116" s="132">
        <v>100</v>
      </c>
      <c r="AB116" s="132">
        <v>0</v>
      </c>
      <c r="AC116" s="111" t="s">
        <v>3399</v>
      </c>
      <c r="AD116" s="111" t="s">
        <v>2879</v>
      </c>
      <c r="AE116" s="142">
        <v>140</v>
      </c>
      <c r="AF116" s="150">
        <f t="shared" si="1"/>
        <v>310</v>
      </c>
      <c r="AG116" s="151"/>
      <c r="AH116" s="152"/>
    </row>
    <row r="117" spans="1:34" s="78" customFormat="1" ht="12" customHeight="1">
      <c r="A117" s="100">
        <v>1115</v>
      </c>
      <c r="B117" s="101" t="s">
        <v>3395</v>
      </c>
      <c r="C117" s="129" t="s">
        <v>4140</v>
      </c>
      <c r="D117" s="101" t="s">
        <v>3398</v>
      </c>
      <c r="E117" s="100">
        <v>1</v>
      </c>
      <c r="F117" s="143">
        <v>2</v>
      </c>
      <c r="G117" s="103">
        <v>115</v>
      </c>
      <c r="H117" s="144" t="s">
        <v>1014</v>
      </c>
      <c r="I117" s="145" t="s">
        <v>1014</v>
      </c>
      <c r="J117" s="146">
        <v>10500101101101</v>
      </c>
      <c r="K117" s="147" t="s">
        <v>353</v>
      </c>
      <c r="L117" s="147"/>
      <c r="M117" s="147">
        <v>7</v>
      </c>
      <c r="N117" s="148" t="s">
        <v>1015</v>
      </c>
      <c r="O117" s="144" t="s">
        <v>1016</v>
      </c>
      <c r="P117" s="148" t="s">
        <v>1017</v>
      </c>
      <c r="Q117" s="144" t="s">
        <v>1018</v>
      </c>
      <c r="R117" s="144" t="s">
        <v>1019</v>
      </c>
      <c r="S117" s="149" t="s">
        <v>1020</v>
      </c>
      <c r="T117" s="131">
        <v>130</v>
      </c>
      <c r="U117" s="132">
        <v>160</v>
      </c>
      <c r="V117" s="132">
        <v>70</v>
      </c>
      <c r="W117" s="111" t="s">
        <v>3397</v>
      </c>
      <c r="X117" s="111" t="s">
        <v>3396</v>
      </c>
      <c r="Y117" s="142">
        <v>360</v>
      </c>
      <c r="Z117" s="131">
        <v>80</v>
      </c>
      <c r="AA117" s="132">
        <v>91</v>
      </c>
      <c r="AB117" s="132">
        <v>59</v>
      </c>
      <c r="AC117" s="111" t="s">
        <v>3399</v>
      </c>
      <c r="AD117" s="111" t="s">
        <v>2879</v>
      </c>
      <c r="AE117" s="142">
        <v>230</v>
      </c>
      <c r="AF117" s="150">
        <f t="shared" si="1"/>
        <v>590</v>
      </c>
      <c r="AG117" s="151"/>
      <c r="AH117" s="152"/>
    </row>
    <row r="118" spans="1:34" s="78" customFormat="1" ht="12" customHeight="1">
      <c r="A118" s="100">
        <v>1116</v>
      </c>
      <c r="B118" s="101" t="s">
        <v>3395</v>
      </c>
      <c r="C118" s="129" t="s">
        <v>4140</v>
      </c>
      <c r="D118" s="101" t="s">
        <v>3398</v>
      </c>
      <c r="E118" s="100">
        <v>1</v>
      </c>
      <c r="F118" s="143">
        <v>3</v>
      </c>
      <c r="G118" s="103">
        <v>116</v>
      </c>
      <c r="H118" s="144" t="s">
        <v>1021</v>
      </c>
      <c r="I118" s="148" t="s">
        <v>1021</v>
      </c>
      <c r="J118" s="146">
        <v>10500101942901</v>
      </c>
      <c r="K118" s="147" t="s">
        <v>353</v>
      </c>
      <c r="L118" s="147"/>
      <c r="M118" s="147">
        <v>8</v>
      </c>
      <c r="N118" s="148" t="s">
        <v>1022</v>
      </c>
      <c r="O118" s="144" t="s">
        <v>1023</v>
      </c>
      <c r="P118" s="148">
        <v>2848292</v>
      </c>
      <c r="Q118" s="144" t="s">
        <v>1024</v>
      </c>
      <c r="R118" s="144" t="s">
        <v>1025</v>
      </c>
      <c r="S118" s="149" t="s">
        <v>1026</v>
      </c>
      <c r="T118" s="131">
        <v>0</v>
      </c>
      <c r="U118" s="132">
        <v>160</v>
      </c>
      <c r="V118" s="132">
        <v>160</v>
      </c>
      <c r="W118" s="111" t="s">
        <v>3397</v>
      </c>
      <c r="X118" s="111" t="s">
        <v>3396</v>
      </c>
      <c r="Y118" s="142">
        <v>320</v>
      </c>
      <c r="Z118" s="131">
        <v>0</v>
      </c>
      <c r="AA118" s="132">
        <v>350</v>
      </c>
      <c r="AB118" s="132">
        <v>190</v>
      </c>
      <c r="AC118" s="111" t="s">
        <v>3399</v>
      </c>
      <c r="AD118" s="111" t="s">
        <v>2879</v>
      </c>
      <c r="AE118" s="142">
        <v>540</v>
      </c>
      <c r="AF118" s="150">
        <f t="shared" si="1"/>
        <v>860</v>
      </c>
      <c r="AG118" s="151" t="s">
        <v>404</v>
      </c>
      <c r="AH118" s="172"/>
    </row>
    <row r="119" spans="1:34" s="78" customFormat="1" ht="12" customHeight="1">
      <c r="A119" s="100">
        <v>1117</v>
      </c>
      <c r="B119" s="101" t="s">
        <v>3395</v>
      </c>
      <c r="C119" s="101" t="s">
        <v>3396</v>
      </c>
      <c r="D119" s="101" t="s">
        <v>3397</v>
      </c>
      <c r="E119" s="100">
        <v>1</v>
      </c>
      <c r="F119" s="143">
        <v>3</v>
      </c>
      <c r="G119" s="103">
        <v>117</v>
      </c>
      <c r="H119" s="144" t="s">
        <v>1027</v>
      </c>
      <c r="I119" s="148" t="s">
        <v>1027</v>
      </c>
      <c r="J119" s="146">
        <v>10500101942904</v>
      </c>
      <c r="K119" s="147" t="s">
        <v>353</v>
      </c>
      <c r="L119" s="147"/>
      <c r="M119" s="147">
        <v>8</v>
      </c>
      <c r="N119" s="148" t="s">
        <v>1022</v>
      </c>
      <c r="O119" s="144" t="s">
        <v>1028</v>
      </c>
      <c r="P119" s="148">
        <v>2847983</v>
      </c>
      <c r="Q119" s="144" t="s">
        <v>1024</v>
      </c>
      <c r="R119" s="144" t="s">
        <v>1029</v>
      </c>
      <c r="S119" s="149" t="s">
        <v>1030</v>
      </c>
      <c r="T119" s="131">
        <v>259</v>
      </c>
      <c r="U119" s="132">
        <v>86</v>
      </c>
      <c r="V119" s="132">
        <v>0</v>
      </c>
      <c r="W119" s="111" t="s">
        <v>3397</v>
      </c>
      <c r="X119" s="111" t="s">
        <v>3396</v>
      </c>
      <c r="Y119" s="142">
        <v>345</v>
      </c>
      <c r="Z119" s="131">
        <v>0</v>
      </c>
      <c r="AA119" s="132">
        <v>0</v>
      </c>
      <c r="AB119" s="132">
        <v>0</v>
      </c>
      <c r="AC119" s="111"/>
      <c r="AD119" s="111"/>
      <c r="AE119" s="142">
        <v>0</v>
      </c>
      <c r="AF119" s="150">
        <f t="shared" si="1"/>
        <v>345</v>
      </c>
      <c r="AG119" s="151" t="s">
        <v>404</v>
      </c>
      <c r="AH119" s="173"/>
    </row>
    <row r="120" spans="1:34" s="78" customFormat="1" ht="12" customHeight="1">
      <c r="A120" s="100">
        <v>1118</v>
      </c>
      <c r="B120" s="101" t="s">
        <v>3395</v>
      </c>
      <c r="C120" s="129" t="s">
        <v>4140</v>
      </c>
      <c r="D120" s="101" t="s">
        <v>3398</v>
      </c>
      <c r="E120" s="100">
        <v>1</v>
      </c>
      <c r="F120" s="143">
        <v>3</v>
      </c>
      <c r="G120" s="103">
        <v>118</v>
      </c>
      <c r="H120" s="144" t="s">
        <v>1031</v>
      </c>
      <c r="I120" s="148" t="s">
        <v>1031</v>
      </c>
      <c r="J120" s="146">
        <v>10500102613101</v>
      </c>
      <c r="K120" s="147" t="s">
        <v>353</v>
      </c>
      <c r="L120" s="147"/>
      <c r="M120" s="147">
        <v>8</v>
      </c>
      <c r="N120" s="148" t="s">
        <v>1032</v>
      </c>
      <c r="O120" s="144" t="s">
        <v>1033</v>
      </c>
      <c r="P120" s="148">
        <v>2223647</v>
      </c>
      <c r="Q120" s="144" t="s">
        <v>1034</v>
      </c>
      <c r="R120" s="144" t="s">
        <v>1035</v>
      </c>
      <c r="S120" s="149" t="s">
        <v>1036</v>
      </c>
      <c r="T120" s="131">
        <v>125</v>
      </c>
      <c r="U120" s="132">
        <v>190</v>
      </c>
      <c r="V120" s="132">
        <v>95</v>
      </c>
      <c r="W120" s="111" t="s">
        <v>3397</v>
      </c>
      <c r="X120" s="111" t="s">
        <v>3396</v>
      </c>
      <c r="Y120" s="142">
        <v>410</v>
      </c>
      <c r="Z120" s="131">
        <v>44</v>
      </c>
      <c r="AA120" s="132">
        <v>168</v>
      </c>
      <c r="AB120" s="132">
        <v>73</v>
      </c>
      <c r="AC120" s="111" t="s">
        <v>3399</v>
      </c>
      <c r="AD120" s="111" t="s">
        <v>2879</v>
      </c>
      <c r="AE120" s="142">
        <v>285</v>
      </c>
      <c r="AF120" s="150">
        <f t="shared" si="1"/>
        <v>695</v>
      </c>
      <c r="AG120" s="151"/>
      <c r="AH120" s="173"/>
    </row>
    <row r="121" spans="1:34" s="78" customFormat="1" ht="12" customHeight="1">
      <c r="A121" s="100">
        <v>1119</v>
      </c>
      <c r="B121" s="101" t="s">
        <v>3395</v>
      </c>
      <c r="C121" s="101" t="s">
        <v>3396</v>
      </c>
      <c r="D121" s="101" t="s">
        <v>3397</v>
      </c>
      <c r="E121" s="100">
        <v>1</v>
      </c>
      <c r="F121" s="143">
        <v>3</v>
      </c>
      <c r="G121" s="103">
        <v>119</v>
      </c>
      <c r="H121" s="144" t="s">
        <v>1037</v>
      </c>
      <c r="I121" s="148" t="s">
        <v>1037</v>
      </c>
      <c r="J121" s="146">
        <v>10500101269602</v>
      </c>
      <c r="K121" s="147" t="s">
        <v>353</v>
      </c>
      <c r="L121" s="147"/>
      <c r="M121" s="147">
        <v>8</v>
      </c>
      <c r="N121" s="148" t="s">
        <v>1038</v>
      </c>
      <c r="O121" s="144" t="s">
        <v>1039</v>
      </c>
      <c r="P121" s="148">
        <v>2841315</v>
      </c>
      <c r="Q121" s="144" t="s">
        <v>1040</v>
      </c>
      <c r="R121" s="144" t="s">
        <v>1041</v>
      </c>
      <c r="S121" s="149" t="s">
        <v>1042</v>
      </c>
      <c r="T121" s="131">
        <v>320</v>
      </c>
      <c r="U121" s="132">
        <v>0</v>
      </c>
      <c r="V121" s="132">
        <v>0</v>
      </c>
      <c r="W121" s="111" t="s">
        <v>3397</v>
      </c>
      <c r="X121" s="111" t="s">
        <v>3396</v>
      </c>
      <c r="Y121" s="142">
        <v>320</v>
      </c>
      <c r="Z121" s="131">
        <v>0</v>
      </c>
      <c r="AA121" s="132">
        <v>0</v>
      </c>
      <c r="AB121" s="132">
        <v>0</v>
      </c>
      <c r="AC121" s="111"/>
      <c r="AD121" s="111"/>
      <c r="AE121" s="142">
        <v>0</v>
      </c>
      <c r="AF121" s="150">
        <f t="shared" si="1"/>
        <v>320</v>
      </c>
      <c r="AG121" s="165"/>
      <c r="AH121" s="174"/>
    </row>
    <row r="122" spans="1:34" s="78" customFormat="1" ht="12" customHeight="1">
      <c r="A122" s="100">
        <v>1120</v>
      </c>
      <c r="B122" s="101" t="s">
        <v>3395</v>
      </c>
      <c r="C122" s="101" t="s">
        <v>3396</v>
      </c>
      <c r="D122" s="101" t="s">
        <v>3397</v>
      </c>
      <c r="E122" s="100">
        <v>1</v>
      </c>
      <c r="F122" s="143">
        <v>3</v>
      </c>
      <c r="G122" s="103">
        <v>120</v>
      </c>
      <c r="H122" s="144" t="s">
        <v>1043</v>
      </c>
      <c r="I122" s="148" t="s">
        <v>1043</v>
      </c>
      <c r="J122" s="146">
        <v>10500101269603</v>
      </c>
      <c r="K122" s="147" t="s">
        <v>353</v>
      </c>
      <c r="L122" s="147"/>
      <c r="M122" s="147">
        <v>8</v>
      </c>
      <c r="N122" s="148" t="s">
        <v>1038</v>
      </c>
      <c r="O122" s="144" t="s">
        <v>1044</v>
      </c>
      <c r="P122" s="148">
        <v>2841231</v>
      </c>
      <c r="Q122" s="144" t="s">
        <v>1040</v>
      </c>
      <c r="R122" s="144" t="s">
        <v>1045</v>
      </c>
      <c r="S122" s="149" t="s">
        <v>1046</v>
      </c>
      <c r="T122" s="131">
        <v>0</v>
      </c>
      <c r="U122" s="132">
        <v>250</v>
      </c>
      <c r="V122" s="132">
        <v>0</v>
      </c>
      <c r="W122" s="111" t="s">
        <v>3397</v>
      </c>
      <c r="X122" s="111" t="s">
        <v>3396</v>
      </c>
      <c r="Y122" s="142">
        <v>250</v>
      </c>
      <c r="Z122" s="131">
        <v>0</v>
      </c>
      <c r="AA122" s="132">
        <v>0</v>
      </c>
      <c r="AB122" s="132">
        <v>0</v>
      </c>
      <c r="AC122" s="111"/>
      <c r="AD122" s="111"/>
      <c r="AE122" s="142">
        <v>0</v>
      </c>
      <c r="AF122" s="150">
        <f t="shared" si="1"/>
        <v>250</v>
      </c>
      <c r="AG122" s="146" t="s">
        <v>404</v>
      </c>
      <c r="AH122" s="175"/>
    </row>
    <row r="123" spans="1:34" s="78" customFormat="1" ht="12" customHeight="1">
      <c r="A123" s="100">
        <v>1121</v>
      </c>
      <c r="B123" s="101" t="s">
        <v>3395</v>
      </c>
      <c r="C123" s="101" t="s">
        <v>3396</v>
      </c>
      <c r="D123" s="101" t="s">
        <v>3397</v>
      </c>
      <c r="E123" s="100">
        <v>1</v>
      </c>
      <c r="F123" s="143">
        <v>3</v>
      </c>
      <c r="G123" s="103">
        <v>121</v>
      </c>
      <c r="H123" s="144" t="s">
        <v>1047</v>
      </c>
      <c r="I123" s="148" t="s">
        <v>1047</v>
      </c>
      <c r="J123" s="146">
        <v>10500102658102</v>
      </c>
      <c r="K123" s="147" t="s">
        <v>353</v>
      </c>
      <c r="L123" s="147"/>
      <c r="M123" s="147">
        <v>8</v>
      </c>
      <c r="N123" s="148" t="s">
        <v>1048</v>
      </c>
      <c r="O123" s="144" t="s">
        <v>1049</v>
      </c>
      <c r="P123" s="148" t="s">
        <v>1050</v>
      </c>
      <c r="Q123" s="144" t="s">
        <v>1051</v>
      </c>
      <c r="R123" s="144" t="s">
        <v>1052</v>
      </c>
      <c r="S123" s="149" t="s">
        <v>1053</v>
      </c>
      <c r="T123" s="131">
        <v>310</v>
      </c>
      <c r="U123" s="132">
        <v>238</v>
      </c>
      <c r="V123" s="132">
        <v>0</v>
      </c>
      <c r="W123" s="111" t="s">
        <v>3397</v>
      </c>
      <c r="X123" s="111" t="s">
        <v>3396</v>
      </c>
      <c r="Y123" s="142">
        <v>548</v>
      </c>
      <c r="Z123" s="131">
        <v>0</v>
      </c>
      <c r="AA123" s="132">
        <v>0</v>
      </c>
      <c r="AB123" s="132">
        <v>0</v>
      </c>
      <c r="AC123" s="111"/>
      <c r="AD123" s="111"/>
      <c r="AE123" s="142">
        <v>0</v>
      </c>
      <c r="AF123" s="150">
        <f t="shared" si="1"/>
        <v>548</v>
      </c>
      <c r="AG123" s="146" t="s">
        <v>404</v>
      </c>
      <c r="AH123" s="172"/>
    </row>
    <row r="124" spans="1:34" s="78" customFormat="1" ht="12" customHeight="1" thickBot="1">
      <c r="A124" s="100">
        <v>1122</v>
      </c>
      <c r="B124" s="101" t="s">
        <v>3395</v>
      </c>
      <c r="C124" s="101" t="s">
        <v>3396</v>
      </c>
      <c r="D124" s="101" t="s">
        <v>3397</v>
      </c>
      <c r="E124" s="100">
        <v>1</v>
      </c>
      <c r="F124" s="143">
        <v>3</v>
      </c>
      <c r="G124" s="103">
        <v>122</v>
      </c>
      <c r="H124" s="176" t="s">
        <v>1054</v>
      </c>
      <c r="I124" s="148" t="s">
        <v>1054</v>
      </c>
      <c r="J124" s="146">
        <v>10500100056602</v>
      </c>
      <c r="K124" s="147" t="s">
        <v>353</v>
      </c>
      <c r="L124" s="177"/>
      <c r="M124" s="147">
        <v>8</v>
      </c>
      <c r="N124" s="148" t="s">
        <v>1055</v>
      </c>
      <c r="O124" s="144" t="s">
        <v>1056</v>
      </c>
      <c r="P124" s="148">
        <v>2695371</v>
      </c>
      <c r="Q124" s="144" t="s">
        <v>1057</v>
      </c>
      <c r="R124" s="144" t="s">
        <v>1058</v>
      </c>
      <c r="S124" s="149" t="s">
        <v>1059</v>
      </c>
      <c r="T124" s="131">
        <v>230</v>
      </c>
      <c r="U124" s="132">
        <v>90</v>
      </c>
      <c r="V124" s="132">
        <v>0</v>
      </c>
      <c r="W124" s="111" t="s">
        <v>3397</v>
      </c>
      <c r="X124" s="111" t="s">
        <v>3396</v>
      </c>
      <c r="Y124" s="142">
        <v>320</v>
      </c>
      <c r="Z124" s="131">
        <v>0</v>
      </c>
      <c r="AA124" s="132">
        <v>0</v>
      </c>
      <c r="AB124" s="132">
        <v>0</v>
      </c>
      <c r="AC124" s="111"/>
      <c r="AD124" s="111"/>
      <c r="AE124" s="142">
        <v>0</v>
      </c>
      <c r="AF124" s="150">
        <f t="shared" si="1"/>
        <v>320</v>
      </c>
      <c r="AG124" s="146" t="s">
        <v>404</v>
      </c>
      <c r="AH124" s="173"/>
    </row>
    <row r="125" spans="1:34" s="78" customFormat="1" ht="12" customHeight="1">
      <c r="A125" s="100">
        <v>1123</v>
      </c>
      <c r="B125" s="101" t="s">
        <v>3395</v>
      </c>
      <c r="C125" s="129" t="s">
        <v>4140</v>
      </c>
      <c r="D125" s="101" t="s">
        <v>3398</v>
      </c>
      <c r="E125" s="100">
        <v>1</v>
      </c>
      <c r="F125" s="143">
        <v>3</v>
      </c>
      <c r="G125" s="103">
        <v>123</v>
      </c>
      <c r="H125" s="144" t="s">
        <v>1060</v>
      </c>
      <c r="I125" s="148" t="s">
        <v>1060</v>
      </c>
      <c r="J125" s="146">
        <v>10500100235601</v>
      </c>
      <c r="K125" s="147" t="s">
        <v>353</v>
      </c>
      <c r="L125" s="147"/>
      <c r="M125" s="147">
        <v>8</v>
      </c>
      <c r="N125" s="148" t="s">
        <v>1061</v>
      </c>
      <c r="O125" s="144" t="s">
        <v>1062</v>
      </c>
      <c r="P125" s="148">
        <v>2260583</v>
      </c>
      <c r="Q125" s="144" t="s">
        <v>1063</v>
      </c>
      <c r="R125" s="144" t="s">
        <v>1063</v>
      </c>
      <c r="S125" s="149" t="s">
        <v>1064</v>
      </c>
      <c r="T125" s="131">
        <v>266</v>
      </c>
      <c r="U125" s="132">
        <v>129</v>
      </c>
      <c r="V125" s="132">
        <v>0</v>
      </c>
      <c r="W125" s="111" t="s">
        <v>3397</v>
      </c>
      <c r="X125" s="111" t="s">
        <v>3396</v>
      </c>
      <c r="Y125" s="142">
        <v>395</v>
      </c>
      <c r="Z125" s="131">
        <v>85</v>
      </c>
      <c r="AA125" s="132">
        <v>0</v>
      </c>
      <c r="AB125" s="132">
        <v>0</v>
      </c>
      <c r="AC125" s="111" t="s">
        <v>3399</v>
      </c>
      <c r="AD125" s="111" t="s">
        <v>2879</v>
      </c>
      <c r="AE125" s="142">
        <v>85</v>
      </c>
      <c r="AF125" s="150">
        <f t="shared" si="1"/>
        <v>480</v>
      </c>
      <c r="AG125" s="146" t="s">
        <v>404</v>
      </c>
      <c r="AH125" s="173"/>
    </row>
    <row r="126" spans="1:34" s="78" customFormat="1" ht="12" customHeight="1">
      <c r="A126" s="100">
        <v>1124</v>
      </c>
      <c r="B126" s="101" t="s">
        <v>3395</v>
      </c>
      <c r="C126" s="129" t="s">
        <v>4140</v>
      </c>
      <c r="D126" s="101" t="s">
        <v>3398</v>
      </c>
      <c r="E126" s="100">
        <v>1</v>
      </c>
      <c r="F126" s="143">
        <v>3</v>
      </c>
      <c r="G126" s="103">
        <v>124</v>
      </c>
      <c r="H126" s="144" t="s">
        <v>1065</v>
      </c>
      <c r="I126" s="148" t="s">
        <v>1065</v>
      </c>
      <c r="J126" s="146">
        <v>10500100970901</v>
      </c>
      <c r="K126" s="147" t="s">
        <v>353</v>
      </c>
      <c r="L126" s="147"/>
      <c r="M126" s="147">
        <v>8</v>
      </c>
      <c r="N126" s="148" t="s">
        <v>1032</v>
      </c>
      <c r="O126" s="144" t="s">
        <v>1066</v>
      </c>
      <c r="P126" s="148" t="s">
        <v>1067</v>
      </c>
      <c r="Q126" s="144" t="s">
        <v>1068</v>
      </c>
      <c r="R126" s="144" t="s">
        <v>1069</v>
      </c>
      <c r="S126" s="149" t="s">
        <v>1070</v>
      </c>
      <c r="T126" s="131">
        <v>0</v>
      </c>
      <c r="U126" s="132">
        <v>234</v>
      </c>
      <c r="V126" s="132">
        <v>58</v>
      </c>
      <c r="W126" s="111" t="s">
        <v>3397</v>
      </c>
      <c r="X126" s="111" t="s">
        <v>3396</v>
      </c>
      <c r="Y126" s="142">
        <v>292</v>
      </c>
      <c r="Z126" s="131">
        <v>0</v>
      </c>
      <c r="AA126" s="132">
        <v>202</v>
      </c>
      <c r="AB126" s="132">
        <v>187</v>
      </c>
      <c r="AC126" s="111" t="s">
        <v>3399</v>
      </c>
      <c r="AD126" s="111" t="s">
        <v>2879</v>
      </c>
      <c r="AE126" s="142">
        <v>389</v>
      </c>
      <c r="AF126" s="150">
        <f t="shared" si="1"/>
        <v>681</v>
      </c>
      <c r="AG126" s="146"/>
      <c r="AH126" s="173"/>
    </row>
    <row r="127" spans="1:34" s="78" customFormat="1" ht="12" customHeight="1">
      <c r="A127" s="100">
        <v>1125</v>
      </c>
      <c r="B127" s="101" t="s">
        <v>3395</v>
      </c>
      <c r="C127" s="101" t="s">
        <v>3396</v>
      </c>
      <c r="D127" s="101" t="s">
        <v>3397</v>
      </c>
      <c r="E127" s="100">
        <v>1</v>
      </c>
      <c r="F127" s="143">
        <v>3</v>
      </c>
      <c r="G127" s="103">
        <v>125</v>
      </c>
      <c r="H127" s="144" t="s">
        <v>1071</v>
      </c>
      <c r="I127" s="148" t="s">
        <v>1071</v>
      </c>
      <c r="J127" s="146">
        <v>10500100970904</v>
      </c>
      <c r="K127" s="147" t="s">
        <v>353</v>
      </c>
      <c r="L127" s="147"/>
      <c r="M127" s="147">
        <v>8</v>
      </c>
      <c r="N127" s="148" t="s">
        <v>1072</v>
      </c>
      <c r="O127" s="144" t="s">
        <v>1073</v>
      </c>
      <c r="P127" s="148">
        <v>2691841</v>
      </c>
      <c r="Q127" s="144" t="s">
        <v>1068</v>
      </c>
      <c r="R127" s="144" t="s">
        <v>1074</v>
      </c>
      <c r="S127" s="149" t="s">
        <v>1075</v>
      </c>
      <c r="T127" s="131">
        <v>67</v>
      </c>
      <c r="U127" s="132">
        <v>97</v>
      </c>
      <c r="V127" s="132">
        <v>0</v>
      </c>
      <c r="W127" s="111" t="s">
        <v>3397</v>
      </c>
      <c r="X127" s="111" t="s">
        <v>3396</v>
      </c>
      <c r="Y127" s="142">
        <v>164</v>
      </c>
      <c r="Z127" s="131">
        <v>0</v>
      </c>
      <c r="AA127" s="132">
        <v>0</v>
      </c>
      <c r="AB127" s="132">
        <v>0</v>
      </c>
      <c r="AC127" s="111"/>
      <c r="AD127" s="111"/>
      <c r="AE127" s="142">
        <v>0</v>
      </c>
      <c r="AF127" s="150">
        <f t="shared" si="1"/>
        <v>164</v>
      </c>
      <c r="AG127" s="146" t="s">
        <v>404</v>
      </c>
      <c r="AH127" s="115"/>
    </row>
    <row r="128" spans="1:34" s="78" customFormat="1" ht="12" customHeight="1">
      <c r="A128" s="100">
        <v>1126</v>
      </c>
      <c r="B128" s="101" t="s">
        <v>3395</v>
      </c>
      <c r="C128" s="129" t="s">
        <v>4140</v>
      </c>
      <c r="D128" s="101" t="s">
        <v>3398</v>
      </c>
      <c r="E128" s="100">
        <v>1</v>
      </c>
      <c r="F128" s="143">
        <v>3</v>
      </c>
      <c r="G128" s="103">
        <v>126</v>
      </c>
      <c r="H128" s="144" t="s">
        <v>1076</v>
      </c>
      <c r="I128" s="148" t="s">
        <v>1076</v>
      </c>
      <c r="J128" s="146">
        <v>10500102577101</v>
      </c>
      <c r="K128" s="147" t="s">
        <v>353</v>
      </c>
      <c r="L128" s="147"/>
      <c r="M128" s="147">
        <v>8</v>
      </c>
      <c r="N128" s="148" t="s">
        <v>1022</v>
      </c>
      <c r="O128" s="144" t="s">
        <v>1077</v>
      </c>
      <c r="P128" s="148" t="s">
        <v>1078</v>
      </c>
      <c r="Q128" s="144" t="s">
        <v>1079</v>
      </c>
      <c r="R128" s="144" t="s">
        <v>1080</v>
      </c>
      <c r="S128" s="149" t="s">
        <v>1081</v>
      </c>
      <c r="T128" s="131">
        <v>56</v>
      </c>
      <c r="U128" s="132">
        <v>495</v>
      </c>
      <c r="V128" s="132">
        <v>69</v>
      </c>
      <c r="W128" s="111" t="s">
        <v>3397</v>
      </c>
      <c r="X128" s="111" t="s">
        <v>3396</v>
      </c>
      <c r="Y128" s="142">
        <v>620</v>
      </c>
      <c r="Z128" s="131">
        <v>0</v>
      </c>
      <c r="AA128" s="132">
        <v>160</v>
      </c>
      <c r="AB128" s="132">
        <v>0</v>
      </c>
      <c r="AC128" s="111" t="s">
        <v>3399</v>
      </c>
      <c r="AD128" s="111" t="s">
        <v>2879</v>
      </c>
      <c r="AE128" s="142">
        <v>160</v>
      </c>
      <c r="AF128" s="150">
        <f t="shared" si="1"/>
        <v>780</v>
      </c>
      <c r="AG128" s="146"/>
      <c r="AH128" s="173"/>
    </row>
    <row r="129" spans="1:34" s="78" customFormat="1" ht="12" customHeight="1">
      <c r="A129" s="100">
        <v>1127</v>
      </c>
      <c r="B129" s="101" t="s">
        <v>3395</v>
      </c>
      <c r="C129" s="101" t="s">
        <v>3396</v>
      </c>
      <c r="D129" s="101" t="s">
        <v>3397</v>
      </c>
      <c r="E129" s="100">
        <v>1</v>
      </c>
      <c r="F129" s="143">
        <v>3</v>
      </c>
      <c r="G129" s="103">
        <v>127</v>
      </c>
      <c r="H129" s="144" t="s">
        <v>1082</v>
      </c>
      <c r="I129" s="148" t="s">
        <v>1082</v>
      </c>
      <c r="J129" s="146">
        <v>10500102577102</v>
      </c>
      <c r="K129" s="147" t="s">
        <v>353</v>
      </c>
      <c r="L129" s="147"/>
      <c r="M129" s="147">
        <v>8</v>
      </c>
      <c r="N129" s="148" t="s">
        <v>1083</v>
      </c>
      <c r="O129" s="144" t="s">
        <v>1084</v>
      </c>
      <c r="P129" s="148">
        <v>2845326</v>
      </c>
      <c r="Q129" s="144" t="s">
        <v>1085</v>
      </c>
      <c r="R129" s="144" t="s">
        <v>1086</v>
      </c>
      <c r="S129" s="149" t="s">
        <v>1087</v>
      </c>
      <c r="T129" s="131">
        <v>296</v>
      </c>
      <c r="U129" s="132">
        <v>64</v>
      </c>
      <c r="V129" s="132">
        <v>0</v>
      </c>
      <c r="W129" s="111" t="s">
        <v>3397</v>
      </c>
      <c r="X129" s="111" t="s">
        <v>3396</v>
      </c>
      <c r="Y129" s="142">
        <v>360</v>
      </c>
      <c r="Z129" s="131">
        <v>0</v>
      </c>
      <c r="AA129" s="132">
        <v>0</v>
      </c>
      <c r="AB129" s="132">
        <v>0</v>
      </c>
      <c r="AC129" s="111"/>
      <c r="AD129" s="111"/>
      <c r="AE129" s="142">
        <v>0</v>
      </c>
      <c r="AF129" s="150">
        <f t="shared" si="1"/>
        <v>360</v>
      </c>
      <c r="AG129" s="172"/>
      <c r="AH129" s="172"/>
    </row>
    <row r="130" spans="1:34" s="78" customFormat="1" ht="12" customHeight="1">
      <c r="A130" s="100">
        <v>1128</v>
      </c>
      <c r="B130" s="101" t="s">
        <v>3395</v>
      </c>
      <c r="C130" s="101" t="s">
        <v>3396</v>
      </c>
      <c r="D130" s="101" t="s">
        <v>3397</v>
      </c>
      <c r="E130" s="100">
        <v>1</v>
      </c>
      <c r="F130" s="143">
        <v>3</v>
      </c>
      <c r="G130" s="103">
        <v>128</v>
      </c>
      <c r="H130" s="178" t="s">
        <v>1088</v>
      </c>
      <c r="I130" s="179" t="s">
        <v>1088</v>
      </c>
      <c r="J130" s="180">
        <v>10500101107002</v>
      </c>
      <c r="K130" s="181" t="s">
        <v>353</v>
      </c>
      <c r="L130" s="181"/>
      <c r="M130" s="181">
        <v>9</v>
      </c>
      <c r="N130" s="179" t="s">
        <v>1089</v>
      </c>
      <c r="O130" s="178" t="s">
        <v>1090</v>
      </c>
      <c r="P130" s="179">
        <v>2212665</v>
      </c>
      <c r="Q130" s="178" t="s">
        <v>1091</v>
      </c>
      <c r="R130" s="178" t="s">
        <v>1092</v>
      </c>
      <c r="S130" s="182" t="s">
        <v>1093</v>
      </c>
      <c r="T130" s="163">
        <v>113</v>
      </c>
      <c r="U130" s="164">
        <v>87</v>
      </c>
      <c r="V130" s="164">
        <v>0</v>
      </c>
      <c r="W130" s="111" t="s">
        <v>3397</v>
      </c>
      <c r="X130" s="111" t="s">
        <v>3396</v>
      </c>
      <c r="Y130" s="142">
        <v>200</v>
      </c>
      <c r="Z130" s="163">
        <v>0</v>
      </c>
      <c r="AA130" s="164">
        <v>0</v>
      </c>
      <c r="AB130" s="164">
        <v>0</v>
      </c>
      <c r="AC130" s="111"/>
      <c r="AD130" s="111"/>
      <c r="AE130" s="142">
        <v>0</v>
      </c>
      <c r="AF130" s="150">
        <f t="shared" si="1"/>
        <v>200</v>
      </c>
      <c r="AG130" s="180"/>
      <c r="AH130" s="183"/>
    </row>
    <row r="131" spans="1:34" s="78" customFormat="1" ht="12" customHeight="1">
      <c r="A131" s="100">
        <v>1129</v>
      </c>
      <c r="B131" s="101" t="s">
        <v>3395</v>
      </c>
      <c r="C131" s="101" t="s">
        <v>3396</v>
      </c>
      <c r="D131" s="101" t="s">
        <v>3397</v>
      </c>
      <c r="E131" s="100">
        <v>1</v>
      </c>
      <c r="F131" s="143">
        <v>3</v>
      </c>
      <c r="G131" s="103">
        <v>129</v>
      </c>
      <c r="H131" s="144" t="s">
        <v>1094</v>
      </c>
      <c r="I131" s="148" t="s">
        <v>1094</v>
      </c>
      <c r="J131" s="146">
        <v>10500100322101</v>
      </c>
      <c r="K131" s="147" t="s">
        <v>353</v>
      </c>
      <c r="L131" s="147"/>
      <c r="M131" s="147">
        <v>9</v>
      </c>
      <c r="N131" s="148" t="s">
        <v>1095</v>
      </c>
      <c r="O131" s="144" t="s">
        <v>1096</v>
      </c>
      <c r="P131" s="148">
        <v>2217929</v>
      </c>
      <c r="Q131" s="144" t="s">
        <v>1097</v>
      </c>
      <c r="R131" s="144" t="s">
        <v>1098</v>
      </c>
      <c r="S131" s="149" t="s">
        <v>1099</v>
      </c>
      <c r="T131" s="131">
        <v>172</v>
      </c>
      <c r="U131" s="132">
        <v>178</v>
      </c>
      <c r="V131" s="132">
        <v>70</v>
      </c>
      <c r="W131" s="111" t="s">
        <v>3397</v>
      </c>
      <c r="X131" s="111" t="s">
        <v>3396</v>
      </c>
      <c r="Y131" s="142">
        <v>420</v>
      </c>
      <c r="Z131" s="131">
        <v>0</v>
      </c>
      <c r="AA131" s="132">
        <v>0</v>
      </c>
      <c r="AB131" s="132">
        <v>0</v>
      </c>
      <c r="AC131" s="111"/>
      <c r="AD131" s="111"/>
      <c r="AE131" s="142">
        <v>0</v>
      </c>
      <c r="AF131" s="150">
        <f t="shared" ref="AF131:AF194" si="2">+Y131+AE131</f>
        <v>420</v>
      </c>
      <c r="AG131" s="172"/>
      <c r="AH131" s="172"/>
    </row>
    <row r="132" spans="1:34" s="78" customFormat="1" ht="12" customHeight="1">
      <c r="A132" s="100">
        <v>1130</v>
      </c>
      <c r="B132" s="101" t="s">
        <v>3395</v>
      </c>
      <c r="C132" s="129" t="s">
        <v>4140</v>
      </c>
      <c r="D132" s="101" t="s">
        <v>3398</v>
      </c>
      <c r="E132" s="100">
        <v>1</v>
      </c>
      <c r="F132" s="143">
        <v>3</v>
      </c>
      <c r="G132" s="103">
        <v>130</v>
      </c>
      <c r="H132" s="144" t="s">
        <v>1100</v>
      </c>
      <c r="I132" s="148" t="s">
        <v>1100</v>
      </c>
      <c r="J132" s="146">
        <v>10500101967401</v>
      </c>
      <c r="K132" s="147" t="s">
        <v>353</v>
      </c>
      <c r="L132" s="147"/>
      <c r="M132" s="147">
        <v>9</v>
      </c>
      <c r="N132" s="148" t="s">
        <v>1101</v>
      </c>
      <c r="O132" s="144" t="s">
        <v>1102</v>
      </c>
      <c r="P132" s="148" t="s">
        <v>1103</v>
      </c>
      <c r="Q132" s="144" t="s">
        <v>1104</v>
      </c>
      <c r="R132" s="144" t="s">
        <v>1105</v>
      </c>
      <c r="S132" s="149" t="s">
        <v>1106</v>
      </c>
      <c r="T132" s="131">
        <v>93</v>
      </c>
      <c r="U132" s="132">
        <v>180</v>
      </c>
      <c r="V132" s="132">
        <v>107</v>
      </c>
      <c r="W132" s="111" t="s">
        <v>3397</v>
      </c>
      <c r="X132" s="111" t="s">
        <v>3396</v>
      </c>
      <c r="Y132" s="142">
        <v>380</v>
      </c>
      <c r="Z132" s="131">
        <v>46</v>
      </c>
      <c r="AA132" s="132">
        <v>88</v>
      </c>
      <c r="AB132" s="132">
        <v>46</v>
      </c>
      <c r="AC132" s="111" t="s">
        <v>3399</v>
      </c>
      <c r="AD132" s="111" t="s">
        <v>2879</v>
      </c>
      <c r="AE132" s="142">
        <v>180</v>
      </c>
      <c r="AF132" s="150">
        <f t="shared" si="2"/>
        <v>560</v>
      </c>
      <c r="AG132" s="146"/>
      <c r="AH132" s="173"/>
    </row>
    <row r="133" spans="1:34" s="78" customFormat="1" ht="12" customHeight="1">
      <c r="A133" s="100">
        <v>1131</v>
      </c>
      <c r="B133" s="101" t="s">
        <v>3395</v>
      </c>
      <c r="C133" s="129" t="s">
        <v>4140</v>
      </c>
      <c r="D133" s="101" t="s">
        <v>3398</v>
      </c>
      <c r="E133" s="100">
        <v>1</v>
      </c>
      <c r="F133" s="143">
        <v>3</v>
      </c>
      <c r="G133" s="103">
        <v>131</v>
      </c>
      <c r="H133" s="144" t="s">
        <v>1107</v>
      </c>
      <c r="I133" s="148" t="s">
        <v>1107</v>
      </c>
      <c r="J133" s="146">
        <v>10500100041801</v>
      </c>
      <c r="K133" s="147" t="s">
        <v>353</v>
      </c>
      <c r="L133" s="147"/>
      <c r="M133" s="147">
        <v>9</v>
      </c>
      <c r="N133" s="148" t="s">
        <v>1108</v>
      </c>
      <c r="O133" s="144" t="s">
        <v>1109</v>
      </c>
      <c r="P133" s="148" t="s">
        <v>1110</v>
      </c>
      <c r="Q133" s="144" t="s">
        <v>1111</v>
      </c>
      <c r="R133" s="144" t="s">
        <v>1112</v>
      </c>
      <c r="S133" s="149" t="s">
        <v>1113</v>
      </c>
      <c r="T133" s="131">
        <v>0</v>
      </c>
      <c r="U133" s="132">
        <v>170</v>
      </c>
      <c r="V133" s="132">
        <v>130</v>
      </c>
      <c r="W133" s="111" t="s">
        <v>3397</v>
      </c>
      <c r="X133" s="111" t="s">
        <v>3396</v>
      </c>
      <c r="Y133" s="142">
        <v>300</v>
      </c>
      <c r="Z133" s="131">
        <v>0</v>
      </c>
      <c r="AA133" s="132">
        <v>240</v>
      </c>
      <c r="AB133" s="132">
        <v>60</v>
      </c>
      <c r="AC133" s="111" t="s">
        <v>3399</v>
      </c>
      <c r="AD133" s="111" t="s">
        <v>2879</v>
      </c>
      <c r="AE133" s="142">
        <v>300</v>
      </c>
      <c r="AF133" s="150">
        <f t="shared" si="2"/>
        <v>600</v>
      </c>
      <c r="AG133" s="146"/>
      <c r="AH133" s="173"/>
    </row>
    <row r="134" spans="1:34" s="78" customFormat="1" ht="12" customHeight="1" thickBot="1">
      <c r="A134" s="100">
        <v>1132</v>
      </c>
      <c r="B134" s="101" t="s">
        <v>3395</v>
      </c>
      <c r="C134" s="129" t="s">
        <v>4140</v>
      </c>
      <c r="D134" s="101" t="s">
        <v>3398</v>
      </c>
      <c r="E134" s="100">
        <v>1</v>
      </c>
      <c r="F134" s="184">
        <v>3</v>
      </c>
      <c r="G134" s="103">
        <v>132</v>
      </c>
      <c r="H134" s="144" t="s">
        <v>1114</v>
      </c>
      <c r="I134" s="185" t="s">
        <v>1114</v>
      </c>
      <c r="J134" s="186">
        <v>10500100041802</v>
      </c>
      <c r="K134" s="187" t="s">
        <v>353</v>
      </c>
      <c r="L134" s="147"/>
      <c r="M134" s="187">
        <v>9</v>
      </c>
      <c r="N134" s="185" t="s">
        <v>1115</v>
      </c>
      <c r="O134" s="188" t="s">
        <v>1116</v>
      </c>
      <c r="P134" s="185" t="s">
        <v>1117</v>
      </c>
      <c r="Q134" s="188" t="s">
        <v>1111</v>
      </c>
      <c r="R134" s="188" t="s">
        <v>1118</v>
      </c>
      <c r="S134" s="189" t="s">
        <v>1119</v>
      </c>
      <c r="T134" s="190">
        <v>220</v>
      </c>
      <c r="U134" s="191">
        <v>160</v>
      </c>
      <c r="V134" s="191">
        <v>0</v>
      </c>
      <c r="W134" s="111" t="s">
        <v>3397</v>
      </c>
      <c r="X134" s="111" t="s">
        <v>3396</v>
      </c>
      <c r="Y134" s="192">
        <v>380</v>
      </c>
      <c r="Z134" s="190">
        <v>155</v>
      </c>
      <c r="AA134" s="191">
        <v>115</v>
      </c>
      <c r="AB134" s="191">
        <v>0</v>
      </c>
      <c r="AC134" s="111" t="s">
        <v>3399</v>
      </c>
      <c r="AD134" s="111" t="s">
        <v>2879</v>
      </c>
      <c r="AE134" s="192">
        <v>270</v>
      </c>
      <c r="AF134" s="193">
        <f t="shared" si="2"/>
        <v>650</v>
      </c>
      <c r="AG134" s="186" t="s">
        <v>404</v>
      </c>
      <c r="AH134" s="194"/>
    </row>
    <row r="135" spans="1:34" s="78" customFormat="1" ht="12" customHeight="1">
      <c r="A135" s="100">
        <v>1133</v>
      </c>
      <c r="B135" s="101" t="s">
        <v>3395</v>
      </c>
      <c r="C135" s="129" t="s">
        <v>4140</v>
      </c>
      <c r="D135" s="101" t="s">
        <v>3398</v>
      </c>
      <c r="E135" s="100">
        <v>1</v>
      </c>
      <c r="F135" s="195">
        <v>3</v>
      </c>
      <c r="G135" s="103">
        <v>133</v>
      </c>
      <c r="H135" s="166" t="s">
        <v>1120</v>
      </c>
      <c r="I135" s="196" t="s">
        <v>1120</v>
      </c>
      <c r="J135" s="197">
        <v>10500100099001</v>
      </c>
      <c r="K135" s="198" t="s">
        <v>353</v>
      </c>
      <c r="L135" s="167"/>
      <c r="M135" s="198">
        <v>9</v>
      </c>
      <c r="N135" s="196" t="s">
        <v>1121</v>
      </c>
      <c r="O135" s="199" t="s">
        <v>1122</v>
      </c>
      <c r="P135" s="196" t="s">
        <v>1123</v>
      </c>
      <c r="Q135" s="199" t="s">
        <v>1124</v>
      </c>
      <c r="R135" s="199" t="s">
        <v>1125</v>
      </c>
      <c r="S135" s="200" t="s">
        <v>1126</v>
      </c>
      <c r="T135" s="201">
        <v>0</v>
      </c>
      <c r="U135" s="202">
        <v>217</v>
      </c>
      <c r="V135" s="202">
        <v>103</v>
      </c>
      <c r="W135" s="111" t="s">
        <v>3397</v>
      </c>
      <c r="X135" s="111" t="s">
        <v>3396</v>
      </c>
      <c r="Y135" s="203">
        <v>320</v>
      </c>
      <c r="Z135" s="201">
        <v>0</v>
      </c>
      <c r="AA135" s="202">
        <v>74</v>
      </c>
      <c r="AB135" s="202">
        <v>186</v>
      </c>
      <c r="AC135" s="111" t="s">
        <v>3399</v>
      </c>
      <c r="AD135" s="111" t="s">
        <v>2879</v>
      </c>
      <c r="AE135" s="203">
        <v>260</v>
      </c>
      <c r="AF135" s="204">
        <f t="shared" si="2"/>
        <v>580</v>
      </c>
      <c r="AG135" s="205"/>
      <c r="AH135" s="206" t="s">
        <v>1127</v>
      </c>
    </row>
    <row r="136" spans="1:34" s="78" customFormat="1" ht="12" customHeight="1" thickBot="1">
      <c r="A136" s="100">
        <v>1134</v>
      </c>
      <c r="B136" s="101" t="s">
        <v>3395</v>
      </c>
      <c r="C136" s="129" t="s">
        <v>4140</v>
      </c>
      <c r="D136" s="101" t="s">
        <v>3398</v>
      </c>
      <c r="E136" s="100">
        <v>1</v>
      </c>
      <c r="F136" s="207">
        <v>3</v>
      </c>
      <c r="G136" s="103">
        <v>134</v>
      </c>
      <c r="H136" s="166" t="s">
        <v>1120</v>
      </c>
      <c r="I136" s="208" t="s">
        <v>1128</v>
      </c>
      <c r="J136" s="209">
        <v>10500100099003</v>
      </c>
      <c r="K136" s="210" t="s">
        <v>353</v>
      </c>
      <c r="L136" s="167"/>
      <c r="M136" s="210">
        <v>9</v>
      </c>
      <c r="N136" s="208" t="s">
        <v>1089</v>
      </c>
      <c r="O136" s="211" t="s">
        <v>1122</v>
      </c>
      <c r="P136" s="208">
        <v>2696380</v>
      </c>
      <c r="Q136" s="211" t="s">
        <v>1124</v>
      </c>
      <c r="R136" s="211" t="s">
        <v>1129</v>
      </c>
      <c r="S136" s="212" t="s">
        <v>1126</v>
      </c>
      <c r="T136" s="213">
        <v>175</v>
      </c>
      <c r="U136" s="214">
        <v>70</v>
      </c>
      <c r="V136" s="214">
        <v>0</v>
      </c>
      <c r="W136" s="111" t="s">
        <v>3397</v>
      </c>
      <c r="X136" s="111" t="s">
        <v>3396</v>
      </c>
      <c r="Y136" s="215">
        <v>245</v>
      </c>
      <c r="Z136" s="213">
        <v>65</v>
      </c>
      <c r="AA136" s="214">
        <v>45</v>
      </c>
      <c r="AB136" s="214">
        <v>0</v>
      </c>
      <c r="AC136" s="111" t="s">
        <v>3399</v>
      </c>
      <c r="AD136" s="111" t="s">
        <v>2879</v>
      </c>
      <c r="AE136" s="215">
        <v>110</v>
      </c>
      <c r="AF136" s="216">
        <f t="shared" si="2"/>
        <v>355</v>
      </c>
      <c r="AG136" s="209" t="s">
        <v>404</v>
      </c>
      <c r="AH136" s="217" t="s">
        <v>1127</v>
      </c>
    </row>
    <row r="137" spans="1:34" s="78" customFormat="1" ht="12" customHeight="1">
      <c r="A137" s="100">
        <v>1135</v>
      </c>
      <c r="B137" s="101" t="s">
        <v>3395</v>
      </c>
      <c r="C137" s="129" t="s">
        <v>4140</v>
      </c>
      <c r="D137" s="101" t="s">
        <v>3398</v>
      </c>
      <c r="E137" s="100">
        <v>1</v>
      </c>
      <c r="F137" s="218">
        <v>3</v>
      </c>
      <c r="G137" s="103">
        <v>135</v>
      </c>
      <c r="H137" s="144" t="s">
        <v>1130</v>
      </c>
      <c r="I137" s="219" t="s">
        <v>1130</v>
      </c>
      <c r="J137" s="220">
        <v>10500100099002</v>
      </c>
      <c r="K137" s="221" t="s">
        <v>353</v>
      </c>
      <c r="L137" s="147"/>
      <c r="M137" s="221">
        <v>9</v>
      </c>
      <c r="N137" s="219" t="s">
        <v>1108</v>
      </c>
      <c r="O137" s="222" t="s">
        <v>1131</v>
      </c>
      <c r="P137" s="219" t="s">
        <v>1132</v>
      </c>
      <c r="Q137" s="222" t="s">
        <v>1124</v>
      </c>
      <c r="R137" s="222" t="s">
        <v>1133</v>
      </c>
      <c r="S137" s="223" t="s">
        <v>1134</v>
      </c>
      <c r="T137" s="224">
        <v>224</v>
      </c>
      <c r="U137" s="225">
        <v>77</v>
      </c>
      <c r="V137" s="225">
        <v>0</v>
      </c>
      <c r="W137" s="111" t="s">
        <v>3397</v>
      </c>
      <c r="X137" s="111" t="s">
        <v>3396</v>
      </c>
      <c r="Y137" s="226">
        <v>301</v>
      </c>
      <c r="Z137" s="224">
        <v>53</v>
      </c>
      <c r="AA137" s="225">
        <v>55</v>
      </c>
      <c r="AB137" s="225">
        <v>0</v>
      </c>
      <c r="AC137" s="111" t="s">
        <v>3399</v>
      </c>
      <c r="AD137" s="111" t="s">
        <v>2879</v>
      </c>
      <c r="AE137" s="226">
        <v>108</v>
      </c>
      <c r="AF137" s="227">
        <f t="shared" si="2"/>
        <v>409</v>
      </c>
      <c r="AG137" s="220"/>
      <c r="AH137" s="228"/>
    </row>
    <row r="138" spans="1:34" s="78" customFormat="1" ht="12" customHeight="1">
      <c r="A138" s="100">
        <v>1136</v>
      </c>
      <c r="B138" s="101" t="s">
        <v>3395</v>
      </c>
      <c r="C138" s="101" t="s">
        <v>3396</v>
      </c>
      <c r="D138" s="101" t="s">
        <v>3397</v>
      </c>
      <c r="E138" s="100">
        <v>1</v>
      </c>
      <c r="F138" s="143">
        <v>3</v>
      </c>
      <c r="G138" s="103">
        <v>136</v>
      </c>
      <c r="H138" s="144" t="s">
        <v>1135</v>
      </c>
      <c r="I138" s="148" t="s">
        <v>1135</v>
      </c>
      <c r="J138" s="146">
        <v>10500102666201</v>
      </c>
      <c r="K138" s="147" t="s">
        <v>353</v>
      </c>
      <c r="L138" s="147"/>
      <c r="M138" s="147">
        <v>9</v>
      </c>
      <c r="N138" s="148" t="s">
        <v>1136</v>
      </c>
      <c r="O138" s="144" t="s">
        <v>1137</v>
      </c>
      <c r="P138" s="148" t="s">
        <v>1138</v>
      </c>
      <c r="Q138" s="144" t="s">
        <v>1139</v>
      </c>
      <c r="R138" s="144" t="s">
        <v>1140</v>
      </c>
      <c r="S138" s="149" t="s">
        <v>1141</v>
      </c>
      <c r="T138" s="131">
        <v>130</v>
      </c>
      <c r="U138" s="132">
        <v>50</v>
      </c>
      <c r="V138" s="132">
        <v>70</v>
      </c>
      <c r="W138" s="111" t="s">
        <v>3397</v>
      </c>
      <c r="X138" s="111" t="s">
        <v>3396</v>
      </c>
      <c r="Y138" s="142">
        <v>250</v>
      </c>
      <c r="Z138" s="131">
        <v>0</v>
      </c>
      <c r="AA138" s="132">
        <v>0</v>
      </c>
      <c r="AB138" s="132">
        <v>0</v>
      </c>
      <c r="AC138" s="111"/>
      <c r="AD138" s="111"/>
      <c r="AE138" s="142">
        <v>0</v>
      </c>
      <c r="AF138" s="150">
        <f t="shared" si="2"/>
        <v>250</v>
      </c>
      <c r="AG138" s="146" t="s">
        <v>404</v>
      </c>
      <c r="AH138" s="173"/>
    </row>
    <row r="139" spans="1:34" s="78" customFormat="1" ht="12" customHeight="1">
      <c r="A139" s="100">
        <v>1137</v>
      </c>
      <c r="B139" s="101" t="s">
        <v>3395</v>
      </c>
      <c r="C139" s="129" t="s">
        <v>4140</v>
      </c>
      <c r="D139" s="101" t="s">
        <v>3398</v>
      </c>
      <c r="E139" s="100">
        <v>1</v>
      </c>
      <c r="F139" s="143">
        <v>3</v>
      </c>
      <c r="G139" s="103">
        <v>137</v>
      </c>
      <c r="H139" s="144" t="s">
        <v>1142</v>
      </c>
      <c r="I139" s="148" t="s">
        <v>1142</v>
      </c>
      <c r="J139" s="146">
        <v>30500101969001</v>
      </c>
      <c r="K139" s="147" t="s">
        <v>353</v>
      </c>
      <c r="L139" s="147"/>
      <c r="M139" s="147">
        <v>9</v>
      </c>
      <c r="N139" s="148" t="s">
        <v>1143</v>
      </c>
      <c r="O139" s="144" t="s">
        <v>1144</v>
      </c>
      <c r="P139" s="148" t="s">
        <v>1145</v>
      </c>
      <c r="Q139" s="144" t="s">
        <v>1146</v>
      </c>
      <c r="R139" s="144" t="s">
        <v>1147</v>
      </c>
      <c r="S139" s="149" t="s">
        <v>1148</v>
      </c>
      <c r="T139" s="131">
        <v>426</v>
      </c>
      <c r="U139" s="132">
        <v>164</v>
      </c>
      <c r="V139" s="132">
        <v>60</v>
      </c>
      <c r="W139" s="111" t="s">
        <v>3397</v>
      </c>
      <c r="X139" s="111" t="s">
        <v>3396</v>
      </c>
      <c r="Y139" s="142">
        <v>650</v>
      </c>
      <c r="Z139" s="131">
        <v>0</v>
      </c>
      <c r="AA139" s="132">
        <v>476</v>
      </c>
      <c r="AB139" s="132">
        <v>99</v>
      </c>
      <c r="AC139" s="111" t="s">
        <v>3399</v>
      </c>
      <c r="AD139" s="111" t="s">
        <v>2879</v>
      </c>
      <c r="AE139" s="142">
        <v>575</v>
      </c>
      <c r="AF139" s="150">
        <f t="shared" si="2"/>
        <v>1225</v>
      </c>
      <c r="AG139" s="146"/>
      <c r="AH139" s="173"/>
    </row>
    <row r="140" spans="1:34" s="78" customFormat="1" ht="12" customHeight="1">
      <c r="A140" s="100">
        <v>1138</v>
      </c>
      <c r="B140" s="101" t="s">
        <v>3395</v>
      </c>
      <c r="C140" s="129" t="s">
        <v>4140</v>
      </c>
      <c r="D140" s="101" t="s">
        <v>3398</v>
      </c>
      <c r="E140" s="100">
        <v>1</v>
      </c>
      <c r="F140" s="143">
        <v>3</v>
      </c>
      <c r="G140" s="103">
        <v>138</v>
      </c>
      <c r="H140" s="144" t="s">
        <v>1149</v>
      </c>
      <c r="I140" s="148" t="s">
        <v>1149</v>
      </c>
      <c r="J140" s="146">
        <v>10500100201101</v>
      </c>
      <c r="K140" s="147" t="s">
        <v>353</v>
      </c>
      <c r="L140" s="147"/>
      <c r="M140" s="147">
        <v>9</v>
      </c>
      <c r="N140" s="148" t="s">
        <v>1121</v>
      </c>
      <c r="O140" s="144" t="s">
        <v>1150</v>
      </c>
      <c r="P140" s="148" t="s">
        <v>1151</v>
      </c>
      <c r="Q140" s="144" t="s">
        <v>1152</v>
      </c>
      <c r="R140" s="144" t="s">
        <v>1153</v>
      </c>
      <c r="S140" s="149" t="s">
        <v>1154</v>
      </c>
      <c r="T140" s="131">
        <v>30</v>
      </c>
      <c r="U140" s="132">
        <v>40</v>
      </c>
      <c r="V140" s="132">
        <v>50</v>
      </c>
      <c r="W140" s="111" t="s">
        <v>3397</v>
      </c>
      <c r="X140" s="111" t="s">
        <v>3396</v>
      </c>
      <c r="Y140" s="142">
        <v>120</v>
      </c>
      <c r="Z140" s="131">
        <v>200</v>
      </c>
      <c r="AA140" s="132">
        <v>200</v>
      </c>
      <c r="AB140" s="132">
        <v>140</v>
      </c>
      <c r="AC140" s="111" t="s">
        <v>3399</v>
      </c>
      <c r="AD140" s="111" t="s">
        <v>2879</v>
      </c>
      <c r="AE140" s="142">
        <v>540</v>
      </c>
      <c r="AF140" s="150">
        <f t="shared" si="2"/>
        <v>660</v>
      </c>
      <c r="AG140" s="146"/>
      <c r="AH140" s="173"/>
    </row>
    <row r="141" spans="1:34" s="78" customFormat="1" ht="12" customHeight="1">
      <c r="A141" s="100">
        <v>1139</v>
      </c>
      <c r="B141" s="101" t="s">
        <v>3395</v>
      </c>
      <c r="C141" s="101" t="s">
        <v>3396</v>
      </c>
      <c r="D141" s="101" t="s">
        <v>3397</v>
      </c>
      <c r="E141" s="100">
        <v>1</v>
      </c>
      <c r="F141" s="143">
        <v>3</v>
      </c>
      <c r="G141" s="103">
        <v>139</v>
      </c>
      <c r="H141" s="144" t="s">
        <v>1155</v>
      </c>
      <c r="I141" s="148" t="s">
        <v>1155</v>
      </c>
      <c r="J141" s="146">
        <v>10500100156202</v>
      </c>
      <c r="K141" s="147" t="s">
        <v>353</v>
      </c>
      <c r="L141" s="147"/>
      <c r="M141" s="147">
        <v>10</v>
      </c>
      <c r="N141" s="148" t="s">
        <v>1156</v>
      </c>
      <c r="O141" s="144" t="s">
        <v>1157</v>
      </c>
      <c r="P141" s="148">
        <v>2390534</v>
      </c>
      <c r="Q141" s="144" t="s">
        <v>1158</v>
      </c>
      <c r="R141" s="144" t="s">
        <v>1159</v>
      </c>
      <c r="S141" s="149" t="s">
        <v>1160</v>
      </c>
      <c r="T141" s="131">
        <v>45</v>
      </c>
      <c r="U141" s="132">
        <v>60</v>
      </c>
      <c r="V141" s="132">
        <v>0</v>
      </c>
      <c r="W141" s="111" t="s">
        <v>3397</v>
      </c>
      <c r="X141" s="111" t="s">
        <v>3396</v>
      </c>
      <c r="Y141" s="142">
        <v>105</v>
      </c>
      <c r="Z141" s="131">
        <v>0</v>
      </c>
      <c r="AA141" s="132">
        <v>0</v>
      </c>
      <c r="AB141" s="132">
        <v>0</v>
      </c>
      <c r="AC141" s="111"/>
      <c r="AD141" s="111"/>
      <c r="AE141" s="142">
        <v>0</v>
      </c>
      <c r="AF141" s="150">
        <f t="shared" si="2"/>
        <v>105</v>
      </c>
      <c r="AG141" s="146"/>
      <c r="AH141" s="173"/>
    </row>
    <row r="142" spans="1:34" s="78" customFormat="1" ht="12" customHeight="1">
      <c r="A142" s="100">
        <v>1140</v>
      </c>
      <c r="B142" s="101" t="s">
        <v>3395</v>
      </c>
      <c r="C142" s="101" t="s">
        <v>3396</v>
      </c>
      <c r="D142" s="101" t="s">
        <v>3397</v>
      </c>
      <c r="E142" s="100">
        <v>1</v>
      </c>
      <c r="F142" s="143">
        <v>3</v>
      </c>
      <c r="G142" s="103">
        <v>140</v>
      </c>
      <c r="H142" s="144" t="s">
        <v>1161</v>
      </c>
      <c r="I142" s="148" t="s">
        <v>1161</v>
      </c>
      <c r="J142" s="146">
        <v>10500100156203</v>
      </c>
      <c r="K142" s="147" t="s">
        <v>353</v>
      </c>
      <c r="L142" s="147"/>
      <c r="M142" s="147">
        <v>10</v>
      </c>
      <c r="N142" s="148" t="s">
        <v>1162</v>
      </c>
      <c r="O142" s="144" t="s">
        <v>1163</v>
      </c>
      <c r="P142" s="148" t="s">
        <v>1164</v>
      </c>
      <c r="Q142" s="144" t="s">
        <v>1158</v>
      </c>
      <c r="R142" s="144" t="s">
        <v>1165</v>
      </c>
      <c r="S142" s="149" t="s">
        <v>1166</v>
      </c>
      <c r="T142" s="131">
        <v>137</v>
      </c>
      <c r="U142" s="132">
        <v>49</v>
      </c>
      <c r="V142" s="132">
        <v>0</v>
      </c>
      <c r="W142" s="111" t="s">
        <v>3397</v>
      </c>
      <c r="X142" s="111" t="s">
        <v>3396</v>
      </c>
      <c r="Y142" s="142">
        <v>186</v>
      </c>
      <c r="Z142" s="131">
        <v>0</v>
      </c>
      <c r="AA142" s="132">
        <v>0</v>
      </c>
      <c r="AB142" s="132">
        <v>0</v>
      </c>
      <c r="AC142" s="111"/>
      <c r="AD142" s="111"/>
      <c r="AE142" s="142">
        <v>0</v>
      </c>
      <c r="AF142" s="150">
        <f t="shared" si="2"/>
        <v>186</v>
      </c>
      <c r="AG142" s="146"/>
      <c r="AH142" s="173"/>
    </row>
    <row r="143" spans="1:34" s="78" customFormat="1" ht="12" customHeight="1">
      <c r="A143" s="100">
        <v>1141</v>
      </c>
      <c r="B143" s="101" t="s">
        <v>3395</v>
      </c>
      <c r="C143" s="101" t="s">
        <v>3396</v>
      </c>
      <c r="D143" s="101" t="s">
        <v>3397</v>
      </c>
      <c r="E143" s="100">
        <v>1</v>
      </c>
      <c r="F143" s="143">
        <v>3</v>
      </c>
      <c r="G143" s="103">
        <v>141</v>
      </c>
      <c r="H143" s="144" t="s">
        <v>1167</v>
      </c>
      <c r="I143" s="148" t="s">
        <v>1167</v>
      </c>
      <c r="J143" s="146">
        <v>10500100534701</v>
      </c>
      <c r="K143" s="147" t="s">
        <v>353</v>
      </c>
      <c r="L143" s="147"/>
      <c r="M143" s="147">
        <v>10</v>
      </c>
      <c r="N143" s="148" t="s">
        <v>1168</v>
      </c>
      <c r="O143" s="144" t="s">
        <v>1169</v>
      </c>
      <c r="P143" s="148" t="s">
        <v>1170</v>
      </c>
      <c r="Q143" s="144" t="s">
        <v>1171</v>
      </c>
      <c r="R143" s="144" t="s">
        <v>1172</v>
      </c>
      <c r="S143" s="149" t="s">
        <v>1173</v>
      </c>
      <c r="T143" s="131">
        <v>142</v>
      </c>
      <c r="U143" s="132">
        <v>139</v>
      </c>
      <c r="V143" s="132">
        <v>67</v>
      </c>
      <c r="W143" s="111" t="s">
        <v>3397</v>
      </c>
      <c r="X143" s="111" t="s">
        <v>3396</v>
      </c>
      <c r="Y143" s="142">
        <v>348</v>
      </c>
      <c r="Z143" s="131">
        <v>0</v>
      </c>
      <c r="AA143" s="132">
        <v>0</v>
      </c>
      <c r="AB143" s="132">
        <v>0</v>
      </c>
      <c r="AC143" s="111"/>
      <c r="AD143" s="111"/>
      <c r="AE143" s="142">
        <v>0</v>
      </c>
      <c r="AF143" s="150">
        <f t="shared" si="2"/>
        <v>348</v>
      </c>
      <c r="AG143" s="146"/>
      <c r="AH143" s="173"/>
    </row>
    <row r="144" spans="1:34" s="78" customFormat="1" ht="12" customHeight="1">
      <c r="A144" s="100">
        <v>1142</v>
      </c>
      <c r="B144" s="101" t="s">
        <v>3395</v>
      </c>
      <c r="C144" s="129" t="s">
        <v>4140</v>
      </c>
      <c r="D144" s="101" t="s">
        <v>3398</v>
      </c>
      <c r="E144" s="100">
        <v>1</v>
      </c>
      <c r="F144" s="143">
        <v>3</v>
      </c>
      <c r="G144" s="103">
        <v>142</v>
      </c>
      <c r="H144" s="144" t="s">
        <v>1174</v>
      </c>
      <c r="I144" s="148" t="s">
        <v>1174</v>
      </c>
      <c r="J144" s="146">
        <v>10500100035304</v>
      </c>
      <c r="K144" s="147" t="s">
        <v>353</v>
      </c>
      <c r="L144" s="147"/>
      <c r="M144" s="147">
        <v>10</v>
      </c>
      <c r="N144" s="148" t="s">
        <v>1175</v>
      </c>
      <c r="O144" s="144" t="s">
        <v>1176</v>
      </c>
      <c r="P144" s="148" t="s">
        <v>1177</v>
      </c>
      <c r="Q144" s="144" t="s">
        <v>1178</v>
      </c>
      <c r="R144" s="144" t="s">
        <v>1179</v>
      </c>
      <c r="S144" s="149" t="s">
        <v>1180</v>
      </c>
      <c r="T144" s="131">
        <v>84</v>
      </c>
      <c r="U144" s="132">
        <v>104</v>
      </c>
      <c r="V144" s="132">
        <v>0</v>
      </c>
      <c r="W144" s="111" t="s">
        <v>3397</v>
      </c>
      <c r="X144" s="111" t="s">
        <v>3396</v>
      </c>
      <c r="Y144" s="142">
        <v>188</v>
      </c>
      <c r="Z144" s="131">
        <v>67</v>
      </c>
      <c r="AA144" s="132">
        <v>70</v>
      </c>
      <c r="AB144" s="132">
        <v>0</v>
      </c>
      <c r="AC144" s="111" t="s">
        <v>3399</v>
      </c>
      <c r="AD144" s="111" t="s">
        <v>2879</v>
      </c>
      <c r="AE144" s="142">
        <v>137</v>
      </c>
      <c r="AF144" s="150">
        <f t="shared" si="2"/>
        <v>325</v>
      </c>
      <c r="AG144" s="146"/>
      <c r="AH144" s="173"/>
    </row>
    <row r="145" spans="1:34" s="78" customFormat="1" ht="12" customHeight="1">
      <c r="A145" s="100">
        <v>1143</v>
      </c>
      <c r="B145" s="101" t="s">
        <v>3395</v>
      </c>
      <c r="C145" s="129" t="s">
        <v>4141</v>
      </c>
      <c r="D145" s="101" t="s">
        <v>3397</v>
      </c>
      <c r="E145" s="100">
        <v>1</v>
      </c>
      <c r="F145" s="143">
        <v>4</v>
      </c>
      <c r="G145" s="103">
        <v>143</v>
      </c>
      <c r="H145" s="144" t="s">
        <v>1181</v>
      </c>
      <c r="I145" s="145" t="s">
        <v>1181</v>
      </c>
      <c r="J145" s="146">
        <v>10500100211904</v>
      </c>
      <c r="K145" s="147" t="s">
        <v>353</v>
      </c>
      <c r="L145" s="147"/>
      <c r="M145" s="147">
        <v>11</v>
      </c>
      <c r="N145" s="148" t="s">
        <v>1182</v>
      </c>
      <c r="O145" s="144" t="s">
        <v>1183</v>
      </c>
      <c r="P145" s="148">
        <v>2606802</v>
      </c>
      <c r="Q145" s="144" t="s">
        <v>1184</v>
      </c>
      <c r="R145" s="144" t="s">
        <v>1185</v>
      </c>
      <c r="S145" s="149" t="s">
        <v>1186</v>
      </c>
      <c r="T145" s="131">
        <v>187</v>
      </c>
      <c r="U145" s="132">
        <v>113</v>
      </c>
      <c r="V145" s="132">
        <v>0</v>
      </c>
      <c r="W145" s="111" t="s">
        <v>3397</v>
      </c>
      <c r="X145" s="111" t="s">
        <v>2879</v>
      </c>
      <c r="Y145" s="142">
        <v>300</v>
      </c>
      <c r="Z145" s="131">
        <v>0</v>
      </c>
      <c r="AA145" s="132">
        <v>0</v>
      </c>
      <c r="AB145" s="132">
        <v>0</v>
      </c>
      <c r="AC145" s="111"/>
      <c r="AD145" s="111"/>
      <c r="AE145" s="142">
        <v>0</v>
      </c>
      <c r="AF145" s="150">
        <f t="shared" si="2"/>
        <v>300</v>
      </c>
      <c r="AG145" s="146"/>
      <c r="AH145" s="173"/>
    </row>
    <row r="146" spans="1:34" s="78" customFormat="1" ht="12" customHeight="1">
      <c r="A146" s="100">
        <v>1144</v>
      </c>
      <c r="B146" s="101" t="s">
        <v>3395</v>
      </c>
      <c r="C146" s="129" t="s">
        <v>4141</v>
      </c>
      <c r="D146" s="101" t="s">
        <v>3398</v>
      </c>
      <c r="E146" s="100">
        <v>1</v>
      </c>
      <c r="F146" s="143">
        <v>4</v>
      </c>
      <c r="G146" s="103">
        <v>144</v>
      </c>
      <c r="H146" s="144" t="s">
        <v>1187</v>
      </c>
      <c r="I146" s="145" t="s">
        <v>1187</v>
      </c>
      <c r="J146" s="146">
        <v>10500100211902</v>
      </c>
      <c r="K146" s="147" t="s">
        <v>353</v>
      </c>
      <c r="L146" s="147"/>
      <c r="M146" s="147">
        <v>11</v>
      </c>
      <c r="N146" s="148" t="s">
        <v>1188</v>
      </c>
      <c r="O146" s="144" t="s">
        <v>1189</v>
      </c>
      <c r="P146" s="148" t="s">
        <v>1190</v>
      </c>
      <c r="Q146" s="144" t="s">
        <v>1191</v>
      </c>
      <c r="R146" s="144" t="s">
        <v>1192</v>
      </c>
      <c r="S146" s="149" t="s">
        <v>1193</v>
      </c>
      <c r="T146" s="131">
        <v>163</v>
      </c>
      <c r="U146" s="132">
        <v>57</v>
      </c>
      <c r="V146" s="132">
        <v>0</v>
      </c>
      <c r="W146" s="111" t="s">
        <v>3397</v>
      </c>
      <c r="X146" s="111" t="s">
        <v>2879</v>
      </c>
      <c r="Y146" s="142">
        <v>220</v>
      </c>
      <c r="Z146" s="131">
        <v>106</v>
      </c>
      <c r="AA146" s="132">
        <v>74</v>
      </c>
      <c r="AB146" s="132">
        <v>0</v>
      </c>
      <c r="AC146" s="111" t="s">
        <v>3399</v>
      </c>
      <c r="AD146" s="111" t="s">
        <v>2879</v>
      </c>
      <c r="AE146" s="142">
        <v>180</v>
      </c>
      <c r="AF146" s="150">
        <f t="shared" si="2"/>
        <v>400</v>
      </c>
      <c r="AG146" s="146"/>
      <c r="AH146" s="173"/>
    </row>
    <row r="147" spans="1:34" s="78" customFormat="1" ht="12" customHeight="1">
      <c r="A147" s="100">
        <v>1145</v>
      </c>
      <c r="B147" s="101" t="s">
        <v>3395</v>
      </c>
      <c r="C147" s="129" t="s">
        <v>4141</v>
      </c>
      <c r="D147" s="101" t="s">
        <v>3397</v>
      </c>
      <c r="E147" s="100">
        <v>1</v>
      </c>
      <c r="F147" s="143">
        <v>4</v>
      </c>
      <c r="G147" s="103">
        <v>145</v>
      </c>
      <c r="H147" s="144" t="s">
        <v>1194</v>
      </c>
      <c r="I147" s="145" t="s">
        <v>1194</v>
      </c>
      <c r="J147" s="146">
        <v>10500100211903</v>
      </c>
      <c r="K147" s="147" t="s">
        <v>353</v>
      </c>
      <c r="L147" s="147"/>
      <c r="M147" s="147">
        <v>11</v>
      </c>
      <c r="N147" s="148" t="s">
        <v>1195</v>
      </c>
      <c r="O147" s="144" t="s">
        <v>1196</v>
      </c>
      <c r="P147" s="148">
        <v>2304985</v>
      </c>
      <c r="Q147" s="144" t="s">
        <v>1197</v>
      </c>
      <c r="R147" s="144" t="s">
        <v>1198</v>
      </c>
      <c r="S147" s="149" t="s">
        <v>1199</v>
      </c>
      <c r="T147" s="131">
        <v>100</v>
      </c>
      <c r="U147" s="132">
        <v>80</v>
      </c>
      <c r="V147" s="132">
        <v>0</v>
      </c>
      <c r="W147" s="111" t="s">
        <v>3397</v>
      </c>
      <c r="X147" s="111" t="s">
        <v>2879</v>
      </c>
      <c r="Y147" s="142">
        <v>180</v>
      </c>
      <c r="Z147" s="131">
        <v>0</v>
      </c>
      <c r="AA147" s="132">
        <v>0</v>
      </c>
      <c r="AB147" s="132">
        <v>0</v>
      </c>
      <c r="AC147" s="111"/>
      <c r="AD147" s="111"/>
      <c r="AE147" s="142">
        <v>0</v>
      </c>
      <c r="AF147" s="150">
        <f t="shared" si="2"/>
        <v>180</v>
      </c>
      <c r="AG147" s="146"/>
      <c r="AH147" s="115"/>
    </row>
    <row r="148" spans="1:34" s="78" customFormat="1" ht="12" customHeight="1">
      <c r="A148" s="100">
        <v>1146</v>
      </c>
      <c r="B148" s="101" t="s">
        <v>3395</v>
      </c>
      <c r="C148" s="129" t="s">
        <v>4141</v>
      </c>
      <c r="D148" s="101" t="s">
        <v>3397</v>
      </c>
      <c r="E148" s="100">
        <v>1</v>
      </c>
      <c r="F148" s="143">
        <v>4</v>
      </c>
      <c r="G148" s="103">
        <v>146</v>
      </c>
      <c r="H148" s="144" t="s">
        <v>1200</v>
      </c>
      <c r="I148" s="145" t="s">
        <v>1200</v>
      </c>
      <c r="J148" s="146">
        <v>10500100246101</v>
      </c>
      <c r="K148" s="147" t="s">
        <v>353</v>
      </c>
      <c r="L148" s="147"/>
      <c r="M148" s="147">
        <v>11</v>
      </c>
      <c r="N148" s="148" t="s">
        <v>1201</v>
      </c>
      <c r="O148" s="144" t="s">
        <v>1202</v>
      </c>
      <c r="P148" s="148" t="s">
        <v>1203</v>
      </c>
      <c r="Q148" s="144" t="s">
        <v>1204</v>
      </c>
      <c r="R148" s="144" t="s">
        <v>1205</v>
      </c>
      <c r="S148" s="149" t="s">
        <v>1206</v>
      </c>
      <c r="T148" s="131">
        <v>0</v>
      </c>
      <c r="U148" s="132">
        <v>90</v>
      </c>
      <c r="V148" s="132">
        <v>90</v>
      </c>
      <c r="W148" s="111" t="s">
        <v>3397</v>
      </c>
      <c r="X148" s="111" t="s">
        <v>2879</v>
      </c>
      <c r="Y148" s="142">
        <v>180</v>
      </c>
      <c r="Z148" s="131">
        <v>0</v>
      </c>
      <c r="AA148" s="132">
        <v>0</v>
      </c>
      <c r="AB148" s="132">
        <v>0</v>
      </c>
      <c r="AC148" s="111"/>
      <c r="AD148" s="111"/>
      <c r="AE148" s="142">
        <v>0</v>
      </c>
      <c r="AF148" s="150">
        <f t="shared" si="2"/>
        <v>180</v>
      </c>
      <c r="AG148" s="146" t="s">
        <v>404</v>
      </c>
      <c r="AH148" s="173"/>
    </row>
    <row r="149" spans="1:34" s="78" customFormat="1" ht="12" customHeight="1">
      <c r="A149" s="100">
        <v>1147</v>
      </c>
      <c r="B149" s="101" t="s">
        <v>3395</v>
      </c>
      <c r="C149" s="129" t="s">
        <v>4141</v>
      </c>
      <c r="D149" s="101" t="s">
        <v>3397</v>
      </c>
      <c r="E149" s="100">
        <v>1</v>
      </c>
      <c r="F149" s="143">
        <v>4</v>
      </c>
      <c r="G149" s="103">
        <v>147</v>
      </c>
      <c r="H149" s="144" t="s">
        <v>1207</v>
      </c>
      <c r="I149" s="145" t="s">
        <v>1207</v>
      </c>
      <c r="J149" s="146">
        <v>10500100202002</v>
      </c>
      <c r="K149" s="147" t="s">
        <v>353</v>
      </c>
      <c r="L149" s="147"/>
      <c r="M149" s="147">
        <v>12</v>
      </c>
      <c r="N149" s="148" t="s">
        <v>1208</v>
      </c>
      <c r="O149" s="144" t="s">
        <v>1209</v>
      </c>
      <c r="P149" s="148">
        <v>2508012</v>
      </c>
      <c r="Q149" s="144" t="s">
        <v>1210</v>
      </c>
      <c r="R149" s="144" t="s">
        <v>1211</v>
      </c>
      <c r="S149" s="149" t="s">
        <v>1212</v>
      </c>
      <c r="T149" s="131">
        <v>96</v>
      </c>
      <c r="U149" s="132">
        <v>54</v>
      </c>
      <c r="V149" s="132">
        <v>0</v>
      </c>
      <c r="W149" s="111" t="s">
        <v>3397</v>
      </c>
      <c r="X149" s="111" t="s">
        <v>2879</v>
      </c>
      <c r="Y149" s="142">
        <v>150</v>
      </c>
      <c r="Z149" s="131">
        <v>0</v>
      </c>
      <c r="AA149" s="132">
        <v>0</v>
      </c>
      <c r="AB149" s="132">
        <v>0</v>
      </c>
      <c r="AC149" s="111"/>
      <c r="AD149" s="111"/>
      <c r="AE149" s="142">
        <v>0</v>
      </c>
      <c r="AF149" s="150">
        <f t="shared" si="2"/>
        <v>150</v>
      </c>
      <c r="AG149" s="146"/>
      <c r="AH149" s="173"/>
    </row>
    <row r="150" spans="1:34" s="78" customFormat="1" ht="12" customHeight="1">
      <c r="A150" s="100">
        <v>1148</v>
      </c>
      <c r="B150" s="101" t="s">
        <v>3395</v>
      </c>
      <c r="C150" s="129" t="s">
        <v>4141</v>
      </c>
      <c r="D150" s="101" t="s">
        <v>3397</v>
      </c>
      <c r="E150" s="100">
        <v>1</v>
      </c>
      <c r="F150" s="143">
        <v>4</v>
      </c>
      <c r="G150" s="103">
        <v>148</v>
      </c>
      <c r="H150" s="144" t="s">
        <v>1213</v>
      </c>
      <c r="I150" s="145" t="s">
        <v>1213</v>
      </c>
      <c r="J150" s="146">
        <v>10500100289501</v>
      </c>
      <c r="K150" s="147" t="s">
        <v>353</v>
      </c>
      <c r="L150" s="147"/>
      <c r="M150" s="147">
        <v>12</v>
      </c>
      <c r="N150" s="148" t="s">
        <v>1214</v>
      </c>
      <c r="O150" s="144" t="s">
        <v>1215</v>
      </c>
      <c r="P150" s="148" t="s">
        <v>1216</v>
      </c>
      <c r="Q150" s="144" t="s">
        <v>1217</v>
      </c>
      <c r="R150" s="144" t="s">
        <v>1218</v>
      </c>
      <c r="S150" s="149" t="s">
        <v>1219</v>
      </c>
      <c r="T150" s="131">
        <v>43</v>
      </c>
      <c r="U150" s="132">
        <v>72</v>
      </c>
      <c r="V150" s="132">
        <v>0</v>
      </c>
      <c r="W150" s="111" t="s">
        <v>3397</v>
      </c>
      <c r="X150" s="111" t="s">
        <v>2879</v>
      </c>
      <c r="Y150" s="142">
        <v>115</v>
      </c>
      <c r="Z150" s="131">
        <v>0</v>
      </c>
      <c r="AA150" s="132">
        <v>0</v>
      </c>
      <c r="AB150" s="132">
        <v>0</v>
      </c>
      <c r="AC150" s="111"/>
      <c r="AD150" s="111"/>
      <c r="AE150" s="142">
        <v>0</v>
      </c>
      <c r="AF150" s="150">
        <f t="shared" si="2"/>
        <v>115</v>
      </c>
      <c r="AG150" s="146"/>
      <c r="AH150" s="173"/>
    </row>
    <row r="151" spans="1:34" s="78" customFormat="1" ht="12" customHeight="1">
      <c r="A151" s="100">
        <v>1149</v>
      </c>
      <c r="B151" s="101" t="s">
        <v>3395</v>
      </c>
      <c r="C151" s="129" t="s">
        <v>4141</v>
      </c>
      <c r="D151" s="101" t="s">
        <v>3397</v>
      </c>
      <c r="E151" s="100">
        <v>1</v>
      </c>
      <c r="F151" s="143">
        <v>4</v>
      </c>
      <c r="G151" s="103">
        <v>149</v>
      </c>
      <c r="H151" s="144" t="s">
        <v>1220</v>
      </c>
      <c r="I151" s="145" t="s">
        <v>1220</v>
      </c>
      <c r="J151" s="146">
        <v>10500100338701</v>
      </c>
      <c r="K151" s="147" t="s">
        <v>353</v>
      </c>
      <c r="L151" s="147"/>
      <c r="M151" s="147">
        <v>12</v>
      </c>
      <c r="N151" s="148" t="s">
        <v>1221</v>
      </c>
      <c r="O151" s="144" t="s">
        <v>1222</v>
      </c>
      <c r="P151" s="148" t="s">
        <v>1223</v>
      </c>
      <c r="Q151" s="144" t="s">
        <v>1224</v>
      </c>
      <c r="R151" s="144" t="s">
        <v>1225</v>
      </c>
      <c r="S151" s="149" t="s">
        <v>1226</v>
      </c>
      <c r="T151" s="131">
        <v>114</v>
      </c>
      <c r="U151" s="132">
        <v>80</v>
      </c>
      <c r="V151" s="132">
        <v>0</v>
      </c>
      <c r="W151" s="111" t="s">
        <v>3397</v>
      </c>
      <c r="X151" s="111" t="s">
        <v>2879</v>
      </c>
      <c r="Y151" s="142">
        <v>194</v>
      </c>
      <c r="Z151" s="131">
        <v>0</v>
      </c>
      <c r="AA151" s="132">
        <v>0</v>
      </c>
      <c r="AB151" s="132">
        <v>0</v>
      </c>
      <c r="AC151" s="111"/>
      <c r="AD151" s="111"/>
      <c r="AE151" s="142">
        <v>0</v>
      </c>
      <c r="AF151" s="150">
        <f t="shared" si="2"/>
        <v>194</v>
      </c>
      <c r="AG151" s="146"/>
      <c r="AH151" s="173"/>
    </row>
    <row r="152" spans="1:34" s="78" customFormat="1" ht="12" customHeight="1">
      <c r="A152" s="100">
        <v>1150</v>
      </c>
      <c r="B152" s="101" t="s">
        <v>3395</v>
      </c>
      <c r="C152" s="129" t="s">
        <v>4141</v>
      </c>
      <c r="D152" s="101" t="s">
        <v>3398</v>
      </c>
      <c r="E152" s="100">
        <v>1</v>
      </c>
      <c r="F152" s="143">
        <v>4</v>
      </c>
      <c r="G152" s="103">
        <v>150</v>
      </c>
      <c r="H152" s="144" t="s">
        <v>1227</v>
      </c>
      <c r="I152" s="145" t="s">
        <v>1228</v>
      </c>
      <c r="J152" s="146">
        <v>10500100698001</v>
      </c>
      <c r="K152" s="147" t="s">
        <v>353</v>
      </c>
      <c r="L152" s="147"/>
      <c r="M152" s="147">
        <v>12</v>
      </c>
      <c r="N152" s="148" t="s">
        <v>1221</v>
      </c>
      <c r="O152" s="144" t="s">
        <v>1229</v>
      </c>
      <c r="P152" s="148" t="s">
        <v>1230</v>
      </c>
      <c r="Q152" s="144" t="s">
        <v>1231</v>
      </c>
      <c r="R152" s="144" t="s">
        <v>1232</v>
      </c>
      <c r="S152" s="149" t="s">
        <v>1233</v>
      </c>
      <c r="T152" s="131">
        <v>0</v>
      </c>
      <c r="U152" s="132">
        <v>179</v>
      </c>
      <c r="V152" s="132">
        <v>156</v>
      </c>
      <c r="W152" s="111" t="s">
        <v>3397</v>
      </c>
      <c r="X152" s="111" t="s">
        <v>2879</v>
      </c>
      <c r="Y152" s="142">
        <v>335</v>
      </c>
      <c r="Z152" s="131">
        <v>0</v>
      </c>
      <c r="AA152" s="132">
        <v>215</v>
      </c>
      <c r="AB152" s="132">
        <v>45</v>
      </c>
      <c r="AC152" s="111" t="s">
        <v>3399</v>
      </c>
      <c r="AD152" s="111" t="s">
        <v>2879</v>
      </c>
      <c r="AE152" s="142">
        <v>260</v>
      </c>
      <c r="AF152" s="150">
        <f t="shared" si="2"/>
        <v>595</v>
      </c>
      <c r="AG152" s="146" t="s">
        <v>404</v>
      </c>
      <c r="AH152" s="173"/>
    </row>
    <row r="153" spans="1:34" s="78" customFormat="1" ht="12" customHeight="1">
      <c r="A153" s="100">
        <v>1151</v>
      </c>
      <c r="B153" s="101" t="s">
        <v>3395</v>
      </c>
      <c r="C153" s="129" t="s">
        <v>4141</v>
      </c>
      <c r="D153" s="101" t="s">
        <v>3397</v>
      </c>
      <c r="E153" s="100">
        <v>1</v>
      </c>
      <c r="F153" s="143">
        <v>4</v>
      </c>
      <c r="G153" s="103">
        <v>151</v>
      </c>
      <c r="H153" s="144" t="s">
        <v>1234</v>
      </c>
      <c r="I153" s="145" t="s">
        <v>1234</v>
      </c>
      <c r="J153" s="146">
        <v>10500100698002</v>
      </c>
      <c r="K153" s="147" t="s">
        <v>353</v>
      </c>
      <c r="L153" s="147"/>
      <c r="M153" s="147">
        <v>12</v>
      </c>
      <c r="N153" s="148" t="s">
        <v>1221</v>
      </c>
      <c r="O153" s="144" t="s">
        <v>1235</v>
      </c>
      <c r="P153" s="148">
        <v>4119245</v>
      </c>
      <c r="Q153" s="144" t="s">
        <v>1236</v>
      </c>
      <c r="R153" s="144" t="s">
        <v>1237</v>
      </c>
      <c r="S153" s="149" t="s">
        <v>1238</v>
      </c>
      <c r="T153" s="131">
        <v>81</v>
      </c>
      <c r="U153" s="132">
        <v>49</v>
      </c>
      <c r="V153" s="132">
        <v>0</v>
      </c>
      <c r="W153" s="111" t="s">
        <v>3397</v>
      </c>
      <c r="X153" s="111" t="s">
        <v>2879</v>
      </c>
      <c r="Y153" s="142">
        <v>130</v>
      </c>
      <c r="Z153" s="131">
        <v>0</v>
      </c>
      <c r="AA153" s="132">
        <v>0</v>
      </c>
      <c r="AB153" s="132">
        <v>0</v>
      </c>
      <c r="AC153" s="111"/>
      <c r="AD153" s="111"/>
      <c r="AE153" s="142">
        <v>0</v>
      </c>
      <c r="AF153" s="150">
        <f t="shared" si="2"/>
        <v>130</v>
      </c>
      <c r="AG153" s="146" t="s">
        <v>404</v>
      </c>
      <c r="AH153" s="173"/>
    </row>
    <row r="154" spans="1:34" s="78" customFormat="1" ht="12" customHeight="1">
      <c r="A154" s="100">
        <v>1152</v>
      </c>
      <c r="B154" s="101" t="s">
        <v>3395</v>
      </c>
      <c r="C154" s="129" t="s">
        <v>4141</v>
      </c>
      <c r="D154" s="101" t="s">
        <v>3397</v>
      </c>
      <c r="E154" s="100">
        <v>1</v>
      </c>
      <c r="F154" s="143">
        <v>4</v>
      </c>
      <c r="G154" s="103">
        <v>152</v>
      </c>
      <c r="H154" s="144" t="s">
        <v>1239</v>
      </c>
      <c r="I154" s="145" t="s">
        <v>1239</v>
      </c>
      <c r="J154" s="146">
        <v>10500100698004</v>
      </c>
      <c r="K154" s="147" t="s">
        <v>353</v>
      </c>
      <c r="L154" s="147"/>
      <c r="M154" s="147">
        <v>12</v>
      </c>
      <c r="N154" s="148" t="s">
        <v>1240</v>
      </c>
      <c r="O154" s="144" t="s">
        <v>1241</v>
      </c>
      <c r="P154" s="148" t="s">
        <v>1242</v>
      </c>
      <c r="Q154" s="144" t="s">
        <v>1243</v>
      </c>
      <c r="R154" s="144" t="s">
        <v>1244</v>
      </c>
      <c r="S154" s="149" t="s">
        <v>1245</v>
      </c>
      <c r="T154" s="131">
        <v>220</v>
      </c>
      <c r="U154" s="132">
        <v>86</v>
      </c>
      <c r="V154" s="132">
        <v>0</v>
      </c>
      <c r="W154" s="111" t="s">
        <v>3397</v>
      </c>
      <c r="X154" s="111" t="s">
        <v>2879</v>
      </c>
      <c r="Y154" s="142">
        <v>306</v>
      </c>
      <c r="Z154" s="131">
        <v>0</v>
      </c>
      <c r="AA154" s="132">
        <v>0</v>
      </c>
      <c r="AB154" s="132">
        <v>0</v>
      </c>
      <c r="AC154" s="111"/>
      <c r="AD154" s="111"/>
      <c r="AE154" s="142">
        <v>0</v>
      </c>
      <c r="AF154" s="150">
        <f t="shared" si="2"/>
        <v>306</v>
      </c>
      <c r="AG154" s="146"/>
      <c r="AH154" s="173"/>
    </row>
    <row r="155" spans="1:34" s="78" customFormat="1" ht="12" customHeight="1">
      <c r="A155" s="100">
        <v>1153</v>
      </c>
      <c r="B155" s="101" t="s">
        <v>3395</v>
      </c>
      <c r="C155" s="129" t="s">
        <v>4141</v>
      </c>
      <c r="D155" s="101" t="s">
        <v>3397</v>
      </c>
      <c r="E155" s="100">
        <v>1</v>
      </c>
      <c r="F155" s="143">
        <v>4</v>
      </c>
      <c r="G155" s="103">
        <v>153</v>
      </c>
      <c r="H155" s="144" t="s">
        <v>1246</v>
      </c>
      <c r="I155" s="145" t="s">
        <v>1246</v>
      </c>
      <c r="J155" s="146">
        <v>10500100149001</v>
      </c>
      <c r="K155" s="147" t="s">
        <v>353</v>
      </c>
      <c r="L155" s="147"/>
      <c r="M155" s="147">
        <v>12</v>
      </c>
      <c r="N155" s="148" t="s">
        <v>1240</v>
      </c>
      <c r="O155" s="144" t="s">
        <v>1247</v>
      </c>
      <c r="P155" s="148" t="s">
        <v>1248</v>
      </c>
      <c r="Q155" s="144" t="s">
        <v>1249</v>
      </c>
      <c r="R155" s="144" t="s">
        <v>1250</v>
      </c>
      <c r="S155" s="149" t="s">
        <v>1251</v>
      </c>
      <c r="T155" s="131">
        <v>0</v>
      </c>
      <c r="U155" s="132">
        <v>80</v>
      </c>
      <c r="V155" s="132">
        <v>100</v>
      </c>
      <c r="W155" s="111" t="s">
        <v>3397</v>
      </c>
      <c r="X155" s="111" t="s">
        <v>2879</v>
      </c>
      <c r="Y155" s="142">
        <v>180</v>
      </c>
      <c r="Z155" s="131">
        <v>0</v>
      </c>
      <c r="AA155" s="132">
        <v>0</v>
      </c>
      <c r="AB155" s="132">
        <v>0</v>
      </c>
      <c r="AC155" s="111"/>
      <c r="AD155" s="111"/>
      <c r="AE155" s="142">
        <v>0</v>
      </c>
      <c r="AF155" s="150">
        <f t="shared" si="2"/>
        <v>180</v>
      </c>
      <c r="AG155" s="146"/>
      <c r="AH155" s="173"/>
    </row>
    <row r="156" spans="1:34" s="78" customFormat="1" ht="12" customHeight="1">
      <c r="A156" s="100">
        <v>1154</v>
      </c>
      <c r="B156" s="101" t="s">
        <v>3395</v>
      </c>
      <c r="C156" s="129" t="s">
        <v>4141</v>
      </c>
      <c r="D156" s="101" t="s">
        <v>3397</v>
      </c>
      <c r="E156" s="100">
        <v>1</v>
      </c>
      <c r="F156" s="143">
        <v>4</v>
      </c>
      <c r="G156" s="103">
        <v>154</v>
      </c>
      <c r="H156" s="144" t="s">
        <v>1252</v>
      </c>
      <c r="I156" s="145" t="s">
        <v>1252</v>
      </c>
      <c r="J156" s="146">
        <v>10500100149002</v>
      </c>
      <c r="K156" s="147" t="s">
        <v>353</v>
      </c>
      <c r="L156" s="147"/>
      <c r="M156" s="147">
        <v>12</v>
      </c>
      <c r="N156" s="148" t="s">
        <v>1240</v>
      </c>
      <c r="O156" s="144" t="s">
        <v>1253</v>
      </c>
      <c r="P156" s="148">
        <v>2341289</v>
      </c>
      <c r="Q156" s="144" t="s">
        <v>1254</v>
      </c>
      <c r="R156" s="144" t="s">
        <v>1255</v>
      </c>
      <c r="S156" s="149" t="s">
        <v>1256</v>
      </c>
      <c r="T156" s="131">
        <v>82</v>
      </c>
      <c r="U156" s="132">
        <v>43</v>
      </c>
      <c r="V156" s="132">
        <v>0</v>
      </c>
      <c r="W156" s="111" t="s">
        <v>3397</v>
      </c>
      <c r="X156" s="111" t="s">
        <v>2879</v>
      </c>
      <c r="Y156" s="142">
        <v>125</v>
      </c>
      <c r="Z156" s="131">
        <v>0</v>
      </c>
      <c r="AA156" s="132">
        <v>0</v>
      </c>
      <c r="AB156" s="132">
        <v>0</v>
      </c>
      <c r="AC156" s="111"/>
      <c r="AD156" s="111"/>
      <c r="AE156" s="142">
        <v>0</v>
      </c>
      <c r="AF156" s="150">
        <f t="shared" si="2"/>
        <v>125</v>
      </c>
      <c r="AG156" s="146"/>
      <c r="AH156" s="173"/>
    </row>
    <row r="157" spans="1:34" s="78" customFormat="1" ht="12" customHeight="1">
      <c r="A157" s="100">
        <v>1155</v>
      </c>
      <c r="B157" s="101" t="s">
        <v>3395</v>
      </c>
      <c r="C157" s="129" t="s">
        <v>4141</v>
      </c>
      <c r="D157" s="101" t="s">
        <v>3398</v>
      </c>
      <c r="E157" s="100">
        <v>1</v>
      </c>
      <c r="F157" s="143">
        <v>4</v>
      </c>
      <c r="G157" s="103">
        <v>155</v>
      </c>
      <c r="H157" s="144" t="s">
        <v>1257</v>
      </c>
      <c r="I157" s="145" t="s">
        <v>1257</v>
      </c>
      <c r="J157" s="146">
        <v>10500100252601</v>
      </c>
      <c r="K157" s="147" t="s">
        <v>353</v>
      </c>
      <c r="L157" s="147"/>
      <c r="M157" s="147">
        <v>12</v>
      </c>
      <c r="N157" s="148" t="s">
        <v>1258</v>
      </c>
      <c r="O157" s="144" t="s">
        <v>1259</v>
      </c>
      <c r="P157" s="148" t="s">
        <v>1260</v>
      </c>
      <c r="Q157" s="144" t="s">
        <v>1261</v>
      </c>
      <c r="R157" s="144" t="s">
        <v>1262</v>
      </c>
      <c r="S157" s="149" t="s">
        <v>1263</v>
      </c>
      <c r="T157" s="131">
        <v>0</v>
      </c>
      <c r="U157" s="132">
        <v>144</v>
      </c>
      <c r="V157" s="132">
        <v>114</v>
      </c>
      <c r="W157" s="111" t="s">
        <v>3397</v>
      </c>
      <c r="X157" s="111" t="s">
        <v>2879</v>
      </c>
      <c r="Y157" s="142">
        <v>258</v>
      </c>
      <c r="Z157" s="131">
        <v>0</v>
      </c>
      <c r="AA157" s="132">
        <v>135</v>
      </c>
      <c r="AB157" s="132">
        <v>105</v>
      </c>
      <c r="AC157" s="111" t="s">
        <v>3399</v>
      </c>
      <c r="AD157" s="111" t="s">
        <v>2879</v>
      </c>
      <c r="AE157" s="142">
        <v>240</v>
      </c>
      <c r="AF157" s="150">
        <f t="shared" si="2"/>
        <v>498</v>
      </c>
      <c r="AG157" s="146"/>
      <c r="AH157" s="173"/>
    </row>
    <row r="158" spans="1:34" s="78" customFormat="1" ht="12" customHeight="1">
      <c r="A158" s="100">
        <v>1156</v>
      </c>
      <c r="B158" s="101" t="s">
        <v>3395</v>
      </c>
      <c r="C158" s="129" t="s">
        <v>4141</v>
      </c>
      <c r="D158" s="101" t="s">
        <v>3397</v>
      </c>
      <c r="E158" s="100">
        <v>1</v>
      </c>
      <c r="F158" s="143">
        <v>4</v>
      </c>
      <c r="G158" s="103">
        <v>156</v>
      </c>
      <c r="H158" s="144" t="s">
        <v>1264</v>
      </c>
      <c r="I158" s="145" t="s">
        <v>1264</v>
      </c>
      <c r="J158" s="146">
        <v>10500100718801</v>
      </c>
      <c r="K158" s="147" t="s">
        <v>353</v>
      </c>
      <c r="L158" s="147"/>
      <c r="M158" s="147">
        <v>12</v>
      </c>
      <c r="N158" s="148" t="s">
        <v>1258</v>
      </c>
      <c r="O158" s="144" t="s">
        <v>1265</v>
      </c>
      <c r="P158" s="148">
        <v>4967767</v>
      </c>
      <c r="Q158" s="144" t="s">
        <v>1266</v>
      </c>
      <c r="R158" s="144" t="s">
        <v>1267</v>
      </c>
      <c r="S158" s="149" t="s">
        <v>1268</v>
      </c>
      <c r="T158" s="131">
        <v>100</v>
      </c>
      <c r="U158" s="132">
        <v>280</v>
      </c>
      <c r="V158" s="132">
        <v>90</v>
      </c>
      <c r="W158" s="111" t="s">
        <v>3397</v>
      </c>
      <c r="X158" s="111" t="s">
        <v>2879</v>
      </c>
      <c r="Y158" s="142">
        <v>470</v>
      </c>
      <c r="Z158" s="131">
        <v>0</v>
      </c>
      <c r="AA158" s="132">
        <v>0</v>
      </c>
      <c r="AB158" s="132">
        <v>0</v>
      </c>
      <c r="AC158" s="111"/>
      <c r="AD158" s="111"/>
      <c r="AE158" s="142">
        <v>0</v>
      </c>
      <c r="AF158" s="150">
        <f t="shared" si="2"/>
        <v>470</v>
      </c>
      <c r="AG158" s="146"/>
      <c r="AH158" s="173"/>
    </row>
    <row r="159" spans="1:34" s="78" customFormat="1" ht="12" customHeight="1">
      <c r="A159" s="100">
        <v>1157</v>
      </c>
      <c r="B159" s="101" t="s">
        <v>3395</v>
      </c>
      <c r="C159" s="129" t="s">
        <v>4141</v>
      </c>
      <c r="D159" s="101" t="s">
        <v>3397</v>
      </c>
      <c r="E159" s="100">
        <v>1</v>
      </c>
      <c r="F159" s="143">
        <v>4</v>
      </c>
      <c r="G159" s="103">
        <v>157</v>
      </c>
      <c r="H159" s="144" t="s">
        <v>1269</v>
      </c>
      <c r="I159" s="145" t="s">
        <v>1269</v>
      </c>
      <c r="J159" s="146">
        <v>10500100297601</v>
      </c>
      <c r="K159" s="147" t="s">
        <v>353</v>
      </c>
      <c r="L159" s="147"/>
      <c r="M159" s="147">
        <v>12</v>
      </c>
      <c r="N159" s="148" t="s">
        <v>1270</v>
      </c>
      <c r="O159" s="144" t="s">
        <v>1271</v>
      </c>
      <c r="P159" s="148" t="s">
        <v>1272</v>
      </c>
      <c r="Q159" s="144" t="s">
        <v>1273</v>
      </c>
      <c r="R159" s="144" t="s">
        <v>1274</v>
      </c>
      <c r="S159" s="149" t="s">
        <v>1275</v>
      </c>
      <c r="T159" s="131">
        <v>0</v>
      </c>
      <c r="U159" s="132">
        <v>264</v>
      </c>
      <c r="V159" s="132">
        <v>42</v>
      </c>
      <c r="W159" s="111" t="s">
        <v>3397</v>
      </c>
      <c r="X159" s="111" t="s">
        <v>2879</v>
      </c>
      <c r="Y159" s="142">
        <v>306</v>
      </c>
      <c r="Z159" s="131">
        <v>0</v>
      </c>
      <c r="AA159" s="132">
        <v>0</v>
      </c>
      <c r="AB159" s="132">
        <v>0</v>
      </c>
      <c r="AC159" s="111"/>
      <c r="AD159" s="111"/>
      <c r="AE159" s="142">
        <v>0</v>
      </c>
      <c r="AF159" s="150">
        <f t="shared" si="2"/>
        <v>306</v>
      </c>
      <c r="AG159" s="146"/>
      <c r="AH159" s="173"/>
    </row>
    <row r="160" spans="1:34" s="78" customFormat="1" ht="12" customHeight="1">
      <c r="A160" s="100">
        <v>1158</v>
      </c>
      <c r="B160" s="101" t="s">
        <v>3395</v>
      </c>
      <c r="C160" s="129" t="s">
        <v>4141</v>
      </c>
      <c r="D160" s="101" t="s">
        <v>3397</v>
      </c>
      <c r="E160" s="100">
        <v>1</v>
      </c>
      <c r="F160" s="143">
        <v>4</v>
      </c>
      <c r="G160" s="103">
        <v>158</v>
      </c>
      <c r="H160" s="144" t="s">
        <v>1276</v>
      </c>
      <c r="I160" s="145" t="s">
        <v>1276</v>
      </c>
      <c r="J160" s="146">
        <v>10500101188601</v>
      </c>
      <c r="K160" s="147" t="s">
        <v>353</v>
      </c>
      <c r="L160" s="147"/>
      <c r="M160" s="147">
        <v>12</v>
      </c>
      <c r="N160" s="148" t="s">
        <v>1277</v>
      </c>
      <c r="O160" s="144" t="s">
        <v>1278</v>
      </c>
      <c r="P160" s="148" t="s">
        <v>1279</v>
      </c>
      <c r="Q160" s="144" t="s">
        <v>1280</v>
      </c>
      <c r="R160" s="144" t="s">
        <v>1281</v>
      </c>
      <c r="S160" s="149" t="s">
        <v>1282</v>
      </c>
      <c r="T160" s="131">
        <v>0</v>
      </c>
      <c r="U160" s="132">
        <v>133</v>
      </c>
      <c r="V160" s="132">
        <v>87</v>
      </c>
      <c r="W160" s="111" t="s">
        <v>3397</v>
      </c>
      <c r="X160" s="111" t="s">
        <v>2879</v>
      </c>
      <c r="Y160" s="142">
        <v>220</v>
      </c>
      <c r="Z160" s="131">
        <v>0</v>
      </c>
      <c r="AA160" s="132">
        <v>0</v>
      </c>
      <c r="AB160" s="132">
        <v>0</v>
      </c>
      <c r="AC160" s="111"/>
      <c r="AD160" s="111"/>
      <c r="AE160" s="142">
        <v>0</v>
      </c>
      <c r="AF160" s="150">
        <f t="shared" si="2"/>
        <v>220</v>
      </c>
      <c r="AG160" s="146"/>
      <c r="AH160" s="173"/>
    </row>
    <row r="161" spans="1:34" s="78" customFormat="1" ht="12" customHeight="1">
      <c r="A161" s="100">
        <v>1159</v>
      </c>
      <c r="B161" s="101" t="s">
        <v>3395</v>
      </c>
      <c r="C161" s="129" t="s">
        <v>4141</v>
      </c>
      <c r="D161" s="101" t="s">
        <v>3397</v>
      </c>
      <c r="E161" s="100">
        <v>1</v>
      </c>
      <c r="F161" s="143">
        <v>4</v>
      </c>
      <c r="G161" s="103">
        <v>159</v>
      </c>
      <c r="H161" s="144" t="s">
        <v>1283</v>
      </c>
      <c r="I161" s="145" t="s">
        <v>1283</v>
      </c>
      <c r="J161" s="146">
        <v>10500101188602</v>
      </c>
      <c r="K161" s="147" t="s">
        <v>353</v>
      </c>
      <c r="L161" s="147"/>
      <c r="M161" s="147">
        <v>13</v>
      </c>
      <c r="N161" s="148" t="s">
        <v>1284</v>
      </c>
      <c r="O161" s="144" t="s">
        <v>1285</v>
      </c>
      <c r="P161" s="148">
        <v>2531582</v>
      </c>
      <c r="Q161" s="144" t="s">
        <v>1286</v>
      </c>
      <c r="R161" s="144" t="s">
        <v>1287</v>
      </c>
      <c r="S161" s="149" t="s">
        <v>1288</v>
      </c>
      <c r="T161" s="131">
        <v>0</v>
      </c>
      <c r="U161" s="132">
        <v>195</v>
      </c>
      <c r="V161" s="132">
        <v>0</v>
      </c>
      <c r="W161" s="111" t="s">
        <v>3397</v>
      </c>
      <c r="X161" s="111" t="s">
        <v>2879</v>
      </c>
      <c r="Y161" s="142">
        <v>195</v>
      </c>
      <c r="Z161" s="131">
        <v>0</v>
      </c>
      <c r="AA161" s="132">
        <v>0</v>
      </c>
      <c r="AB161" s="132">
        <v>0</v>
      </c>
      <c r="AC161" s="111"/>
      <c r="AD161" s="111"/>
      <c r="AE161" s="142">
        <v>0</v>
      </c>
      <c r="AF161" s="150">
        <f t="shared" si="2"/>
        <v>195</v>
      </c>
      <c r="AG161" s="146"/>
      <c r="AH161" s="173"/>
    </row>
    <row r="162" spans="1:34" s="78" customFormat="1" ht="12" customHeight="1">
      <c r="A162" s="100">
        <v>1160</v>
      </c>
      <c r="B162" s="101" t="s">
        <v>3395</v>
      </c>
      <c r="C162" s="129" t="s">
        <v>4141</v>
      </c>
      <c r="D162" s="101" t="s">
        <v>3397</v>
      </c>
      <c r="E162" s="100">
        <v>1</v>
      </c>
      <c r="F162" s="143">
        <v>4</v>
      </c>
      <c r="G162" s="103">
        <v>160</v>
      </c>
      <c r="H162" s="144" t="s">
        <v>1289</v>
      </c>
      <c r="I162" s="145" t="s">
        <v>1289</v>
      </c>
      <c r="J162" s="146">
        <v>10500100080901</v>
      </c>
      <c r="K162" s="147" t="s">
        <v>353</v>
      </c>
      <c r="L162" s="147"/>
      <c r="M162" s="147">
        <v>13</v>
      </c>
      <c r="N162" s="148" t="s">
        <v>1290</v>
      </c>
      <c r="O162" s="144" t="s">
        <v>1291</v>
      </c>
      <c r="P162" s="148" t="s">
        <v>1292</v>
      </c>
      <c r="Q162" s="144" t="s">
        <v>1293</v>
      </c>
      <c r="R162" s="144" t="s">
        <v>1294</v>
      </c>
      <c r="S162" s="149" t="s">
        <v>1295</v>
      </c>
      <c r="T162" s="131">
        <v>220</v>
      </c>
      <c r="U162" s="132">
        <v>35</v>
      </c>
      <c r="V162" s="132">
        <v>20</v>
      </c>
      <c r="W162" s="111" t="s">
        <v>3397</v>
      </c>
      <c r="X162" s="111" t="s">
        <v>2879</v>
      </c>
      <c r="Y162" s="142">
        <v>275</v>
      </c>
      <c r="Z162" s="131">
        <v>0</v>
      </c>
      <c r="AA162" s="132">
        <v>0</v>
      </c>
      <c r="AB162" s="132">
        <v>0</v>
      </c>
      <c r="AC162" s="111"/>
      <c r="AD162" s="111"/>
      <c r="AE162" s="142">
        <v>0</v>
      </c>
      <c r="AF162" s="150">
        <f t="shared" si="2"/>
        <v>275</v>
      </c>
      <c r="AG162" s="146"/>
      <c r="AH162" s="173"/>
    </row>
    <row r="163" spans="1:34" s="78" customFormat="1" ht="12" customHeight="1">
      <c r="A163" s="100">
        <v>1161</v>
      </c>
      <c r="B163" s="101" t="s">
        <v>3395</v>
      </c>
      <c r="C163" s="129" t="s">
        <v>4141</v>
      </c>
      <c r="D163" s="101" t="s">
        <v>3398</v>
      </c>
      <c r="E163" s="100">
        <v>1</v>
      </c>
      <c r="F163" s="143">
        <v>4</v>
      </c>
      <c r="G163" s="103">
        <v>161</v>
      </c>
      <c r="H163" s="144" t="s">
        <v>1296</v>
      </c>
      <c r="I163" s="145" t="s">
        <v>1296</v>
      </c>
      <c r="J163" s="146">
        <v>10500102635201</v>
      </c>
      <c r="K163" s="147" t="s">
        <v>353</v>
      </c>
      <c r="L163" s="147"/>
      <c r="M163" s="147">
        <v>13</v>
      </c>
      <c r="N163" s="148" t="s">
        <v>1297</v>
      </c>
      <c r="O163" s="144" t="s">
        <v>1298</v>
      </c>
      <c r="P163" s="148">
        <v>2528790</v>
      </c>
      <c r="Q163" s="144" t="s">
        <v>1299</v>
      </c>
      <c r="R163" s="144" t="s">
        <v>1300</v>
      </c>
      <c r="S163" s="149" t="s">
        <v>1301</v>
      </c>
      <c r="T163" s="131">
        <v>158</v>
      </c>
      <c r="U163" s="132">
        <v>127</v>
      </c>
      <c r="V163" s="132">
        <v>0</v>
      </c>
      <c r="W163" s="111" t="s">
        <v>3397</v>
      </c>
      <c r="X163" s="111" t="s">
        <v>2879</v>
      </c>
      <c r="Y163" s="142">
        <v>285</v>
      </c>
      <c r="Z163" s="131">
        <v>0</v>
      </c>
      <c r="AA163" s="132">
        <v>304</v>
      </c>
      <c r="AB163" s="132">
        <v>82</v>
      </c>
      <c r="AC163" s="111" t="s">
        <v>3399</v>
      </c>
      <c r="AD163" s="111" t="s">
        <v>2879</v>
      </c>
      <c r="AE163" s="142">
        <v>386</v>
      </c>
      <c r="AF163" s="150">
        <f t="shared" si="2"/>
        <v>671</v>
      </c>
      <c r="AG163" s="146" t="s">
        <v>404</v>
      </c>
      <c r="AH163" s="173"/>
    </row>
    <row r="164" spans="1:34" s="78" customFormat="1" ht="12" customHeight="1">
      <c r="A164" s="100">
        <v>1162</v>
      </c>
      <c r="B164" s="101" t="s">
        <v>3395</v>
      </c>
      <c r="C164" s="129" t="s">
        <v>4141</v>
      </c>
      <c r="D164" s="101" t="s">
        <v>3397</v>
      </c>
      <c r="E164" s="100">
        <v>1</v>
      </c>
      <c r="F164" s="143">
        <v>4</v>
      </c>
      <c r="G164" s="103">
        <v>162</v>
      </c>
      <c r="H164" s="144" t="s">
        <v>1302</v>
      </c>
      <c r="I164" s="145" t="s">
        <v>1302</v>
      </c>
      <c r="J164" s="146">
        <v>10500100252602</v>
      </c>
      <c r="K164" s="147" t="s">
        <v>353</v>
      </c>
      <c r="L164" s="147"/>
      <c r="M164" s="147">
        <v>13</v>
      </c>
      <c r="N164" s="148" t="s">
        <v>249</v>
      </c>
      <c r="O164" s="144" t="s">
        <v>1303</v>
      </c>
      <c r="P164" s="148">
        <v>2529888</v>
      </c>
      <c r="Q164" s="144" t="s">
        <v>1304</v>
      </c>
      <c r="R164" s="144" t="s">
        <v>1305</v>
      </c>
      <c r="S164" s="149" t="s">
        <v>1263</v>
      </c>
      <c r="T164" s="131">
        <v>160</v>
      </c>
      <c r="U164" s="132">
        <v>100</v>
      </c>
      <c r="V164" s="132">
        <v>0</v>
      </c>
      <c r="W164" s="111" t="s">
        <v>3397</v>
      </c>
      <c r="X164" s="111" t="s">
        <v>2879</v>
      </c>
      <c r="Y164" s="142">
        <v>260</v>
      </c>
      <c r="Z164" s="131">
        <v>0</v>
      </c>
      <c r="AA164" s="132">
        <v>0</v>
      </c>
      <c r="AB164" s="132">
        <v>0</v>
      </c>
      <c r="AC164" s="111"/>
      <c r="AD164" s="111"/>
      <c r="AE164" s="142">
        <v>0</v>
      </c>
      <c r="AF164" s="150">
        <f t="shared" si="2"/>
        <v>260</v>
      </c>
      <c r="AG164" s="146"/>
      <c r="AH164" s="173"/>
    </row>
    <row r="165" spans="1:34" s="78" customFormat="1" ht="12" customHeight="1">
      <c r="A165" s="100">
        <v>1163</v>
      </c>
      <c r="B165" s="101" t="s">
        <v>3395</v>
      </c>
      <c r="C165" s="129" t="s">
        <v>4141</v>
      </c>
      <c r="D165" s="101" t="s">
        <v>3398</v>
      </c>
      <c r="E165" s="100">
        <v>1</v>
      </c>
      <c r="F165" s="143">
        <v>4</v>
      </c>
      <c r="G165" s="103">
        <v>163</v>
      </c>
      <c r="H165" s="144" t="s">
        <v>1306</v>
      </c>
      <c r="I165" s="145" t="s">
        <v>1306</v>
      </c>
      <c r="J165" s="146">
        <v>10500102669701</v>
      </c>
      <c r="K165" s="147" t="s">
        <v>353</v>
      </c>
      <c r="L165" s="147"/>
      <c r="M165" s="147">
        <v>13</v>
      </c>
      <c r="N165" s="148" t="s">
        <v>1307</v>
      </c>
      <c r="O165" s="144" t="s">
        <v>1308</v>
      </c>
      <c r="P165" s="148" t="s">
        <v>1309</v>
      </c>
      <c r="Q165" s="144" t="s">
        <v>1310</v>
      </c>
      <c r="R165" s="144" t="s">
        <v>1311</v>
      </c>
      <c r="S165" s="149" t="s">
        <v>1312</v>
      </c>
      <c r="T165" s="131">
        <v>57</v>
      </c>
      <c r="U165" s="132">
        <v>342</v>
      </c>
      <c r="V165" s="132">
        <v>0</v>
      </c>
      <c r="W165" s="111" t="s">
        <v>3397</v>
      </c>
      <c r="X165" s="111" t="s">
        <v>2879</v>
      </c>
      <c r="Y165" s="142">
        <v>399</v>
      </c>
      <c r="Z165" s="131">
        <v>0</v>
      </c>
      <c r="AA165" s="132">
        <v>225</v>
      </c>
      <c r="AB165" s="132">
        <v>174</v>
      </c>
      <c r="AC165" s="111" t="s">
        <v>3399</v>
      </c>
      <c r="AD165" s="111" t="s">
        <v>2879</v>
      </c>
      <c r="AE165" s="142">
        <v>399</v>
      </c>
      <c r="AF165" s="150">
        <f t="shared" si="2"/>
        <v>798</v>
      </c>
      <c r="AG165" s="146"/>
      <c r="AH165" s="173"/>
    </row>
    <row r="166" spans="1:34" s="78" customFormat="1" ht="12" customHeight="1">
      <c r="A166" s="100">
        <v>1164</v>
      </c>
      <c r="B166" s="101" t="s">
        <v>3395</v>
      </c>
      <c r="C166" s="129" t="s">
        <v>4141</v>
      </c>
      <c r="D166" s="101" t="s">
        <v>3398</v>
      </c>
      <c r="E166" s="100">
        <v>1</v>
      </c>
      <c r="F166" s="143">
        <v>4</v>
      </c>
      <c r="G166" s="103">
        <v>164</v>
      </c>
      <c r="H166" s="144" t="s">
        <v>1313</v>
      </c>
      <c r="I166" s="145" t="s">
        <v>1313</v>
      </c>
      <c r="J166" s="146">
        <v>10500102119902</v>
      </c>
      <c r="K166" s="147" t="s">
        <v>353</v>
      </c>
      <c r="L166" s="147"/>
      <c r="M166" s="147">
        <v>13</v>
      </c>
      <c r="N166" s="148" t="s">
        <v>1314</v>
      </c>
      <c r="O166" s="144" t="s">
        <v>1315</v>
      </c>
      <c r="P166" s="148">
        <v>2531283</v>
      </c>
      <c r="Q166" s="144" t="s">
        <v>1316</v>
      </c>
      <c r="R166" s="144" t="s">
        <v>1317</v>
      </c>
      <c r="S166" s="149" t="s">
        <v>1318</v>
      </c>
      <c r="T166" s="131">
        <v>525</v>
      </c>
      <c r="U166" s="132">
        <v>5</v>
      </c>
      <c r="V166" s="132">
        <v>0</v>
      </c>
      <c r="W166" s="111" t="s">
        <v>3397</v>
      </c>
      <c r="X166" s="111" t="s">
        <v>2879</v>
      </c>
      <c r="Y166" s="142">
        <v>530</v>
      </c>
      <c r="Z166" s="131">
        <v>175</v>
      </c>
      <c r="AA166" s="132">
        <v>265</v>
      </c>
      <c r="AB166" s="132">
        <v>0</v>
      </c>
      <c r="AC166" s="111" t="s">
        <v>3399</v>
      </c>
      <c r="AD166" s="111" t="s">
        <v>2879</v>
      </c>
      <c r="AE166" s="142">
        <v>440</v>
      </c>
      <c r="AF166" s="150">
        <f t="shared" si="2"/>
        <v>970</v>
      </c>
      <c r="AG166" s="146"/>
      <c r="AH166" s="173"/>
    </row>
    <row r="167" spans="1:34" s="78" customFormat="1" ht="12" customHeight="1">
      <c r="A167" s="100">
        <v>1165</v>
      </c>
      <c r="B167" s="101" t="s">
        <v>3395</v>
      </c>
      <c r="C167" s="129" t="s">
        <v>4141</v>
      </c>
      <c r="D167" s="101" t="s">
        <v>3397</v>
      </c>
      <c r="E167" s="100">
        <v>1</v>
      </c>
      <c r="F167" s="143">
        <v>4</v>
      </c>
      <c r="G167" s="103">
        <v>165</v>
      </c>
      <c r="H167" s="144" t="s">
        <v>1319</v>
      </c>
      <c r="I167" s="145" t="s">
        <v>1319</v>
      </c>
      <c r="J167" s="146">
        <v>10500102119903</v>
      </c>
      <c r="K167" s="147" t="s">
        <v>353</v>
      </c>
      <c r="L167" s="147"/>
      <c r="M167" s="147">
        <v>13</v>
      </c>
      <c r="N167" s="148" t="s">
        <v>1320</v>
      </c>
      <c r="O167" s="144" t="s">
        <v>1321</v>
      </c>
      <c r="P167" s="148">
        <v>4964993</v>
      </c>
      <c r="Q167" s="144" t="s">
        <v>1322</v>
      </c>
      <c r="R167" s="144" t="s">
        <v>1323</v>
      </c>
      <c r="S167" s="149" t="s">
        <v>1324</v>
      </c>
      <c r="T167" s="131">
        <v>116</v>
      </c>
      <c r="U167" s="132">
        <v>46</v>
      </c>
      <c r="V167" s="132">
        <v>0</v>
      </c>
      <c r="W167" s="111" t="s">
        <v>3397</v>
      </c>
      <c r="X167" s="111" t="s">
        <v>2879</v>
      </c>
      <c r="Y167" s="142">
        <v>162</v>
      </c>
      <c r="Z167" s="131">
        <v>0</v>
      </c>
      <c r="AA167" s="132">
        <v>0</v>
      </c>
      <c r="AB167" s="132">
        <v>0</v>
      </c>
      <c r="AC167" s="111"/>
      <c r="AD167" s="111"/>
      <c r="AE167" s="142">
        <v>0</v>
      </c>
      <c r="AF167" s="150">
        <f t="shared" si="2"/>
        <v>162</v>
      </c>
      <c r="AG167" s="146"/>
      <c r="AH167" s="173"/>
    </row>
    <row r="168" spans="1:34" s="78" customFormat="1" ht="12" customHeight="1">
      <c r="A168" s="100">
        <v>1166</v>
      </c>
      <c r="B168" s="101" t="s">
        <v>3395</v>
      </c>
      <c r="C168" s="129" t="s">
        <v>4141</v>
      </c>
      <c r="D168" s="101" t="s">
        <v>3397</v>
      </c>
      <c r="E168" s="100">
        <v>1</v>
      </c>
      <c r="F168" s="143">
        <v>4</v>
      </c>
      <c r="G168" s="103">
        <v>166</v>
      </c>
      <c r="H168" s="144" t="s">
        <v>1325</v>
      </c>
      <c r="I168" s="145" t="s">
        <v>1325</v>
      </c>
      <c r="J168" s="146">
        <v>10500101517201</v>
      </c>
      <c r="K168" s="147" t="s">
        <v>353</v>
      </c>
      <c r="L168" s="147"/>
      <c r="M168" s="147">
        <v>13</v>
      </c>
      <c r="N168" s="148" t="s">
        <v>1326</v>
      </c>
      <c r="O168" s="144" t="s">
        <v>1327</v>
      </c>
      <c r="P168" s="148" t="s">
        <v>1328</v>
      </c>
      <c r="Q168" s="144" t="s">
        <v>1329</v>
      </c>
      <c r="R168" s="144" t="s">
        <v>1330</v>
      </c>
      <c r="S168" s="149" t="s">
        <v>1331</v>
      </c>
      <c r="T168" s="131">
        <v>112</v>
      </c>
      <c r="U168" s="132">
        <v>207</v>
      </c>
      <c r="V168" s="132">
        <v>51</v>
      </c>
      <c r="W168" s="111" t="s">
        <v>3397</v>
      </c>
      <c r="X168" s="111" t="s">
        <v>2879</v>
      </c>
      <c r="Y168" s="142">
        <v>370</v>
      </c>
      <c r="Z168" s="131">
        <v>0</v>
      </c>
      <c r="AA168" s="132">
        <v>0</v>
      </c>
      <c r="AB168" s="132">
        <v>0</v>
      </c>
      <c r="AC168" s="111"/>
      <c r="AD168" s="111"/>
      <c r="AE168" s="142">
        <v>0</v>
      </c>
      <c r="AF168" s="150">
        <f t="shared" si="2"/>
        <v>370</v>
      </c>
      <c r="AG168" s="146"/>
      <c r="AH168" s="173"/>
    </row>
    <row r="169" spans="1:34" s="78" customFormat="1" ht="12" customHeight="1">
      <c r="A169" s="100">
        <v>1167</v>
      </c>
      <c r="B169" s="101" t="s">
        <v>3395</v>
      </c>
      <c r="C169" s="129" t="s">
        <v>4141</v>
      </c>
      <c r="D169" s="101" t="s">
        <v>3397</v>
      </c>
      <c r="E169" s="100">
        <v>1</v>
      </c>
      <c r="F169" s="143">
        <v>4</v>
      </c>
      <c r="G169" s="103">
        <v>167</v>
      </c>
      <c r="H169" s="144" t="s">
        <v>1332</v>
      </c>
      <c r="I169" s="145" t="s">
        <v>1332</v>
      </c>
      <c r="J169" s="146">
        <v>10500101517202</v>
      </c>
      <c r="K169" s="147" t="s">
        <v>353</v>
      </c>
      <c r="L169" s="147"/>
      <c r="M169" s="147">
        <v>13</v>
      </c>
      <c r="N169" s="148" t="s">
        <v>1314</v>
      </c>
      <c r="O169" s="144" t="s">
        <v>1333</v>
      </c>
      <c r="P169" s="148">
        <v>2536425</v>
      </c>
      <c r="Q169" s="144" t="s">
        <v>1334</v>
      </c>
      <c r="R169" s="144" t="s">
        <v>1335</v>
      </c>
      <c r="S169" s="149" t="s">
        <v>1336</v>
      </c>
      <c r="T169" s="131">
        <v>0</v>
      </c>
      <c r="U169" s="132">
        <v>251</v>
      </c>
      <c r="V169" s="132">
        <v>0</v>
      </c>
      <c r="W169" s="111" t="s">
        <v>3397</v>
      </c>
      <c r="X169" s="111" t="s">
        <v>2879</v>
      </c>
      <c r="Y169" s="142">
        <v>251</v>
      </c>
      <c r="Z169" s="131">
        <v>0</v>
      </c>
      <c r="AA169" s="132">
        <v>0</v>
      </c>
      <c r="AB169" s="132">
        <v>0</v>
      </c>
      <c r="AC169" s="111"/>
      <c r="AD169" s="111"/>
      <c r="AE169" s="142">
        <v>0</v>
      </c>
      <c r="AF169" s="150">
        <f t="shared" si="2"/>
        <v>251</v>
      </c>
      <c r="AG169" s="146"/>
      <c r="AH169" s="173"/>
    </row>
    <row r="170" spans="1:34" s="78" customFormat="1" ht="12" customHeight="1">
      <c r="A170" s="100">
        <v>1168</v>
      </c>
      <c r="B170" s="101" t="s">
        <v>3395</v>
      </c>
      <c r="C170" s="129" t="s">
        <v>4141</v>
      </c>
      <c r="D170" s="101" t="s">
        <v>3397</v>
      </c>
      <c r="E170" s="100">
        <v>1</v>
      </c>
      <c r="F170" s="143">
        <v>4</v>
      </c>
      <c r="G170" s="103">
        <v>168</v>
      </c>
      <c r="H170" s="144" t="s">
        <v>1337</v>
      </c>
      <c r="I170" s="145" t="s">
        <v>1337</v>
      </c>
      <c r="J170" s="146">
        <v>10500100338703</v>
      </c>
      <c r="K170" s="147" t="s">
        <v>353</v>
      </c>
      <c r="L170" s="147"/>
      <c r="M170" s="147">
        <v>13</v>
      </c>
      <c r="N170" s="148" t="s">
        <v>1338</v>
      </c>
      <c r="O170" s="144" t="s">
        <v>1339</v>
      </c>
      <c r="P170" s="148">
        <v>2528123</v>
      </c>
      <c r="Q170" s="144" t="s">
        <v>1340</v>
      </c>
      <c r="R170" s="144" t="s">
        <v>1341</v>
      </c>
      <c r="S170" s="149" t="s">
        <v>1342</v>
      </c>
      <c r="T170" s="131">
        <v>200</v>
      </c>
      <c r="U170" s="132">
        <v>120</v>
      </c>
      <c r="V170" s="132">
        <v>0</v>
      </c>
      <c r="W170" s="111" t="s">
        <v>3397</v>
      </c>
      <c r="X170" s="111" t="s">
        <v>2879</v>
      </c>
      <c r="Y170" s="142">
        <v>320</v>
      </c>
      <c r="Z170" s="131">
        <v>0</v>
      </c>
      <c r="AA170" s="132">
        <v>0</v>
      </c>
      <c r="AB170" s="132">
        <v>0</v>
      </c>
      <c r="AC170" s="111"/>
      <c r="AD170" s="111"/>
      <c r="AE170" s="142">
        <v>0</v>
      </c>
      <c r="AF170" s="150">
        <f t="shared" si="2"/>
        <v>320</v>
      </c>
      <c r="AG170" s="146"/>
      <c r="AH170" s="173"/>
    </row>
    <row r="171" spans="1:34" s="78" customFormat="1" ht="12" customHeight="1">
      <c r="A171" s="100">
        <v>1169</v>
      </c>
      <c r="B171" s="101" t="s">
        <v>3395</v>
      </c>
      <c r="C171" s="129" t="s">
        <v>4141</v>
      </c>
      <c r="D171" s="101" t="s">
        <v>3397</v>
      </c>
      <c r="E171" s="100">
        <v>1</v>
      </c>
      <c r="F171" s="143">
        <v>4</v>
      </c>
      <c r="G171" s="103">
        <v>169</v>
      </c>
      <c r="H171" s="144" t="s">
        <v>1343</v>
      </c>
      <c r="I171" s="145" t="s">
        <v>1343</v>
      </c>
      <c r="J171" s="146">
        <v>10500100655601</v>
      </c>
      <c r="K171" s="147" t="s">
        <v>353</v>
      </c>
      <c r="L171" s="147"/>
      <c r="M171" s="147">
        <v>13</v>
      </c>
      <c r="N171" s="148" t="s">
        <v>1344</v>
      </c>
      <c r="O171" s="144" t="s">
        <v>1345</v>
      </c>
      <c r="P171" s="148" t="s">
        <v>1346</v>
      </c>
      <c r="Q171" s="144" t="s">
        <v>1347</v>
      </c>
      <c r="R171" s="144" t="s">
        <v>1348</v>
      </c>
      <c r="S171" s="149" t="s">
        <v>1349</v>
      </c>
      <c r="T171" s="131">
        <v>221</v>
      </c>
      <c r="U171" s="132">
        <v>183</v>
      </c>
      <c r="V171" s="132">
        <v>0</v>
      </c>
      <c r="W171" s="111" t="s">
        <v>3397</v>
      </c>
      <c r="X171" s="111" t="s">
        <v>2879</v>
      </c>
      <c r="Y171" s="142">
        <v>404</v>
      </c>
      <c r="Z171" s="131">
        <v>0</v>
      </c>
      <c r="AA171" s="132">
        <v>0</v>
      </c>
      <c r="AB171" s="132">
        <v>0</v>
      </c>
      <c r="AC171" s="111"/>
      <c r="AD171" s="111"/>
      <c r="AE171" s="142">
        <v>0</v>
      </c>
      <c r="AF171" s="150">
        <f t="shared" si="2"/>
        <v>404</v>
      </c>
      <c r="AG171" s="146"/>
      <c r="AH171" s="173"/>
    </row>
    <row r="172" spans="1:34" s="78" customFormat="1" ht="12" customHeight="1">
      <c r="A172" s="100">
        <v>1170</v>
      </c>
      <c r="B172" s="101" t="s">
        <v>3395</v>
      </c>
      <c r="C172" s="129" t="s">
        <v>4141</v>
      </c>
      <c r="D172" s="101" t="s">
        <v>3397</v>
      </c>
      <c r="E172" s="100">
        <v>1</v>
      </c>
      <c r="F172" s="143">
        <v>4</v>
      </c>
      <c r="G172" s="103">
        <v>170</v>
      </c>
      <c r="H172" s="144" t="s">
        <v>1350</v>
      </c>
      <c r="I172" s="145" t="s">
        <v>1351</v>
      </c>
      <c r="J172" s="146">
        <v>10500101901101</v>
      </c>
      <c r="K172" s="147" t="s">
        <v>353</v>
      </c>
      <c r="L172" s="147"/>
      <c r="M172" s="147">
        <v>13</v>
      </c>
      <c r="N172" s="148" t="s">
        <v>1352</v>
      </c>
      <c r="O172" s="144" t="s">
        <v>1353</v>
      </c>
      <c r="P172" s="148">
        <v>4927192</v>
      </c>
      <c r="Q172" s="144" t="s">
        <v>1354</v>
      </c>
      <c r="R172" s="144" t="s">
        <v>1355</v>
      </c>
      <c r="S172" s="149" t="s">
        <v>1356</v>
      </c>
      <c r="T172" s="131">
        <v>200</v>
      </c>
      <c r="U172" s="132">
        <v>100</v>
      </c>
      <c r="V172" s="132">
        <v>0</v>
      </c>
      <c r="W172" s="111" t="s">
        <v>3397</v>
      </c>
      <c r="X172" s="111" t="s">
        <v>2879</v>
      </c>
      <c r="Y172" s="142">
        <v>300</v>
      </c>
      <c r="Z172" s="131">
        <v>0</v>
      </c>
      <c r="AA172" s="132">
        <v>0</v>
      </c>
      <c r="AB172" s="132">
        <v>0</v>
      </c>
      <c r="AC172" s="111"/>
      <c r="AD172" s="111"/>
      <c r="AE172" s="142">
        <v>0</v>
      </c>
      <c r="AF172" s="150">
        <f t="shared" si="2"/>
        <v>300</v>
      </c>
      <c r="AG172" s="146"/>
      <c r="AH172" s="173"/>
    </row>
    <row r="173" spans="1:34" s="78" customFormat="1" ht="12" customHeight="1">
      <c r="A173" s="100">
        <v>1171</v>
      </c>
      <c r="B173" s="101" t="s">
        <v>3395</v>
      </c>
      <c r="C173" s="129" t="s">
        <v>4141</v>
      </c>
      <c r="D173" s="101" t="s">
        <v>3397</v>
      </c>
      <c r="E173" s="100">
        <v>1</v>
      </c>
      <c r="F173" s="143">
        <v>4</v>
      </c>
      <c r="G173" s="103">
        <v>171</v>
      </c>
      <c r="H173" s="144" t="s">
        <v>1357</v>
      </c>
      <c r="I173" s="145" t="s">
        <v>1358</v>
      </c>
      <c r="J173" s="146">
        <v>10500101901101</v>
      </c>
      <c r="K173" s="147" t="s">
        <v>353</v>
      </c>
      <c r="L173" s="147"/>
      <c r="M173" s="147">
        <v>13</v>
      </c>
      <c r="N173" s="148" t="s">
        <v>1352</v>
      </c>
      <c r="O173" s="144" t="s">
        <v>1359</v>
      </c>
      <c r="P173" s="148">
        <v>4922768</v>
      </c>
      <c r="Q173" s="144" t="s">
        <v>1354</v>
      </c>
      <c r="R173" s="144" t="s">
        <v>1360</v>
      </c>
      <c r="S173" s="149" t="s">
        <v>1356</v>
      </c>
      <c r="T173" s="131">
        <v>0</v>
      </c>
      <c r="U173" s="132">
        <v>336</v>
      </c>
      <c r="V173" s="132">
        <v>64</v>
      </c>
      <c r="W173" s="111" t="s">
        <v>3397</v>
      </c>
      <c r="X173" s="111" t="s">
        <v>2879</v>
      </c>
      <c r="Y173" s="142">
        <v>400</v>
      </c>
      <c r="Z173" s="131">
        <v>0</v>
      </c>
      <c r="AA173" s="132">
        <v>0</v>
      </c>
      <c r="AB173" s="132">
        <v>0</v>
      </c>
      <c r="AC173" s="111"/>
      <c r="AD173" s="111"/>
      <c r="AE173" s="142">
        <v>0</v>
      </c>
      <c r="AF173" s="150">
        <f t="shared" si="2"/>
        <v>400</v>
      </c>
      <c r="AG173" s="146"/>
      <c r="AH173" s="173"/>
    </row>
    <row r="174" spans="1:34" s="78" customFormat="1" ht="12" customHeight="1">
      <c r="A174" s="100">
        <v>1172</v>
      </c>
      <c r="B174" s="101" t="s">
        <v>3395</v>
      </c>
      <c r="C174" s="129" t="s">
        <v>4141</v>
      </c>
      <c r="D174" s="101" t="s">
        <v>3397</v>
      </c>
      <c r="E174" s="100">
        <v>1</v>
      </c>
      <c r="F174" s="143">
        <v>4</v>
      </c>
      <c r="G174" s="103">
        <v>172</v>
      </c>
      <c r="H174" s="144" t="s">
        <v>1361</v>
      </c>
      <c r="I174" s="145" t="s">
        <v>1361</v>
      </c>
      <c r="J174" s="146">
        <v>10500102668901</v>
      </c>
      <c r="K174" s="147" t="s">
        <v>353</v>
      </c>
      <c r="L174" s="147"/>
      <c r="M174" s="147">
        <v>13</v>
      </c>
      <c r="N174" s="148" t="s">
        <v>1362</v>
      </c>
      <c r="O174" s="144" t="s">
        <v>1363</v>
      </c>
      <c r="P174" s="148" t="s">
        <v>1364</v>
      </c>
      <c r="Q174" s="144" t="s">
        <v>1365</v>
      </c>
      <c r="R174" s="144" t="s">
        <v>1366</v>
      </c>
      <c r="S174" s="149" t="s">
        <v>1367</v>
      </c>
      <c r="T174" s="131">
        <v>159</v>
      </c>
      <c r="U174" s="132">
        <v>243</v>
      </c>
      <c r="V174" s="132">
        <v>58</v>
      </c>
      <c r="W174" s="111" t="s">
        <v>3397</v>
      </c>
      <c r="X174" s="111" t="s">
        <v>2879</v>
      </c>
      <c r="Y174" s="142">
        <v>460</v>
      </c>
      <c r="Z174" s="131">
        <v>0</v>
      </c>
      <c r="AA174" s="132">
        <v>0</v>
      </c>
      <c r="AB174" s="132">
        <v>0</v>
      </c>
      <c r="AC174" s="111"/>
      <c r="AD174" s="111"/>
      <c r="AE174" s="142">
        <v>0</v>
      </c>
      <c r="AF174" s="150">
        <f t="shared" si="2"/>
        <v>460</v>
      </c>
      <c r="AG174" s="146"/>
      <c r="AH174" s="173"/>
    </row>
    <row r="175" spans="1:34" s="78" customFormat="1" ht="12" customHeight="1">
      <c r="A175" s="100">
        <v>1173</v>
      </c>
      <c r="B175" s="101" t="s">
        <v>3395</v>
      </c>
      <c r="C175" s="129" t="s">
        <v>4141</v>
      </c>
      <c r="D175" s="101" t="s">
        <v>3397</v>
      </c>
      <c r="E175" s="100">
        <v>1</v>
      </c>
      <c r="F175" s="143">
        <v>4</v>
      </c>
      <c r="G175" s="103">
        <v>173</v>
      </c>
      <c r="H175" s="144" t="s">
        <v>1368</v>
      </c>
      <c r="I175" s="145" t="s">
        <v>1368</v>
      </c>
      <c r="J175" s="146">
        <v>10500101344701</v>
      </c>
      <c r="K175" s="147" t="s">
        <v>353</v>
      </c>
      <c r="L175" s="147"/>
      <c r="M175" s="147">
        <v>60</v>
      </c>
      <c r="N175" s="148" t="s">
        <v>1369</v>
      </c>
      <c r="O175" s="144" t="s">
        <v>1370</v>
      </c>
      <c r="P175" s="148" t="s">
        <v>1371</v>
      </c>
      <c r="Q175" s="144" t="s">
        <v>1372</v>
      </c>
      <c r="R175" s="144" t="s">
        <v>1373</v>
      </c>
      <c r="S175" s="149" t="s">
        <v>1374</v>
      </c>
      <c r="T175" s="131">
        <v>200</v>
      </c>
      <c r="U175" s="132">
        <v>71</v>
      </c>
      <c r="V175" s="132">
        <v>0</v>
      </c>
      <c r="W175" s="111" t="s">
        <v>3397</v>
      </c>
      <c r="X175" s="111" t="s">
        <v>2879</v>
      </c>
      <c r="Y175" s="142">
        <v>271</v>
      </c>
      <c r="Z175" s="131">
        <v>0</v>
      </c>
      <c r="AA175" s="132">
        <v>0</v>
      </c>
      <c r="AB175" s="132">
        <v>0</v>
      </c>
      <c r="AC175" s="111"/>
      <c r="AD175" s="111"/>
      <c r="AE175" s="142">
        <v>0</v>
      </c>
      <c r="AF175" s="150">
        <f t="shared" si="2"/>
        <v>271</v>
      </c>
      <c r="AG175" s="146"/>
      <c r="AH175" s="173"/>
    </row>
    <row r="176" spans="1:34" s="78" customFormat="1" ht="12" customHeight="1">
      <c r="A176" s="100">
        <v>1174</v>
      </c>
      <c r="B176" s="101" t="s">
        <v>3395</v>
      </c>
      <c r="C176" s="129" t="s">
        <v>4141</v>
      </c>
      <c r="D176" s="101" t="s">
        <v>3397</v>
      </c>
      <c r="E176" s="100">
        <v>1</v>
      </c>
      <c r="F176" s="143">
        <v>4</v>
      </c>
      <c r="G176" s="103">
        <v>174</v>
      </c>
      <c r="H176" s="144" t="s">
        <v>1375</v>
      </c>
      <c r="I176" s="145" t="s">
        <v>1375</v>
      </c>
      <c r="J176" s="146">
        <v>20500101026402</v>
      </c>
      <c r="K176" s="147" t="s">
        <v>353</v>
      </c>
      <c r="L176" s="147"/>
      <c r="M176" s="147">
        <v>60</v>
      </c>
      <c r="N176" s="148" t="s">
        <v>1369</v>
      </c>
      <c r="O176" s="144" t="s">
        <v>1376</v>
      </c>
      <c r="P176" s="148" t="s">
        <v>1377</v>
      </c>
      <c r="Q176" s="144" t="s">
        <v>1378</v>
      </c>
      <c r="R176" s="144" t="s">
        <v>1379</v>
      </c>
      <c r="S176" s="149" t="s">
        <v>1380</v>
      </c>
      <c r="T176" s="131">
        <v>171</v>
      </c>
      <c r="U176" s="132">
        <v>129</v>
      </c>
      <c r="V176" s="132">
        <v>0</v>
      </c>
      <c r="W176" s="111" t="s">
        <v>3397</v>
      </c>
      <c r="X176" s="111" t="s">
        <v>2879</v>
      </c>
      <c r="Y176" s="142">
        <v>300</v>
      </c>
      <c r="Z176" s="131">
        <v>0</v>
      </c>
      <c r="AA176" s="132">
        <v>0</v>
      </c>
      <c r="AB176" s="132">
        <v>0</v>
      </c>
      <c r="AC176" s="111"/>
      <c r="AD176" s="111"/>
      <c r="AE176" s="142">
        <v>0</v>
      </c>
      <c r="AF176" s="150">
        <f t="shared" si="2"/>
        <v>300</v>
      </c>
      <c r="AG176" s="146" t="s">
        <v>404</v>
      </c>
      <c r="AH176" s="173"/>
    </row>
    <row r="177" spans="1:34" s="78" customFormat="1" ht="12" customHeight="1">
      <c r="A177" s="100">
        <v>1175</v>
      </c>
      <c r="B177" s="101" t="s">
        <v>3395</v>
      </c>
      <c r="C177" s="129" t="s">
        <v>4141</v>
      </c>
      <c r="D177" s="101" t="s">
        <v>3397</v>
      </c>
      <c r="E177" s="100">
        <v>1</v>
      </c>
      <c r="F177" s="143">
        <v>4</v>
      </c>
      <c r="G177" s="103">
        <v>175</v>
      </c>
      <c r="H177" s="144" t="s">
        <v>1381</v>
      </c>
      <c r="I177" s="145" t="s">
        <v>1381</v>
      </c>
      <c r="J177" s="146">
        <v>10500102657301</v>
      </c>
      <c r="K177" s="147" t="s">
        <v>353</v>
      </c>
      <c r="L177" s="147"/>
      <c r="M177" s="147">
        <v>60</v>
      </c>
      <c r="N177" s="148" t="s">
        <v>1382</v>
      </c>
      <c r="O177" s="144" t="s">
        <v>1383</v>
      </c>
      <c r="P177" s="148"/>
      <c r="Q177" s="144" t="s">
        <v>1384</v>
      </c>
      <c r="R177" s="144" t="s">
        <v>1385</v>
      </c>
      <c r="S177" s="149" t="s">
        <v>1386</v>
      </c>
      <c r="T177" s="131">
        <v>126</v>
      </c>
      <c r="U177" s="132">
        <v>204</v>
      </c>
      <c r="V177" s="132">
        <v>70</v>
      </c>
      <c r="W177" s="111" t="s">
        <v>3397</v>
      </c>
      <c r="X177" s="111" t="s">
        <v>2879</v>
      </c>
      <c r="Y177" s="142">
        <v>400</v>
      </c>
      <c r="Z177" s="131">
        <v>0</v>
      </c>
      <c r="AA177" s="132">
        <v>0</v>
      </c>
      <c r="AB177" s="132">
        <v>0</v>
      </c>
      <c r="AC177" s="111"/>
      <c r="AD177" s="111"/>
      <c r="AE177" s="142">
        <v>0</v>
      </c>
      <c r="AF177" s="150">
        <f t="shared" si="2"/>
        <v>400</v>
      </c>
      <c r="AG177" s="146"/>
      <c r="AH177" s="173"/>
    </row>
    <row r="178" spans="1:34" s="78" customFormat="1" ht="12" customHeight="1">
      <c r="A178" s="100">
        <v>1176</v>
      </c>
      <c r="B178" s="101" t="s">
        <v>3395</v>
      </c>
      <c r="C178" s="129" t="s">
        <v>4141</v>
      </c>
      <c r="D178" s="101" t="s">
        <v>3398</v>
      </c>
      <c r="E178" s="100">
        <v>1</v>
      </c>
      <c r="F178" s="102">
        <v>6</v>
      </c>
      <c r="G178" s="103">
        <v>176</v>
      </c>
      <c r="H178" s="104" t="s">
        <v>1387</v>
      </c>
      <c r="I178" s="104" t="s">
        <v>1387</v>
      </c>
      <c r="J178" s="105">
        <v>10500101334001</v>
      </c>
      <c r="K178" s="106" t="s">
        <v>353</v>
      </c>
      <c r="L178" s="115"/>
      <c r="M178" s="106">
        <v>14</v>
      </c>
      <c r="N178" s="104" t="s">
        <v>1388</v>
      </c>
      <c r="O178" s="104" t="s">
        <v>1389</v>
      </c>
      <c r="P178" s="229" t="s">
        <v>1390</v>
      </c>
      <c r="Q178" s="104" t="s">
        <v>1391</v>
      </c>
      <c r="R178" s="229" t="s">
        <v>1392</v>
      </c>
      <c r="S178" s="230" t="s">
        <v>1393</v>
      </c>
      <c r="T178" s="109">
        <v>0</v>
      </c>
      <c r="U178" s="110">
        <v>526</v>
      </c>
      <c r="V178" s="110">
        <v>564</v>
      </c>
      <c r="W178" s="111" t="s">
        <v>3397</v>
      </c>
      <c r="X178" s="111" t="s">
        <v>2879</v>
      </c>
      <c r="Y178" s="112">
        <v>1090</v>
      </c>
      <c r="Z178" s="109">
        <v>0</v>
      </c>
      <c r="AA178" s="110">
        <v>490</v>
      </c>
      <c r="AB178" s="110">
        <v>400</v>
      </c>
      <c r="AC178" s="111" t="s">
        <v>3399</v>
      </c>
      <c r="AD178" s="111" t="s">
        <v>2879</v>
      </c>
      <c r="AE178" s="112">
        <v>890</v>
      </c>
      <c r="AF178" s="113">
        <f t="shared" si="2"/>
        <v>1980</v>
      </c>
      <c r="AG178" s="114"/>
      <c r="AH178" s="115"/>
    </row>
    <row r="179" spans="1:34" s="78" customFormat="1" ht="12" customHeight="1">
      <c r="A179" s="100">
        <v>1177</v>
      </c>
      <c r="B179" s="101" t="s">
        <v>3395</v>
      </c>
      <c r="C179" s="129" t="s">
        <v>4141</v>
      </c>
      <c r="D179" s="101" t="s">
        <v>3397</v>
      </c>
      <c r="E179" s="100">
        <v>1</v>
      </c>
      <c r="F179" s="102">
        <v>6</v>
      </c>
      <c r="G179" s="103">
        <v>177</v>
      </c>
      <c r="H179" s="104" t="s">
        <v>1394</v>
      </c>
      <c r="I179" s="104" t="s">
        <v>1394</v>
      </c>
      <c r="J179" s="105">
        <v>10500101334002</v>
      </c>
      <c r="K179" s="106" t="s">
        <v>353</v>
      </c>
      <c r="L179" s="115"/>
      <c r="M179" s="106">
        <v>14</v>
      </c>
      <c r="N179" s="104" t="s">
        <v>1395</v>
      </c>
      <c r="O179" s="104" t="s">
        <v>1396</v>
      </c>
      <c r="P179" s="229" t="s">
        <v>1397</v>
      </c>
      <c r="Q179" s="104" t="s">
        <v>1398</v>
      </c>
      <c r="R179" s="229" t="s">
        <v>1399</v>
      </c>
      <c r="S179" s="230" t="s">
        <v>1400</v>
      </c>
      <c r="T179" s="109">
        <v>157</v>
      </c>
      <c r="U179" s="110">
        <v>59</v>
      </c>
      <c r="V179" s="110">
        <v>0</v>
      </c>
      <c r="W179" s="111" t="s">
        <v>3397</v>
      </c>
      <c r="X179" s="111" t="s">
        <v>2879</v>
      </c>
      <c r="Y179" s="112">
        <v>216</v>
      </c>
      <c r="Z179" s="109">
        <v>0</v>
      </c>
      <c r="AA179" s="110">
        <v>0</v>
      </c>
      <c r="AB179" s="110">
        <v>0</v>
      </c>
      <c r="AC179" s="111"/>
      <c r="AD179" s="111"/>
      <c r="AE179" s="112">
        <v>0</v>
      </c>
      <c r="AF179" s="113">
        <f t="shared" si="2"/>
        <v>216</v>
      </c>
      <c r="AG179" s="103" t="s">
        <v>404</v>
      </c>
      <c r="AH179" s="183"/>
    </row>
    <row r="180" spans="1:34" s="78" customFormat="1" ht="12" customHeight="1">
      <c r="A180" s="100">
        <v>1178</v>
      </c>
      <c r="B180" s="101" t="s">
        <v>3395</v>
      </c>
      <c r="C180" s="129" t="s">
        <v>4141</v>
      </c>
      <c r="D180" s="101" t="s">
        <v>3398</v>
      </c>
      <c r="E180" s="100">
        <v>1</v>
      </c>
      <c r="F180" s="102">
        <v>6</v>
      </c>
      <c r="G180" s="103">
        <v>178</v>
      </c>
      <c r="H180" s="104" t="s">
        <v>1401</v>
      </c>
      <c r="I180" s="104" t="s">
        <v>1401</v>
      </c>
      <c r="J180" s="105">
        <v>10500100171601</v>
      </c>
      <c r="K180" s="106" t="s">
        <v>353</v>
      </c>
      <c r="L180" s="115"/>
      <c r="M180" s="106">
        <v>14</v>
      </c>
      <c r="N180" s="104" t="s">
        <v>1402</v>
      </c>
      <c r="O180" s="104" t="s">
        <v>1403</v>
      </c>
      <c r="P180" s="229" t="s">
        <v>1404</v>
      </c>
      <c r="Q180" s="104" t="s">
        <v>1405</v>
      </c>
      <c r="R180" s="229" t="s">
        <v>1406</v>
      </c>
      <c r="S180" s="231" t="s">
        <v>1407</v>
      </c>
      <c r="T180" s="109">
        <v>144</v>
      </c>
      <c r="U180" s="110">
        <v>79</v>
      </c>
      <c r="V180" s="110">
        <v>31</v>
      </c>
      <c r="W180" s="111" t="s">
        <v>3397</v>
      </c>
      <c r="X180" s="111" t="s">
        <v>2879</v>
      </c>
      <c r="Y180" s="112">
        <v>254</v>
      </c>
      <c r="Z180" s="109">
        <v>0</v>
      </c>
      <c r="AA180" s="110">
        <v>62</v>
      </c>
      <c r="AB180" s="110">
        <v>22</v>
      </c>
      <c r="AC180" s="111" t="s">
        <v>3399</v>
      </c>
      <c r="AD180" s="111" t="s">
        <v>2879</v>
      </c>
      <c r="AE180" s="112">
        <v>84</v>
      </c>
      <c r="AF180" s="113">
        <f t="shared" si="2"/>
        <v>338</v>
      </c>
      <c r="AG180" s="103" t="s">
        <v>404</v>
      </c>
      <c r="AH180" s="183"/>
    </row>
    <row r="181" spans="1:34" s="78" customFormat="1" ht="12" customHeight="1">
      <c r="A181" s="100">
        <v>1179</v>
      </c>
      <c r="B181" s="101" t="s">
        <v>3395</v>
      </c>
      <c r="C181" s="129" t="s">
        <v>4141</v>
      </c>
      <c r="D181" s="101" t="s">
        <v>3398</v>
      </c>
      <c r="E181" s="100">
        <v>1</v>
      </c>
      <c r="F181" s="102">
        <v>6</v>
      </c>
      <c r="G181" s="103">
        <v>179</v>
      </c>
      <c r="H181" s="104" t="s">
        <v>1408</v>
      </c>
      <c r="I181" s="104" t="s">
        <v>1408</v>
      </c>
      <c r="J181" s="105">
        <v>10500100048501</v>
      </c>
      <c r="K181" s="106" t="s">
        <v>353</v>
      </c>
      <c r="L181" s="115"/>
      <c r="M181" s="106">
        <v>15</v>
      </c>
      <c r="N181" s="104" t="s">
        <v>1409</v>
      </c>
      <c r="O181" s="104" t="s">
        <v>1410</v>
      </c>
      <c r="P181" s="104" t="s">
        <v>1411</v>
      </c>
      <c r="Q181" s="104" t="s">
        <v>1412</v>
      </c>
      <c r="R181" s="104" t="s">
        <v>1413</v>
      </c>
      <c r="S181" s="108" t="s">
        <v>1414</v>
      </c>
      <c r="T181" s="109">
        <v>73</v>
      </c>
      <c r="U181" s="110">
        <v>90</v>
      </c>
      <c r="V181" s="110">
        <v>67</v>
      </c>
      <c r="W181" s="111" t="s">
        <v>3397</v>
      </c>
      <c r="X181" s="111" t="s">
        <v>2879</v>
      </c>
      <c r="Y181" s="112">
        <v>230</v>
      </c>
      <c r="Z181" s="109">
        <v>193</v>
      </c>
      <c r="AA181" s="110">
        <v>282</v>
      </c>
      <c r="AB181" s="110">
        <v>156</v>
      </c>
      <c r="AC181" s="111" t="s">
        <v>3399</v>
      </c>
      <c r="AD181" s="111" t="s">
        <v>2879</v>
      </c>
      <c r="AE181" s="112">
        <v>631</v>
      </c>
      <c r="AF181" s="113">
        <f t="shared" si="2"/>
        <v>861</v>
      </c>
      <c r="AG181" s="232"/>
      <c r="AH181" s="183"/>
    </row>
    <row r="182" spans="1:34" s="78" customFormat="1" ht="12" customHeight="1">
      <c r="A182" s="100">
        <v>1180</v>
      </c>
      <c r="B182" s="101" t="s">
        <v>3395</v>
      </c>
      <c r="C182" s="129" t="s">
        <v>4141</v>
      </c>
      <c r="D182" s="101" t="s">
        <v>3398</v>
      </c>
      <c r="E182" s="100">
        <v>1</v>
      </c>
      <c r="F182" s="102">
        <v>6</v>
      </c>
      <c r="G182" s="103">
        <v>180</v>
      </c>
      <c r="H182" s="104" t="s">
        <v>1415</v>
      </c>
      <c r="I182" s="104" t="s">
        <v>1415</v>
      </c>
      <c r="J182" s="105">
        <v>10500100039603</v>
      </c>
      <c r="K182" s="106" t="s">
        <v>353</v>
      </c>
      <c r="L182" s="115"/>
      <c r="M182" s="106">
        <v>15</v>
      </c>
      <c r="N182" s="104" t="s">
        <v>1416</v>
      </c>
      <c r="O182" s="104" t="s">
        <v>1417</v>
      </c>
      <c r="P182" s="104" t="s">
        <v>1418</v>
      </c>
      <c r="Q182" s="104" t="s">
        <v>1419</v>
      </c>
      <c r="R182" s="104" t="s">
        <v>1419</v>
      </c>
      <c r="S182" s="108" t="s">
        <v>1420</v>
      </c>
      <c r="T182" s="109">
        <v>132</v>
      </c>
      <c r="U182" s="110">
        <v>58</v>
      </c>
      <c r="V182" s="110">
        <v>0</v>
      </c>
      <c r="W182" s="111" t="s">
        <v>3397</v>
      </c>
      <c r="X182" s="111" t="s">
        <v>2879</v>
      </c>
      <c r="Y182" s="112">
        <v>190</v>
      </c>
      <c r="Z182" s="109">
        <v>28</v>
      </c>
      <c r="AA182" s="110">
        <v>32</v>
      </c>
      <c r="AB182" s="110">
        <v>0</v>
      </c>
      <c r="AC182" s="111" t="s">
        <v>3399</v>
      </c>
      <c r="AD182" s="111" t="s">
        <v>2879</v>
      </c>
      <c r="AE182" s="112">
        <v>60</v>
      </c>
      <c r="AF182" s="113">
        <f t="shared" si="2"/>
        <v>250</v>
      </c>
      <c r="AG182" s="103" t="s">
        <v>404</v>
      </c>
      <c r="AH182" s="183"/>
    </row>
    <row r="183" spans="1:34" s="78" customFormat="1" ht="12" customHeight="1">
      <c r="A183" s="100">
        <v>1181</v>
      </c>
      <c r="B183" s="101" t="s">
        <v>3395</v>
      </c>
      <c r="C183" s="129" t="s">
        <v>4141</v>
      </c>
      <c r="D183" s="101" t="s">
        <v>3398</v>
      </c>
      <c r="E183" s="100">
        <v>1</v>
      </c>
      <c r="F183" s="102">
        <v>6</v>
      </c>
      <c r="G183" s="103">
        <v>181</v>
      </c>
      <c r="H183" s="104" t="s">
        <v>1421</v>
      </c>
      <c r="I183" s="104" t="s">
        <v>1421</v>
      </c>
      <c r="J183" s="105">
        <v>10500100249602</v>
      </c>
      <c r="K183" s="106" t="s">
        <v>353</v>
      </c>
      <c r="L183" s="115"/>
      <c r="M183" s="106">
        <v>15</v>
      </c>
      <c r="N183" s="104" t="s">
        <v>1422</v>
      </c>
      <c r="O183" s="104" t="s">
        <v>1423</v>
      </c>
      <c r="P183" s="104" t="s">
        <v>1424</v>
      </c>
      <c r="Q183" s="104" t="s">
        <v>1425</v>
      </c>
      <c r="R183" s="104" t="s">
        <v>1426</v>
      </c>
      <c r="S183" s="108" t="s">
        <v>1427</v>
      </c>
      <c r="T183" s="109">
        <v>85</v>
      </c>
      <c r="U183" s="110">
        <v>55</v>
      </c>
      <c r="V183" s="110">
        <v>0</v>
      </c>
      <c r="W183" s="111" t="s">
        <v>3397</v>
      </c>
      <c r="X183" s="111" t="s">
        <v>2879</v>
      </c>
      <c r="Y183" s="112">
        <v>140</v>
      </c>
      <c r="Z183" s="109">
        <v>68</v>
      </c>
      <c r="AA183" s="110">
        <v>32</v>
      </c>
      <c r="AB183" s="110">
        <v>0</v>
      </c>
      <c r="AC183" s="111" t="s">
        <v>3399</v>
      </c>
      <c r="AD183" s="111" t="s">
        <v>2879</v>
      </c>
      <c r="AE183" s="112">
        <v>100</v>
      </c>
      <c r="AF183" s="113">
        <f t="shared" si="2"/>
        <v>240</v>
      </c>
      <c r="AG183" s="232"/>
      <c r="AH183" s="183"/>
    </row>
    <row r="184" spans="1:34" s="78" customFormat="1" ht="12" customHeight="1">
      <c r="A184" s="100">
        <v>1182</v>
      </c>
      <c r="B184" s="101" t="s">
        <v>3395</v>
      </c>
      <c r="C184" s="129" t="s">
        <v>4141</v>
      </c>
      <c r="D184" s="101" t="s">
        <v>3398</v>
      </c>
      <c r="E184" s="100">
        <v>1</v>
      </c>
      <c r="F184" s="102">
        <v>6</v>
      </c>
      <c r="G184" s="103">
        <v>182</v>
      </c>
      <c r="H184" s="104" t="s">
        <v>1428</v>
      </c>
      <c r="I184" s="104" t="s">
        <v>1428</v>
      </c>
      <c r="J184" s="105">
        <v>10500100742101</v>
      </c>
      <c r="K184" s="106" t="s">
        <v>353</v>
      </c>
      <c r="L184" s="115"/>
      <c r="M184" s="106">
        <v>15</v>
      </c>
      <c r="N184" s="104" t="s">
        <v>1409</v>
      </c>
      <c r="O184" s="104" t="s">
        <v>1429</v>
      </c>
      <c r="P184" s="104" t="s">
        <v>1430</v>
      </c>
      <c r="Q184" s="104" t="s">
        <v>1431</v>
      </c>
      <c r="R184" s="104" t="s">
        <v>1432</v>
      </c>
      <c r="S184" s="108" t="s">
        <v>1433</v>
      </c>
      <c r="T184" s="109">
        <v>35</v>
      </c>
      <c r="U184" s="110">
        <v>75</v>
      </c>
      <c r="V184" s="110">
        <v>40</v>
      </c>
      <c r="W184" s="111" t="s">
        <v>3397</v>
      </c>
      <c r="X184" s="111" t="s">
        <v>2879</v>
      </c>
      <c r="Y184" s="112">
        <v>150</v>
      </c>
      <c r="Z184" s="109">
        <v>107</v>
      </c>
      <c r="AA184" s="110">
        <v>79</v>
      </c>
      <c r="AB184" s="110">
        <v>30</v>
      </c>
      <c r="AC184" s="111" t="s">
        <v>3399</v>
      </c>
      <c r="AD184" s="111" t="s">
        <v>2879</v>
      </c>
      <c r="AE184" s="112">
        <v>216</v>
      </c>
      <c r="AF184" s="113">
        <f t="shared" si="2"/>
        <v>366</v>
      </c>
      <c r="AG184" s="103" t="s">
        <v>404</v>
      </c>
      <c r="AH184" s="183"/>
    </row>
    <row r="185" spans="1:34" s="78" customFormat="1" ht="12" customHeight="1">
      <c r="A185" s="100">
        <v>1183</v>
      </c>
      <c r="B185" s="101" t="s">
        <v>3395</v>
      </c>
      <c r="C185" s="129" t="s">
        <v>4141</v>
      </c>
      <c r="D185" s="101" t="s">
        <v>3398</v>
      </c>
      <c r="E185" s="100">
        <v>1</v>
      </c>
      <c r="F185" s="102">
        <v>6</v>
      </c>
      <c r="G185" s="103">
        <v>183</v>
      </c>
      <c r="H185" s="104" t="s">
        <v>1434</v>
      </c>
      <c r="I185" s="104" t="s">
        <v>1434</v>
      </c>
      <c r="J185" s="105">
        <v>10500100200301</v>
      </c>
      <c r="K185" s="106" t="s">
        <v>353</v>
      </c>
      <c r="L185" s="115"/>
      <c r="M185" s="106">
        <v>16</v>
      </c>
      <c r="N185" s="104" t="s">
        <v>1435</v>
      </c>
      <c r="O185" s="104" t="s">
        <v>1436</v>
      </c>
      <c r="P185" s="229" t="s">
        <v>1437</v>
      </c>
      <c r="Q185" s="104" t="s">
        <v>1438</v>
      </c>
      <c r="R185" s="229" t="s">
        <v>1439</v>
      </c>
      <c r="S185" s="108" t="s">
        <v>1440</v>
      </c>
      <c r="T185" s="109">
        <v>177</v>
      </c>
      <c r="U185" s="110">
        <v>128</v>
      </c>
      <c r="V185" s="110">
        <v>55</v>
      </c>
      <c r="W185" s="111" t="s">
        <v>3397</v>
      </c>
      <c r="X185" s="111" t="s">
        <v>2879</v>
      </c>
      <c r="Y185" s="112">
        <v>360</v>
      </c>
      <c r="Z185" s="109">
        <v>173</v>
      </c>
      <c r="AA185" s="110">
        <v>197</v>
      </c>
      <c r="AB185" s="110">
        <v>80</v>
      </c>
      <c r="AC185" s="111" t="s">
        <v>3399</v>
      </c>
      <c r="AD185" s="111" t="s">
        <v>2879</v>
      </c>
      <c r="AE185" s="112">
        <v>450</v>
      </c>
      <c r="AF185" s="113">
        <f t="shared" si="2"/>
        <v>810</v>
      </c>
      <c r="AG185" s="232"/>
      <c r="AH185" s="183"/>
    </row>
    <row r="186" spans="1:34" s="78" customFormat="1" ht="12" customHeight="1">
      <c r="A186" s="100">
        <v>1184</v>
      </c>
      <c r="B186" s="101" t="s">
        <v>3395</v>
      </c>
      <c r="C186" s="129" t="s">
        <v>4141</v>
      </c>
      <c r="D186" s="101" t="s">
        <v>3398</v>
      </c>
      <c r="E186" s="100">
        <v>1</v>
      </c>
      <c r="F186" s="102">
        <v>6</v>
      </c>
      <c r="G186" s="103">
        <v>184</v>
      </c>
      <c r="H186" s="104" t="s">
        <v>1441</v>
      </c>
      <c r="I186" s="104" t="s">
        <v>1441</v>
      </c>
      <c r="J186" s="105">
        <v>10500100618101</v>
      </c>
      <c r="K186" s="106" t="s">
        <v>353</v>
      </c>
      <c r="L186" s="115"/>
      <c r="M186" s="106">
        <v>16</v>
      </c>
      <c r="N186" s="104" t="s">
        <v>1442</v>
      </c>
      <c r="O186" s="104" t="s">
        <v>1443</v>
      </c>
      <c r="P186" s="229" t="s">
        <v>1444</v>
      </c>
      <c r="Q186" s="229" t="s">
        <v>1445</v>
      </c>
      <c r="R186" s="229" t="s">
        <v>1446</v>
      </c>
      <c r="S186" s="108" t="s">
        <v>1447</v>
      </c>
      <c r="T186" s="109">
        <v>266</v>
      </c>
      <c r="U186" s="110">
        <v>132</v>
      </c>
      <c r="V186" s="110">
        <v>62</v>
      </c>
      <c r="W186" s="111" t="s">
        <v>3397</v>
      </c>
      <c r="X186" s="111" t="s">
        <v>2879</v>
      </c>
      <c r="Y186" s="112">
        <v>460</v>
      </c>
      <c r="Z186" s="109">
        <v>58</v>
      </c>
      <c r="AA186" s="110">
        <v>344</v>
      </c>
      <c r="AB186" s="110">
        <v>0</v>
      </c>
      <c r="AC186" s="111" t="s">
        <v>3399</v>
      </c>
      <c r="AD186" s="111" t="s">
        <v>2879</v>
      </c>
      <c r="AE186" s="112">
        <v>402</v>
      </c>
      <c r="AF186" s="113">
        <f t="shared" si="2"/>
        <v>862</v>
      </c>
      <c r="AG186" s="232"/>
      <c r="AH186" s="183"/>
    </row>
    <row r="187" spans="1:34" s="78" customFormat="1" ht="12" customHeight="1">
      <c r="A187" s="100">
        <v>1185</v>
      </c>
      <c r="B187" s="101" t="s">
        <v>3395</v>
      </c>
      <c r="C187" s="129" t="s">
        <v>4141</v>
      </c>
      <c r="D187" s="101" t="s">
        <v>3398</v>
      </c>
      <c r="E187" s="100">
        <v>1</v>
      </c>
      <c r="F187" s="102">
        <v>6</v>
      </c>
      <c r="G187" s="103">
        <v>185</v>
      </c>
      <c r="H187" s="104" t="s">
        <v>1448</v>
      </c>
      <c r="I187" s="104" t="s">
        <v>1448</v>
      </c>
      <c r="J187" s="105">
        <v>10500100102301</v>
      </c>
      <c r="K187" s="106" t="s">
        <v>353</v>
      </c>
      <c r="L187" s="115"/>
      <c r="M187" s="106">
        <v>16</v>
      </c>
      <c r="N187" s="104" t="s">
        <v>1449</v>
      </c>
      <c r="O187" s="104" t="s">
        <v>1450</v>
      </c>
      <c r="P187" s="104">
        <v>2384910</v>
      </c>
      <c r="Q187" s="104" t="s">
        <v>1451</v>
      </c>
      <c r="R187" s="104" t="s">
        <v>1452</v>
      </c>
      <c r="S187" s="108" t="s">
        <v>1453</v>
      </c>
      <c r="T187" s="109">
        <v>230</v>
      </c>
      <c r="U187" s="110">
        <v>90</v>
      </c>
      <c r="V187" s="110">
        <v>30</v>
      </c>
      <c r="W187" s="111" t="s">
        <v>3397</v>
      </c>
      <c r="X187" s="111" t="s">
        <v>2879</v>
      </c>
      <c r="Y187" s="112">
        <v>350</v>
      </c>
      <c r="Z187" s="109">
        <v>41</v>
      </c>
      <c r="AA187" s="110">
        <v>270</v>
      </c>
      <c r="AB187" s="110">
        <v>165</v>
      </c>
      <c r="AC187" s="111" t="s">
        <v>3399</v>
      </c>
      <c r="AD187" s="111" t="s">
        <v>2879</v>
      </c>
      <c r="AE187" s="112">
        <v>476</v>
      </c>
      <c r="AF187" s="113">
        <f t="shared" si="2"/>
        <v>826</v>
      </c>
      <c r="AG187" s="232"/>
      <c r="AH187" s="183"/>
    </row>
    <row r="188" spans="1:34" s="78" customFormat="1" ht="12" customHeight="1">
      <c r="A188" s="100">
        <v>1186</v>
      </c>
      <c r="B188" s="101" t="s">
        <v>3395</v>
      </c>
      <c r="C188" s="129" t="s">
        <v>4141</v>
      </c>
      <c r="D188" s="101" t="s">
        <v>3398</v>
      </c>
      <c r="E188" s="100">
        <v>1</v>
      </c>
      <c r="F188" s="102">
        <v>6</v>
      </c>
      <c r="G188" s="103">
        <v>186</v>
      </c>
      <c r="H188" s="104" t="s">
        <v>1454</v>
      </c>
      <c r="I188" s="104" t="s">
        <v>1454</v>
      </c>
      <c r="J188" s="105">
        <v>10500100163504</v>
      </c>
      <c r="K188" s="106" t="s">
        <v>353</v>
      </c>
      <c r="L188" s="106" t="s">
        <v>303</v>
      </c>
      <c r="M188" s="106">
        <v>16</v>
      </c>
      <c r="N188" s="104" t="s">
        <v>1455</v>
      </c>
      <c r="O188" s="104" t="s">
        <v>1456</v>
      </c>
      <c r="P188" s="104">
        <v>2560941</v>
      </c>
      <c r="Q188" s="104" t="s">
        <v>1457</v>
      </c>
      <c r="R188" s="104" t="s">
        <v>1458</v>
      </c>
      <c r="S188" s="108" t="s">
        <v>1459</v>
      </c>
      <c r="T188" s="109">
        <v>113</v>
      </c>
      <c r="U188" s="110">
        <v>127</v>
      </c>
      <c r="V188" s="110">
        <v>0</v>
      </c>
      <c r="W188" s="111" t="s">
        <v>3397</v>
      </c>
      <c r="X188" s="111" t="s">
        <v>2879</v>
      </c>
      <c r="Y188" s="112">
        <v>240</v>
      </c>
      <c r="Z188" s="109">
        <v>90</v>
      </c>
      <c r="AA188" s="110">
        <v>93</v>
      </c>
      <c r="AB188" s="110">
        <v>0</v>
      </c>
      <c r="AC188" s="111" t="s">
        <v>3399</v>
      </c>
      <c r="AD188" s="111" t="s">
        <v>2879</v>
      </c>
      <c r="AE188" s="112">
        <v>183</v>
      </c>
      <c r="AF188" s="113">
        <f t="shared" si="2"/>
        <v>423</v>
      </c>
      <c r="AG188" s="103" t="s">
        <v>404</v>
      </c>
      <c r="AH188" s="183"/>
    </row>
    <row r="189" spans="1:34" s="78" customFormat="1" ht="12" customHeight="1">
      <c r="A189" s="100">
        <v>1187</v>
      </c>
      <c r="B189" s="101" t="s">
        <v>3395</v>
      </c>
      <c r="C189" s="129" t="s">
        <v>4141</v>
      </c>
      <c r="D189" s="101" t="s">
        <v>3398</v>
      </c>
      <c r="E189" s="100">
        <v>1</v>
      </c>
      <c r="F189" s="102">
        <v>6</v>
      </c>
      <c r="G189" s="103">
        <v>187</v>
      </c>
      <c r="H189" s="104" t="s">
        <v>1460</v>
      </c>
      <c r="I189" s="104" t="s">
        <v>1460</v>
      </c>
      <c r="J189" s="105">
        <v>10500101992502</v>
      </c>
      <c r="K189" s="106" t="s">
        <v>353</v>
      </c>
      <c r="L189" s="115"/>
      <c r="M189" s="106">
        <v>16</v>
      </c>
      <c r="N189" s="104" t="s">
        <v>1449</v>
      </c>
      <c r="O189" s="104" t="s">
        <v>1461</v>
      </c>
      <c r="P189" s="104" t="s">
        <v>1462</v>
      </c>
      <c r="Q189" s="104" t="s">
        <v>1463</v>
      </c>
      <c r="R189" s="104" t="s">
        <v>1464</v>
      </c>
      <c r="S189" s="108" t="s">
        <v>1465</v>
      </c>
      <c r="T189" s="109">
        <v>207</v>
      </c>
      <c r="U189" s="110">
        <v>0</v>
      </c>
      <c r="V189" s="110">
        <v>0</v>
      </c>
      <c r="W189" s="111" t="s">
        <v>3397</v>
      </c>
      <c r="X189" s="111" t="s">
        <v>2879</v>
      </c>
      <c r="Y189" s="112">
        <v>207</v>
      </c>
      <c r="Z189" s="109">
        <v>105</v>
      </c>
      <c r="AA189" s="110">
        <v>0</v>
      </c>
      <c r="AB189" s="110">
        <v>0</v>
      </c>
      <c r="AC189" s="111" t="s">
        <v>3399</v>
      </c>
      <c r="AD189" s="111" t="s">
        <v>2879</v>
      </c>
      <c r="AE189" s="112">
        <v>105</v>
      </c>
      <c r="AF189" s="113">
        <f t="shared" si="2"/>
        <v>312</v>
      </c>
      <c r="AG189" s="232"/>
      <c r="AH189" s="183"/>
    </row>
    <row r="190" spans="1:34" s="78" customFormat="1" ht="12" customHeight="1">
      <c r="A190" s="100">
        <v>1188</v>
      </c>
      <c r="B190" s="101" t="s">
        <v>3395</v>
      </c>
      <c r="C190" s="129" t="s">
        <v>4141</v>
      </c>
      <c r="D190" s="101" t="s">
        <v>3398</v>
      </c>
      <c r="E190" s="100">
        <v>1</v>
      </c>
      <c r="F190" s="102">
        <v>6</v>
      </c>
      <c r="G190" s="103">
        <v>188</v>
      </c>
      <c r="H190" s="104" t="s">
        <v>1466</v>
      </c>
      <c r="I190" s="104" t="s">
        <v>1466</v>
      </c>
      <c r="J190" s="105">
        <v>10500100086801</v>
      </c>
      <c r="K190" s="106" t="s">
        <v>353</v>
      </c>
      <c r="L190" s="115"/>
      <c r="M190" s="106">
        <v>16</v>
      </c>
      <c r="N190" s="104" t="s">
        <v>1467</v>
      </c>
      <c r="O190" s="104" t="s">
        <v>1468</v>
      </c>
      <c r="P190" s="229" t="s">
        <v>1469</v>
      </c>
      <c r="Q190" s="104" t="s">
        <v>1470</v>
      </c>
      <c r="R190" s="229" t="s">
        <v>1471</v>
      </c>
      <c r="S190" s="231" t="s">
        <v>1472</v>
      </c>
      <c r="T190" s="109">
        <v>148</v>
      </c>
      <c r="U190" s="110">
        <v>124</v>
      </c>
      <c r="V190" s="110">
        <v>8</v>
      </c>
      <c r="W190" s="111" t="s">
        <v>3397</v>
      </c>
      <c r="X190" s="111" t="s">
        <v>2879</v>
      </c>
      <c r="Y190" s="112">
        <v>280</v>
      </c>
      <c r="Z190" s="109">
        <v>31</v>
      </c>
      <c r="AA190" s="110">
        <v>147</v>
      </c>
      <c r="AB190" s="110">
        <v>42</v>
      </c>
      <c r="AC190" s="111" t="s">
        <v>3399</v>
      </c>
      <c r="AD190" s="111" t="s">
        <v>2879</v>
      </c>
      <c r="AE190" s="112">
        <v>220</v>
      </c>
      <c r="AF190" s="113">
        <f t="shared" si="2"/>
        <v>500</v>
      </c>
      <c r="AG190" s="114"/>
      <c r="AH190" s="115"/>
    </row>
    <row r="191" spans="1:34" s="78" customFormat="1" ht="12" customHeight="1">
      <c r="A191" s="100">
        <v>1189</v>
      </c>
      <c r="B191" s="101" t="s">
        <v>3395</v>
      </c>
      <c r="C191" s="129" t="s">
        <v>4141</v>
      </c>
      <c r="D191" s="101" t="s">
        <v>3398</v>
      </c>
      <c r="E191" s="100">
        <v>1</v>
      </c>
      <c r="F191" s="102">
        <v>6</v>
      </c>
      <c r="G191" s="103">
        <v>189</v>
      </c>
      <c r="H191" s="104" t="s">
        <v>1473</v>
      </c>
      <c r="I191" s="104" t="s">
        <v>1473</v>
      </c>
      <c r="J191" s="105">
        <v>10500100049301</v>
      </c>
      <c r="K191" s="106" t="s">
        <v>353</v>
      </c>
      <c r="L191" s="115"/>
      <c r="M191" s="106">
        <v>16</v>
      </c>
      <c r="N191" s="104" t="s">
        <v>1474</v>
      </c>
      <c r="O191" s="104" t="s">
        <v>1475</v>
      </c>
      <c r="P191" s="229" t="s">
        <v>1476</v>
      </c>
      <c r="Q191" s="104" t="s">
        <v>1477</v>
      </c>
      <c r="R191" s="229" t="s">
        <v>1478</v>
      </c>
      <c r="S191" s="231" t="s">
        <v>1479</v>
      </c>
      <c r="T191" s="109">
        <v>166</v>
      </c>
      <c r="U191" s="110">
        <v>60</v>
      </c>
      <c r="V191" s="110">
        <v>114</v>
      </c>
      <c r="W191" s="111" t="s">
        <v>3397</v>
      </c>
      <c r="X191" s="111" t="s">
        <v>2879</v>
      </c>
      <c r="Y191" s="112">
        <v>340</v>
      </c>
      <c r="Z191" s="109">
        <v>84</v>
      </c>
      <c r="AA191" s="110">
        <v>452</v>
      </c>
      <c r="AB191" s="110">
        <v>106</v>
      </c>
      <c r="AC191" s="111" t="s">
        <v>3399</v>
      </c>
      <c r="AD191" s="111" t="s">
        <v>2879</v>
      </c>
      <c r="AE191" s="112">
        <v>642</v>
      </c>
      <c r="AF191" s="113">
        <f t="shared" si="2"/>
        <v>982</v>
      </c>
      <c r="AG191" s="106"/>
      <c r="AH191" s="115"/>
    </row>
    <row r="192" spans="1:34" s="78" customFormat="1" ht="12" customHeight="1">
      <c r="A192" s="100">
        <v>1190</v>
      </c>
      <c r="B192" s="101" t="s">
        <v>3395</v>
      </c>
      <c r="C192" s="129" t="s">
        <v>4141</v>
      </c>
      <c r="D192" s="101" t="s">
        <v>3398</v>
      </c>
      <c r="E192" s="100">
        <v>1</v>
      </c>
      <c r="F192" s="102">
        <v>6</v>
      </c>
      <c r="G192" s="103">
        <v>190</v>
      </c>
      <c r="H192" s="104" t="s">
        <v>1480</v>
      </c>
      <c r="I192" s="104" t="s">
        <v>1480</v>
      </c>
      <c r="J192" s="105">
        <v>10500100848601</v>
      </c>
      <c r="K192" s="106" t="s">
        <v>353</v>
      </c>
      <c r="L192" s="115"/>
      <c r="M192" s="106">
        <v>16</v>
      </c>
      <c r="N192" s="104" t="s">
        <v>1455</v>
      </c>
      <c r="O192" s="104" t="s">
        <v>1481</v>
      </c>
      <c r="P192" s="229" t="s">
        <v>1482</v>
      </c>
      <c r="Q192" s="104" t="s">
        <v>1483</v>
      </c>
      <c r="R192" s="104" t="s">
        <v>1484</v>
      </c>
      <c r="S192" s="108" t="s">
        <v>1485</v>
      </c>
      <c r="T192" s="109">
        <v>154</v>
      </c>
      <c r="U192" s="110">
        <v>100</v>
      </c>
      <c r="V192" s="110">
        <v>20</v>
      </c>
      <c r="W192" s="111" t="s">
        <v>3397</v>
      </c>
      <c r="X192" s="111" t="s">
        <v>2879</v>
      </c>
      <c r="Y192" s="112">
        <v>274</v>
      </c>
      <c r="Z192" s="109">
        <v>57</v>
      </c>
      <c r="AA192" s="110">
        <v>220</v>
      </c>
      <c r="AB192" s="110">
        <v>90</v>
      </c>
      <c r="AC192" s="111" t="s">
        <v>3399</v>
      </c>
      <c r="AD192" s="111" t="s">
        <v>2879</v>
      </c>
      <c r="AE192" s="112">
        <v>367</v>
      </c>
      <c r="AF192" s="113">
        <f t="shared" si="2"/>
        <v>641</v>
      </c>
      <c r="AG192" s="114"/>
      <c r="AH192" s="115"/>
    </row>
    <row r="193" spans="1:34" s="78" customFormat="1" ht="12" customHeight="1">
      <c r="A193" s="233">
        <v>1191</v>
      </c>
      <c r="B193" s="234" t="s">
        <v>3395</v>
      </c>
      <c r="C193" s="234" t="s">
        <v>3396</v>
      </c>
      <c r="D193" s="234" t="s">
        <v>3397</v>
      </c>
      <c r="E193" s="233">
        <v>1</v>
      </c>
      <c r="F193" s="235">
        <v>1</v>
      </c>
      <c r="G193" s="103">
        <v>191</v>
      </c>
      <c r="H193" s="236" t="s">
        <v>2418</v>
      </c>
      <c r="I193" s="236" t="s">
        <v>2418</v>
      </c>
      <c r="J193" s="237">
        <v>10500100098102</v>
      </c>
      <c r="K193" s="238" t="s">
        <v>353</v>
      </c>
      <c r="L193" s="239"/>
      <c r="M193" s="238">
        <v>4</v>
      </c>
      <c r="N193" s="240" t="s">
        <v>641</v>
      </c>
      <c r="O193" s="240"/>
      <c r="P193" s="240" t="s">
        <v>2419</v>
      </c>
      <c r="Q193" s="240" t="s">
        <v>637</v>
      </c>
      <c r="R193" s="240" t="s">
        <v>643</v>
      </c>
      <c r="S193" s="241" t="s">
        <v>2420</v>
      </c>
      <c r="T193" s="242">
        <v>0</v>
      </c>
      <c r="U193" s="243">
        <v>196</v>
      </c>
      <c r="V193" s="243">
        <v>194</v>
      </c>
      <c r="W193" s="244" t="s">
        <v>3397</v>
      </c>
      <c r="X193" s="245" t="s">
        <v>3396</v>
      </c>
      <c r="Y193" s="246">
        <f>SUM(T193:V193)</f>
        <v>390</v>
      </c>
      <c r="Z193" s="242"/>
      <c r="AA193" s="243"/>
      <c r="AB193" s="243"/>
      <c r="AC193" s="247"/>
      <c r="AD193" s="244"/>
      <c r="AE193" s="246">
        <v>0</v>
      </c>
      <c r="AF193" s="248">
        <f t="shared" si="2"/>
        <v>390</v>
      </c>
      <c r="AG193" s="239"/>
      <c r="AH193" s="249"/>
    </row>
    <row r="194" spans="1:34" s="78" customFormat="1" ht="12" customHeight="1">
      <c r="A194" s="250">
        <v>1192</v>
      </c>
      <c r="B194" s="251" t="s">
        <v>3395</v>
      </c>
      <c r="C194" s="252" t="s">
        <v>3396</v>
      </c>
      <c r="D194" s="253" t="s">
        <v>3397</v>
      </c>
      <c r="E194" s="250">
        <v>1</v>
      </c>
      <c r="F194" s="254">
        <v>3</v>
      </c>
      <c r="G194" s="103">
        <v>192</v>
      </c>
      <c r="H194" s="255" t="s">
        <v>1047</v>
      </c>
      <c r="I194" s="256" t="s">
        <v>1047</v>
      </c>
      <c r="J194" s="257">
        <v>10500102658102</v>
      </c>
      <c r="K194" s="258" t="s">
        <v>353</v>
      </c>
      <c r="L194" s="258"/>
      <c r="M194" s="258">
        <v>8</v>
      </c>
      <c r="N194" s="256" t="s">
        <v>1048</v>
      </c>
      <c r="O194" s="255" t="s">
        <v>1049</v>
      </c>
      <c r="P194" s="256" t="s">
        <v>1050</v>
      </c>
      <c r="Q194" s="255" t="s">
        <v>1051</v>
      </c>
      <c r="R194" s="255" t="s">
        <v>1052</v>
      </c>
      <c r="S194" s="259" t="s">
        <v>1053</v>
      </c>
      <c r="T194" s="260"/>
      <c r="U194" s="261"/>
      <c r="V194" s="261">
        <v>0</v>
      </c>
      <c r="W194" s="253" t="s">
        <v>3397</v>
      </c>
      <c r="X194" s="253" t="s">
        <v>3396</v>
      </c>
      <c r="Y194" s="262">
        <v>515</v>
      </c>
      <c r="Z194" s="260">
        <v>0</v>
      </c>
      <c r="AA194" s="261">
        <v>0</v>
      </c>
      <c r="AB194" s="261">
        <v>0</v>
      </c>
      <c r="AC194" s="253"/>
      <c r="AD194" s="253"/>
      <c r="AE194" s="262">
        <v>0</v>
      </c>
      <c r="AF194" s="248">
        <f t="shared" si="2"/>
        <v>515</v>
      </c>
      <c r="AG194" s="257" t="s">
        <v>404</v>
      </c>
      <c r="AH194" s="263"/>
    </row>
    <row r="195" spans="1:34" s="78" customFormat="1" ht="12" customHeight="1">
      <c r="A195" s="250">
        <v>1193</v>
      </c>
      <c r="B195" s="251" t="s">
        <v>3395</v>
      </c>
      <c r="C195" s="264" t="s">
        <v>4140</v>
      </c>
      <c r="D195" s="251" t="s">
        <v>4142</v>
      </c>
      <c r="E195" s="250">
        <v>1</v>
      </c>
      <c r="F195" s="254">
        <v>3</v>
      </c>
      <c r="G195" s="103">
        <v>193</v>
      </c>
      <c r="H195" s="255" t="s">
        <v>1817</v>
      </c>
      <c r="I195" s="256" t="s">
        <v>1817</v>
      </c>
      <c r="J195" s="257">
        <v>10500101163101</v>
      </c>
      <c r="K195" s="258" t="s">
        <v>353</v>
      </c>
      <c r="L195" s="258" t="s">
        <v>303</v>
      </c>
      <c r="M195" s="258">
        <v>9</v>
      </c>
      <c r="N195" s="256" t="s">
        <v>1101</v>
      </c>
      <c r="O195" s="255" t="s">
        <v>1818</v>
      </c>
      <c r="P195" s="256" t="s">
        <v>1819</v>
      </c>
      <c r="Q195" s="255" t="s">
        <v>1820</v>
      </c>
      <c r="R195" s="255" t="s">
        <v>1821</v>
      </c>
      <c r="S195" s="259" t="s">
        <v>1822</v>
      </c>
      <c r="T195" s="265">
        <v>0</v>
      </c>
      <c r="U195" s="263"/>
      <c r="V195" s="263"/>
      <c r="W195" s="253" t="s">
        <v>3397</v>
      </c>
      <c r="X195" s="266" t="s">
        <v>4143</v>
      </c>
      <c r="Y195" s="267">
        <v>241</v>
      </c>
      <c r="Z195" s="265">
        <v>0</v>
      </c>
      <c r="AA195" s="263">
        <v>0</v>
      </c>
      <c r="AB195" s="263">
        <v>0</v>
      </c>
      <c r="AC195" s="266"/>
      <c r="AD195" s="266" t="s">
        <v>4143</v>
      </c>
      <c r="AE195" s="267">
        <v>164</v>
      </c>
      <c r="AF195" s="268">
        <f t="shared" ref="AF195:AF228" si="3">+Y195+AE195</f>
        <v>405</v>
      </c>
      <c r="AG195" s="257"/>
      <c r="AH195" s="269"/>
    </row>
    <row r="196" spans="1:34" s="78" customFormat="1" ht="12" customHeight="1">
      <c r="A196" s="250">
        <v>1194</v>
      </c>
      <c r="B196" s="234" t="s">
        <v>3395</v>
      </c>
      <c r="C196" s="264" t="s">
        <v>4140</v>
      </c>
      <c r="D196" s="251" t="s">
        <v>3399</v>
      </c>
      <c r="E196" s="250">
        <v>1</v>
      </c>
      <c r="F196" s="270">
        <v>2</v>
      </c>
      <c r="G196" s="103">
        <v>194</v>
      </c>
      <c r="H196" s="271" t="s">
        <v>684</v>
      </c>
      <c r="I196" s="272" t="s">
        <v>2465</v>
      </c>
      <c r="J196" s="273">
        <v>10500101979803</v>
      </c>
      <c r="K196" s="274" t="s">
        <v>353</v>
      </c>
      <c r="L196" s="274"/>
      <c r="M196" s="274">
        <v>5</v>
      </c>
      <c r="N196" s="275" t="s">
        <v>685</v>
      </c>
      <c r="O196" s="271" t="s">
        <v>2466</v>
      </c>
      <c r="P196" s="275" t="s">
        <v>2467</v>
      </c>
      <c r="Q196" s="271" t="s">
        <v>688</v>
      </c>
      <c r="R196" s="271" t="s">
        <v>689</v>
      </c>
      <c r="S196" s="276" t="s">
        <v>690</v>
      </c>
      <c r="T196" s="277"/>
      <c r="U196" s="278"/>
      <c r="V196" s="278"/>
      <c r="W196" s="279"/>
      <c r="X196" s="253"/>
      <c r="Y196" s="262">
        <v>0</v>
      </c>
      <c r="Z196" s="277">
        <v>0</v>
      </c>
      <c r="AA196" s="278">
        <v>35</v>
      </c>
      <c r="AB196" s="278">
        <v>55</v>
      </c>
      <c r="AC196" s="253" t="s">
        <v>3399</v>
      </c>
      <c r="AD196" s="253" t="s">
        <v>4143</v>
      </c>
      <c r="AE196" s="262">
        <v>90</v>
      </c>
      <c r="AF196" s="280">
        <f t="shared" si="3"/>
        <v>90</v>
      </c>
      <c r="AG196" s="269"/>
      <c r="AH196" s="281"/>
    </row>
    <row r="197" spans="1:34" s="78" customFormat="1" ht="12" customHeight="1">
      <c r="A197" s="250">
        <v>1195</v>
      </c>
      <c r="B197" s="234" t="s">
        <v>3395</v>
      </c>
      <c r="C197" s="264" t="s">
        <v>4141</v>
      </c>
      <c r="D197" s="251" t="s">
        <v>3397</v>
      </c>
      <c r="E197" s="250">
        <v>1</v>
      </c>
      <c r="F197" s="270">
        <v>4</v>
      </c>
      <c r="G197" s="103">
        <v>195</v>
      </c>
      <c r="H197" s="271" t="s">
        <v>1220</v>
      </c>
      <c r="I197" s="272" t="s">
        <v>1220</v>
      </c>
      <c r="J197" s="273">
        <v>10500100338701</v>
      </c>
      <c r="K197" s="274" t="s">
        <v>353</v>
      </c>
      <c r="L197" s="274"/>
      <c r="M197" s="274">
        <v>12</v>
      </c>
      <c r="N197" s="275" t="s">
        <v>1221</v>
      </c>
      <c r="O197" s="271" t="s">
        <v>1222</v>
      </c>
      <c r="P197" s="275" t="s">
        <v>1223</v>
      </c>
      <c r="Q197" s="271" t="s">
        <v>1224</v>
      </c>
      <c r="R197" s="271" t="s">
        <v>1225</v>
      </c>
      <c r="S197" s="276" t="s">
        <v>1226</v>
      </c>
      <c r="T197" s="277">
        <v>0</v>
      </c>
      <c r="U197" s="278">
        <v>120</v>
      </c>
      <c r="V197" s="278">
        <v>74</v>
      </c>
      <c r="W197" s="279" t="s">
        <v>3397</v>
      </c>
      <c r="X197" s="253" t="s">
        <v>4141</v>
      </c>
      <c r="Y197" s="262">
        <v>194</v>
      </c>
      <c r="Z197" s="277">
        <v>0</v>
      </c>
      <c r="AA197" s="278">
        <v>0</v>
      </c>
      <c r="AB197" s="278">
        <v>0</v>
      </c>
      <c r="AC197" s="253"/>
      <c r="AD197" s="253"/>
      <c r="AE197" s="262">
        <v>0</v>
      </c>
      <c r="AF197" s="280">
        <f t="shared" si="3"/>
        <v>194</v>
      </c>
      <c r="AG197" s="269"/>
      <c r="AH197" s="281"/>
    </row>
    <row r="198" spans="1:34" s="78" customFormat="1" ht="12" customHeight="1">
      <c r="A198" s="250">
        <v>1196</v>
      </c>
      <c r="B198" s="234" t="s">
        <v>3395</v>
      </c>
      <c r="C198" s="252" t="s">
        <v>3396</v>
      </c>
      <c r="D198" s="251" t="s">
        <v>3397</v>
      </c>
      <c r="E198" s="250">
        <v>1</v>
      </c>
      <c r="F198" s="270">
        <v>2</v>
      </c>
      <c r="G198" s="103">
        <v>196</v>
      </c>
      <c r="H198" s="272" t="s">
        <v>744</v>
      </c>
      <c r="I198" s="272" t="s">
        <v>744</v>
      </c>
      <c r="J198" s="273">
        <v>30500101568601</v>
      </c>
      <c r="K198" s="274" t="s">
        <v>353</v>
      </c>
      <c r="L198" s="274"/>
      <c r="M198" s="274">
        <v>5</v>
      </c>
      <c r="N198" s="275" t="s">
        <v>738</v>
      </c>
      <c r="O198" s="271" t="s">
        <v>745</v>
      </c>
      <c r="P198" s="275">
        <v>4719328</v>
      </c>
      <c r="Q198" s="271" t="s">
        <v>746</v>
      </c>
      <c r="R198" s="271" t="s">
        <v>747</v>
      </c>
      <c r="S198" s="276" t="s">
        <v>748</v>
      </c>
      <c r="T198" s="277">
        <v>187</v>
      </c>
      <c r="U198" s="278">
        <v>236</v>
      </c>
      <c r="V198" s="278">
        <v>67</v>
      </c>
      <c r="W198" s="279" t="s">
        <v>3397</v>
      </c>
      <c r="X198" s="253" t="s">
        <v>3396</v>
      </c>
      <c r="Y198" s="262">
        <v>490</v>
      </c>
      <c r="Z198" s="277">
        <v>0</v>
      </c>
      <c r="AA198" s="278">
        <v>0</v>
      </c>
      <c r="AB198" s="278">
        <v>0</v>
      </c>
      <c r="AC198" s="253"/>
      <c r="AD198" s="253"/>
      <c r="AE198" s="262">
        <v>0</v>
      </c>
      <c r="AF198" s="280">
        <f t="shared" si="3"/>
        <v>490</v>
      </c>
      <c r="AG198" s="269"/>
      <c r="AH198" s="281"/>
    </row>
    <row r="199" spans="1:34" s="78" customFormat="1" ht="12" customHeight="1">
      <c r="A199" s="250">
        <v>1197</v>
      </c>
      <c r="B199" s="251" t="s">
        <v>3395</v>
      </c>
      <c r="C199" s="264" t="s">
        <v>4141</v>
      </c>
      <c r="D199" s="251" t="s">
        <v>3399</v>
      </c>
      <c r="E199" s="250">
        <v>1</v>
      </c>
      <c r="F199" s="282">
        <v>1</v>
      </c>
      <c r="G199" s="103">
        <v>197</v>
      </c>
      <c r="H199" s="283" t="s">
        <v>563</v>
      </c>
      <c r="I199" s="283" t="s">
        <v>563</v>
      </c>
      <c r="J199" s="284">
        <v>10500102210101</v>
      </c>
      <c r="K199" s="285" t="s">
        <v>353</v>
      </c>
      <c r="L199" s="285"/>
      <c r="M199" s="285">
        <v>3</v>
      </c>
      <c r="N199" s="283" t="s">
        <v>531</v>
      </c>
      <c r="O199" s="283" t="s">
        <v>564</v>
      </c>
      <c r="P199" s="286">
        <v>5710070</v>
      </c>
      <c r="Q199" s="283" t="s">
        <v>565</v>
      </c>
      <c r="R199" s="283" t="s">
        <v>566</v>
      </c>
      <c r="S199" s="287" t="s">
        <v>567</v>
      </c>
      <c r="T199" s="288"/>
      <c r="U199" s="289"/>
      <c r="V199" s="289"/>
      <c r="W199" s="253"/>
      <c r="X199" s="253" t="s">
        <v>4141</v>
      </c>
      <c r="Y199" s="290">
        <v>0</v>
      </c>
      <c r="Z199" s="288">
        <v>43</v>
      </c>
      <c r="AA199" s="289">
        <v>215</v>
      </c>
      <c r="AB199" s="289">
        <v>67</v>
      </c>
      <c r="AC199" s="253" t="s">
        <v>3399</v>
      </c>
      <c r="AD199" s="253" t="s">
        <v>2879</v>
      </c>
      <c r="AE199" s="290">
        <v>312</v>
      </c>
      <c r="AF199" s="291">
        <f t="shared" si="3"/>
        <v>312</v>
      </c>
      <c r="AG199" s="292"/>
      <c r="AH199" s="293"/>
    </row>
    <row r="200" spans="1:34" s="78" customFormat="1" ht="12" customHeight="1">
      <c r="A200" s="250">
        <v>1198</v>
      </c>
      <c r="B200" s="251" t="s">
        <v>3395</v>
      </c>
      <c r="C200" s="264" t="s">
        <v>4141</v>
      </c>
      <c r="D200" s="251" t="s">
        <v>3397</v>
      </c>
      <c r="E200" s="250">
        <v>1</v>
      </c>
      <c r="F200" s="282">
        <v>6</v>
      </c>
      <c r="G200" s="103">
        <v>198</v>
      </c>
      <c r="H200" s="283" t="s">
        <v>2797</v>
      </c>
      <c r="I200" s="283" t="s">
        <v>2797</v>
      </c>
      <c r="J200" s="284">
        <v>10500101992503</v>
      </c>
      <c r="K200" s="285" t="s">
        <v>353</v>
      </c>
      <c r="L200" s="293"/>
      <c r="M200" s="285">
        <v>16</v>
      </c>
      <c r="N200" s="283" t="s">
        <v>1449</v>
      </c>
      <c r="O200" s="283" t="s">
        <v>2798</v>
      </c>
      <c r="P200" s="283" t="s">
        <v>2799</v>
      </c>
      <c r="Q200" s="283" t="s">
        <v>1463</v>
      </c>
      <c r="R200" s="283" t="s">
        <v>1464</v>
      </c>
      <c r="S200" s="287" t="s">
        <v>1465</v>
      </c>
      <c r="T200" s="288">
        <v>68</v>
      </c>
      <c r="U200" s="289">
        <v>167</v>
      </c>
      <c r="V200" s="289">
        <v>0</v>
      </c>
      <c r="W200" s="253" t="s">
        <v>3397</v>
      </c>
      <c r="X200" s="253" t="s">
        <v>4141</v>
      </c>
      <c r="Y200" s="294">
        <f>SUM(T199:V200)</f>
        <v>235</v>
      </c>
      <c r="Z200" s="288"/>
      <c r="AA200" s="289"/>
      <c r="AB200" s="289"/>
      <c r="AC200" s="253"/>
      <c r="AD200" s="279"/>
      <c r="AE200" s="294">
        <v>0</v>
      </c>
      <c r="AF200" s="248">
        <f t="shared" si="3"/>
        <v>235</v>
      </c>
      <c r="AG200" s="257" t="s">
        <v>404</v>
      </c>
      <c r="AH200" s="281"/>
    </row>
    <row r="201" spans="1:34" s="78" customFormat="1" ht="12" customHeight="1">
      <c r="A201" s="250">
        <v>1199</v>
      </c>
      <c r="B201" s="251" t="s">
        <v>3395</v>
      </c>
      <c r="C201" s="252" t="s">
        <v>3396</v>
      </c>
      <c r="D201" s="251" t="s">
        <v>3397</v>
      </c>
      <c r="E201" s="250">
        <v>1</v>
      </c>
      <c r="F201" s="282">
        <v>1</v>
      </c>
      <c r="G201" s="103">
        <v>199</v>
      </c>
      <c r="H201" s="283" t="s">
        <v>1633</v>
      </c>
      <c r="I201" s="283" t="s">
        <v>1633</v>
      </c>
      <c r="J201" s="284">
        <v>10500100098101</v>
      </c>
      <c r="K201" s="285" t="s">
        <v>353</v>
      </c>
      <c r="L201" s="293"/>
      <c r="M201" s="285">
        <v>4</v>
      </c>
      <c r="N201" s="283" t="s">
        <v>641</v>
      </c>
      <c r="O201" s="283" t="s">
        <v>1634</v>
      </c>
      <c r="P201" s="283" t="s">
        <v>1635</v>
      </c>
      <c r="Q201" s="283" t="s">
        <v>637</v>
      </c>
      <c r="R201" s="283" t="s">
        <v>1636</v>
      </c>
      <c r="S201" s="287" t="s">
        <v>1637</v>
      </c>
      <c r="T201" s="288">
        <v>0</v>
      </c>
      <c r="U201" s="289">
        <v>0</v>
      </c>
      <c r="V201" s="289">
        <v>300</v>
      </c>
      <c r="W201" s="253" t="s">
        <v>3401</v>
      </c>
      <c r="X201" s="253" t="s">
        <v>3400</v>
      </c>
      <c r="Y201" s="294">
        <f>T201+U201+V201</f>
        <v>300</v>
      </c>
      <c r="Z201" s="288">
        <v>0</v>
      </c>
      <c r="AA201" s="289">
        <v>0</v>
      </c>
      <c r="AB201" s="289">
        <v>0</v>
      </c>
      <c r="AC201" s="253"/>
      <c r="AD201" s="279"/>
      <c r="AE201" s="294">
        <f>Z201+AA201+AB201</f>
        <v>0</v>
      </c>
      <c r="AF201" s="248">
        <v>300</v>
      </c>
      <c r="AG201" s="257"/>
      <c r="AH201" s="281" t="s">
        <v>1638</v>
      </c>
    </row>
    <row r="202" spans="1:34" s="78" customFormat="1" ht="12" customHeight="1">
      <c r="A202" s="250">
        <v>1200</v>
      </c>
      <c r="B202" s="251" t="s">
        <v>3395</v>
      </c>
      <c r="C202" s="264" t="s">
        <v>4141</v>
      </c>
      <c r="D202" s="251" t="s">
        <v>404</v>
      </c>
      <c r="E202" s="250">
        <v>1</v>
      </c>
      <c r="F202" s="282">
        <v>4</v>
      </c>
      <c r="G202" s="103">
        <v>200</v>
      </c>
      <c r="H202" s="283" t="s">
        <v>2720</v>
      </c>
      <c r="I202" s="283" t="s">
        <v>2720</v>
      </c>
      <c r="J202" s="284">
        <v>10500100188102</v>
      </c>
      <c r="K202" s="285" t="s">
        <v>353</v>
      </c>
      <c r="L202" s="293"/>
      <c r="M202" s="285">
        <v>13</v>
      </c>
      <c r="N202" s="283" t="s">
        <v>249</v>
      </c>
      <c r="O202" s="283" t="s">
        <v>2721</v>
      </c>
      <c r="P202" s="283">
        <v>2530160</v>
      </c>
      <c r="Q202" s="283" t="s">
        <v>2722</v>
      </c>
      <c r="R202" s="283" t="s">
        <v>2723</v>
      </c>
      <c r="S202" s="287" t="s">
        <v>2724</v>
      </c>
      <c r="T202" s="288">
        <v>0</v>
      </c>
      <c r="U202" s="289">
        <v>0</v>
      </c>
      <c r="V202" s="289">
        <v>298</v>
      </c>
      <c r="W202" s="253" t="s">
        <v>404</v>
      </c>
      <c r="X202" s="253" t="s">
        <v>4141</v>
      </c>
      <c r="Y202" s="294">
        <v>298</v>
      </c>
      <c r="Z202" s="288">
        <v>0</v>
      </c>
      <c r="AA202" s="289">
        <v>0</v>
      </c>
      <c r="AB202" s="289">
        <v>0</v>
      </c>
      <c r="AC202" s="253"/>
      <c r="AD202" s="279"/>
      <c r="AE202" s="294">
        <v>0</v>
      </c>
      <c r="AF202" s="248">
        <v>298</v>
      </c>
      <c r="AG202" s="257" t="s">
        <v>404</v>
      </c>
      <c r="AH202" s="281"/>
    </row>
    <row r="203" spans="1:34" s="78" customFormat="1" ht="12" customHeight="1">
      <c r="A203" s="100">
        <v>2001</v>
      </c>
      <c r="B203" s="101" t="s">
        <v>3400</v>
      </c>
      <c r="C203" s="101" t="s">
        <v>3400</v>
      </c>
      <c r="D203" s="101" t="s">
        <v>3401</v>
      </c>
      <c r="E203" s="100">
        <v>2</v>
      </c>
      <c r="F203" s="116">
        <v>1</v>
      </c>
      <c r="G203" s="103">
        <v>201</v>
      </c>
      <c r="H203" s="117" t="s">
        <v>1486</v>
      </c>
      <c r="I203" s="117" t="s">
        <v>1486</v>
      </c>
      <c r="J203" s="295">
        <v>10500102584401</v>
      </c>
      <c r="K203" s="121" t="s">
        <v>353</v>
      </c>
      <c r="L203" s="121" t="s">
        <v>303</v>
      </c>
      <c r="M203" s="121">
        <v>1</v>
      </c>
      <c r="N203" s="117" t="s">
        <v>361</v>
      </c>
      <c r="O203" s="117" t="s">
        <v>1487</v>
      </c>
      <c r="P203" s="296" t="s">
        <v>1488</v>
      </c>
      <c r="Q203" s="117" t="s">
        <v>364</v>
      </c>
      <c r="R203" s="117" t="s">
        <v>1489</v>
      </c>
      <c r="S203" s="297" t="s">
        <v>1490</v>
      </c>
      <c r="T203" s="298">
        <v>0</v>
      </c>
      <c r="U203" s="299">
        <v>80</v>
      </c>
      <c r="V203" s="299">
        <v>350</v>
      </c>
      <c r="W203" s="300" t="s">
        <v>3401</v>
      </c>
      <c r="X203" s="300" t="s">
        <v>3400</v>
      </c>
      <c r="Y203" s="301">
        <v>430</v>
      </c>
      <c r="Z203" s="298">
        <v>0</v>
      </c>
      <c r="AA203" s="299">
        <v>0</v>
      </c>
      <c r="AB203" s="299">
        <v>0</v>
      </c>
      <c r="AC203" s="300"/>
      <c r="AD203" s="300"/>
      <c r="AE203" s="301">
        <v>0</v>
      </c>
      <c r="AF203" s="302">
        <f t="shared" si="3"/>
        <v>430</v>
      </c>
      <c r="AG203" s="303"/>
      <c r="AH203" s="304" t="s">
        <v>1491</v>
      </c>
    </row>
    <row r="204" spans="1:34" s="78" customFormat="1" ht="12" customHeight="1">
      <c r="A204" s="100">
        <v>2002</v>
      </c>
      <c r="B204" s="101" t="s">
        <v>3400</v>
      </c>
      <c r="C204" s="101" t="s">
        <v>3400</v>
      </c>
      <c r="D204" s="101" t="s">
        <v>3401</v>
      </c>
      <c r="E204" s="100">
        <v>2</v>
      </c>
      <c r="F204" s="102">
        <v>1</v>
      </c>
      <c r="G204" s="103">
        <v>202</v>
      </c>
      <c r="H204" s="104" t="s">
        <v>1492</v>
      </c>
      <c r="I204" s="104" t="s">
        <v>1492</v>
      </c>
      <c r="J204" s="105">
        <v>10500102584404</v>
      </c>
      <c r="K204" s="106" t="s">
        <v>353</v>
      </c>
      <c r="L204" s="106"/>
      <c r="M204" s="106">
        <v>1</v>
      </c>
      <c r="N204" s="104" t="s">
        <v>1493</v>
      </c>
      <c r="O204" s="104" t="s">
        <v>1494</v>
      </c>
      <c r="P204" s="107">
        <v>5290481</v>
      </c>
      <c r="Q204" s="104" t="s">
        <v>364</v>
      </c>
      <c r="R204" s="104" t="s">
        <v>1495</v>
      </c>
      <c r="S204" s="108" t="s">
        <v>1496</v>
      </c>
      <c r="T204" s="305">
        <v>308</v>
      </c>
      <c r="U204" s="306">
        <v>142</v>
      </c>
      <c r="V204" s="306">
        <v>0</v>
      </c>
      <c r="W204" s="300" t="s">
        <v>3401</v>
      </c>
      <c r="X204" s="300" t="s">
        <v>3400</v>
      </c>
      <c r="Y204" s="301">
        <v>450</v>
      </c>
      <c r="Z204" s="305">
        <v>0</v>
      </c>
      <c r="AA204" s="306">
        <v>0</v>
      </c>
      <c r="AB204" s="306">
        <v>0</v>
      </c>
      <c r="AC204" s="300"/>
      <c r="AD204" s="300"/>
      <c r="AE204" s="301">
        <v>0</v>
      </c>
      <c r="AF204" s="302">
        <f t="shared" si="3"/>
        <v>450</v>
      </c>
      <c r="AG204" s="114"/>
      <c r="AH204" s="115"/>
    </row>
    <row r="205" spans="1:34" s="78" customFormat="1" ht="12" customHeight="1">
      <c r="A205" s="100">
        <v>2003</v>
      </c>
      <c r="B205" s="101" t="s">
        <v>3400</v>
      </c>
      <c r="C205" s="101" t="s">
        <v>3400</v>
      </c>
      <c r="D205" s="101" t="s">
        <v>3402</v>
      </c>
      <c r="E205" s="100">
        <v>2</v>
      </c>
      <c r="F205" s="102">
        <v>1</v>
      </c>
      <c r="G205" s="103">
        <v>203</v>
      </c>
      <c r="H205" s="104" t="s">
        <v>1497</v>
      </c>
      <c r="I205" s="104" t="s">
        <v>1497</v>
      </c>
      <c r="J205" s="105">
        <v>10500101930501</v>
      </c>
      <c r="K205" s="106" t="s">
        <v>353</v>
      </c>
      <c r="L205" s="106"/>
      <c r="M205" s="106">
        <v>1</v>
      </c>
      <c r="N205" s="104" t="s">
        <v>1498</v>
      </c>
      <c r="O205" s="104" t="s">
        <v>1499</v>
      </c>
      <c r="P205" s="107">
        <v>5721377</v>
      </c>
      <c r="Q205" s="104" t="s">
        <v>1500</v>
      </c>
      <c r="R205" s="104" t="s">
        <v>1501</v>
      </c>
      <c r="S205" s="108" t="s">
        <v>1502</v>
      </c>
      <c r="T205" s="305">
        <v>203</v>
      </c>
      <c r="U205" s="306">
        <v>170</v>
      </c>
      <c r="V205" s="306">
        <v>37</v>
      </c>
      <c r="W205" s="300" t="s">
        <v>3401</v>
      </c>
      <c r="X205" s="300" t="s">
        <v>3400</v>
      </c>
      <c r="Y205" s="301">
        <v>410</v>
      </c>
      <c r="Z205" s="305">
        <v>0</v>
      </c>
      <c r="AA205" s="306">
        <v>140</v>
      </c>
      <c r="AB205" s="306">
        <v>20</v>
      </c>
      <c r="AC205" s="300" t="s">
        <v>3399</v>
      </c>
      <c r="AD205" s="300" t="s">
        <v>3400</v>
      </c>
      <c r="AE205" s="301">
        <v>160</v>
      </c>
      <c r="AF205" s="302">
        <f t="shared" si="3"/>
        <v>570</v>
      </c>
      <c r="AG205" s="114"/>
      <c r="AH205" s="115"/>
    </row>
    <row r="206" spans="1:34" s="78" customFormat="1" ht="12" customHeight="1">
      <c r="A206" s="100">
        <v>2004</v>
      </c>
      <c r="B206" s="101" t="s">
        <v>3400</v>
      </c>
      <c r="C206" s="101" t="s">
        <v>3400</v>
      </c>
      <c r="D206" s="101" t="s">
        <v>3401</v>
      </c>
      <c r="E206" s="100">
        <v>2</v>
      </c>
      <c r="F206" s="102">
        <v>1</v>
      </c>
      <c r="G206" s="103">
        <v>204</v>
      </c>
      <c r="H206" s="104" t="s">
        <v>1503</v>
      </c>
      <c r="I206" s="104" t="s">
        <v>1503</v>
      </c>
      <c r="J206" s="105">
        <v>10500100234801</v>
      </c>
      <c r="K206" s="106" t="s">
        <v>353</v>
      </c>
      <c r="L206" s="115"/>
      <c r="M206" s="106">
        <v>1</v>
      </c>
      <c r="N206" s="104" t="s">
        <v>382</v>
      </c>
      <c r="O206" s="104" t="s">
        <v>1504</v>
      </c>
      <c r="P206" s="107" t="s">
        <v>1505</v>
      </c>
      <c r="Q206" s="104" t="s">
        <v>1506</v>
      </c>
      <c r="R206" s="104" t="s">
        <v>1507</v>
      </c>
      <c r="S206" s="108" t="s">
        <v>1508</v>
      </c>
      <c r="T206" s="307">
        <v>444</v>
      </c>
      <c r="U206" s="172">
        <v>156</v>
      </c>
      <c r="V206" s="172">
        <v>0</v>
      </c>
      <c r="W206" s="300" t="s">
        <v>3401</v>
      </c>
      <c r="X206" s="300" t="s">
        <v>3400</v>
      </c>
      <c r="Y206" s="301">
        <v>600</v>
      </c>
      <c r="Z206" s="305">
        <v>0</v>
      </c>
      <c r="AA206" s="306">
        <v>0</v>
      </c>
      <c r="AB206" s="306">
        <v>0</v>
      </c>
      <c r="AC206" s="300"/>
      <c r="AD206" s="300"/>
      <c r="AE206" s="301">
        <v>0</v>
      </c>
      <c r="AF206" s="302">
        <f t="shared" si="3"/>
        <v>600</v>
      </c>
      <c r="AG206" s="114"/>
      <c r="AH206" s="115"/>
    </row>
    <row r="207" spans="1:34" s="78" customFormat="1" ht="12" customHeight="1">
      <c r="A207" s="100">
        <v>2005</v>
      </c>
      <c r="B207" s="101" t="s">
        <v>3400</v>
      </c>
      <c r="C207" s="101" t="s">
        <v>3400</v>
      </c>
      <c r="D207" s="101" t="s">
        <v>3401</v>
      </c>
      <c r="E207" s="100">
        <v>2</v>
      </c>
      <c r="F207" s="102">
        <v>1</v>
      </c>
      <c r="G207" s="103">
        <v>205</v>
      </c>
      <c r="H207" s="104" t="s">
        <v>1509</v>
      </c>
      <c r="I207" s="104" t="s">
        <v>1509</v>
      </c>
      <c r="J207" s="105">
        <v>10500100234802</v>
      </c>
      <c r="K207" s="106" t="s">
        <v>353</v>
      </c>
      <c r="L207" s="106" t="s">
        <v>303</v>
      </c>
      <c r="M207" s="106">
        <v>1</v>
      </c>
      <c r="N207" s="104" t="s">
        <v>382</v>
      </c>
      <c r="O207" s="104" t="s">
        <v>1510</v>
      </c>
      <c r="P207" s="107" t="s">
        <v>1511</v>
      </c>
      <c r="Q207" s="104" t="s">
        <v>1506</v>
      </c>
      <c r="R207" s="104" t="s">
        <v>1512</v>
      </c>
      <c r="S207" s="108" t="s">
        <v>1513</v>
      </c>
      <c r="T207" s="305">
        <v>0</v>
      </c>
      <c r="U207" s="306">
        <v>128</v>
      </c>
      <c r="V207" s="306">
        <v>150</v>
      </c>
      <c r="W207" s="300" t="s">
        <v>3401</v>
      </c>
      <c r="X207" s="300" t="s">
        <v>3400</v>
      </c>
      <c r="Y207" s="301">
        <v>278</v>
      </c>
      <c r="Z207" s="305">
        <v>0</v>
      </c>
      <c r="AA207" s="306">
        <v>0</v>
      </c>
      <c r="AB207" s="306">
        <v>0</v>
      </c>
      <c r="AC207" s="300"/>
      <c r="AD207" s="300"/>
      <c r="AE207" s="301">
        <v>0</v>
      </c>
      <c r="AF207" s="302">
        <f t="shared" si="3"/>
        <v>278</v>
      </c>
      <c r="AG207" s="114"/>
      <c r="AH207" s="308"/>
    </row>
    <row r="208" spans="1:34" s="78" customFormat="1" ht="12" customHeight="1">
      <c r="A208" s="100">
        <v>2006</v>
      </c>
      <c r="B208" s="101" t="s">
        <v>3400</v>
      </c>
      <c r="C208" s="101" t="s">
        <v>3400</v>
      </c>
      <c r="D208" s="101" t="s">
        <v>3402</v>
      </c>
      <c r="E208" s="100">
        <v>2</v>
      </c>
      <c r="F208" s="102">
        <v>1</v>
      </c>
      <c r="G208" s="103">
        <v>206</v>
      </c>
      <c r="H208" s="104" t="s">
        <v>1514</v>
      </c>
      <c r="I208" s="104" t="s">
        <v>1514</v>
      </c>
      <c r="J208" s="105">
        <v>30500101528701</v>
      </c>
      <c r="K208" s="106" t="s">
        <v>353</v>
      </c>
      <c r="L208" s="106" t="s">
        <v>303</v>
      </c>
      <c r="M208" s="106">
        <v>1</v>
      </c>
      <c r="N208" s="104" t="s">
        <v>382</v>
      </c>
      <c r="O208" s="104" t="s">
        <v>1515</v>
      </c>
      <c r="P208" s="107" t="s">
        <v>1516</v>
      </c>
      <c r="Q208" s="104" t="s">
        <v>1517</v>
      </c>
      <c r="R208" s="104" t="s">
        <v>1518</v>
      </c>
      <c r="S208" s="108" t="s">
        <v>1519</v>
      </c>
      <c r="T208" s="305">
        <v>101</v>
      </c>
      <c r="U208" s="306">
        <v>247</v>
      </c>
      <c r="V208" s="306">
        <v>102</v>
      </c>
      <c r="W208" s="300" t="s">
        <v>3401</v>
      </c>
      <c r="X208" s="300" t="s">
        <v>3400</v>
      </c>
      <c r="Y208" s="301">
        <v>450</v>
      </c>
      <c r="Z208" s="305">
        <v>243</v>
      </c>
      <c r="AA208" s="306">
        <v>435</v>
      </c>
      <c r="AB208" s="306">
        <v>22</v>
      </c>
      <c r="AC208" s="300" t="s">
        <v>3399</v>
      </c>
      <c r="AD208" s="300" t="s">
        <v>3400</v>
      </c>
      <c r="AE208" s="301">
        <v>700</v>
      </c>
      <c r="AF208" s="302">
        <f t="shared" si="3"/>
        <v>1150</v>
      </c>
      <c r="AG208" s="114"/>
      <c r="AH208" s="115"/>
    </row>
    <row r="209" spans="1:34" s="78" customFormat="1" ht="12" customHeight="1">
      <c r="A209" s="100">
        <v>2007</v>
      </c>
      <c r="B209" s="101" t="s">
        <v>3400</v>
      </c>
      <c r="C209" s="101" t="s">
        <v>3400</v>
      </c>
      <c r="D209" s="101" t="s">
        <v>3402</v>
      </c>
      <c r="E209" s="100">
        <v>2</v>
      </c>
      <c r="F209" s="102">
        <v>1</v>
      </c>
      <c r="G209" s="103">
        <v>207</v>
      </c>
      <c r="H209" s="104" t="s">
        <v>1520</v>
      </c>
      <c r="I209" s="104" t="s">
        <v>1520</v>
      </c>
      <c r="J209" s="105">
        <v>30500101528702</v>
      </c>
      <c r="K209" s="106" t="s">
        <v>353</v>
      </c>
      <c r="L209" s="106"/>
      <c r="M209" s="106">
        <v>1</v>
      </c>
      <c r="N209" s="104" t="s">
        <v>1521</v>
      </c>
      <c r="O209" s="104" t="s">
        <v>1522</v>
      </c>
      <c r="P209" s="107">
        <v>5723241</v>
      </c>
      <c r="Q209" s="104" t="s">
        <v>1523</v>
      </c>
      <c r="R209" s="104" t="s">
        <v>1524</v>
      </c>
      <c r="S209" s="108" t="s">
        <v>1525</v>
      </c>
      <c r="T209" s="305">
        <v>190</v>
      </c>
      <c r="U209" s="306">
        <v>0</v>
      </c>
      <c r="V209" s="306">
        <v>0</v>
      </c>
      <c r="W209" s="300" t="s">
        <v>3401</v>
      </c>
      <c r="X209" s="300" t="s">
        <v>3400</v>
      </c>
      <c r="Y209" s="301">
        <v>190</v>
      </c>
      <c r="Z209" s="305">
        <v>120</v>
      </c>
      <c r="AA209" s="306">
        <v>0</v>
      </c>
      <c r="AB209" s="306">
        <v>0</v>
      </c>
      <c r="AC209" s="300" t="s">
        <v>3399</v>
      </c>
      <c r="AD209" s="300" t="s">
        <v>3400</v>
      </c>
      <c r="AE209" s="301">
        <v>120</v>
      </c>
      <c r="AF209" s="302">
        <f t="shared" si="3"/>
        <v>310</v>
      </c>
      <c r="AG209" s="114"/>
      <c r="AH209" s="115"/>
    </row>
    <row r="210" spans="1:34" s="78" customFormat="1" ht="12" customHeight="1">
      <c r="A210" s="100">
        <v>2008</v>
      </c>
      <c r="B210" s="101" t="s">
        <v>3400</v>
      </c>
      <c r="C210" s="101" t="s">
        <v>3400</v>
      </c>
      <c r="D210" s="101" t="s">
        <v>3402</v>
      </c>
      <c r="E210" s="100">
        <v>2</v>
      </c>
      <c r="F210" s="102">
        <v>1</v>
      </c>
      <c r="G210" s="103">
        <v>208</v>
      </c>
      <c r="H210" s="104" t="s">
        <v>1526</v>
      </c>
      <c r="I210" s="104" t="s">
        <v>1526</v>
      </c>
      <c r="J210" s="105">
        <v>10500101169002</v>
      </c>
      <c r="K210" s="106" t="s">
        <v>353</v>
      </c>
      <c r="L210" s="106"/>
      <c r="M210" s="106">
        <v>1</v>
      </c>
      <c r="N210" s="104" t="s">
        <v>388</v>
      </c>
      <c r="O210" s="104" t="s">
        <v>1527</v>
      </c>
      <c r="P210" s="107" t="s">
        <v>1528</v>
      </c>
      <c r="Q210" s="104" t="s">
        <v>1529</v>
      </c>
      <c r="R210" s="104" t="s">
        <v>1530</v>
      </c>
      <c r="S210" s="108" t="s">
        <v>1531</v>
      </c>
      <c r="T210" s="305">
        <v>171</v>
      </c>
      <c r="U210" s="306">
        <v>99</v>
      </c>
      <c r="V210" s="306">
        <v>0</v>
      </c>
      <c r="W210" s="300" t="s">
        <v>3401</v>
      </c>
      <c r="X210" s="300" t="s">
        <v>3400</v>
      </c>
      <c r="Y210" s="301">
        <v>270</v>
      </c>
      <c r="Z210" s="305">
        <v>240</v>
      </c>
      <c r="AA210" s="306">
        <v>150</v>
      </c>
      <c r="AB210" s="306">
        <v>0</v>
      </c>
      <c r="AC210" s="300" t="s">
        <v>3399</v>
      </c>
      <c r="AD210" s="300" t="s">
        <v>3400</v>
      </c>
      <c r="AE210" s="301">
        <v>390</v>
      </c>
      <c r="AF210" s="302">
        <f t="shared" si="3"/>
        <v>660</v>
      </c>
      <c r="AG210" s="114"/>
      <c r="AH210" s="115"/>
    </row>
    <row r="211" spans="1:34" s="78" customFormat="1" ht="12" customHeight="1">
      <c r="A211" s="100">
        <v>2009</v>
      </c>
      <c r="B211" s="101" t="s">
        <v>3400</v>
      </c>
      <c r="C211" s="101" t="s">
        <v>3400</v>
      </c>
      <c r="D211" s="101" t="s">
        <v>3401</v>
      </c>
      <c r="E211" s="100">
        <v>2</v>
      </c>
      <c r="F211" s="102">
        <v>1</v>
      </c>
      <c r="G211" s="103">
        <v>209</v>
      </c>
      <c r="H211" s="104" t="s">
        <v>1532</v>
      </c>
      <c r="I211" s="104" t="s">
        <v>1532</v>
      </c>
      <c r="J211" s="105">
        <v>10500100721801</v>
      </c>
      <c r="K211" s="106" t="s">
        <v>353</v>
      </c>
      <c r="L211" s="106" t="s">
        <v>303</v>
      </c>
      <c r="M211" s="106">
        <v>1</v>
      </c>
      <c r="N211" s="104" t="s">
        <v>413</v>
      </c>
      <c r="O211" s="104" t="s">
        <v>1533</v>
      </c>
      <c r="P211" s="107" t="s">
        <v>1534</v>
      </c>
      <c r="Q211" s="104" t="s">
        <v>1535</v>
      </c>
      <c r="R211" s="104" t="s">
        <v>1536</v>
      </c>
      <c r="S211" s="108" t="s">
        <v>1537</v>
      </c>
      <c r="T211" s="305">
        <v>370</v>
      </c>
      <c r="U211" s="306">
        <v>179</v>
      </c>
      <c r="V211" s="306">
        <v>151</v>
      </c>
      <c r="W211" s="300" t="s">
        <v>3401</v>
      </c>
      <c r="X211" s="300" t="s">
        <v>3400</v>
      </c>
      <c r="Y211" s="301">
        <v>700</v>
      </c>
      <c r="Z211" s="305">
        <v>0</v>
      </c>
      <c r="AA211" s="306">
        <v>0</v>
      </c>
      <c r="AB211" s="306">
        <v>0</v>
      </c>
      <c r="AC211" s="300"/>
      <c r="AD211" s="300"/>
      <c r="AE211" s="301">
        <v>0</v>
      </c>
      <c r="AF211" s="302">
        <f t="shared" si="3"/>
        <v>700</v>
      </c>
      <c r="AG211" s="114"/>
      <c r="AH211" s="115"/>
    </row>
    <row r="212" spans="1:34" s="78" customFormat="1" ht="12" customHeight="1">
      <c r="A212" s="100">
        <v>2010</v>
      </c>
      <c r="B212" s="101" t="s">
        <v>3400</v>
      </c>
      <c r="C212" s="101" t="s">
        <v>3400</v>
      </c>
      <c r="D212" s="101" t="s">
        <v>3401</v>
      </c>
      <c r="E212" s="100">
        <v>2</v>
      </c>
      <c r="F212" s="102">
        <v>1</v>
      </c>
      <c r="G212" s="103">
        <v>210</v>
      </c>
      <c r="H212" s="104" t="s">
        <v>1538</v>
      </c>
      <c r="I212" s="104" t="s">
        <v>1538</v>
      </c>
      <c r="J212" s="105">
        <v>30500101950901</v>
      </c>
      <c r="K212" s="106" t="s">
        <v>431</v>
      </c>
      <c r="L212" s="106"/>
      <c r="M212" s="106">
        <v>1</v>
      </c>
      <c r="N212" s="104" t="s">
        <v>1498</v>
      </c>
      <c r="O212" s="104" t="s">
        <v>1539</v>
      </c>
      <c r="P212" s="107" t="s">
        <v>1540</v>
      </c>
      <c r="Q212" s="104" t="s">
        <v>1541</v>
      </c>
      <c r="R212" s="104" t="s">
        <v>1542</v>
      </c>
      <c r="S212" s="108" t="s">
        <v>1543</v>
      </c>
      <c r="T212" s="305">
        <v>78</v>
      </c>
      <c r="U212" s="306">
        <v>110</v>
      </c>
      <c r="V212" s="306">
        <v>0</v>
      </c>
      <c r="W212" s="300" t="s">
        <v>3401</v>
      </c>
      <c r="X212" s="300" t="s">
        <v>3400</v>
      </c>
      <c r="Y212" s="301">
        <v>188</v>
      </c>
      <c r="Z212" s="305">
        <v>0</v>
      </c>
      <c r="AA212" s="306">
        <v>0</v>
      </c>
      <c r="AB212" s="306">
        <v>0</v>
      </c>
      <c r="AC212" s="300"/>
      <c r="AD212" s="300"/>
      <c r="AE212" s="301">
        <v>0</v>
      </c>
      <c r="AF212" s="302">
        <f t="shared" si="3"/>
        <v>188</v>
      </c>
      <c r="AG212" s="114"/>
      <c r="AH212" s="115"/>
    </row>
    <row r="213" spans="1:34" s="78" customFormat="1" ht="12" customHeight="1">
      <c r="A213" s="100">
        <v>2011</v>
      </c>
      <c r="B213" s="101" t="s">
        <v>3400</v>
      </c>
      <c r="C213" s="101" t="s">
        <v>3400</v>
      </c>
      <c r="D213" s="101" t="s">
        <v>3402</v>
      </c>
      <c r="E213" s="100">
        <v>2</v>
      </c>
      <c r="F213" s="102">
        <v>1</v>
      </c>
      <c r="G213" s="103">
        <v>211</v>
      </c>
      <c r="H213" s="104" t="s">
        <v>1544</v>
      </c>
      <c r="I213" s="104" t="s">
        <v>1544</v>
      </c>
      <c r="J213" s="105">
        <v>10500100791901</v>
      </c>
      <c r="K213" s="106" t="s">
        <v>431</v>
      </c>
      <c r="L213" s="106"/>
      <c r="M213" s="106">
        <v>1</v>
      </c>
      <c r="N213" s="104" t="s">
        <v>1545</v>
      </c>
      <c r="O213" s="104" t="s">
        <v>1546</v>
      </c>
      <c r="P213" s="107" t="s">
        <v>1547</v>
      </c>
      <c r="Q213" s="104" t="s">
        <v>1548</v>
      </c>
      <c r="R213" s="104" t="s">
        <v>1549</v>
      </c>
      <c r="S213" s="108" t="s">
        <v>1550</v>
      </c>
      <c r="T213" s="305">
        <v>150</v>
      </c>
      <c r="U213" s="306">
        <v>150</v>
      </c>
      <c r="V213" s="306">
        <v>100</v>
      </c>
      <c r="W213" s="300" t="s">
        <v>3401</v>
      </c>
      <c r="X213" s="300" t="s">
        <v>3400</v>
      </c>
      <c r="Y213" s="301">
        <v>400</v>
      </c>
      <c r="Z213" s="305">
        <v>206</v>
      </c>
      <c r="AA213" s="306">
        <v>228</v>
      </c>
      <c r="AB213" s="306">
        <v>16</v>
      </c>
      <c r="AC213" s="300" t="s">
        <v>3399</v>
      </c>
      <c r="AD213" s="300" t="s">
        <v>3400</v>
      </c>
      <c r="AE213" s="301">
        <v>450</v>
      </c>
      <c r="AF213" s="302">
        <f t="shared" si="3"/>
        <v>850</v>
      </c>
      <c r="AG213" s="114"/>
      <c r="AH213" s="115"/>
    </row>
    <row r="214" spans="1:34" s="78" customFormat="1" ht="12" customHeight="1">
      <c r="A214" s="100">
        <v>2012</v>
      </c>
      <c r="B214" s="101" t="s">
        <v>3400</v>
      </c>
      <c r="C214" s="101" t="s">
        <v>3400</v>
      </c>
      <c r="D214" s="101" t="s">
        <v>3401</v>
      </c>
      <c r="E214" s="100">
        <v>2</v>
      </c>
      <c r="F214" s="102">
        <v>1</v>
      </c>
      <c r="G214" s="103">
        <v>212</v>
      </c>
      <c r="H214" s="104" t="s">
        <v>1551</v>
      </c>
      <c r="I214" s="104" t="s">
        <v>1551</v>
      </c>
      <c r="J214" s="105">
        <v>30500102182101</v>
      </c>
      <c r="K214" s="106" t="s">
        <v>431</v>
      </c>
      <c r="L214" s="106"/>
      <c r="M214" s="106">
        <v>1</v>
      </c>
      <c r="N214" s="104" t="s">
        <v>1493</v>
      </c>
      <c r="O214" s="104" t="s">
        <v>1552</v>
      </c>
      <c r="P214" s="107">
        <v>5285471</v>
      </c>
      <c r="Q214" s="104" t="s">
        <v>1553</v>
      </c>
      <c r="R214" s="104" t="s">
        <v>1554</v>
      </c>
      <c r="S214" s="108" t="s">
        <v>1555</v>
      </c>
      <c r="T214" s="305">
        <v>104</v>
      </c>
      <c r="U214" s="306">
        <v>263</v>
      </c>
      <c r="V214" s="306">
        <v>63</v>
      </c>
      <c r="W214" s="300" t="s">
        <v>3401</v>
      </c>
      <c r="X214" s="300" t="s">
        <v>3400</v>
      </c>
      <c r="Y214" s="301">
        <v>430</v>
      </c>
      <c r="Z214" s="305">
        <v>0</v>
      </c>
      <c r="AA214" s="306">
        <v>0</v>
      </c>
      <c r="AB214" s="306">
        <v>0</v>
      </c>
      <c r="AC214" s="300"/>
      <c r="AD214" s="300"/>
      <c r="AE214" s="301">
        <v>0</v>
      </c>
      <c r="AF214" s="302">
        <f t="shared" si="3"/>
        <v>430</v>
      </c>
      <c r="AG214" s="114"/>
      <c r="AH214" s="309"/>
    </row>
    <row r="215" spans="1:34" s="78" customFormat="1" ht="12" customHeight="1">
      <c r="A215" s="100">
        <v>2013</v>
      </c>
      <c r="B215" s="101" t="s">
        <v>3400</v>
      </c>
      <c r="C215" s="101" t="s">
        <v>3400</v>
      </c>
      <c r="D215" s="101" t="s">
        <v>3402</v>
      </c>
      <c r="E215" s="100">
        <v>2</v>
      </c>
      <c r="F215" s="102">
        <v>1</v>
      </c>
      <c r="G215" s="103">
        <v>213</v>
      </c>
      <c r="H215" s="104" t="s">
        <v>1556</v>
      </c>
      <c r="I215" s="104" t="s">
        <v>1556</v>
      </c>
      <c r="J215" s="105">
        <v>10500101314501</v>
      </c>
      <c r="K215" s="106" t="s">
        <v>353</v>
      </c>
      <c r="L215" s="106"/>
      <c r="M215" s="106">
        <v>2</v>
      </c>
      <c r="N215" s="104" t="s">
        <v>489</v>
      </c>
      <c r="O215" s="104" t="s">
        <v>1557</v>
      </c>
      <c r="P215" s="107" t="s">
        <v>1558</v>
      </c>
      <c r="Q215" s="104" t="s">
        <v>1559</v>
      </c>
      <c r="R215" s="104" t="s">
        <v>1560</v>
      </c>
      <c r="S215" s="108" t="s">
        <v>1561</v>
      </c>
      <c r="T215" s="305">
        <v>52</v>
      </c>
      <c r="U215" s="306">
        <v>98</v>
      </c>
      <c r="V215" s="306">
        <v>50</v>
      </c>
      <c r="W215" s="300" t="s">
        <v>3401</v>
      </c>
      <c r="X215" s="300" t="s">
        <v>3400</v>
      </c>
      <c r="Y215" s="301">
        <v>200</v>
      </c>
      <c r="Z215" s="305">
        <v>386</v>
      </c>
      <c r="AA215" s="306">
        <v>438</v>
      </c>
      <c r="AB215" s="306">
        <v>166</v>
      </c>
      <c r="AC215" s="300" t="s">
        <v>3399</v>
      </c>
      <c r="AD215" s="300" t="s">
        <v>3400</v>
      </c>
      <c r="AE215" s="301">
        <v>990</v>
      </c>
      <c r="AF215" s="302">
        <f t="shared" si="3"/>
        <v>1190</v>
      </c>
      <c r="AG215" s="114"/>
      <c r="AH215" s="115"/>
    </row>
    <row r="216" spans="1:34" s="78" customFormat="1" ht="12" customHeight="1">
      <c r="A216" s="100">
        <v>2014</v>
      </c>
      <c r="B216" s="101" t="s">
        <v>3400</v>
      </c>
      <c r="C216" s="101" t="s">
        <v>3400</v>
      </c>
      <c r="D216" s="101" t="s">
        <v>3402</v>
      </c>
      <c r="E216" s="100">
        <v>2</v>
      </c>
      <c r="F216" s="102">
        <v>1</v>
      </c>
      <c r="G216" s="103">
        <v>214</v>
      </c>
      <c r="H216" s="104" t="s">
        <v>1562</v>
      </c>
      <c r="I216" s="104" t="s">
        <v>1562</v>
      </c>
      <c r="J216" s="105">
        <v>10500100313101</v>
      </c>
      <c r="K216" s="106" t="s">
        <v>353</v>
      </c>
      <c r="L216" s="106"/>
      <c r="M216" s="106">
        <v>2</v>
      </c>
      <c r="N216" s="104" t="s">
        <v>471</v>
      </c>
      <c r="O216" s="104" t="s">
        <v>1563</v>
      </c>
      <c r="P216" s="107" t="s">
        <v>1564</v>
      </c>
      <c r="Q216" s="104" t="s">
        <v>479</v>
      </c>
      <c r="R216" s="104" t="s">
        <v>1565</v>
      </c>
      <c r="S216" s="108" t="s">
        <v>1566</v>
      </c>
      <c r="T216" s="307">
        <v>0</v>
      </c>
      <c r="U216" s="172">
        <v>320</v>
      </c>
      <c r="V216" s="172">
        <v>0</v>
      </c>
      <c r="W216" s="300" t="s">
        <v>3401</v>
      </c>
      <c r="X216" s="300" t="s">
        <v>3400</v>
      </c>
      <c r="Y216" s="301">
        <v>320</v>
      </c>
      <c r="Z216" s="305">
        <v>120</v>
      </c>
      <c r="AA216" s="306">
        <v>118</v>
      </c>
      <c r="AB216" s="306">
        <v>0</v>
      </c>
      <c r="AC216" s="300" t="s">
        <v>3399</v>
      </c>
      <c r="AD216" s="300" t="s">
        <v>3400</v>
      </c>
      <c r="AE216" s="301">
        <v>238</v>
      </c>
      <c r="AF216" s="302">
        <f t="shared" si="3"/>
        <v>558</v>
      </c>
      <c r="AG216" s="114"/>
      <c r="AH216" s="115"/>
    </row>
    <row r="217" spans="1:34" s="78" customFormat="1" ht="12" customHeight="1">
      <c r="A217" s="100">
        <v>2015</v>
      </c>
      <c r="B217" s="101" t="s">
        <v>3400</v>
      </c>
      <c r="C217" s="101" t="s">
        <v>3400</v>
      </c>
      <c r="D217" s="101" t="s">
        <v>3401</v>
      </c>
      <c r="E217" s="100">
        <v>2</v>
      </c>
      <c r="F217" s="102">
        <v>1</v>
      </c>
      <c r="G217" s="103">
        <v>215</v>
      </c>
      <c r="H217" s="104" t="s">
        <v>1567</v>
      </c>
      <c r="I217" s="104" t="s">
        <v>1567</v>
      </c>
      <c r="J217" s="105">
        <v>10500102396501</v>
      </c>
      <c r="K217" s="106" t="s">
        <v>353</v>
      </c>
      <c r="L217" s="106" t="s">
        <v>303</v>
      </c>
      <c r="M217" s="106">
        <v>2</v>
      </c>
      <c r="N217" s="104" t="s">
        <v>438</v>
      </c>
      <c r="O217" s="104" t="s">
        <v>1568</v>
      </c>
      <c r="P217" s="107" t="s">
        <v>1569</v>
      </c>
      <c r="Q217" s="104" t="s">
        <v>1570</v>
      </c>
      <c r="R217" s="104" t="s">
        <v>1571</v>
      </c>
      <c r="S217" s="108" t="s">
        <v>1572</v>
      </c>
      <c r="T217" s="305">
        <v>0</v>
      </c>
      <c r="U217" s="306">
        <v>266</v>
      </c>
      <c r="V217" s="306">
        <v>134</v>
      </c>
      <c r="W217" s="300" t="s">
        <v>3401</v>
      </c>
      <c r="X217" s="300" t="s">
        <v>3400</v>
      </c>
      <c r="Y217" s="301">
        <v>400</v>
      </c>
      <c r="Z217" s="305">
        <v>0</v>
      </c>
      <c r="AA217" s="306">
        <v>0</v>
      </c>
      <c r="AB217" s="306">
        <v>0</v>
      </c>
      <c r="AC217" s="300"/>
      <c r="AD217" s="300"/>
      <c r="AE217" s="301">
        <v>0</v>
      </c>
      <c r="AF217" s="302">
        <f t="shared" si="3"/>
        <v>400</v>
      </c>
      <c r="AG217" s="114"/>
      <c r="AH217" s="308"/>
    </row>
    <row r="218" spans="1:34" s="78" customFormat="1" ht="12" customHeight="1">
      <c r="A218" s="100">
        <v>2016</v>
      </c>
      <c r="B218" s="101" t="s">
        <v>3400</v>
      </c>
      <c r="C218" s="101" t="s">
        <v>3400</v>
      </c>
      <c r="D218" s="101" t="s">
        <v>3401</v>
      </c>
      <c r="E218" s="100">
        <v>2</v>
      </c>
      <c r="F218" s="102">
        <v>1</v>
      </c>
      <c r="G218" s="103">
        <v>216</v>
      </c>
      <c r="H218" s="104" t="s">
        <v>1573</v>
      </c>
      <c r="I218" s="104" t="s">
        <v>1573</v>
      </c>
      <c r="J218" s="105">
        <v>10500102396505</v>
      </c>
      <c r="K218" s="106" t="s">
        <v>353</v>
      </c>
      <c r="L218" s="106"/>
      <c r="M218" s="106">
        <v>2</v>
      </c>
      <c r="N218" s="104" t="s">
        <v>1574</v>
      </c>
      <c r="O218" s="104" t="s">
        <v>1575</v>
      </c>
      <c r="P218" s="107">
        <v>2581053</v>
      </c>
      <c r="Q218" s="104" t="s">
        <v>1576</v>
      </c>
      <c r="R218" s="104" t="s">
        <v>1577</v>
      </c>
      <c r="S218" s="108" t="s">
        <v>1578</v>
      </c>
      <c r="T218" s="305">
        <v>210</v>
      </c>
      <c r="U218" s="306">
        <v>77</v>
      </c>
      <c r="V218" s="306">
        <v>0</v>
      </c>
      <c r="W218" s="300" t="s">
        <v>3401</v>
      </c>
      <c r="X218" s="300" t="s">
        <v>3400</v>
      </c>
      <c r="Y218" s="301">
        <v>287</v>
      </c>
      <c r="Z218" s="305">
        <v>0</v>
      </c>
      <c r="AA218" s="306">
        <v>0</v>
      </c>
      <c r="AB218" s="306">
        <v>0</v>
      </c>
      <c r="AC218" s="300"/>
      <c r="AD218" s="300"/>
      <c r="AE218" s="301">
        <v>0</v>
      </c>
      <c r="AF218" s="302">
        <f t="shared" si="3"/>
        <v>287</v>
      </c>
      <c r="AG218" s="137"/>
      <c r="AH218" s="115"/>
    </row>
    <row r="219" spans="1:34" s="78" customFormat="1" ht="12" customHeight="1">
      <c r="A219" s="100">
        <v>2017</v>
      </c>
      <c r="B219" s="101" t="s">
        <v>3400</v>
      </c>
      <c r="C219" s="101" t="s">
        <v>3400</v>
      </c>
      <c r="D219" s="101" t="s">
        <v>3402</v>
      </c>
      <c r="E219" s="100">
        <v>2</v>
      </c>
      <c r="F219" s="102">
        <v>1</v>
      </c>
      <c r="G219" s="103">
        <v>217</v>
      </c>
      <c r="H219" s="104" t="s">
        <v>1579</v>
      </c>
      <c r="I219" s="104" t="s">
        <v>1579</v>
      </c>
      <c r="J219" s="105">
        <v>10500100112101</v>
      </c>
      <c r="K219" s="106" t="s">
        <v>353</v>
      </c>
      <c r="L219" s="106" t="s">
        <v>303</v>
      </c>
      <c r="M219" s="106">
        <v>3</v>
      </c>
      <c r="N219" s="104" t="s">
        <v>558</v>
      </c>
      <c r="O219" s="104" t="s">
        <v>1580</v>
      </c>
      <c r="P219" s="107">
        <v>2331414</v>
      </c>
      <c r="Q219" s="104" t="s">
        <v>1581</v>
      </c>
      <c r="R219" s="104" t="s">
        <v>1582</v>
      </c>
      <c r="S219" s="108" t="s">
        <v>1583</v>
      </c>
      <c r="T219" s="307">
        <v>0</v>
      </c>
      <c r="U219" s="172">
        <v>0</v>
      </c>
      <c r="V219" s="172">
        <v>320</v>
      </c>
      <c r="W219" s="300" t="s">
        <v>3401</v>
      </c>
      <c r="X219" s="300" t="s">
        <v>3400</v>
      </c>
      <c r="Y219" s="301">
        <v>320</v>
      </c>
      <c r="Z219" s="307">
        <v>0</v>
      </c>
      <c r="AA219" s="172">
        <v>538</v>
      </c>
      <c r="AB219" s="172">
        <v>162</v>
      </c>
      <c r="AC219" s="300" t="s">
        <v>3399</v>
      </c>
      <c r="AD219" s="300" t="s">
        <v>3400</v>
      </c>
      <c r="AE219" s="301">
        <v>700</v>
      </c>
      <c r="AF219" s="302">
        <f t="shared" si="3"/>
        <v>1020</v>
      </c>
      <c r="AG219" s="114"/>
      <c r="AH219" s="308"/>
    </row>
    <row r="220" spans="1:34" s="78" customFormat="1" ht="12" customHeight="1">
      <c r="A220" s="100">
        <v>2018</v>
      </c>
      <c r="B220" s="101" t="s">
        <v>3400</v>
      </c>
      <c r="C220" s="101" t="s">
        <v>3400</v>
      </c>
      <c r="D220" s="101" t="s">
        <v>3402</v>
      </c>
      <c r="E220" s="100">
        <v>2</v>
      </c>
      <c r="F220" s="102">
        <v>1</v>
      </c>
      <c r="G220" s="103">
        <v>218</v>
      </c>
      <c r="H220" s="104" t="s">
        <v>1584</v>
      </c>
      <c r="I220" s="104" t="s">
        <v>1584</v>
      </c>
      <c r="J220" s="105">
        <v>10500100965202</v>
      </c>
      <c r="K220" s="106" t="s">
        <v>353</v>
      </c>
      <c r="L220" s="106"/>
      <c r="M220" s="106">
        <v>3</v>
      </c>
      <c r="N220" s="104" t="s">
        <v>531</v>
      </c>
      <c r="O220" s="104" t="s">
        <v>1585</v>
      </c>
      <c r="P220" s="107">
        <v>2118231</v>
      </c>
      <c r="Q220" s="104" t="s">
        <v>534</v>
      </c>
      <c r="R220" s="104" t="s">
        <v>1586</v>
      </c>
      <c r="S220" s="108" t="s">
        <v>1587</v>
      </c>
      <c r="T220" s="305">
        <v>230</v>
      </c>
      <c r="U220" s="306">
        <v>90</v>
      </c>
      <c r="V220" s="306">
        <v>0</v>
      </c>
      <c r="W220" s="300" t="s">
        <v>3401</v>
      </c>
      <c r="X220" s="300" t="s">
        <v>3400</v>
      </c>
      <c r="Y220" s="301">
        <v>320</v>
      </c>
      <c r="Z220" s="305">
        <v>18</v>
      </c>
      <c r="AA220" s="306">
        <v>107</v>
      </c>
      <c r="AB220" s="306">
        <v>0</v>
      </c>
      <c r="AC220" s="300" t="s">
        <v>3399</v>
      </c>
      <c r="AD220" s="300" t="s">
        <v>3400</v>
      </c>
      <c r="AE220" s="301">
        <v>125</v>
      </c>
      <c r="AF220" s="302">
        <f t="shared" si="3"/>
        <v>445</v>
      </c>
      <c r="AG220" s="114"/>
      <c r="AH220" s="115"/>
    </row>
    <row r="221" spans="1:34" s="78" customFormat="1" ht="12" customHeight="1">
      <c r="A221" s="100">
        <v>2019</v>
      </c>
      <c r="B221" s="101" t="s">
        <v>3400</v>
      </c>
      <c r="C221" s="101" t="s">
        <v>3400</v>
      </c>
      <c r="D221" s="101" t="s">
        <v>3401</v>
      </c>
      <c r="E221" s="100">
        <v>2</v>
      </c>
      <c r="F221" s="102">
        <v>1</v>
      </c>
      <c r="G221" s="103">
        <v>219</v>
      </c>
      <c r="H221" s="104" t="s">
        <v>1588</v>
      </c>
      <c r="I221" s="104" t="s">
        <v>1588</v>
      </c>
      <c r="J221" s="105">
        <v>10500101058803</v>
      </c>
      <c r="K221" s="106" t="s">
        <v>353</v>
      </c>
      <c r="L221" s="106"/>
      <c r="M221" s="106">
        <v>3</v>
      </c>
      <c r="N221" s="104" t="s">
        <v>1589</v>
      </c>
      <c r="O221" s="104" t="s">
        <v>1590</v>
      </c>
      <c r="P221" s="107">
        <v>2631828</v>
      </c>
      <c r="Q221" s="104" t="s">
        <v>540</v>
      </c>
      <c r="R221" s="104" t="s">
        <v>1591</v>
      </c>
      <c r="S221" s="108" t="s">
        <v>1592</v>
      </c>
      <c r="T221" s="305">
        <v>289</v>
      </c>
      <c r="U221" s="306">
        <v>111</v>
      </c>
      <c r="V221" s="306">
        <v>0</v>
      </c>
      <c r="W221" s="300" t="s">
        <v>3401</v>
      </c>
      <c r="X221" s="300" t="s">
        <v>3400</v>
      </c>
      <c r="Y221" s="301">
        <v>400</v>
      </c>
      <c r="Z221" s="305">
        <v>0</v>
      </c>
      <c r="AA221" s="306">
        <v>0</v>
      </c>
      <c r="AB221" s="306">
        <v>0</v>
      </c>
      <c r="AC221" s="300"/>
      <c r="AD221" s="300"/>
      <c r="AE221" s="301">
        <v>0</v>
      </c>
      <c r="AF221" s="310">
        <f t="shared" si="3"/>
        <v>400</v>
      </c>
      <c r="AG221" s="114"/>
      <c r="AH221" s="115"/>
    </row>
    <row r="222" spans="1:34" s="78" customFormat="1" ht="12" customHeight="1">
      <c r="A222" s="100">
        <v>2020</v>
      </c>
      <c r="B222" s="101" t="s">
        <v>3400</v>
      </c>
      <c r="C222" s="101" t="s">
        <v>3400</v>
      </c>
      <c r="D222" s="101" t="s">
        <v>3401</v>
      </c>
      <c r="E222" s="100">
        <v>2</v>
      </c>
      <c r="F222" s="102">
        <v>1</v>
      </c>
      <c r="G222" s="103">
        <v>220</v>
      </c>
      <c r="H222" s="104" t="s">
        <v>1593</v>
      </c>
      <c r="I222" s="104" t="s">
        <v>1593</v>
      </c>
      <c r="J222" s="105">
        <v>10500100017501</v>
      </c>
      <c r="K222" s="106" t="s">
        <v>353</v>
      </c>
      <c r="L222" s="106" t="s">
        <v>303</v>
      </c>
      <c r="M222" s="106">
        <v>3</v>
      </c>
      <c r="N222" s="104" t="s">
        <v>538</v>
      </c>
      <c r="O222" s="104" t="s">
        <v>1594</v>
      </c>
      <c r="P222" s="107" t="s">
        <v>1595</v>
      </c>
      <c r="Q222" s="104" t="s">
        <v>1596</v>
      </c>
      <c r="R222" s="104" t="s">
        <v>1597</v>
      </c>
      <c r="S222" s="108" t="s">
        <v>1598</v>
      </c>
      <c r="T222" s="305">
        <v>76</v>
      </c>
      <c r="U222" s="306">
        <v>244</v>
      </c>
      <c r="V222" s="306">
        <v>90</v>
      </c>
      <c r="W222" s="300" t="s">
        <v>3401</v>
      </c>
      <c r="X222" s="300" t="s">
        <v>3400</v>
      </c>
      <c r="Y222" s="301">
        <v>410</v>
      </c>
      <c r="Z222" s="305">
        <v>0</v>
      </c>
      <c r="AA222" s="306">
        <v>0</v>
      </c>
      <c r="AB222" s="306">
        <v>0</v>
      </c>
      <c r="AC222" s="300"/>
      <c r="AD222" s="300"/>
      <c r="AE222" s="301">
        <v>0</v>
      </c>
      <c r="AF222" s="302">
        <f t="shared" si="3"/>
        <v>410</v>
      </c>
      <c r="AG222" s="311"/>
      <c r="AH222" s="115"/>
    </row>
    <row r="223" spans="1:34" s="78" customFormat="1" ht="12" customHeight="1">
      <c r="A223" s="100">
        <v>2021</v>
      </c>
      <c r="B223" s="101" t="s">
        <v>3400</v>
      </c>
      <c r="C223" s="101" t="s">
        <v>3400</v>
      </c>
      <c r="D223" s="101" t="s">
        <v>3401</v>
      </c>
      <c r="E223" s="100">
        <v>2</v>
      </c>
      <c r="F223" s="102">
        <v>1</v>
      </c>
      <c r="G223" s="103">
        <v>221</v>
      </c>
      <c r="H223" s="104" t="s">
        <v>1599</v>
      </c>
      <c r="I223" s="104" t="s">
        <v>1599</v>
      </c>
      <c r="J223" s="105">
        <v>10500100017502</v>
      </c>
      <c r="K223" s="106" t="s">
        <v>353</v>
      </c>
      <c r="L223" s="106"/>
      <c r="M223" s="106">
        <v>3</v>
      </c>
      <c r="N223" s="104" t="s">
        <v>538</v>
      </c>
      <c r="O223" s="104" t="s">
        <v>1600</v>
      </c>
      <c r="P223" s="107">
        <v>2632428</v>
      </c>
      <c r="Q223" s="104" t="s">
        <v>1601</v>
      </c>
      <c r="R223" s="104" t="s">
        <v>1597</v>
      </c>
      <c r="S223" s="108" t="s">
        <v>1602</v>
      </c>
      <c r="T223" s="305">
        <v>134</v>
      </c>
      <c r="U223" s="306">
        <v>66</v>
      </c>
      <c r="V223" s="306">
        <v>0</v>
      </c>
      <c r="W223" s="300" t="s">
        <v>3401</v>
      </c>
      <c r="X223" s="300" t="s">
        <v>3400</v>
      </c>
      <c r="Y223" s="301">
        <v>200</v>
      </c>
      <c r="Z223" s="305">
        <v>0</v>
      </c>
      <c r="AA223" s="306">
        <v>0</v>
      </c>
      <c r="AB223" s="306">
        <v>0</v>
      </c>
      <c r="AC223" s="300"/>
      <c r="AD223" s="300"/>
      <c r="AE223" s="301">
        <v>0</v>
      </c>
      <c r="AF223" s="302">
        <f t="shared" si="3"/>
        <v>200</v>
      </c>
      <c r="AG223" s="311"/>
      <c r="AH223" s="115"/>
    </row>
    <row r="224" spans="1:34" s="78" customFormat="1" ht="12" customHeight="1">
      <c r="A224" s="100">
        <v>2022</v>
      </c>
      <c r="B224" s="101" t="s">
        <v>3400</v>
      </c>
      <c r="C224" s="101" t="s">
        <v>3400</v>
      </c>
      <c r="D224" s="101" t="s">
        <v>3402</v>
      </c>
      <c r="E224" s="100">
        <v>2</v>
      </c>
      <c r="F224" s="102">
        <v>1</v>
      </c>
      <c r="G224" s="103">
        <v>222</v>
      </c>
      <c r="H224" s="104" t="s">
        <v>1603</v>
      </c>
      <c r="I224" s="104" t="s">
        <v>1604</v>
      </c>
      <c r="J224" s="105">
        <v>10500100123601</v>
      </c>
      <c r="K224" s="106" t="s">
        <v>353</v>
      </c>
      <c r="L224" s="106"/>
      <c r="M224" s="106">
        <v>3</v>
      </c>
      <c r="N224" s="104" t="s">
        <v>538</v>
      </c>
      <c r="O224" s="104" t="s">
        <v>1605</v>
      </c>
      <c r="P224" s="107">
        <v>2639104</v>
      </c>
      <c r="Q224" s="104" t="s">
        <v>1606</v>
      </c>
      <c r="R224" s="104" t="s">
        <v>1607</v>
      </c>
      <c r="S224" s="108" t="s">
        <v>1608</v>
      </c>
      <c r="T224" s="305">
        <v>40</v>
      </c>
      <c r="U224" s="306">
        <v>306</v>
      </c>
      <c r="V224" s="306">
        <v>254</v>
      </c>
      <c r="W224" s="300" t="s">
        <v>3401</v>
      </c>
      <c r="X224" s="300" t="s">
        <v>3400</v>
      </c>
      <c r="Y224" s="301">
        <v>600</v>
      </c>
      <c r="Z224" s="305">
        <v>311</v>
      </c>
      <c r="AA224" s="306">
        <v>139</v>
      </c>
      <c r="AB224" s="306">
        <v>0</v>
      </c>
      <c r="AC224" s="300" t="s">
        <v>3399</v>
      </c>
      <c r="AD224" s="300" t="s">
        <v>3400</v>
      </c>
      <c r="AE224" s="301">
        <v>450</v>
      </c>
      <c r="AF224" s="302">
        <f t="shared" si="3"/>
        <v>1050</v>
      </c>
      <c r="AG224" s="311"/>
      <c r="AH224" s="115"/>
    </row>
    <row r="225" spans="1:34" s="78" customFormat="1" ht="12" customHeight="1">
      <c r="A225" s="100">
        <v>2023</v>
      </c>
      <c r="B225" s="101" t="s">
        <v>3400</v>
      </c>
      <c r="C225" s="101" t="s">
        <v>3400</v>
      </c>
      <c r="D225" s="101" t="s">
        <v>3401</v>
      </c>
      <c r="E225" s="100">
        <v>2</v>
      </c>
      <c r="F225" s="102">
        <v>1</v>
      </c>
      <c r="G225" s="103">
        <v>223</v>
      </c>
      <c r="H225" s="104" t="s">
        <v>1609</v>
      </c>
      <c r="I225" s="104" t="s">
        <v>1610</v>
      </c>
      <c r="J225" s="105">
        <v>10500101953401</v>
      </c>
      <c r="K225" s="106" t="s">
        <v>353</v>
      </c>
      <c r="L225" s="106"/>
      <c r="M225" s="106">
        <v>3</v>
      </c>
      <c r="N225" s="104" t="s">
        <v>1611</v>
      </c>
      <c r="O225" s="104" t="s">
        <v>1612</v>
      </c>
      <c r="P225" s="107">
        <v>2849094</v>
      </c>
      <c r="Q225" s="104" t="s">
        <v>1613</v>
      </c>
      <c r="R225" s="104" t="s">
        <v>1614</v>
      </c>
      <c r="S225" s="108" t="s">
        <v>1615</v>
      </c>
      <c r="T225" s="305">
        <v>379</v>
      </c>
      <c r="U225" s="306">
        <v>251</v>
      </c>
      <c r="V225" s="306">
        <v>0</v>
      </c>
      <c r="W225" s="300" t="s">
        <v>3401</v>
      </c>
      <c r="X225" s="300" t="s">
        <v>3400</v>
      </c>
      <c r="Y225" s="301">
        <v>630</v>
      </c>
      <c r="Z225" s="305">
        <v>0</v>
      </c>
      <c r="AA225" s="306">
        <v>0</v>
      </c>
      <c r="AB225" s="306">
        <v>0</v>
      </c>
      <c r="AC225" s="300"/>
      <c r="AD225" s="300"/>
      <c r="AE225" s="301">
        <v>0</v>
      </c>
      <c r="AF225" s="302">
        <f t="shared" si="3"/>
        <v>630</v>
      </c>
      <c r="AG225" s="311"/>
      <c r="AH225" s="115"/>
    </row>
    <row r="226" spans="1:34" s="78" customFormat="1" ht="12" customHeight="1">
      <c r="A226" s="100">
        <v>2024</v>
      </c>
      <c r="B226" s="101" t="s">
        <v>3400</v>
      </c>
      <c r="C226" s="101" t="s">
        <v>3400</v>
      </c>
      <c r="D226" s="101" t="s">
        <v>3402</v>
      </c>
      <c r="E226" s="100">
        <v>2</v>
      </c>
      <c r="F226" s="102">
        <v>1</v>
      </c>
      <c r="G226" s="103">
        <v>224</v>
      </c>
      <c r="H226" s="104" t="s">
        <v>1616</v>
      </c>
      <c r="I226" s="104" t="s">
        <v>1616</v>
      </c>
      <c r="J226" s="105">
        <v>30500100487101</v>
      </c>
      <c r="K226" s="106" t="s">
        <v>431</v>
      </c>
      <c r="L226" s="106"/>
      <c r="M226" s="106">
        <v>3</v>
      </c>
      <c r="N226" s="104" t="s">
        <v>512</v>
      </c>
      <c r="O226" s="104" t="s">
        <v>1617</v>
      </c>
      <c r="P226" s="107" t="s">
        <v>1618</v>
      </c>
      <c r="Q226" s="104" t="s">
        <v>1619</v>
      </c>
      <c r="R226" s="104" t="s">
        <v>1620</v>
      </c>
      <c r="S226" s="108" t="s">
        <v>1621</v>
      </c>
      <c r="T226" s="305">
        <v>104</v>
      </c>
      <c r="U226" s="306">
        <v>120</v>
      </c>
      <c r="V226" s="306">
        <v>16</v>
      </c>
      <c r="W226" s="300" t="s">
        <v>3401</v>
      </c>
      <c r="X226" s="300" t="s">
        <v>3400</v>
      </c>
      <c r="Y226" s="301">
        <v>240</v>
      </c>
      <c r="Z226" s="305">
        <v>190</v>
      </c>
      <c r="AA226" s="306">
        <v>400</v>
      </c>
      <c r="AB226" s="306">
        <v>210</v>
      </c>
      <c r="AC226" s="300" t="s">
        <v>3399</v>
      </c>
      <c r="AD226" s="300" t="s">
        <v>3400</v>
      </c>
      <c r="AE226" s="301">
        <v>800</v>
      </c>
      <c r="AF226" s="302">
        <f t="shared" si="3"/>
        <v>1040</v>
      </c>
      <c r="AG226" s="311"/>
      <c r="AH226" s="115"/>
    </row>
    <row r="227" spans="1:34" s="78" customFormat="1" ht="12" customHeight="1">
      <c r="A227" s="100">
        <v>2025</v>
      </c>
      <c r="B227" s="101" t="s">
        <v>3400</v>
      </c>
      <c r="C227" s="101" t="s">
        <v>3400</v>
      </c>
      <c r="D227" s="101" t="s">
        <v>3401</v>
      </c>
      <c r="E227" s="100">
        <v>2</v>
      </c>
      <c r="F227" s="102">
        <v>1</v>
      </c>
      <c r="G227" s="103">
        <v>225</v>
      </c>
      <c r="H227" s="104" t="s">
        <v>1622</v>
      </c>
      <c r="I227" s="104" t="s">
        <v>1622</v>
      </c>
      <c r="J227" s="105">
        <v>30500102246101</v>
      </c>
      <c r="K227" s="106" t="s">
        <v>431</v>
      </c>
      <c r="L227" s="106"/>
      <c r="M227" s="106">
        <v>3</v>
      </c>
      <c r="N227" s="104" t="s">
        <v>574</v>
      </c>
      <c r="O227" s="104" t="s">
        <v>1623</v>
      </c>
      <c r="P227" s="107" t="s">
        <v>1624</v>
      </c>
      <c r="Q227" s="104" t="s">
        <v>1625</v>
      </c>
      <c r="R227" s="104" t="s">
        <v>1626</v>
      </c>
      <c r="S227" s="108" t="s">
        <v>1627</v>
      </c>
      <c r="T227" s="305">
        <v>293</v>
      </c>
      <c r="U227" s="306">
        <v>373</v>
      </c>
      <c r="V227" s="306">
        <v>64</v>
      </c>
      <c r="W227" s="300" t="s">
        <v>3401</v>
      </c>
      <c r="X227" s="300" t="s">
        <v>3400</v>
      </c>
      <c r="Y227" s="301">
        <v>730</v>
      </c>
      <c r="Z227" s="305">
        <v>0</v>
      </c>
      <c r="AA227" s="306">
        <v>0</v>
      </c>
      <c r="AB227" s="306">
        <v>0</v>
      </c>
      <c r="AC227" s="300"/>
      <c r="AD227" s="300"/>
      <c r="AE227" s="301">
        <v>0</v>
      </c>
      <c r="AF227" s="302">
        <f t="shared" si="3"/>
        <v>730</v>
      </c>
      <c r="AG227" s="311"/>
      <c r="AH227" s="309"/>
    </row>
    <row r="228" spans="1:34" s="78" customFormat="1" ht="12" customHeight="1">
      <c r="A228" s="100">
        <v>2026</v>
      </c>
      <c r="B228" s="101" t="s">
        <v>3400</v>
      </c>
      <c r="C228" s="101" t="s">
        <v>3400</v>
      </c>
      <c r="D228" s="101" t="s">
        <v>3401</v>
      </c>
      <c r="E228" s="100">
        <v>2</v>
      </c>
      <c r="F228" s="102">
        <v>1</v>
      </c>
      <c r="G228" s="103">
        <v>226</v>
      </c>
      <c r="H228" s="104" t="s">
        <v>1628</v>
      </c>
      <c r="I228" s="104" t="s">
        <v>1628</v>
      </c>
      <c r="J228" s="105">
        <v>30500102633501</v>
      </c>
      <c r="K228" s="106" t="s">
        <v>431</v>
      </c>
      <c r="L228" s="106"/>
      <c r="M228" s="106">
        <v>3</v>
      </c>
      <c r="N228" s="104" t="s">
        <v>574</v>
      </c>
      <c r="O228" s="104" t="s">
        <v>1629</v>
      </c>
      <c r="P228" s="107">
        <v>2313169</v>
      </c>
      <c r="Q228" s="104" t="s">
        <v>1630</v>
      </c>
      <c r="R228" s="104" t="s">
        <v>1631</v>
      </c>
      <c r="S228" s="108" t="s">
        <v>1632</v>
      </c>
      <c r="T228" s="307">
        <v>95</v>
      </c>
      <c r="U228" s="172">
        <v>224</v>
      </c>
      <c r="V228" s="172">
        <v>11</v>
      </c>
      <c r="W228" s="300" t="s">
        <v>3401</v>
      </c>
      <c r="X228" s="300" t="s">
        <v>3400</v>
      </c>
      <c r="Y228" s="301">
        <v>330</v>
      </c>
      <c r="Z228" s="305">
        <v>0</v>
      </c>
      <c r="AA228" s="306">
        <v>0</v>
      </c>
      <c r="AB228" s="306">
        <v>0</v>
      </c>
      <c r="AC228" s="300"/>
      <c r="AD228" s="300"/>
      <c r="AE228" s="301">
        <v>0</v>
      </c>
      <c r="AF228" s="302">
        <f t="shared" si="3"/>
        <v>330</v>
      </c>
      <c r="AG228" s="311"/>
      <c r="AH228" s="115"/>
    </row>
    <row r="229" spans="1:34" s="78" customFormat="1" ht="12" customHeight="1">
      <c r="A229" s="100">
        <v>2027</v>
      </c>
      <c r="B229" s="101" t="s">
        <v>3400</v>
      </c>
      <c r="C229" s="101" t="s">
        <v>3400</v>
      </c>
      <c r="D229" s="101" t="s">
        <v>3401</v>
      </c>
      <c r="E229" s="100">
        <v>2</v>
      </c>
      <c r="F229" s="116">
        <v>1</v>
      </c>
      <c r="G229" s="103">
        <v>227</v>
      </c>
      <c r="H229" s="312" t="s">
        <v>1633</v>
      </c>
      <c r="I229" s="118" t="s">
        <v>1633</v>
      </c>
      <c r="J229" s="119">
        <v>10500100098101</v>
      </c>
      <c r="K229" s="120" t="s">
        <v>353</v>
      </c>
      <c r="L229" s="313"/>
      <c r="M229" s="120">
        <v>4</v>
      </c>
      <c r="N229" s="118" t="s">
        <v>641</v>
      </c>
      <c r="O229" s="118" t="s">
        <v>1634</v>
      </c>
      <c r="P229" s="122" t="s">
        <v>1635</v>
      </c>
      <c r="Q229" s="118" t="s">
        <v>637</v>
      </c>
      <c r="R229" s="118" t="s">
        <v>1636</v>
      </c>
      <c r="S229" s="123" t="s">
        <v>1637</v>
      </c>
      <c r="T229" s="314">
        <v>0</v>
      </c>
      <c r="U229" s="315">
        <v>0</v>
      </c>
      <c r="V229" s="125">
        <v>300</v>
      </c>
      <c r="W229" s="300" t="s">
        <v>3401</v>
      </c>
      <c r="X229" s="300" t="s">
        <v>3400</v>
      </c>
      <c r="Y229" s="301">
        <f>T229+U229+V229</f>
        <v>300</v>
      </c>
      <c r="Z229" s="314">
        <v>0</v>
      </c>
      <c r="AA229" s="315">
        <v>0</v>
      </c>
      <c r="AB229" s="315">
        <v>0</v>
      </c>
      <c r="AC229" s="300"/>
      <c r="AD229" s="300"/>
      <c r="AE229" s="301">
        <f>Z229+AA229+AB229</f>
        <v>0</v>
      </c>
      <c r="AF229" s="316">
        <v>300</v>
      </c>
      <c r="AG229" s="317"/>
      <c r="AH229" s="128" t="s">
        <v>1638</v>
      </c>
    </row>
    <row r="230" spans="1:34" s="78" customFormat="1" ht="12" customHeight="1">
      <c r="A230" s="100">
        <v>2028</v>
      </c>
      <c r="B230" s="101" t="s">
        <v>3400</v>
      </c>
      <c r="C230" s="101" t="s">
        <v>3400</v>
      </c>
      <c r="D230" s="101" t="s">
        <v>3402</v>
      </c>
      <c r="E230" s="100">
        <v>2</v>
      </c>
      <c r="F230" s="143">
        <v>2</v>
      </c>
      <c r="G230" s="103">
        <v>228</v>
      </c>
      <c r="H230" s="144" t="s">
        <v>1639</v>
      </c>
      <c r="I230" s="145" t="s">
        <v>1639</v>
      </c>
      <c r="J230" s="146">
        <v>10500100328001</v>
      </c>
      <c r="K230" s="147" t="s">
        <v>353</v>
      </c>
      <c r="L230" s="147" t="s">
        <v>303</v>
      </c>
      <c r="M230" s="147">
        <v>5</v>
      </c>
      <c r="N230" s="148" t="s">
        <v>732</v>
      </c>
      <c r="O230" s="144" t="s">
        <v>1640</v>
      </c>
      <c r="P230" s="148" t="s">
        <v>1641</v>
      </c>
      <c r="Q230" s="144" t="s">
        <v>1642</v>
      </c>
      <c r="R230" s="144" t="s">
        <v>1643</v>
      </c>
      <c r="S230" s="149" t="s">
        <v>1644</v>
      </c>
      <c r="T230" s="307">
        <v>0</v>
      </c>
      <c r="U230" s="172">
        <v>115</v>
      </c>
      <c r="V230" s="172">
        <v>105</v>
      </c>
      <c r="W230" s="300" t="s">
        <v>3401</v>
      </c>
      <c r="X230" s="300" t="s">
        <v>3400</v>
      </c>
      <c r="Y230" s="318">
        <v>220</v>
      </c>
      <c r="Z230" s="307">
        <v>0</v>
      </c>
      <c r="AA230" s="172">
        <v>90</v>
      </c>
      <c r="AB230" s="172">
        <v>60</v>
      </c>
      <c r="AC230" s="300" t="s">
        <v>3399</v>
      </c>
      <c r="AD230" s="300" t="s">
        <v>3400</v>
      </c>
      <c r="AE230" s="318">
        <v>150</v>
      </c>
      <c r="AF230" s="319">
        <f t="shared" ref="AF230:AF293" si="4">+Y230+AE230</f>
        <v>370</v>
      </c>
      <c r="AG230" s="151"/>
      <c r="AH230" s="152"/>
    </row>
    <row r="231" spans="1:34" s="78" customFormat="1" ht="12" customHeight="1">
      <c r="A231" s="100">
        <v>2029</v>
      </c>
      <c r="B231" s="101" t="s">
        <v>3400</v>
      </c>
      <c r="C231" s="101" t="s">
        <v>3400</v>
      </c>
      <c r="D231" s="101" t="s">
        <v>3402</v>
      </c>
      <c r="E231" s="100">
        <v>2</v>
      </c>
      <c r="F231" s="143">
        <v>2</v>
      </c>
      <c r="G231" s="103">
        <v>229</v>
      </c>
      <c r="H231" s="144" t="s">
        <v>1645</v>
      </c>
      <c r="I231" s="145" t="s">
        <v>1645</v>
      </c>
      <c r="J231" s="146">
        <v>10500102578001</v>
      </c>
      <c r="K231" s="147" t="s">
        <v>353</v>
      </c>
      <c r="L231" s="147" t="s">
        <v>303</v>
      </c>
      <c r="M231" s="147">
        <v>5</v>
      </c>
      <c r="N231" s="148" t="s">
        <v>714</v>
      </c>
      <c r="O231" s="144" t="s">
        <v>1646</v>
      </c>
      <c r="P231" s="148" t="s">
        <v>1647</v>
      </c>
      <c r="Q231" s="144" t="s">
        <v>1648</v>
      </c>
      <c r="R231" s="144" t="s">
        <v>1649</v>
      </c>
      <c r="S231" s="149" t="s">
        <v>1650</v>
      </c>
      <c r="T231" s="307">
        <v>0</v>
      </c>
      <c r="U231" s="172">
        <v>10</v>
      </c>
      <c r="V231" s="172">
        <v>300</v>
      </c>
      <c r="W231" s="300" t="s">
        <v>3401</v>
      </c>
      <c r="X231" s="300" t="s">
        <v>3400</v>
      </c>
      <c r="Y231" s="318">
        <v>310</v>
      </c>
      <c r="Z231" s="320">
        <v>176</v>
      </c>
      <c r="AA231" s="321">
        <v>279</v>
      </c>
      <c r="AB231" s="172">
        <v>105</v>
      </c>
      <c r="AC231" s="300" t="s">
        <v>3399</v>
      </c>
      <c r="AD231" s="300" t="s">
        <v>3400</v>
      </c>
      <c r="AE231" s="318">
        <v>560</v>
      </c>
      <c r="AF231" s="319">
        <f t="shared" si="4"/>
        <v>870</v>
      </c>
      <c r="AG231" s="322"/>
      <c r="AH231" s="152"/>
    </row>
    <row r="232" spans="1:34" s="78" customFormat="1" ht="12" customHeight="1">
      <c r="A232" s="100">
        <v>2030</v>
      </c>
      <c r="B232" s="101" t="s">
        <v>3400</v>
      </c>
      <c r="C232" s="101" t="s">
        <v>3400</v>
      </c>
      <c r="D232" s="101" t="s">
        <v>3402</v>
      </c>
      <c r="E232" s="100">
        <v>2</v>
      </c>
      <c r="F232" s="143">
        <v>2</v>
      </c>
      <c r="G232" s="103">
        <v>230</v>
      </c>
      <c r="H232" s="144" t="s">
        <v>1651</v>
      </c>
      <c r="I232" s="145" t="s">
        <v>1651</v>
      </c>
      <c r="J232" s="146">
        <v>10500102163601</v>
      </c>
      <c r="K232" s="147" t="s">
        <v>353</v>
      </c>
      <c r="L232" s="147" t="s">
        <v>303</v>
      </c>
      <c r="M232" s="147">
        <v>6</v>
      </c>
      <c r="N232" s="148" t="s">
        <v>768</v>
      </c>
      <c r="O232" s="144" t="s">
        <v>1652</v>
      </c>
      <c r="P232" s="148" t="s">
        <v>1653</v>
      </c>
      <c r="Q232" s="144" t="s">
        <v>777</v>
      </c>
      <c r="R232" s="144" t="s">
        <v>1654</v>
      </c>
      <c r="S232" s="149" t="s">
        <v>779</v>
      </c>
      <c r="T232" s="307">
        <v>0</v>
      </c>
      <c r="U232" s="172">
        <v>120</v>
      </c>
      <c r="V232" s="172">
        <v>120</v>
      </c>
      <c r="W232" s="300" t="s">
        <v>3401</v>
      </c>
      <c r="X232" s="300" t="s">
        <v>3400</v>
      </c>
      <c r="Y232" s="318">
        <v>240</v>
      </c>
      <c r="Z232" s="307">
        <v>0</v>
      </c>
      <c r="AA232" s="172">
        <v>350</v>
      </c>
      <c r="AB232" s="172">
        <v>150</v>
      </c>
      <c r="AC232" s="300" t="s">
        <v>3399</v>
      </c>
      <c r="AD232" s="300" t="s">
        <v>3400</v>
      </c>
      <c r="AE232" s="318">
        <v>500</v>
      </c>
      <c r="AF232" s="319">
        <f t="shared" si="4"/>
        <v>740</v>
      </c>
      <c r="AG232" s="151"/>
      <c r="AH232" s="152"/>
    </row>
    <row r="233" spans="1:34" s="78" customFormat="1" ht="12" customHeight="1">
      <c r="A233" s="100">
        <v>2031</v>
      </c>
      <c r="B233" s="101" t="s">
        <v>3400</v>
      </c>
      <c r="C233" s="101" t="s">
        <v>3400</v>
      </c>
      <c r="D233" s="101" t="s">
        <v>3402</v>
      </c>
      <c r="E233" s="100">
        <v>2</v>
      </c>
      <c r="F233" s="143">
        <v>2</v>
      </c>
      <c r="G233" s="103">
        <v>231</v>
      </c>
      <c r="H233" s="144" t="s">
        <v>1655</v>
      </c>
      <c r="I233" s="145" t="s">
        <v>1655</v>
      </c>
      <c r="J233" s="146">
        <v>10500101044801</v>
      </c>
      <c r="K233" s="147" t="s">
        <v>353</v>
      </c>
      <c r="L233" s="147" t="s">
        <v>303</v>
      </c>
      <c r="M233" s="147">
        <v>6</v>
      </c>
      <c r="N233" s="148" t="s">
        <v>1656</v>
      </c>
      <c r="O233" s="144" t="s">
        <v>1657</v>
      </c>
      <c r="P233" s="148">
        <v>2375615</v>
      </c>
      <c r="Q233" s="144" t="s">
        <v>1658</v>
      </c>
      <c r="R233" s="144" t="s">
        <v>1659</v>
      </c>
      <c r="S233" s="149" t="s">
        <v>1660</v>
      </c>
      <c r="T233" s="307">
        <v>0</v>
      </c>
      <c r="U233" s="172">
        <v>240</v>
      </c>
      <c r="V233" s="172">
        <v>160</v>
      </c>
      <c r="W233" s="300" t="s">
        <v>3401</v>
      </c>
      <c r="X233" s="300" t="s">
        <v>3400</v>
      </c>
      <c r="Y233" s="318">
        <v>400</v>
      </c>
      <c r="Z233" s="307">
        <v>0</v>
      </c>
      <c r="AA233" s="172">
        <v>195</v>
      </c>
      <c r="AB233" s="172">
        <v>65</v>
      </c>
      <c r="AC233" s="300" t="s">
        <v>3399</v>
      </c>
      <c r="AD233" s="300" t="s">
        <v>3400</v>
      </c>
      <c r="AE233" s="318">
        <v>260</v>
      </c>
      <c r="AF233" s="319">
        <f t="shared" si="4"/>
        <v>660</v>
      </c>
      <c r="AG233" s="151"/>
      <c r="AH233" s="152"/>
    </row>
    <row r="234" spans="1:34" s="78" customFormat="1" ht="12" customHeight="1">
      <c r="A234" s="100">
        <v>2032</v>
      </c>
      <c r="B234" s="101" t="s">
        <v>3400</v>
      </c>
      <c r="C234" s="101" t="s">
        <v>3400</v>
      </c>
      <c r="D234" s="101" t="s">
        <v>3401</v>
      </c>
      <c r="E234" s="100">
        <v>2</v>
      </c>
      <c r="F234" s="143">
        <v>2</v>
      </c>
      <c r="G234" s="103">
        <v>232</v>
      </c>
      <c r="H234" s="144" t="s">
        <v>1661</v>
      </c>
      <c r="I234" s="145" t="s">
        <v>1661</v>
      </c>
      <c r="J234" s="146">
        <v>10500101044804</v>
      </c>
      <c r="K234" s="147" t="s">
        <v>353</v>
      </c>
      <c r="L234" s="147" t="s">
        <v>303</v>
      </c>
      <c r="M234" s="147">
        <v>6</v>
      </c>
      <c r="N234" s="148" t="s">
        <v>1656</v>
      </c>
      <c r="O234" s="144" t="s">
        <v>1662</v>
      </c>
      <c r="P234" s="148">
        <v>2379548</v>
      </c>
      <c r="Q234" s="144" t="s">
        <v>1658</v>
      </c>
      <c r="R234" s="144" t="s">
        <v>1663</v>
      </c>
      <c r="S234" s="149" t="s">
        <v>1664</v>
      </c>
      <c r="T234" s="307">
        <v>120</v>
      </c>
      <c r="U234" s="172">
        <v>100</v>
      </c>
      <c r="V234" s="172">
        <v>0</v>
      </c>
      <c r="W234" s="300" t="s">
        <v>3401</v>
      </c>
      <c r="X234" s="300" t="s">
        <v>3400</v>
      </c>
      <c r="Y234" s="318">
        <v>220</v>
      </c>
      <c r="Z234" s="307">
        <v>0</v>
      </c>
      <c r="AA234" s="172">
        <v>0</v>
      </c>
      <c r="AB234" s="172">
        <v>0</v>
      </c>
      <c r="AC234" s="300"/>
      <c r="AD234" s="300"/>
      <c r="AE234" s="318">
        <v>0</v>
      </c>
      <c r="AF234" s="319">
        <f t="shared" si="4"/>
        <v>220</v>
      </c>
      <c r="AG234" s="151"/>
      <c r="AH234" s="152"/>
    </row>
    <row r="235" spans="1:34" s="78" customFormat="1" ht="12" customHeight="1">
      <c r="A235" s="100">
        <v>2033</v>
      </c>
      <c r="B235" s="101" t="s">
        <v>3400</v>
      </c>
      <c r="C235" s="101" t="s">
        <v>3400</v>
      </c>
      <c r="D235" s="101" t="s">
        <v>3401</v>
      </c>
      <c r="E235" s="100">
        <v>2</v>
      </c>
      <c r="F235" s="143">
        <v>2</v>
      </c>
      <c r="G235" s="103">
        <v>233</v>
      </c>
      <c r="H235" s="144" t="s">
        <v>1665</v>
      </c>
      <c r="I235" s="145" t="s">
        <v>1665</v>
      </c>
      <c r="J235" s="146">
        <v>10500101044802</v>
      </c>
      <c r="K235" s="147" t="s">
        <v>353</v>
      </c>
      <c r="L235" s="147" t="s">
        <v>303</v>
      </c>
      <c r="M235" s="147">
        <v>6</v>
      </c>
      <c r="N235" s="148" t="s">
        <v>1656</v>
      </c>
      <c r="O235" s="144" t="s">
        <v>1666</v>
      </c>
      <c r="P235" s="148">
        <v>2374541</v>
      </c>
      <c r="Q235" s="144" t="s">
        <v>1658</v>
      </c>
      <c r="R235" s="144" t="s">
        <v>1667</v>
      </c>
      <c r="S235" s="149" t="s">
        <v>1668</v>
      </c>
      <c r="T235" s="307">
        <v>114</v>
      </c>
      <c r="U235" s="172">
        <v>73</v>
      </c>
      <c r="V235" s="172">
        <v>0</v>
      </c>
      <c r="W235" s="300" t="s">
        <v>3401</v>
      </c>
      <c r="X235" s="300" t="s">
        <v>3400</v>
      </c>
      <c r="Y235" s="318">
        <v>187</v>
      </c>
      <c r="Z235" s="307">
        <v>0</v>
      </c>
      <c r="AA235" s="172">
        <v>0</v>
      </c>
      <c r="AB235" s="172">
        <v>0</v>
      </c>
      <c r="AC235" s="300"/>
      <c r="AD235" s="300"/>
      <c r="AE235" s="318">
        <v>0</v>
      </c>
      <c r="AF235" s="319">
        <f t="shared" si="4"/>
        <v>187</v>
      </c>
      <c r="AG235" s="151"/>
      <c r="AH235" s="152"/>
    </row>
    <row r="236" spans="1:34" s="78" customFormat="1" ht="12" customHeight="1">
      <c r="A236" s="100">
        <v>2034</v>
      </c>
      <c r="B236" s="101" t="s">
        <v>3400</v>
      </c>
      <c r="C236" s="101" t="s">
        <v>3400</v>
      </c>
      <c r="D236" s="101" t="s">
        <v>3401</v>
      </c>
      <c r="E236" s="100">
        <v>2</v>
      </c>
      <c r="F236" s="143">
        <v>2</v>
      </c>
      <c r="G236" s="103">
        <v>234</v>
      </c>
      <c r="H236" s="144" t="s">
        <v>1669</v>
      </c>
      <c r="I236" s="145" t="s">
        <v>1669</v>
      </c>
      <c r="J236" s="146">
        <v>10500101044803</v>
      </c>
      <c r="K236" s="147" t="s">
        <v>353</v>
      </c>
      <c r="L236" s="147" t="s">
        <v>303</v>
      </c>
      <c r="M236" s="147">
        <v>6</v>
      </c>
      <c r="N236" s="148" t="s">
        <v>1656</v>
      </c>
      <c r="O236" s="144" t="s">
        <v>1670</v>
      </c>
      <c r="P236" s="148">
        <v>2370213</v>
      </c>
      <c r="Q236" s="144" t="s">
        <v>1658</v>
      </c>
      <c r="R236" s="144" t="s">
        <v>1671</v>
      </c>
      <c r="S236" s="149" t="s">
        <v>1672</v>
      </c>
      <c r="T236" s="320">
        <v>107</v>
      </c>
      <c r="U236" s="321">
        <v>93</v>
      </c>
      <c r="V236" s="321">
        <v>0</v>
      </c>
      <c r="W236" s="300" t="s">
        <v>3401</v>
      </c>
      <c r="X236" s="300" t="s">
        <v>3400</v>
      </c>
      <c r="Y236" s="318">
        <v>200</v>
      </c>
      <c r="Z236" s="307">
        <v>0</v>
      </c>
      <c r="AA236" s="172">
        <v>0</v>
      </c>
      <c r="AB236" s="172">
        <v>0</v>
      </c>
      <c r="AC236" s="300"/>
      <c r="AD236" s="300"/>
      <c r="AE236" s="318">
        <v>0</v>
      </c>
      <c r="AF236" s="319">
        <f t="shared" si="4"/>
        <v>200</v>
      </c>
      <c r="AG236" s="151"/>
      <c r="AH236" s="152"/>
    </row>
    <row r="237" spans="1:34" s="78" customFormat="1" ht="12" customHeight="1">
      <c r="A237" s="100">
        <v>2035</v>
      </c>
      <c r="B237" s="101" t="s">
        <v>3400</v>
      </c>
      <c r="C237" s="101" t="s">
        <v>3400</v>
      </c>
      <c r="D237" s="101" t="s">
        <v>3401</v>
      </c>
      <c r="E237" s="100">
        <v>2</v>
      </c>
      <c r="F237" s="143">
        <v>2</v>
      </c>
      <c r="G237" s="103">
        <v>235</v>
      </c>
      <c r="H237" s="144" t="s">
        <v>1673</v>
      </c>
      <c r="I237" s="145" t="s">
        <v>1673</v>
      </c>
      <c r="J237" s="146">
        <v>10500101044805</v>
      </c>
      <c r="K237" s="147" t="s">
        <v>353</v>
      </c>
      <c r="L237" s="147" t="s">
        <v>303</v>
      </c>
      <c r="M237" s="147">
        <v>6</v>
      </c>
      <c r="N237" s="148" t="s">
        <v>1674</v>
      </c>
      <c r="O237" s="144" t="s">
        <v>1675</v>
      </c>
      <c r="P237" s="148">
        <v>2378059</v>
      </c>
      <c r="Q237" s="144" t="s">
        <v>1658</v>
      </c>
      <c r="R237" s="144" t="s">
        <v>1676</v>
      </c>
      <c r="S237" s="149" t="s">
        <v>1677</v>
      </c>
      <c r="T237" s="320">
        <v>159</v>
      </c>
      <c r="U237" s="321">
        <v>86</v>
      </c>
      <c r="V237" s="321">
        <v>0</v>
      </c>
      <c r="W237" s="300" t="s">
        <v>3401</v>
      </c>
      <c r="X237" s="300" t="s">
        <v>3400</v>
      </c>
      <c r="Y237" s="318">
        <v>245</v>
      </c>
      <c r="Z237" s="307">
        <v>0</v>
      </c>
      <c r="AA237" s="172">
        <v>0</v>
      </c>
      <c r="AB237" s="172">
        <v>0</v>
      </c>
      <c r="AC237" s="300"/>
      <c r="AD237" s="300"/>
      <c r="AE237" s="318">
        <v>0</v>
      </c>
      <c r="AF237" s="319">
        <f t="shared" si="4"/>
        <v>245</v>
      </c>
      <c r="AG237" s="151"/>
      <c r="AH237" s="152"/>
    </row>
    <row r="238" spans="1:34" s="78" customFormat="1" ht="12" customHeight="1">
      <c r="A238" s="100">
        <v>2036</v>
      </c>
      <c r="B238" s="101" t="s">
        <v>3400</v>
      </c>
      <c r="C238" s="101" t="s">
        <v>3400</v>
      </c>
      <c r="D238" s="101" t="s">
        <v>3402</v>
      </c>
      <c r="E238" s="100">
        <v>2</v>
      </c>
      <c r="F238" s="143">
        <v>2</v>
      </c>
      <c r="G238" s="103">
        <v>236</v>
      </c>
      <c r="H238" s="144" t="s">
        <v>1678</v>
      </c>
      <c r="I238" s="145" t="s">
        <v>1678</v>
      </c>
      <c r="J238" s="146">
        <v>10500102407301</v>
      </c>
      <c r="K238" s="147" t="s">
        <v>353</v>
      </c>
      <c r="L238" s="147" t="s">
        <v>303</v>
      </c>
      <c r="M238" s="147">
        <v>6</v>
      </c>
      <c r="N238" s="148" t="s">
        <v>738</v>
      </c>
      <c r="O238" s="144" t="s">
        <v>1679</v>
      </c>
      <c r="P238" s="148" t="s">
        <v>1680</v>
      </c>
      <c r="Q238" s="144" t="s">
        <v>1681</v>
      </c>
      <c r="R238" s="144" t="s">
        <v>1682</v>
      </c>
      <c r="S238" s="149" t="s">
        <v>1683</v>
      </c>
      <c r="T238" s="320">
        <v>0</v>
      </c>
      <c r="U238" s="321">
        <v>45</v>
      </c>
      <c r="V238" s="321">
        <v>260</v>
      </c>
      <c r="W238" s="300" t="s">
        <v>3401</v>
      </c>
      <c r="X238" s="300" t="s">
        <v>3400</v>
      </c>
      <c r="Y238" s="318">
        <v>305</v>
      </c>
      <c r="Z238" s="307">
        <v>0</v>
      </c>
      <c r="AA238" s="172">
        <v>129</v>
      </c>
      <c r="AB238" s="172">
        <v>64</v>
      </c>
      <c r="AC238" s="300" t="s">
        <v>3399</v>
      </c>
      <c r="AD238" s="300" t="s">
        <v>3400</v>
      </c>
      <c r="AE238" s="318">
        <v>193</v>
      </c>
      <c r="AF238" s="319">
        <f t="shared" si="4"/>
        <v>498</v>
      </c>
      <c r="AG238" s="151"/>
      <c r="AH238" s="152"/>
    </row>
    <row r="239" spans="1:34" s="78" customFormat="1" ht="12" customHeight="1">
      <c r="A239" s="100">
        <v>2037</v>
      </c>
      <c r="B239" s="101" t="s">
        <v>3400</v>
      </c>
      <c r="C239" s="101" t="s">
        <v>3400</v>
      </c>
      <c r="D239" s="101" t="s">
        <v>3401</v>
      </c>
      <c r="E239" s="100">
        <v>2</v>
      </c>
      <c r="F239" s="143">
        <v>2</v>
      </c>
      <c r="G239" s="103">
        <v>237</v>
      </c>
      <c r="H239" s="144" t="s">
        <v>1684</v>
      </c>
      <c r="I239" s="145" t="s">
        <v>1684</v>
      </c>
      <c r="J239" s="146">
        <v>10500102407302</v>
      </c>
      <c r="K239" s="147" t="s">
        <v>353</v>
      </c>
      <c r="L239" s="147" t="s">
        <v>303</v>
      </c>
      <c r="M239" s="147">
        <v>6</v>
      </c>
      <c r="N239" s="148" t="s">
        <v>796</v>
      </c>
      <c r="O239" s="144" t="s">
        <v>1685</v>
      </c>
      <c r="P239" s="148">
        <v>2379168</v>
      </c>
      <c r="Q239" s="144" t="s">
        <v>1686</v>
      </c>
      <c r="R239" s="144" t="s">
        <v>1687</v>
      </c>
      <c r="S239" s="149"/>
      <c r="T239" s="320">
        <v>100</v>
      </c>
      <c r="U239" s="321">
        <v>80</v>
      </c>
      <c r="V239" s="321">
        <v>0</v>
      </c>
      <c r="W239" s="300" t="s">
        <v>3401</v>
      </c>
      <c r="X239" s="300" t="s">
        <v>3400</v>
      </c>
      <c r="Y239" s="318">
        <v>180</v>
      </c>
      <c r="Z239" s="307">
        <v>0</v>
      </c>
      <c r="AA239" s="172">
        <v>0</v>
      </c>
      <c r="AB239" s="172">
        <v>0</v>
      </c>
      <c r="AC239" s="300"/>
      <c r="AD239" s="300"/>
      <c r="AE239" s="318">
        <v>0</v>
      </c>
      <c r="AF239" s="319">
        <f t="shared" si="4"/>
        <v>180</v>
      </c>
      <c r="AG239" s="151"/>
      <c r="AH239" s="152"/>
    </row>
    <row r="240" spans="1:34" s="78" customFormat="1" ht="12" customHeight="1">
      <c r="A240" s="100">
        <v>2038</v>
      </c>
      <c r="B240" s="101" t="s">
        <v>3400</v>
      </c>
      <c r="C240" s="101" t="s">
        <v>3400</v>
      </c>
      <c r="D240" s="101" t="s">
        <v>3401</v>
      </c>
      <c r="E240" s="100">
        <v>2</v>
      </c>
      <c r="F240" s="143">
        <v>2</v>
      </c>
      <c r="G240" s="103">
        <v>238</v>
      </c>
      <c r="H240" s="144" t="s">
        <v>1688</v>
      </c>
      <c r="I240" s="145" t="s">
        <v>1688</v>
      </c>
      <c r="J240" s="146">
        <v>30500102423601</v>
      </c>
      <c r="K240" s="147" t="s">
        <v>431</v>
      </c>
      <c r="L240" s="147"/>
      <c r="M240" s="147">
        <v>6</v>
      </c>
      <c r="N240" s="148" t="s">
        <v>824</v>
      </c>
      <c r="O240" s="144" t="s">
        <v>1689</v>
      </c>
      <c r="P240" s="148">
        <v>4714266</v>
      </c>
      <c r="Q240" s="144" t="s">
        <v>1690</v>
      </c>
      <c r="R240" s="144" t="s">
        <v>1691</v>
      </c>
      <c r="S240" s="149" t="s">
        <v>1692</v>
      </c>
      <c r="T240" s="307">
        <v>160</v>
      </c>
      <c r="U240" s="172">
        <v>130</v>
      </c>
      <c r="V240" s="172">
        <v>0</v>
      </c>
      <c r="W240" s="300" t="s">
        <v>3401</v>
      </c>
      <c r="X240" s="300" t="s">
        <v>3400</v>
      </c>
      <c r="Y240" s="318">
        <v>290</v>
      </c>
      <c r="Z240" s="307">
        <v>0</v>
      </c>
      <c r="AA240" s="172">
        <v>0</v>
      </c>
      <c r="AB240" s="172">
        <v>0</v>
      </c>
      <c r="AC240" s="300"/>
      <c r="AD240" s="300"/>
      <c r="AE240" s="318">
        <v>0</v>
      </c>
      <c r="AF240" s="319">
        <f t="shared" si="4"/>
        <v>290</v>
      </c>
      <c r="AG240" s="151"/>
      <c r="AH240" s="152"/>
    </row>
    <row r="241" spans="1:34" s="78" customFormat="1" ht="12" customHeight="1">
      <c r="A241" s="100">
        <v>2039</v>
      </c>
      <c r="B241" s="101" t="s">
        <v>3400</v>
      </c>
      <c r="C241" s="101" t="s">
        <v>3400</v>
      </c>
      <c r="D241" s="101" t="s">
        <v>3401</v>
      </c>
      <c r="E241" s="100">
        <v>2</v>
      </c>
      <c r="F241" s="143">
        <v>2</v>
      </c>
      <c r="G241" s="103">
        <v>239</v>
      </c>
      <c r="H241" s="144" t="s">
        <v>1693</v>
      </c>
      <c r="I241" s="145" t="s">
        <v>1693</v>
      </c>
      <c r="J241" s="146">
        <v>10500101209202</v>
      </c>
      <c r="K241" s="147" t="s">
        <v>353</v>
      </c>
      <c r="L241" s="147" t="s">
        <v>303</v>
      </c>
      <c r="M241" s="147">
        <v>6</v>
      </c>
      <c r="N241" s="148" t="s">
        <v>672</v>
      </c>
      <c r="O241" s="144" t="s">
        <v>1694</v>
      </c>
      <c r="P241" s="148" t="s">
        <v>1695</v>
      </c>
      <c r="Q241" s="144" t="s">
        <v>838</v>
      </c>
      <c r="R241" s="144" t="s">
        <v>1696</v>
      </c>
      <c r="S241" s="149" t="s">
        <v>840</v>
      </c>
      <c r="T241" s="307">
        <v>0</v>
      </c>
      <c r="U241" s="172">
        <v>196</v>
      </c>
      <c r="V241" s="172">
        <v>0</v>
      </c>
      <c r="W241" s="300" t="s">
        <v>3401</v>
      </c>
      <c r="X241" s="300" t="s">
        <v>3400</v>
      </c>
      <c r="Y241" s="318">
        <v>196</v>
      </c>
      <c r="Z241" s="307">
        <v>0</v>
      </c>
      <c r="AA241" s="172">
        <v>0</v>
      </c>
      <c r="AB241" s="172">
        <v>0</v>
      </c>
      <c r="AC241" s="300"/>
      <c r="AD241" s="300"/>
      <c r="AE241" s="318">
        <v>0</v>
      </c>
      <c r="AF241" s="319">
        <f t="shared" si="4"/>
        <v>196</v>
      </c>
      <c r="AG241" s="151"/>
      <c r="AH241" s="152"/>
    </row>
    <row r="242" spans="1:34" s="78" customFormat="1" ht="12" customHeight="1">
      <c r="A242" s="100">
        <v>2040</v>
      </c>
      <c r="B242" s="101" t="s">
        <v>3400</v>
      </c>
      <c r="C242" s="101" t="s">
        <v>3400</v>
      </c>
      <c r="D242" s="101" t="s">
        <v>3402</v>
      </c>
      <c r="E242" s="100">
        <v>2</v>
      </c>
      <c r="F242" s="143">
        <v>2</v>
      </c>
      <c r="G242" s="103">
        <v>240</v>
      </c>
      <c r="H242" s="144" t="s">
        <v>1697</v>
      </c>
      <c r="I242" s="145" t="s">
        <v>1697</v>
      </c>
      <c r="J242" s="146">
        <v>10500101301301</v>
      </c>
      <c r="K242" s="147" t="s">
        <v>353</v>
      </c>
      <c r="L242" s="147" t="s">
        <v>303</v>
      </c>
      <c r="M242" s="147">
        <v>6</v>
      </c>
      <c r="N242" s="148" t="s">
        <v>1698</v>
      </c>
      <c r="O242" s="144" t="s">
        <v>1699</v>
      </c>
      <c r="P242" s="148" t="s">
        <v>1700</v>
      </c>
      <c r="Q242" s="144" t="s">
        <v>1701</v>
      </c>
      <c r="R242" s="144" t="s">
        <v>1702</v>
      </c>
      <c r="S242" s="149" t="s">
        <v>1703</v>
      </c>
      <c r="T242" s="307">
        <v>240</v>
      </c>
      <c r="U242" s="172">
        <v>150</v>
      </c>
      <c r="V242" s="172">
        <v>60</v>
      </c>
      <c r="W242" s="300" t="s">
        <v>3401</v>
      </c>
      <c r="X242" s="300" t="s">
        <v>3400</v>
      </c>
      <c r="Y242" s="318">
        <v>450</v>
      </c>
      <c r="Z242" s="307">
        <v>0</v>
      </c>
      <c r="AA242" s="172">
        <v>160</v>
      </c>
      <c r="AB242" s="172">
        <v>90</v>
      </c>
      <c r="AC242" s="300" t="s">
        <v>3399</v>
      </c>
      <c r="AD242" s="300" t="s">
        <v>3400</v>
      </c>
      <c r="AE242" s="318">
        <v>250</v>
      </c>
      <c r="AF242" s="319">
        <f t="shared" si="4"/>
        <v>700</v>
      </c>
      <c r="AG242" s="151"/>
      <c r="AH242" s="152"/>
    </row>
    <row r="243" spans="1:34" s="78" customFormat="1" ht="12" customHeight="1">
      <c r="A243" s="100">
        <v>2041</v>
      </c>
      <c r="B243" s="101" t="s">
        <v>3400</v>
      </c>
      <c r="C243" s="101" t="s">
        <v>3400</v>
      </c>
      <c r="D243" s="101" t="s">
        <v>3401</v>
      </c>
      <c r="E243" s="100">
        <v>2</v>
      </c>
      <c r="F243" s="143">
        <v>2</v>
      </c>
      <c r="G243" s="103">
        <v>241</v>
      </c>
      <c r="H243" s="144" t="s">
        <v>1704</v>
      </c>
      <c r="I243" s="145" t="s">
        <v>1704</v>
      </c>
      <c r="J243" s="146">
        <v>10500101207601</v>
      </c>
      <c r="K243" s="147" t="s">
        <v>353</v>
      </c>
      <c r="L243" s="147"/>
      <c r="M243" s="147">
        <v>7</v>
      </c>
      <c r="N243" s="148" t="s">
        <v>929</v>
      </c>
      <c r="O243" s="144" t="s">
        <v>1705</v>
      </c>
      <c r="P243" s="148">
        <v>2642845</v>
      </c>
      <c r="Q243" s="144" t="s">
        <v>1706</v>
      </c>
      <c r="R243" s="144" t="s">
        <v>1707</v>
      </c>
      <c r="S243" s="149" t="s">
        <v>1708</v>
      </c>
      <c r="T243" s="307">
        <v>57</v>
      </c>
      <c r="U243" s="172">
        <v>45</v>
      </c>
      <c r="V243" s="172">
        <v>0</v>
      </c>
      <c r="W243" s="300" t="s">
        <v>3401</v>
      </c>
      <c r="X243" s="300" t="s">
        <v>3400</v>
      </c>
      <c r="Y243" s="318">
        <v>102</v>
      </c>
      <c r="Z243" s="307">
        <v>0</v>
      </c>
      <c r="AA243" s="172">
        <v>0</v>
      </c>
      <c r="AB243" s="172">
        <v>0</v>
      </c>
      <c r="AC243" s="300"/>
      <c r="AD243" s="300"/>
      <c r="AE243" s="318">
        <v>0</v>
      </c>
      <c r="AF243" s="319">
        <f t="shared" si="4"/>
        <v>102</v>
      </c>
      <c r="AG243" s="151"/>
      <c r="AH243" s="152"/>
    </row>
    <row r="244" spans="1:34" s="78" customFormat="1" ht="12" customHeight="1">
      <c r="A244" s="100">
        <v>2042</v>
      </c>
      <c r="B244" s="101" t="s">
        <v>3400</v>
      </c>
      <c r="C244" s="101" t="s">
        <v>3400</v>
      </c>
      <c r="D244" s="101" t="s">
        <v>3402</v>
      </c>
      <c r="E244" s="100">
        <v>2</v>
      </c>
      <c r="F244" s="143">
        <v>2</v>
      </c>
      <c r="G244" s="103">
        <v>242</v>
      </c>
      <c r="H244" s="144" t="s">
        <v>1709</v>
      </c>
      <c r="I244" s="145" t="s">
        <v>1709</v>
      </c>
      <c r="J244" s="146">
        <v>10500100824901</v>
      </c>
      <c r="K244" s="147" t="s">
        <v>353</v>
      </c>
      <c r="L244" s="147"/>
      <c r="M244" s="147">
        <v>7</v>
      </c>
      <c r="N244" s="148" t="s">
        <v>1710</v>
      </c>
      <c r="O244" s="144" t="s">
        <v>1711</v>
      </c>
      <c r="P244" s="148" t="s">
        <v>1712</v>
      </c>
      <c r="Q244" s="144" t="s">
        <v>1713</v>
      </c>
      <c r="R244" s="144" t="s">
        <v>1714</v>
      </c>
      <c r="S244" s="149" t="s">
        <v>1715</v>
      </c>
      <c r="T244" s="307">
        <v>60</v>
      </c>
      <c r="U244" s="172">
        <v>60</v>
      </c>
      <c r="V244" s="172">
        <v>50</v>
      </c>
      <c r="W244" s="300" t="s">
        <v>3401</v>
      </c>
      <c r="X244" s="300" t="s">
        <v>3400</v>
      </c>
      <c r="Y244" s="318">
        <v>170</v>
      </c>
      <c r="Z244" s="307">
        <v>130</v>
      </c>
      <c r="AA244" s="172">
        <v>290</v>
      </c>
      <c r="AB244" s="172">
        <v>140</v>
      </c>
      <c r="AC244" s="300" t="s">
        <v>3399</v>
      </c>
      <c r="AD244" s="300" t="s">
        <v>3400</v>
      </c>
      <c r="AE244" s="318">
        <v>560</v>
      </c>
      <c r="AF244" s="319">
        <f t="shared" si="4"/>
        <v>730</v>
      </c>
      <c r="AG244" s="151"/>
      <c r="AH244" s="152"/>
    </row>
    <row r="245" spans="1:34" s="78" customFormat="1" ht="12" customHeight="1">
      <c r="A245" s="100">
        <v>2043</v>
      </c>
      <c r="B245" s="101" t="s">
        <v>3400</v>
      </c>
      <c r="C245" s="101" t="s">
        <v>3400</v>
      </c>
      <c r="D245" s="101" t="s">
        <v>3401</v>
      </c>
      <c r="E245" s="100">
        <v>2</v>
      </c>
      <c r="F245" s="143">
        <v>2</v>
      </c>
      <c r="G245" s="103">
        <v>243</v>
      </c>
      <c r="H245" s="178" t="s">
        <v>1716</v>
      </c>
      <c r="I245" s="323" t="s">
        <v>1716</v>
      </c>
      <c r="J245" s="180">
        <v>10500102027301</v>
      </c>
      <c r="K245" s="181" t="s">
        <v>1717</v>
      </c>
      <c r="L245" s="181"/>
      <c r="M245" s="181">
        <v>7</v>
      </c>
      <c r="N245" s="179" t="s">
        <v>968</v>
      </c>
      <c r="O245" s="178" t="s">
        <v>1718</v>
      </c>
      <c r="P245" s="179" t="s">
        <v>1719</v>
      </c>
      <c r="Q245" s="178" t="s">
        <v>1720</v>
      </c>
      <c r="R245" s="178" t="s">
        <v>1721</v>
      </c>
      <c r="S245" s="182" t="s">
        <v>1722</v>
      </c>
      <c r="T245" s="320">
        <v>28</v>
      </c>
      <c r="U245" s="321">
        <v>185</v>
      </c>
      <c r="V245" s="321">
        <v>38</v>
      </c>
      <c r="W245" s="300" t="s">
        <v>3401</v>
      </c>
      <c r="X245" s="300" t="s">
        <v>3400</v>
      </c>
      <c r="Y245" s="318">
        <v>251</v>
      </c>
      <c r="Z245" s="320">
        <v>0</v>
      </c>
      <c r="AA245" s="321">
        <v>0</v>
      </c>
      <c r="AB245" s="321">
        <v>0</v>
      </c>
      <c r="AC245" s="300"/>
      <c r="AD245" s="300"/>
      <c r="AE245" s="318">
        <v>0</v>
      </c>
      <c r="AF245" s="319">
        <f t="shared" si="4"/>
        <v>251</v>
      </c>
      <c r="AG245" s="322"/>
      <c r="AH245" s="324"/>
    </row>
    <row r="246" spans="1:34" s="78" customFormat="1" ht="12" customHeight="1">
      <c r="A246" s="100">
        <v>2044</v>
      </c>
      <c r="B246" s="101" t="s">
        <v>3400</v>
      </c>
      <c r="C246" s="101" t="s">
        <v>3400</v>
      </c>
      <c r="D246" s="101" t="s">
        <v>3402</v>
      </c>
      <c r="E246" s="100">
        <v>2</v>
      </c>
      <c r="F246" s="143">
        <v>2</v>
      </c>
      <c r="G246" s="103">
        <v>244</v>
      </c>
      <c r="H246" s="144" t="s">
        <v>1723</v>
      </c>
      <c r="I246" s="145" t="s">
        <v>1723</v>
      </c>
      <c r="J246" s="146">
        <v>10500180011201</v>
      </c>
      <c r="K246" s="147" t="s">
        <v>353</v>
      </c>
      <c r="L246" s="147" t="s">
        <v>303</v>
      </c>
      <c r="M246" s="147">
        <v>7</v>
      </c>
      <c r="N246" s="148" t="s">
        <v>1004</v>
      </c>
      <c r="O246" s="144" t="s">
        <v>1724</v>
      </c>
      <c r="P246" s="148">
        <v>4416168</v>
      </c>
      <c r="Q246" s="144" t="s">
        <v>1725</v>
      </c>
      <c r="R246" s="144" t="s">
        <v>1726</v>
      </c>
      <c r="S246" s="149" t="s">
        <v>1727</v>
      </c>
      <c r="T246" s="307">
        <v>0</v>
      </c>
      <c r="U246" s="172">
        <v>46</v>
      </c>
      <c r="V246" s="172">
        <v>134</v>
      </c>
      <c r="W246" s="300" t="s">
        <v>3401</v>
      </c>
      <c r="X246" s="300" t="s">
        <v>3400</v>
      </c>
      <c r="Y246" s="318">
        <v>180</v>
      </c>
      <c r="Z246" s="307">
        <v>0</v>
      </c>
      <c r="AA246" s="172">
        <v>130</v>
      </c>
      <c r="AB246" s="172">
        <v>15</v>
      </c>
      <c r="AC246" s="300" t="s">
        <v>3399</v>
      </c>
      <c r="AD246" s="300" t="s">
        <v>3400</v>
      </c>
      <c r="AE246" s="318">
        <v>145</v>
      </c>
      <c r="AF246" s="319">
        <f t="shared" si="4"/>
        <v>325</v>
      </c>
      <c r="AG246" s="151"/>
      <c r="AH246" s="152"/>
    </row>
    <row r="247" spans="1:34" s="78" customFormat="1" ht="12" customHeight="1">
      <c r="A247" s="100">
        <v>2045</v>
      </c>
      <c r="B247" s="101" t="s">
        <v>3400</v>
      </c>
      <c r="C247" s="101" t="s">
        <v>3400</v>
      </c>
      <c r="D247" s="101" t="s">
        <v>3402</v>
      </c>
      <c r="E247" s="100">
        <v>2</v>
      </c>
      <c r="F247" s="143">
        <v>3</v>
      </c>
      <c r="G247" s="103">
        <v>245</v>
      </c>
      <c r="H247" s="144" t="s">
        <v>1728</v>
      </c>
      <c r="I247" s="148" t="s">
        <v>1728</v>
      </c>
      <c r="J247" s="146">
        <v>10500101521101</v>
      </c>
      <c r="K247" s="147" t="s">
        <v>353</v>
      </c>
      <c r="L247" s="147"/>
      <c r="M247" s="147">
        <v>8</v>
      </c>
      <c r="N247" s="148" t="s">
        <v>1729</v>
      </c>
      <c r="O247" s="144" t="s">
        <v>1730</v>
      </c>
      <c r="P247" s="148" t="s">
        <v>1731</v>
      </c>
      <c r="Q247" s="144" t="s">
        <v>1732</v>
      </c>
      <c r="R247" s="144" t="s">
        <v>1733</v>
      </c>
      <c r="S247" s="149" t="s">
        <v>1734</v>
      </c>
      <c r="T247" s="307">
        <v>239</v>
      </c>
      <c r="U247" s="172">
        <v>121</v>
      </c>
      <c r="V247" s="172">
        <v>0</v>
      </c>
      <c r="W247" s="300" t="s">
        <v>3401</v>
      </c>
      <c r="X247" s="300" t="s">
        <v>3400</v>
      </c>
      <c r="Y247" s="318">
        <v>360</v>
      </c>
      <c r="Z247" s="307">
        <v>23</v>
      </c>
      <c r="AA247" s="172">
        <v>242</v>
      </c>
      <c r="AB247" s="172">
        <v>75</v>
      </c>
      <c r="AC247" s="300" t="s">
        <v>3399</v>
      </c>
      <c r="AD247" s="300" t="s">
        <v>3400</v>
      </c>
      <c r="AE247" s="318">
        <v>340</v>
      </c>
      <c r="AF247" s="319">
        <f t="shared" si="4"/>
        <v>700</v>
      </c>
      <c r="AG247" s="151"/>
      <c r="AH247" s="173"/>
    </row>
    <row r="248" spans="1:34" s="78" customFormat="1" ht="12" customHeight="1">
      <c r="A248" s="100">
        <v>2046</v>
      </c>
      <c r="B248" s="101" t="s">
        <v>3400</v>
      </c>
      <c r="C248" s="101" t="s">
        <v>3400</v>
      </c>
      <c r="D248" s="101" t="s">
        <v>3402</v>
      </c>
      <c r="E248" s="100">
        <v>2</v>
      </c>
      <c r="F248" s="143">
        <v>3</v>
      </c>
      <c r="G248" s="103">
        <v>246</v>
      </c>
      <c r="H248" s="144" t="s">
        <v>1735</v>
      </c>
      <c r="I248" s="148" t="s">
        <v>1735</v>
      </c>
      <c r="J248" s="146">
        <v>10500102658101</v>
      </c>
      <c r="K248" s="147" t="s">
        <v>353</v>
      </c>
      <c r="L248" s="147" t="s">
        <v>303</v>
      </c>
      <c r="M248" s="147">
        <v>8</v>
      </c>
      <c r="N248" s="148" t="s">
        <v>1736</v>
      </c>
      <c r="O248" s="144" t="s">
        <v>1737</v>
      </c>
      <c r="P248" s="148" t="s">
        <v>1738</v>
      </c>
      <c r="Q248" s="144" t="s">
        <v>1051</v>
      </c>
      <c r="R248" s="144" t="s">
        <v>1739</v>
      </c>
      <c r="S248" s="149" t="s">
        <v>1740</v>
      </c>
      <c r="T248" s="307">
        <v>0</v>
      </c>
      <c r="U248" s="172">
        <v>220</v>
      </c>
      <c r="V248" s="172">
        <v>140</v>
      </c>
      <c r="W248" s="300" t="s">
        <v>3401</v>
      </c>
      <c r="X248" s="300" t="s">
        <v>3400</v>
      </c>
      <c r="Y248" s="318">
        <v>360</v>
      </c>
      <c r="Z248" s="307">
        <v>0</v>
      </c>
      <c r="AA248" s="172">
        <v>0</v>
      </c>
      <c r="AB248" s="172">
        <v>30</v>
      </c>
      <c r="AC248" s="300" t="s">
        <v>3399</v>
      </c>
      <c r="AD248" s="300" t="s">
        <v>3400</v>
      </c>
      <c r="AE248" s="318">
        <v>30</v>
      </c>
      <c r="AF248" s="319">
        <f t="shared" si="4"/>
        <v>390</v>
      </c>
      <c r="AG248" s="151"/>
      <c r="AH248" s="173"/>
    </row>
    <row r="249" spans="1:34" s="78" customFormat="1" ht="12" customHeight="1">
      <c r="A249" s="100">
        <v>2047</v>
      </c>
      <c r="B249" s="101" t="s">
        <v>3400</v>
      </c>
      <c r="C249" s="101" t="s">
        <v>3400</v>
      </c>
      <c r="D249" s="101" t="s">
        <v>3402</v>
      </c>
      <c r="E249" s="100">
        <v>2</v>
      </c>
      <c r="F249" s="143">
        <v>3</v>
      </c>
      <c r="G249" s="103">
        <v>247</v>
      </c>
      <c r="H249" s="144" t="s">
        <v>1741</v>
      </c>
      <c r="I249" s="148" t="s">
        <v>1741</v>
      </c>
      <c r="J249" s="146">
        <v>10500100035301</v>
      </c>
      <c r="K249" s="147" t="s">
        <v>353</v>
      </c>
      <c r="L249" s="147"/>
      <c r="M249" s="147">
        <v>8</v>
      </c>
      <c r="N249" s="148" t="s">
        <v>1742</v>
      </c>
      <c r="O249" s="144" t="s">
        <v>1743</v>
      </c>
      <c r="P249" s="148" t="s">
        <v>1744</v>
      </c>
      <c r="Q249" s="144" t="s">
        <v>1745</v>
      </c>
      <c r="R249" s="144" t="s">
        <v>1746</v>
      </c>
      <c r="S249" s="149" t="s">
        <v>1747</v>
      </c>
      <c r="T249" s="307">
        <v>119</v>
      </c>
      <c r="U249" s="172">
        <v>94</v>
      </c>
      <c r="V249" s="172">
        <v>27</v>
      </c>
      <c r="W249" s="300" t="s">
        <v>3401</v>
      </c>
      <c r="X249" s="300" t="s">
        <v>3400</v>
      </c>
      <c r="Y249" s="318">
        <v>240</v>
      </c>
      <c r="Z249" s="307">
        <v>54</v>
      </c>
      <c r="AA249" s="172">
        <v>216</v>
      </c>
      <c r="AB249" s="172">
        <v>121</v>
      </c>
      <c r="AC249" s="300" t="s">
        <v>3399</v>
      </c>
      <c r="AD249" s="300" t="s">
        <v>3400</v>
      </c>
      <c r="AE249" s="318">
        <v>391</v>
      </c>
      <c r="AF249" s="319">
        <f t="shared" si="4"/>
        <v>631</v>
      </c>
      <c r="AG249" s="151"/>
      <c r="AH249" s="173"/>
    </row>
    <row r="250" spans="1:34" s="78" customFormat="1" ht="12" customHeight="1">
      <c r="A250" s="100">
        <v>2048</v>
      </c>
      <c r="B250" s="101" t="s">
        <v>3400</v>
      </c>
      <c r="C250" s="101" t="s">
        <v>3400</v>
      </c>
      <c r="D250" s="101" t="s">
        <v>3402</v>
      </c>
      <c r="E250" s="100">
        <v>2</v>
      </c>
      <c r="F250" s="143">
        <v>3</v>
      </c>
      <c r="G250" s="103">
        <v>248</v>
      </c>
      <c r="H250" s="144" t="s">
        <v>1748</v>
      </c>
      <c r="I250" s="148" t="s">
        <v>1748</v>
      </c>
      <c r="J250" s="146">
        <v>10500100062101</v>
      </c>
      <c r="K250" s="147" t="s">
        <v>353</v>
      </c>
      <c r="L250" s="147" t="s">
        <v>303</v>
      </c>
      <c r="M250" s="147">
        <v>8</v>
      </c>
      <c r="N250" s="148" t="s">
        <v>1749</v>
      </c>
      <c r="O250" s="144" t="s">
        <v>1750</v>
      </c>
      <c r="P250" s="148" t="s">
        <v>1751</v>
      </c>
      <c r="Q250" s="144" t="s">
        <v>1752</v>
      </c>
      <c r="R250" s="144" t="s">
        <v>1753</v>
      </c>
      <c r="S250" s="149" t="s">
        <v>1754</v>
      </c>
      <c r="T250" s="307">
        <v>144</v>
      </c>
      <c r="U250" s="172">
        <v>306</v>
      </c>
      <c r="V250" s="172">
        <v>0</v>
      </c>
      <c r="W250" s="300" t="s">
        <v>3401</v>
      </c>
      <c r="X250" s="300" t="s">
        <v>3400</v>
      </c>
      <c r="Y250" s="318">
        <v>450</v>
      </c>
      <c r="Z250" s="307">
        <v>160</v>
      </c>
      <c r="AA250" s="172">
        <v>240</v>
      </c>
      <c r="AB250" s="172">
        <v>200</v>
      </c>
      <c r="AC250" s="300" t="s">
        <v>3399</v>
      </c>
      <c r="AD250" s="300" t="s">
        <v>3400</v>
      </c>
      <c r="AE250" s="318">
        <v>600</v>
      </c>
      <c r="AF250" s="319">
        <f t="shared" si="4"/>
        <v>1050</v>
      </c>
      <c r="AG250" s="151"/>
      <c r="AH250" s="114"/>
    </row>
    <row r="251" spans="1:34" s="78" customFormat="1" ht="12" customHeight="1">
      <c r="A251" s="100">
        <v>2049</v>
      </c>
      <c r="B251" s="101" t="s">
        <v>3400</v>
      </c>
      <c r="C251" s="101" t="s">
        <v>3400</v>
      </c>
      <c r="D251" s="101" t="s">
        <v>3401</v>
      </c>
      <c r="E251" s="100">
        <v>2</v>
      </c>
      <c r="F251" s="143">
        <v>3</v>
      </c>
      <c r="G251" s="103">
        <v>249</v>
      </c>
      <c r="H251" s="144" t="s">
        <v>1755</v>
      </c>
      <c r="I251" s="148" t="s">
        <v>1755</v>
      </c>
      <c r="J251" s="146">
        <v>10500100235602</v>
      </c>
      <c r="K251" s="147" t="s">
        <v>353</v>
      </c>
      <c r="L251" s="147"/>
      <c r="M251" s="147">
        <v>8</v>
      </c>
      <c r="N251" s="148" t="s">
        <v>1756</v>
      </c>
      <c r="O251" s="144" t="s">
        <v>1757</v>
      </c>
      <c r="P251" s="148">
        <v>2210507</v>
      </c>
      <c r="Q251" s="144" t="s">
        <v>1063</v>
      </c>
      <c r="R251" s="144" t="s">
        <v>1758</v>
      </c>
      <c r="S251" s="149" t="s">
        <v>1759</v>
      </c>
      <c r="T251" s="307">
        <v>190</v>
      </c>
      <c r="U251" s="172">
        <v>60</v>
      </c>
      <c r="V251" s="172">
        <v>0</v>
      </c>
      <c r="W251" s="300" t="s">
        <v>3401</v>
      </c>
      <c r="X251" s="300" t="s">
        <v>3400</v>
      </c>
      <c r="Y251" s="318">
        <v>250</v>
      </c>
      <c r="Z251" s="307">
        <v>0</v>
      </c>
      <c r="AA251" s="172">
        <v>0</v>
      </c>
      <c r="AB251" s="172">
        <v>0</v>
      </c>
      <c r="AC251" s="300"/>
      <c r="AD251" s="300"/>
      <c r="AE251" s="318">
        <v>0</v>
      </c>
      <c r="AF251" s="319">
        <f t="shared" si="4"/>
        <v>250</v>
      </c>
      <c r="AG251" s="151" t="s">
        <v>404</v>
      </c>
      <c r="AH251" s="173"/>
    </row>
    <row r="252" spans="1:34" s="78" customFormat="1" ht="12" customHeight="1">
      <c r="A252" s="100">
        <v>2050</v>
      </c>
      <c r="B252" s="101" t="s">
        <v>3400</v>
      </c>
      <c r="C252" s="101" t="s">
        <v>3400</v>
      </c>
      <c r="D252" s="101" t="s">
        <v>3402</v>
      </c>
      <c r="E252" s="100">
        <v>2</v>
      </c>
      <c r="F252" s="143">
        <v>3</v>
      </c>
      <c r="G252" s="103">
        <v>250</v>
      </c>
      <c r="H252" s="144" t="s">
        <v>1760</v>
      </c>
      <c r="I252" s="148" t="s">
        <v>1760</v>
      </c>
      <c r="J252" s="146">
        <v>10500100970903</v>
      </c>
      <c r="K252" s="147" t="s">
        <v>353</v>
      </c>
      <c r="L252" s="147"/>
      <c r="M252" s="147">
        <v>8</v>
      </c>
      <c r="N252" s="148" t="s">
        <v>1032</v>
      </c>
      <c r="O252" s="144" t="s">
        <v>1761</v>
      </c>
      <c r="P252" s="148">
        <v>2699584</v>
      </c>
      <c r="Q252" s="144" t="s">
        <v>1068</v>
      </c>
      <c r="R252" s="144" t="s">
        <v>1074</v>
      </c>
      <c r="S252" s="149" t="s">
        <v>1762</v>
      </c>
      <c r="T252" s="307">
        <v>151</v>
      </c>
      <c r="U252" s="172">
        <v>59</v>
      </c>
      <c r="V252" s="172">
        <v>0</v>
      </c>
      <c r="W252" s="300" t="s">
        <v>3401</v>
      </c>
      <c r="X252" s="300" t="s">
        <v>3400</v>
      </c>
      <c r="Y252" s="318">
        <v>210</v>
      </c>
      <c r="Z252" s="307">
        <v>10</v>
      </c>
      <c r="AA252" s="172">
        <v>42</v>
      </c>
      <c r="AB252" s="172">
        <v>0</v>
      </c>
      <c r="AC252" s="300" t="s">
        <v>3399</v>
      </c>
      <c r="AD252" s="300" t="s">
        <v>3400</v>
      </c>
      <c r="AE252" s="318">
        <v>52</v>
      </c>
      <c r="AF252" s="319">
        <f t="shared" si="4"/>
        <v>262</v>
      </c>
      <c r="AG252" s="151"/>
      <c r="AH252" s="173"/>
    </row>
    <row r="253" spans="1:34" s="78" customFormat="1" ht="12" customHeight="1">
      <c r="A253" s="100">
        <v>2051</v>
      </c>
      <c r="B253" s="101" t="s">
        <v>3400</v>
      </c>
      <c r="C253" s="101" t="s">
        <v>3400</v>
      </c>
      <c r="D253" s="101" t="s">
        <v>3401</v>
      </c>
      <c r="E253" s="100">
        <v>2</v>
      </c>
      <c r="F253" s="143">
        <v>3</v>
      </c>
      <c r="G253" s="103">
        <v>251</v>
      </c>
      <c r="H253" s="144" t="s">
        <v>1763</v>
      </c>
      <c r="I253" s="148" t="s">
        <v>1763</v>
      </c>
      <c r="J253" s="146">
        <v>10500101908901</v>
      </c>
      <c r="K253" s="147" t="s">
        <v>353</v>
      </c>
      <c r="L253" s="147"/>
      <c r="M253" s="147">
        <v>8</v>
      </c>
      <c r="N253" s="148" t="s">
        <v>1072</v>
      </c>
      <c r="O253" s="144" t="s">
        <v>1764</v>
      </c>
      <c r="P253" s="148" t="s">
        <v>1765</v>
      </c>
      <c r="Q253" s="144" t="s">
        <v>1766</v>
      </c>
      <c r="R253" s="144" t="s">
        <v>1767</v>
      </c>
      <c r="S253" s="149" t="s">
        <v>1768</v>
      </c>
      <c r="T253" s="307">
        <v>225</v>
      </c>
      <c r="U253" s="172">
        <v>0</v>
      </c>
      <c r="V253" s="172">
        <v>0</v>
      </c>
      <c r="W253" s="300" t="s">
        <v>3401</v>
      </c>
      <c r="X253" s="300" t="s">
        <v>3400</v>
      </c>
      <c r="Y253" s="318">
        <v>225</v>
      </c>
      <c r="Z253" s="307">
        <v>0</v>
      </c>
      <c r="AA253" s="172">
        <v>0</v>
      </c>
      <c r="AB253" s="172">
        <v>0</v>
      </c>
      <c r="AC253" s="300"/>
      <c r="AD253" s="300"/>
      <c r="AE253" s="318">
        <v>0</v>
      </c>
      <c r="AF253" s="319">
        <f t="shared" si="4"/>
        <v>225</v>
      </c>
      <c r="AG253" s="151"/>
      <c r="AH253" s="173"/>
    </row>
    <row r="254" spans="1:34" s="78" customFormat="1" ht="12" customHeight="1">
      <c r="A254" s="100">
        <v>2052</v>
      </c>
      <c r="B254" s="101" t="s">
        <v>3400</v>
      </c>
      <c r="C254" s="101" t="s">
        <v>3400</v>
      </c>
      <c r="D254" s="101" t="s">
        <v>3401</v>
      </c>
      <c r="E254" s="100">
        <v>2</v>
      </c>
      <c r="F254" s="143">
        <v>3</v>
      </c>
      <c r="G254" s="103">
        <v>252</v>
      </c>
      <c r="H254" s="144" t="s">
        <v>1769</v>
      </c>
      <c r="I254" s="148" t="s">
        <v>1769</v>
      </c>
      <c r="J254" s="146">
        <v>10500101908902</v>
      </c>
      <c r="K254" s="147" t="s">
        <v>353</v>
      </c>
      <c r="L254" s="147"/>
      <c r="M254" s="147">
        <v>8</v>
      </c>
      <c r="N254" s="148" t="s">
        <v>1072</v>
      </c>
      <c r="O254" s="144" t="s">
        <v>1770</v>
      </c>
      <c r="P254" s="148">
        <v>2260631</v>
      </c>
      <c r="Q254" s="144" t="s">
        <v>1766</v>
      </c>
      <c r="R254" s="144" t="s">
        <v>1771</v>
      </c>
      <c r="S254" s="149" t="s">
        <v>1768</v>
      </c>
      <c r="T254" s="307">
        <v>75</v>
      </c>
      <c r="U254" s="172">
        <v>225</v>
      </c>
      <c r="V254" s="172">
        <v>0</v>
      </c>
      <c r="W254" s="300" t="s">
        <v>3401</v>
      </c>
      <c r="X254" s="300" t="s">
        <v>3400</v>
      </c>
      <c r="Y254" s="318">
        <v>300</v>
      </c>
      <c r="Z254" s="307">
        <v>0</v>
      </c>
      <c r="AA254" s="172">
        <v>0</v>
      </c>
      <c r="AB254" s="172">
        <v>0</v>
      </c>
      <c r="AC254" s="300"/>
      <c r="AD254" s="300"/>
      <c r="AE254" s="318">
        <v>0</v>
      </c>
      <c r="AF254" s="319">
        <f t="shared" si="4"/>
        <v>300</v>
      </c>
      <c r="AG254" s="151"/>
      <c r="AH254" s="173"/>
    </row>
    <row r="255" spans="1:34" s="78" customFormat="1" ht="12" customHeight="1">
      <c r="A255" s="100">
        <v>2053</v>
      </c>
      <c r="B255" s="101" t="s">
        <v>3400</v>
      </c>
      <c r="C255" s="101" t="s">
        <v>3400</v>
      </c>
      <c r="D255" s="101" t="s">
        <v>3401</v>
      </c>
      <c r="E255" s="100">
        <v>2</v>
      </c>
      <c r="F255" s="143">
        <v>3</v>
      </c>
      <c r="G255" s="103">
        <v>253</v>
      </c>
      <c r="H255" s="144" t="s">
        <v>1772</v>
      </c>
      <c r="I255" s="148" t="s">
        <v>1772</v>
      </c>
      <c r="J255" s="146">
        <v>10500101908903</v>
      </c>
      <c r="K255" s="147" t="s">
        <v>353</v>
      </c>
      <c r="L255" s="147" t="s">
        <v>303</v>
      </c>
      <c r="M255" s="147">
        <v>8</v>
      </c>
      <c r="N255" s="148" t="s">
        <v>1072</v>
      </c>
      <c r="O255" s="144" t="s">
        <v>1773</v>
      </c>
      <c r="P255" s="148">
        <v>2260591</v>
      </c>
      <c r="Q255" s="144" t="s">
        <v>1766</v>
      </c>
      <c r="R255" s="144" t="s">
        <v>1774</v>
      </c>
      <c r="S255" s="149" t="s">
        <v>1768</v>
      </c>
      <c r="T255" s="307">
        <v>0</v>
      </c>
      <c r="U255" s="172">
        <v>120</v>
      </c>
      <c r="V255" s="172">
        <v>140</v>
      </c>
      <c r="W255" s="300" t="s">
        <v>3401</v>
      </c>
      <c r="X255" s="300" t="s">
        <v>3400</v>
      </c>
      <c r="Y255" s="318">
        <v>260</v>
      </c>
      <c r="Z255" s="307">
        <v>0</v>
      </c>
      <c r="AA255" s="172">
        <v>0</v>
      </c>
      <c r="AB255" s="172">
        <v>0</v>
      </c>
      <c r="AC255" s="300"/>
      <c r="AD255" s="300"/>
      <c r="AE255" s="318">
        <v>0</v>
      </c>
      <c r="AF255" s="319">
        <f t="shared" si="4"/>
        <v>260</v>
      </c>
      <c r="AG255" s="151"/>
      <c r="AH255" s="173"/>
    </row>
    <row r="256" spans="1:34" s="78" customFormat="1" ht="12" customHeight="1">
      <c r="A256" s="100">
        <v>2054</v>
      </c>
      <c r="B256" s="101" t="s">
        <v>3400</v>
      </c>
      <c r="C256" s="101" t="s">
        <v>3400</v>
      </c>
      <c r="D256" s="101" t="s">
        <v>3402</v>
      </c>
      <c r="E256" s="100">
        <v>2</v>
      </c>
      <c r="F256" s="143">
        <v>3</v>
      </c>
      <c r="G256" s="103">
        <v>254</v>
      </c>
      <c r="H256" s="144" t="s">
        <v>1775</v>
      </c>
      <c r="I256" s="148" t="s">
        <v>1775</v>
      </c>
      <c r="J256" s="146">
        <v>10500102187301</v>
      </c>
      <c r="K256" s="147" t="s">
        <v>353</v>
      </c>
      <c r="L256" s="147"/>
      <c r="M256" s="147">
        <v>8</v>
      </c>
      <c r="N256" s="148" t="s">
        <v>1776</v>
      </c>
      <c r="O256" s="144" t="s">
        <v>1777</v>
      </c>
      <c r="P256" s="148" t="s">
        <v>1778</v>
      </c>
      <c r="Q256" s="144" t="s">
        <v>1779</v>
      </c>
      <c r="R256" s="144" t="s">
        <v>1780</v>
      </c>
      <c r="S256" s="149" t="s">
        <v>1781</v>
      </c>
      <c r="T256" s="307">
        <v>0</v>
      </c>
      <c r="U256" s="172">
        <v>205</v>
      </c>
      <c r="V256" s="172">
        <v>65</v>
      </c>
      <c r="W256" s="300" t="s">
        <v>3401</v>
      </c>
      <c r="X256" s="300" t="s">
        <v>3400</v>
      </c>
      <c r="Y256" s="318">
        <v>270</v>
      </c>
      <c r="Z256" s="307">
        <v>0</v>
      </c>
      <c r="AA256" s="172">
        <v>292</v>
      </c>
      <c r="AB256" s="172">
        <v>200</v>
      </c>
      <c r="AC256" s="300" t="s">
        <v>3399</v>
      </c>
      <c r="AD256" s="300" t="s">
        <v>3400</v>
      </c>
      <c r="AE256" s="318">
        <v>492</v>
      </c>
      <c r="AF256" s="319">
        <f t="shared" si="4"/>
        <v>762</v>
      </c>
      <c r="AG256" s="151"/>
      <c r="AH256" s="173"/>
    </row>
    <row r="257" spans="1:34" s="78" customFormat="1" ht="12" customHeight="1">
      <c r="A257" s="100">
        <v>2055</v>
      </c>
      <c r="B257" s="101" t="s">
        <v>3400</v>
      </c>
      <c r="C257" s="101" t="s">
        <v>3400</v>
      </c>
      <c r="D257" s="101" t="s">
        <v>3402</v>
      </c>
      <c r="E257" s="100">
        <v>2</v>
      </c>
      <c r="F257" s="143">
        <v>3</v>
      </c>
      <c r="G257" s="103">
        <v>255</v>
      </c>
      <c r="H257" s="144" t="s">
        <v>1782</v>
      </c>
      <c r="I257" s="148" t="s">
        <v>1782</v>
      </c>
      <c r="J257" s="146">
        <v>10500102187302</v>
      </c>
      <c r="K257" s="147" t="s">
        <v>353</v>
      </c>
      <c r="L257" s="147"/>
      <c r="M257" s="147">
        <v>8</v>
      </c>
      <c r="N257" s="148" t="s">
        <v>1776</v>
      </c>
      <c r="O257" s="144" t="s">
        <v>1783</v>
      </c>
      <c r="P257" s="148">
        <v>2845867</v>
      </c>
      <c r="Q257" s="144" t="s">
        <v>1779</v>
      </c>
      <c r="R257" s="144" t="s">
        <v>1784</v>
      </c>
      <c r="S257" s="149" t="s">
        <v>1781</v>
      </c>
      <c r="T257" s="307">
        <v>472</v>
      </c>
      <c r="U257" s="172">
        <v>151</v>
      </c>
      <c r="V257" s="172">
        <v>0</v>
      </c>
      <c r="W257" s="300" t="s">
        <v>3401</v>
      </c>
      <c r="X257" s="300" t="s">
        <v>3400</v>
      </c>
      <c r="Y257" s="318">
        <v>623</v>
      </c>
      <c r="Z257" s="307">
        <v>236</v>
      </c>
      <c r="AA257" s="172">
        <v>73</v>
      </c>
      <c r="AB257" s="172">
        <v>0</v>
      </c>
      <c r="AC257" s="300" t="s">
        <v>3399</v>
      </c>
      <c r="AD257" s="300" t="s">
        <v>3400</v>
      </c>
      <c r="AE257" s="318">
        <v>309</v>
      </c>
      <c r="AF257" s="319">
        <f t="shared" si="4"/>
        <v>932</v>
      </c>
      <c r="AG257" s="146"/>
      <c r="AH257" s="228"/>
    </row>
    <row r="258" spans="1:34" s="78" customFormat="1" ht="12" customHeight="1">
      <c r="A258" s="100">
        <v>2056</v>
      </c>
      <c r="B258" s="101" t="s">
        <v>3400</v>
      </c>
      <c r="C258" s="101" t="s">
        <v>3400</v>
      </c>
      <c r="D258" s="101" t="s">
        <v>3401</v>
      </c>
      <c r="E258" s="100">
        <v>2</v>
      </c>
      <c r="F258" s="143">
        <v>3</v>
      </c>
      <c r="G258" s="103">
        <v>256</v>
      </c>
      <c r="H258" s="144" t="s">
        <v>1785</v>
      </c>
      <c r="I258" s="148" t="s">
        <v>1786</v>
      </c>
      <c r="J258" s="146">
        <v>30500102518501</v>
      </c>
      <c r="K258" s="147" t="s">
        <v>431</v>
      </c>
      <c r="L258" s="147"/>
      <c r="M258" s="147">
        <v>8</v>
      </c>
      <c r="N258" s="148" t="s">
        <v>1022</v>
      </c>
      <c r="O258" s="144" t="s">
        <v>1787</v>
      </c>
      <c r="P258" s="148">
        <v>2923804</v>
      </c>
      <c r="Q258" s="144" t="s">
        <v>1788</v>
      </c>
      <c r="R258" s="144" t="s">
        <v>1789</v>
      </c>
      <c r="S258" s="149" t="s">
        <v>1790</v>
      </c>
      <c r="T258" s="307">
        <v>242</v>
      </c>
      <c r="U258" s="172">
        <v>83</v>
      </c>
      <c r="V258" s="172">
        <v>0</v>
      </c>
      <c r="W258" s="300" t="s">
        <v>3401</v>
      </c>
      <c r="X258" s="300" t="s">
        <v>3400</v>
      </c>
      <c r="Y258" s="318">
        <v>325</v>
      </c>
      <c r="Z258" s="307">
        <v>0</v>
      </c>
      <c r="AA258" s="172">
        <v>0</v>
      </c>
      <c r="AB258" s="172">
        <v>0</v>
      </c>
      <c r="AC258" s="300"/>
      <c r="AD258" s="300"/>
      <c r="AE258" s="318">
        <v>0</v>
      </c>
      <c r="AF258" s="319">
        <f t="shared" si="4"/>
        <v>325</v>
      </c>
      <c r="AG258" s="146"/>
      <c r="AH258" s="173"/>
    </row>
    <row r="259" spans="1:34" s="78" customFormat="1" ht="12" customHeight="1">
      <c r="A259" s="100">
        <v>2057</v>
      </c>
      <c r="B259" s="101" t="s">
        <v>3400</v>
      </c>
      <c r="C259" s="101" t="s">
        <v>3400</v>
      </c>
      <c r="D259" s="101" t="s">
        <v>3401</v>
      </c>
      <c r="E259" s="100">
        <v>2</v>
      </c>
      <c r="F259" s="143">
        <v>3</v>
      </c>
      <c r="G259" s="103">
        <v>257</v>
      </c>
      <c r="H259" s="144" t="s">
        <v>1791</v>
      </c>
      <c r="I259" s="148" t="s">
        <v>1792</v>
      </c>
      <c r="J259" s="146">
        <v>30500102518501</v>
      </c>
      <c r="K259" s="147" t="s">
        <v>431</v>
      </c>
      <c r="L259" s="147"/>
      <c r="M259" s="147">
        <v>8</v>
      </c>
      <c r="N259" s="148" t="s">
        <v>1061</v>
      </c>
      <c r="O259" s="144" t="s">
        <v>1793</v>
      </c>
      <c r="P259" s="148">
        <v>2220327</v>
      </c>
      <c r="Q259" s="144" t="s">
        <v>1788</v>
      </c>
      <c r="R259" s="144" t="s">
        <v>1789</v>
      </c>
      <c r="S259" s="149" t="s">
        <v>1790</v>
      </c>
      <c r="T259" s="307">
        <v>85</v>
      </c>
      <c r="U259" s="172">
        <v>86</v>
      </c>
      <c r="V259" s="172">
        <v>46</v>
      </c>
      <c r="W259" s="300" t="s">
        <v>3401</v>
      </c>
      <c r="X259" s="300" t="s">
        <v>3400</v>
      </c>
      <c r="Y259" s="318">
        <v>217</v>
      </c>
      <c r="Z259" s="307">
        <v>0</v>
      </c>
      <c r="AA259" s="172">
        <v>0</v>
      </c>
      <c r="AB259" s="172">
        <v>0</v>
      </c>
      <c r="AC259" s="300"/>
      <c r="AD259" s="300"/>
      <c r="AE259" s="318">
        <v>0</v>
      </c>
      <c r="AF259" s="319">
        <f t="shared" si="4"/>
        <v>217</v>
      </c>
      <c r="AG259" s="146"/>
      <c r="AH259" s="173"/>
    </row>
    <row r="260" spans="1:34" s="78" customFormat="1" ht="12" customHeight="1">
      <c r="A260" s="100">
        <v>2058</v>
      </c>
      <c r="B260" s="101" t="s">
        <v>3400</v>
      </c>
      <c r="C260" s="101" t="s">
        <v>3400</v>
      </c>
      <c r="D260" s="101" t="s">
        <v>3402</v>
      </c>
      <c r="E260" s="100">
        <v>2</v>
      </c>
      <c r="F260" s="143">
        <v>3</v>
      </c>
      <c r="G260" s="103">
        <v>258</v>
      </c>
      <c r="H260" s="144" t="s">
        <v>1794</v>
      </c>
      <c r="I260" s="148" t="s">
        <v>1794</v>
      </c>
      <c r="J260" s="146">
        <v>10500102002801</v>
      </c>
      <c r="K260" s="147" t="s">
        <v>353</v>
      </c>
      <c r="L260" s="147"/>
      <c r="M260" s="147">
        <v>9</v>
      </c>
      <c r="N260" s="148" t="s">
        <v>1115</v>
      </c>
      <c r="O260" s="144" t="s">
        <v>1795</v>
      </c>
      <c r="P260" s="148" t="s">
        <v>1796</v>
      </c>
      <c r="Q260" s="144" t="s">
        <v>1797</v>
      </c>
      <c r="R260" s="144" t="s">
        <v>1798</v>
      </c>
      <c r="S260" s="149" t="s">
        <v>1799</v>
      </c>
      <c r="T260" s="307">
        <v>0</v>
      </c>
      <c r="U260" s="172">
        <v>130</v>
      </c>
      <c r="V260" s="172">
        <v>90</v>
      </c>
      <c r="W260" s="300" t="s">
        <v>3401</v>
      </c>
      <c r="X260" s="300" t="s">
        <v>3400</v>
      </c>
      <c r="Y260" s="318">
        <v>220</v>
      </c>
      <c r="Z260" s="307">
        <v>0</v>
      </c>
      <c r="AA260" s="172">
        <v>135</v>
      </c>
      <c r="AB260" s="172">
        <v>65</v>
      </c>
      <c r="AC260" s="300" t="s">
        <v>3399</v>
      </c>
      <c r="AD260" s="300" t="s">
        <v>3400</v>
      </c>
      <c r="AE260" s="318">
        <v>200</v>
      </c>
      <c r="AF260" s="319">
        <f t="shared" si="4"/>
        <v>420</v>
      </c>
      <c r="AG260" s="146"/>
      <c r="AH260" s="173"/>
    </row>
    <row r="261" spans="1:34" s="78" customFormat="1" ht="12" customHeight="1">
      <c r="A261" s="100">
        <v>2059</v>
      </c>
      <c r="B261" s="101" t="s">
        <v>3400</v>
      </c>
      <c r="C261" s="101" t="s">
        <v>3400</v>
      </c>
      <c r="D261" s="101" t="s">
        <v>3401</v>
      </c>
      <c r="E261" s="100">
        <v>2</v>
      </c>
      <c r="F261" s="143">
        <v>3</v>
      </c>
      <c r="G261" s="103">
        <v>259</v>
      </c>
      <c r="H261" s="144" t="s">
        <v>1800</v>
      </c>
      <c r="I261" s="148" t="s">
        <v>1800</v>
      </c>
      <c r="J261" s="146">
        <v>10500102002802</v>
      </c>
      <c r="K261" s="147" t="s">
        <v>353</v>
      </c>
      <c r="L261" s="147"/>
      <c r="M261" s="147">
        <v>9</v>
      </c>
      <c r="N261" s="148" t="s">
        <v>1115</v>
      </c>
      <c r="O261" s="144" t="s">
        <v>1801</v>
      </c>
      <c r="P261" s="148">
        <v>2396342</v>
      </c>
      <c r="Q261" s="144" t="s">
        <v>1802</v>
      </c>
      <c r="R261" s="144" t="s">
        <v>1803</v>
      </c>
      <c r="S261" s="149" t="s">
        <v>1804</v>
      </c>
      <c r="T261" s="307">
        <v>195</v>
      </c>
      <c r="U261" s="172">
        <v>71</v>
      </c>
      <c r="V261" s="172">
        <v>0</v>
      </c>
      <c r="W261" s="300" t="s">
        <v>3401</v>
      </c>
      <c r="X261" s="300" t="s">
        <v>3400</v>
      </c>
      <c r="Y261" s="318">
        <v>266</v>
      </c>
      <c r="Z261" s="307">
        <v>0</v>
      </c>
      <c r="AA261" s="172">
        <v>0</v>
      </c>
      <c r="AB261" s="172">
        <v>0</v>
      </c>
      <c r="AC261" s="300"/>
      <c r="AD261" s="300"/>
      <c r="AE261" s="318">
        <v>0</v>
      </c>
      <c r="AF261" s="319">
        <f t="shared" si="4"/>
        <v>266</v>
      </c>
      <c r="AG261" s="146"/>
      <c r="AH261" s="173"/>
    </row>
    <row r="262" spans="1:34" s="78" customFormat="1" ht="12" customHeight="1">
      <c r="A262" s="100">
        <v>2060</v>
      </c>
      <c r="B262" s="101" t="s">
        <v>3400</v>
      </c>
      <c r="C262" s="101" t="s">
        <v>3400</v>
      </c>
      <c r="D262" s="101" t="s">
        <v>3401</v>
      </c>
      <c r="E262" s="100">
        <v>2</v>
      </c>
      <c r="F262" s="143">
        <v>3</v>
      </c>
      <c r="G262" s="103">
        <v>260</v>
      </c>
      <c r="H262" s="144" t="s">
        <v>1805</v>
      </c>
      <c r="I262" s="148" t="s">
        <v>1805</v>
      </c>
      <c r="J262" s="146">
        <v>10500101085502</v>
      </c>
      <c r="K262" s="147" t="s">
        <v>353</v>
      </c>
      <c r="L262" s="147"/>
      <c r="M262" s="147">
        <v>9</v>
      </c>
      <c r="N262" s="148" t="s">
        <v>1115</v>
      </c>
      <c r="O262" s="144" t="s">
        <v>1806</v>
      </c>
      <c r="P262" s="148" t="s">
        <v>1807</v>
      </c>
      <c r="Q262" s="144" t="s">
        <v>1808</v>
      </c>
      <c r="R262" s="144" t="s">
        <v>1378</v>
      </c>
      <c r="S262" s="149" t="s">
        <v>1809</v>
      </c>
      <c r="T262" s="307">
        <v>147</v>
      </c>
      <c r="U262" s="172">
        <v>77</v>
      </c>
      <c r="V262" s="172">
        <v>0</v>
      </c>
      <c r="W262" s="300" t="s">
        <v>3401</v>
      </c>
      <c r="X262" s="300" t="s">
        <v>3400</v>
      </c>
      <c r="Y262" s="318">
        <v>224</v>
      </c>
      <c r="Z262" s="307">
        <v>0</v>
      </c>
      <c r="AA262" s="172">
        <v>0</v>
      </c>
      <c r="AB262" s="172">
        <v>0</v>
      </c>
      <c r="AC262" s="300"/>
      <c r="AD262" s="300"/>
      <c r="AE262" s="318">
        <v>0</v>
      </c>
      <c r="AF262" s="319">
        <f t="shared" si="4"/>
        <v>224</v>
      </c>
      <c r="AG262" s="146"/>
      <c r="AH262" s="173"/>
    </row>
    <row r="263" spans="1:34" s="78" customFormat="1" ht="12" customHeight="1">
      <c r="A263" s="100">
        <v>2061</v>
      </c>
      <c r="B263" s="101" t="s">
        <v>3400</v>
      </c>
      <c r="C263" s="101" t="s">
        <v>3400</v>
      </c>
      <c r="D263" s="101" t="s">
        <v>3402</v>
      </c>
      <c r="E263" s="100">
        <v>2</v>
      </c>
      <c r="F263" s="143">
        <v>3</v>
      </c>
      <c r="G263" s="103">
        <v>261</v>
      </c>
      <c r="H263" s="144" t="s">
        <v>1810</v>
      </c>
      <c r="I263" s="148" t="s">
        <v>1810</v>
      </c>
      <c r="J263" s="146">
        <v>10500100838901</v>
      </c>
      <c r="K263" s="147" t="s">
        <v>353</v>
      </c>
      <c r="L263" s="147"/>
      <c r="M263" s="147">
        <v>9</v>
      </c>
      <c r="N263" s="148" t="s">
        <v>1811</v>
      </c>
      <c r="O263" s="144" t="s">
        <v>1812</v>
      </c>
      <c r="P263" s="148" t="s">
        <v>1813</v>
      </c>
      <c r="Q263" s="144" t="s">
        <v>1814</v>
      </c>
      <c r="R263" s="144" t="s">
        <v>1815</v>
      </c>
      <c r="S263" s="149" t="s">
        <v>1816</v>
      </c>
      <c r="T263" s="307">
        <v>72</v>
      </c>
      <c r="U263" s="172">
        <v>163</v>
      </c>
      <c r="V263" s="172">
        <v>0</v>
      </c>
      <c r="W263" s="300" t="s">
        <v>3401</v>
      </c>
      <c r="X263" s="300" t="s">
        <v>3400</v>
      </c>
      <c r="Y263" s="318">
        <v>235</v>
      </c>
      <c r="Z263" s="307">
        <v>29</v>
      </c>
      <c r="AA263" s="172">
        <v>311</v>
      </c>
      <c r="AB263" s="172">
        <v>192</v>
      </c>
      <c r="AC263" s="300" t="s">
        <v>3399</v>
      </c>
      <c r="AD263" s="300" t="s">
        <v>3400</v>
      </c>
      <c r="AE263" s="318">
        <v>532</v>
      </c>
      <c r="AF263" s="319">
        <f t="shared" si="4"/>
        <v>767</v>
      </c>
      <c r="AG263" s="146"/>
      <c r="AH263" s="173"/>
    </row>
    <row r="264" spans="1:34" s="78" customFormat="1" ht="12" customHeight="1">
      <c r="A264" s="100">
        <v>2062</v>
      </c>
      <c r="B264" s="101" t="s">
        <v>3400</v>
      </c>
      <c r="C264" s="101" t="s">
        <v>3400</v>
      </c>
      <c r="D264" s="101" t="s">
        <v>3401</v>
      </c>
      <c r="E264" s="100">
        <v>2</v>
      </c>
      <c r="F264" s="143">
        <v>3</v>
      </c>
      <c r="G264" s="103">
        <v>262</v>
      </c>
      <c r="H264" s="144" t="s">
        <v>1817</v>
      </c>
      <c r="I264" s="148" t="s">
        <v>1817</v>
      </c>
      <c r="J264" s="146">
        <v>10500101163101</v>
      </c>
      <c r="K264" s="147" t="s">
        <v>353</v>
      </c>
      <c r="L264" s="147" t="s">
        <v>303</v>
      </c>
      <c r="M264" s="147">
        <v>9</v>
      </c>
      <c r="N264" s="148" t="s">
        <v>1101</v>
      </c>
      <c r="O264" s="144" t="s">
        <v>1818</v>
      </c>
      <c r="P264" s="148" t="s">
        <v>1819</v>
      </c>
      <c r="Q264" s="144" t="s">
        <v>1820</v>
      </c>
      <c r="R264" s="144" t="s">
        <v>1821</v>
      </c>
      <c r="S264" s="149" t="s">
        <v>1822</v>
      </c>
      <c r="T264" s="307">
        <v>0</v>
      </c>
      <c r="U264" s="172">
        <v>167</v>
      </c>
      <c r="V264" s="172">
        <v>183</v>
      </c>
      <c r="W264" s="300" t="s">
        <v>3401</v>
      </c>
      <c r="X264" s="300" t="s">
        <v>3400</v>
      </c>
      <c r="Y264" s="318">
        <v>350</v>
      </c>
      <c r="Z264" s="307">
        <v>0</v>
      </c>
      <c r="AA264" s="172">
        <v>0</v>
      </c>
      <c r="AB264" s="172">
        <v>0</v>
      </c>
      <c r="AC264" s="300"/>
      <c r="AD264" s="300"/>
      <c r="AE264" s="318">
        <v>0</v>
      </c>
      <c r="AF264" s="319">
        <f t="shared" si="4"/>
        <v>350</v>
      </c>
      <c r="AG264" s="146" t="s">
        <v>404</v>
      </c>
      <c r="AH264" s="152"/>
    </row>
    <row r="265" spans="1:34" s="78" customFormat="1" ht="12" customHeight="1">
      <c r="A265" s="100">
        <v>2063</v>
      </c>
      <c r="B265" s="101" t="s">
        <v>3400</v>
      </c>
      <c r="C265" s="101" t="s">
        <v>3400</v>
      </c>
      <c r="D265" s="101" t="s">
        <v>3402</v>
      </c>
      <c r="E265" s="100">
        <v>2</v>
      </c>
      <c r="F265" s="143">
        <v>3</v>
      </c>
      <c r="G265" s="103">
        <v>263</v>
      </c>
      <c r="H265" s="144" t="s">
        <v>1823</v>
      </c>
      <c r="I265" s="148" t="s">
        <v>1823</v>
      </c>
      <c r="J265" s="146">
        <v>10500100156201</v>
      </c>
      <c r="K265" s="147" t="s">
        <v>353</v>
      </c>
      <c r="L265" s="147" t="s">
        <v>303</v>
      </c>
      <c r="M265" s="147">
        <v>10</v>
      </c>
      <c r="N265" s="148" t="s">
        <v>1156</v>
      </c>
      <c r="O265" s="144" t="s">
        <v>1824</v>
      </c>
      <c r="P265" s="148" t="s">
        <v>1825</v>
      </c>
      <c r="Q265" s="144" t="s">
        <v>1158</v>
      </c>
      <c r="R265" s="144" t="s">
        <v>1826</v>
      </c>
      <c r="S265" s="149" t="s">
        <v>1827</v>
      </c>
      <c r="T265" s="307">
        <v>0</v>
      </c>
      <c r="U265" s="172">
        <v>200</v>
      </c>
      <c r="V265" s="172">
        <v>120</v>
      </c>
      <c r="W265" s="300" t="s">
        <v>3401</v>
      </c>
      <c r="X265" s="300" t="s">
        <v>3400</v>
      </c>
      <c r="Y265" s="318">
        <v>320</v>
      </c>
      <c r="Z265" s="307">
        <v>83</v>
      </c>
      <c r="AA265" s="172">
        <v>217</v>
      </c>
      <c r="AB265" s="172">
        <v>200</v>
      </c>
      <c r="AC265" s="300" t="s">
        <v>3399</v>
      </c>
      <c r="AD265" s="300" t="s">
        <v>3400</v>
      </c>
      <c r="AE265" s="318">
        <v>500</v>
      </c>
      <c r="AF265" s="319">
        <f t="shared" si="4"/>
        <v>820</v>
      </c>
      <c r="AG265" s="146"/>
      <c r="AH265" s="173"/>
    </row>
    <row r="266" spans="1:34" s="78" customFormat="1" ht="12" customHeight="1">
      <c r="A266" s="100">
        <v>2064</v>
      </c>
      <c r="B266" s="101" t="s">
        <v>3400</v>
      </c>
      <c r="C266" s="101" t="s">
        <v>3400</v>
      </c>
      <c r="D266" s="101" t="s">
        <v>3401</v>
      </c>
      <c r="E266" s="100">
        <v>2</v>
      </c>
      <c r="F266" s="143">
        <v>3</v>
      </c>
      <c r="G266" s="103">
        <v>264</v>
      </c>
      <c r="H266" s="144" t="s">
        <v>1828</v>
      </c>
      <c r="I266" s="148" t="s">
        <v>1828</v>
      </c>
      <c r="J266" s="146">
        <v>10500102651401</v>
      </c>
      <c r="K266" s="147" t="s">
        <v>353</v>
      </c>
      <c r="L266" s="147" t="s">
        <v>303</v>
      </c>
      <c r="M266" s="147">
        <v>10</v>
      </c>
      <c r="N266" s="148" t="s">
        <v>1829</v>
      </c>
      <c r="O266" s="144" t="s">
        <v>1830</v>
      </c>
      <c r="P266" s="148">
        <v>2510634</v>
      </c>
      <c r="Q266" s="144" t="s">
        <v>1831</v>
      </c>
      <c r="R266" s="144" t="s">
        <v>1832</v>
      </c>
      <c r="S266" s="149" t="s">
        <v>1833</v>
      </c>
      <c r="T266" s="307">
        <v>88</v>
      </c>
      <c r="U266" s="172">
        <v>110</v>
      </c>
      <c r="V266" s="172">
        <v>43</v>
      </c>
      <c r="W266" s="300" t="s">
        <v>3401</v>
      </c>
      <c r="X266" s="300" t="s">
        <v>3400</v>
      </c>
      <c r="Y266" s="318">
        <v>241</v>
      </c>
      <c r="Z266" s="307">
        <v>0</v>
      </c>
      <c r="AA266" s="172">
        <v>0</v>
      </c>
      <c r="AB266" s="172">
        <v>0</v>
      </c>
      <c r="AC266" s="300"/>
      <c r="AD266" s="300"/>
      <c r="AE266" s="318">
        <v>0</v>
      </c>
      <c r="AF266" s="319">
        <f t="shared" si="4"/>
        <v>241</v>
      </c>
      <c r="AG266" s="146"/>
      <c r="AH266" s="173"/>
    </row>
    <row r="267" spans="1:34" s="78" customFormat="1" ht="12" customHeight="1">
      <c r="A267" s="100">
        <v>2065</v>
      </c>
      <c r="B267" s="101" t="s">
        <v>3400</v>
      </c>
      <c r="C267" s="101" t="s">
        <v>3400</v>
      </c>
      <c r="D267" s="101" t="s">
        <v>3402</v>
      </c>
      <c r="E267" s="100">
        <v>2</v>
      </c>
      <c r="F267" s="143">
        <v>3</v>
      </c>
      <c r="G267" s="103">
        <v>265</v>
      </c>
      <c r="H267" s="144" t="s">
        <v>1834</v>
      </c>
      <c r="I267" s="148" t="s">
        <v>1834</v>
      </c>
      <c r="J267" s="146">
        <v>10500100025601</v>
      </c>
      <c r="K267" s="147" t="s">
        <v>353</v>
      </c>
      <c r="L267" s="147" t="s">
        <v>303</v>
      </c>
      <c r="M267" s="147">
        <v>10</v>
      </c>
      <c r="N267" s="148" t="s">
        <v>1156</v>
      </c>
      <c r="O267" s="144" t="s">
        <v>1835</v>
      </c>
      <c r="P267" s="148" t="s">
        <v>1836</v>
      </c>
      <c r="Q267" s="144" t="s">
        <v>1837</v>
      </c>
      <c r="R267" s="144" t="s">
        <v>1838</v>
      </c>
      <c r="S267" s="149" t="s">
        <v>1839</v>
      </c>
      <c r="T267" s="307">
        <v>182</v>
      </c>
      <c r="U267" s="172">
        <v>88</v>
      </c>
      <c r="V267" s="172">
        <v>90</v>
      </c>
      <c r="W267" s="300" t="s">
        <v>3401</v>
      </c>
      <c r="X267" s="300" t="s">
        <v>3400</v>
      </c>
      <c r="Y267" s="318">
        <v>360</v>
      </c>
      <c r="Z267" s="307">
        <v>0</v>
      </c>
      <c r="AA267" s="172">
        <v>246</v>
      </c>
      <c r="AB267" s="172">
        <v>84</v>
      </c>
      <c r="AC267" s="300" t="s">
        <v>3399</v>
      </c>
      <c r="AD267" s="300" t="s">
        <v>3400</v>
      </c>
      <c r="AE267" s="318">
        <v>330</v>
      </c>
      <c r="AF267" s="319">
        <f t="shared" si="4"/>
        <v>690</v>
      </c>
      <c r="AG267" s="146"/>
      <c r="AH267" s="173"/>
    </row>
    <row r="268" spans="1:34" s="78" customFormat="1" ht="12" customHeight="1">
      <c r="A268" s="100">
        <v>2066</v>
      </c>
      <c r="B268" s="101" t="s">
        <v>3400</v>
      </c>
      <c r="C268" s="101" t="s">
        <v>3400</v>
      </c>
      <c r="D268" s="101" t="s">
        <v>3401</v>
      </c>
      <c r="E268" s="100">
        <v>2</v>
      </c>
      <c r="F268" s="143">
        <v>3</v>
      </c>
      <c r="G268" s="103">
        <v>266</v>
      </c>
      <c r="H268" s="144" t="s">
        <v>1840</v>
      </c>
      <c r="I268" s="148" t="s">
        <v>1840</v>
      </c>
      <c r="J268" s="146">
        <v>10500100025602</v>
      </c>
      <c r="K268" s="147" t="s">
        <v>353</v>
      </c>
      <c r="L268" s="147" t="s">
        <v>303</v>
      </c>
      <c r="M268" s="147">
        <v>10</v>
      </c>
      <c r="N268" s="148" t="s">
        <v>1841</v>
      </c>
      <c r="O268" s="144" t="s">
        <v>1842</v>
      </c>
      <c r="P268" s="148">
        <v>2623588</v>
      </c>
      <c r="Q268" s="144" t="s">
        <v>1837</v>
      </c>
      <c r="R268" s="144" t="s">
        <v>1843</v>
      </c>
      <c r="S268" s="149" t="s">
        <v>1844</v>
      </c>
      <c r="T268" s="307">
        <v>78</v>
      </c>
      <c r="U268" s="172">
        <v>83</v>
      </c>
      <c r="V268" s="172">
        <v>0</v>
      </c>
      <c r="W268" s="300" t="s">
        <v>3401</v>
      </c>
      <c r="X268" s="300" t="s">
        <v>3400</v>
      </c>
      <c r="Y268" s="318">
        <v>161</v>
      </c>
      <c r="Z268" s="307">
        <v>0</v>
      </c>
      <c r="AA268" s="172">
        <v>0</v>
      </c>
      <c r="AB268" s="172">
        <v>0</v>
      </c>
      <c r="AC268" s="300"/>
      <c r="AD268" s="300"/>
      <c r="AE268" s="318">
        <v>0</v>
      </c>
      <c r="AF268" s="319">
        <f t="shared" si="4"/>
        <v>161</v>
      </c>
      <c r="AG268" s="172"/>
      <c r="AH268" s="325"/>
    </row>
    <row r="269" spans="1:34" s="78" customFormat="1" ht="12" customHeight="1">
      <c r="A269" s="100">
        <v>2067</v>
      </c>
      <c r="B269" s="101" t="s">
        <v>3400</v>
      </c>
      <c r="C269" s="101" t="s">
        <v>3400</v>
      </c>
      <c r="D269" s="101" t="s">
        <v>3401</v>
      </c>
      <c r="E269" s="100">
        <v>2</v>
      </c>
      <c r="F269" s="143">
        <v>3</v>
      </c>
      <c r="G269" s="103">
        <v>267</v>
      </c>
      <c r="H269" s="144" t="s">
        <v>1845</v>
      </c>
      <c r="I269" s="148" t="s">
        <v>1845</v>
      </c>
      <c r="J269" s="146">
        <v>30500101711501</v>
      </c>
      <c r="K269" s="147" t="s">
        <v>431</v>
      </c>
      <c r="L269" s="147"/>
      <c r="M269" s="147">
        <v>10</v>
      </c>
      <c r="N269" s="148" t="s">
        <v>1846</v>
      </c>
      <c r="O269" s="144" t="s">
        <v>1847</v>
      </c>
      <c r="P269" s="148" t="s">
        <v>1848</v>
      </c>
      <c r="Q269" s="144" t="s">
        <v>1849</v>
      </c>
      <c r="R269" s="144" t="s">
        <v>1849</v>
      </c>
      <c r="S269" s="149" t="s">
        <v>1850</v>
      </c>
      <c r="T269" s="307">
        <v>29</v>
      </c>
      <c r="U269" s="172">
        <v>50</v>
      </c>
      <c r="V269" s="172">
        <v>0</v>
      </c>
      <c r="W269" s="300" t="s">
        <v>3401</v>
      </c>
      <c r="X269" s="300" t="s">
        <v>3400</v>
      </c>
      <c r="Y269" s="318">
        <v>79</v>
      </c>
      <c r="Z269" s="307">
        <v>0</v>
      </c>
      <c r="AA269" s="172">
        <v>0</v>
      </c>
      <c r="AB269" s="172">
        <v>0</v>
      </c>
      <c r="AC269" s="300"/>
      <c r="AD269" s="300"/>
      <c r="AE269" s="318">
        <v>0</v>
      </c>
      <c r="AF269" s="319">
        <f t="shared" si="4"/>
        <v>79</v>
      </c>
      <c r="AG269" s="172"/>
      <c r="AH269" s="172"/>
    </row>
    <row r="270" spans="1:34" s="78" customFormat="1" ht="12" customHeight="1">
      <c r="A270" s="100">
        <v>2068</v>
      </c>
      <c r="B270" s="101" t="s">
        <v>3400</v>
      </c>
      <c r="C270" s="101" t="s">
        <v>3400</v>
      </c>
      <c r="D270" s="101" t="s">
        <v>3401</v>
      </c>
      <c r="E270" s="100">
        <v>2</v>
      </c>
      <c r="F270" s="143">
        <v>3</v>
      </c>
      <c r="G270" s="103">
        <v>268</v>
      </c>
      <c r="H270" s="144" t="s">
        <v>1851</v>
      </c>
      <c r="I270" s="148" t="s">
        <v>1851</v>
      </c>
      <c r="J270" s="146">
        <v>10500100035302</v>
      </c>
      <c r="K270" s="147" t="s">
        <v>353</v>
      </c>
      <c r="L270" s="147"/>
      <c r="M270" s="147">
        <v>10</v>
      </c>
      <c r="N270" s="148" t="s">
        <v>1175</v>
      </c>
      <c r="O270" s="144" t="s">
        <v>1852</v>
      </c>
      <c r="P270" s="148">
        <v>2549409</v>
      </c>
      <c r="Q270" s="144" t="s">
        <v>1853</v>
      </c>
      <c r="R270" s="144" t="s">
        <v>1854</v>
      </c>
      <c r="S270" s="149" t="s">
        <v>1855</v>
      </c>
      <c r="T270" s="307">
        <v>80</v>
      </c>
      <c r="U270" s="172">
        <v>60</v>
      </c>
      <c r="V270" s="172">
        <v>0</v>
      </c>
      <c r="W270" s="300" t="s">
        <v>3401</v>
      </c>
      <c r="X270" s="300" t="s">
        <v>3400</v>
      </c>
      <c r="Y270" s="318">
        <v>140</v>
      </c>
      <c r="Z270" s="307">
        <v>0</v>
      </c>
      <c r="AA270" s="172">
        <v>0</v>
      </c>
      <c r="AB270" s="172">
        <v>0</v>
      </c>
      <c r="AC270" s="300"/>
      <c r="AD270" s="300"/>
      <c r="AE270" s="318">
        <v>0</v>
      </c>
      <c r="AF270" s="319">
        <f t="shared" si="4"/>
        <v>140</v>
      </c>
      <c r="AG270" s="146"/>
      <c r="AH270" s="173"/>
    </row>
    <row r="271" spans="1:34" s="78" customFormat="1" ht="12" customHeight="1">
      <c r="A271" s="100">
        <v>2069</v>
      </c>
      <c r="B271" s="101" t="s">
        <v>3400</v>
      </c>
      <c r="C271" s="101" t="s">
        <v>3400</v>
      </c>
      <c r="D271" s="101" t="s">
        <v>3401</v>
      </c>
      <c r="E271" s="100">
        <v>2</v>
      </c>
      <c r="F271" s="143">
        <v>3</v>
      </c>
      <c r="G271" s="103">
        <v>269</v>
      </c>
      <c r="H271" s="144" t="s">
        <v>1856</v>
      </c>
      <c r="I271" s="148" t="s">
        <v>1856</v>
      </c>
      <c r="J271" s="146">
        <v>20500100138903</v>
      </c>
      <c r="K271" s="147" t="s">
        <v>353</v>
      </c>
      <c r="L271" s="147"/>
      <c r="M271" s="147">
        <v>90</v>
      </c>
      <c r="N271" s="148" t="s">
        <v>1857</v>
      </c>
      <c r="O271" s="144" t="s">
        <v>1858</v>
      </c>
      <c r="P271" s="148" t="s">
        <v>1859</v>
      </c>
      <c r="Q271" s="144" t="s">
        <v>1860</v>
      </c>
      <c r="R271" s="144" t="s">
        <v>1861</v>
      </c>
      <c r="S271" s="149" t="s">
        <v>1862</v>
      </c>
      <c r="T271" s="307">
        <v>65</v>
      </c>
      <c r="U271" s="172">
        <v>24</v>
      </c>
      <c r="V271" s="172">
        <v>0</v>
      </c>
      <c r="W271" s="300" t="s">
        <v>3401</v>
      </c>
      <c r="X271" s="300" t="s">
        <v>3400</v>
      </c>
      <c r="Y271" s="318">
        <v>89</v>
      </c>
      <c r="Z271" s="307">
        <v>0</v>
      </c>
      <c r="AA271" s="172">
        <v>0</v>
      </c>
      <c r="AB271" s="172">
        <v>0</v>
      </c>
      <c r="AC271" s="300"/>
      <c r="AD271" s="300"/>
      <c r="AE271" s="318">
        <v>0</v>
      </c>
      <c r="AF271" s="319">
        <f t="shared" si="4"/>
        <v>89</v>
      </c>
      <c r="AG271" s="146"/>
      <c r="AH271" s="173"/>
    </row>
    <row r="272" spans="1:34" s="78" customFormat="1" ht="12" customHeight="1">
      <c r="A272" s="100">
        <v>2070</v>
      </c>
      <c r="B272" s="101" t="s">
        <v>3400</v>
      </c>
      <c r="C272" s="101" t="s">
        <v>3400</v>
      </c>
      <c r="D272" s="101" t="s">
        <v>3401</v>
      </c>
      <c r="E272" s="100">
        <v>2</v>
      </c>
      <c r="F272" s="143">
        <v>3</v>
      </c>
      <c r="G272" s="103">
        <v>270</v>
      </c>
      <c r="H272" s="144" t="s">
        <v>1863</v>
      </c>
      <c r="I272" s="148" t="s">
        <v>1863</v>
      </c>
      <c r="J272" s="146">
        <v>20500101103101</v>
      </c>
      <c r="K272" s="147" t="s">
        <v>353</v>
      </c>
      <c r="L272" s="147" t="s">
        <v>303</v>
      </c>
      <c r="M272" s="147">
        <v>90</v>
      </c>
      <c r="N272" s="148" t="s">
        <v>1857</v>
      </c>
      <c r="O272" s="144" t="s">
        <v>1864</v>
      </c>
      <c r="P272" s="148" t="s">
        <v>1865</v>
      </c>
      <c r="Q272" s="144" t="s">
        <v>1866</v>
      </c>
      <c r="R272" s="144" t="s">
        <v>1867</v>
      </c>
      <c r="S272" s="149" t="s">
        <v>1868</v>
      </c>
      <c r="T272" s="307">
        <v>0</v>
      </c>
      <c r="U272" s="172">
        <v>138</v>
      </c>
      <c r="V272" s="172">
        <v>83</v>
      </c>
      <c r="W272" s="300" t="s">
        <v>3401</v>
      </c>
      <c r="X272" s="300" t="s">
        <v>3400</v>
      </c>
      <c r="Y272" s="318">
        <v>221</v>
      </c>
      <c r="Z272" s="307">
        <v>0</v>
      </c>
      <c r="AA272" s="172">
        <v>0</v>
      </c>
      <c r="AB272" s="172">
        <v>0</v>
      </c>
      <c r="AC272" s="300"/>
      <c r="AD272" s="300"/>
      <c r="AE272" s="318">
        <v>0</v>
      </c>
      <c r="AF272" s="319">
        <f t="shared" si="4"/>
        <v>221</v>
      </c>
      <c r="AG272" s="146"/>
      <c r="AH272" s="173"/>
    </row>
    <row r="273" spans="1:34" s="78" customFormat="1" ht="12" customHeight="1">
      <c r="A273" s="100">
        <v>2071</v>
      </c>
      <c r="B273" s="101" t="s">
        <v>3400</v>
      </c>
      <c r="C273" s="101" t="s">
        <v>3400</v>
      </c>
      <c r="D273" s="101" t="s">
        <v>3401</v>
      </c>
      <c r="E273" s="100">
        <v>2</v>
      </c>
      <c r="F273" s="143">
        <v>3</v>
      </c>
      <c r="G273" s="103">
        <v>271</v>
      </c>
      <c r="H273" s="144" t="s">
        <v>1869</v>
      </c>
      <c r="I273" s="148" t="s">
        <v>1869</v>
      </c>
      <c r="J273" s="146">
        <v>20500101103102</v>
      </c>
      <c r="K273" s="147" t="s">
        <v>353</v>
      </c>
      <c r="L273" s="147" t="s">
        <v>303</v>
      </c>
      <c r="M273" s="147">
        <v>90</v>
      </c>
      <c r="N273" s="148" t="s">
        <v>1857</v>
      </c>
      <c r="O273" s="144" t="s">
        <v>1864</v>
      </c>
      <c r="P273" s="148" t="s">
        <v>1870</v>
      </c>
      <c r="Q273" s="144" t="s">
        <v>1866</v>
      </c>
      <c r="R273" s="144" t="s">
        <v>1871</v>
      </c>
      <c r="S273" s="149" t="s">
        <v>1872</v>
      </c>
      <c r="T273" s="307">
        <v>55</v>
      </c>
      <c r="U273" s="172">
        <v>28</v>
      </c>
      <c r="V273" s="172">
        <v>0</v>
      </c>
      <c r="W273" s="300" t="s">
        <v>3401</v>
      </c>
      <c r="X273" s="300" t="s">
        <v>3400</v>
      </c>
      <c r="Y273" s="318">
        <v>83</v>
      </c>
      <c r="Z273" s="307">
        <v>0</v>
      </c>
      <c r="AA273" s="172">
        <v>0</v>
      </c>
      <c r="AB273" s="172">
        <v>0</v>
      </c>
      <c r="AC273" s="300"/>
      <c r="AD273" s="300"/>
      <c r="AE273" s="318">
        <v>0</v>
      </c>
      <c r="AF273" s="319">
        <f t="shared" si="4"/>
        <v>83</v>
      </c>
      <c r="AG273" s="146"/>
      <c r="AH273" s="173"/>
    </row>
    <row r="274" spans="1:34" s="78" customFormat="1" ht="12" customHeight="1">
      <c r="A274" s="100">
        <v>2072</v>
      </c>
      <c r="B274" s="101" t="s">
        <v>3400</v>
      </c>
      <c r="C274" s="101" t="s">
        <v>3400</v>
      </c>
      <c r="D274" s="101" t="s">
        <v>3401</v>
      </c>
      <c r="E274" s="100">
        <v>2</v>
      </c>
      <c r="F274" s="143">
        <v>3</v>
      </c>
      <c r="G274" s="103">
        <v>272</v>
      </c>
      <c r="H274" s="144" t="s">
        <v>1873</v>
      </c>
      <c r="I274" s="148" t="s">
        <v>1873</v>
      </c>
      <c r="J274" s="146">
        <v>20500100622402</v>
      </c>
      <c r="K274" s="147" t="s">
        <v>353</v>
      </c>
      <c r="L274" s="147"/>
      <c r="M274" s="147">
        <v>90</v>
      </c>
      <c r="N274" s="148" t="s">
        <v>1874</v>
      </c>
      <c r="O274" s="144" t="s">
        <v>1875</v>
      </c>
      <c r="P274" s="148">
        <v>5513286</v>
      </c>
      <c r="Q274" s="144" t="s">
        <v>1876</v>
      </c>
      <c r="R274" s="144" t="s">
        <v>1877</v>
      </c>
      <c r="S274" s="149" t="s">
        <v>1878</v>
      </c>
      <c r="T274" s="307">
        <v>12</v>
      </c>
      <c r="U274" s="172">
        <v>2</v>
      </c>
      <c r="V274" s="172">
        <v>0</v>
      </c>
      <c r="W274" s="300" t="s">
        <v>3401</v>
      </c>
      <c r="X274" s="300" t="s">
        <v>3400</v>
      </c>
      <c r="Y274" s="318">
        <v>14</v>
      </c>
      <c r="Z274" s="307">
        <v>0</v>
      </c>
      <c r="AA274" s="172">
        <v>0</v>
      </c>
      <c r="AB274" s="172">
        <v>0</v>
      </c>
      <c r="AC274" s="300"/>
      <c r="AD274" s="300"/>
      <c r="AE274" s="318">
        <v>0</v>
      </c>
      <c r="AF274" s="319">
        <f t="shared" si="4"/>
        <v>14</v>
      </c>
      <c r="AG274" s="146"/>
      <c r="AH274" s="173"/>
    </row>
    <row r="275" spans="1:34" s="78" customFormat="1" ht="12" customHeight="1">
      <c r="A275" s="100">
        <v>2073</v>
      </c>
      <c r="B275" s="101" t="s">
        <v>3400</v>
      </c>
      <c r="C275" s="101" t="s">
        <v>3400</v>
      </c>
      <c r="D275" s="101" t="s">
        <v>3401</v>
      </c>
      <c r="E275" s="100">
        <v>2</v>
      </c>
      <c r="F275" s="143">
        <v>3</v>
      </c>
      <c r="G275" s="103">
        <v>273</v>
      </c>
      <c r="H275" s="144" t="s">
        <v>1879</v>
      </c>
      <c r="I275" s="148" t="s">
        <v>1879</v>
      </c>
      <c r="J275" s="146">
        <v>20500100138901</v>
      </c>
      <c r="K275" s="147" t="s">
        <v>353</v>
      </c>
      <c r="L275" s="147"/>
      <c r="M275" s="147">
        <v>90</v>
      </c>
      <c r="N275" s="148" t="s">
        <v>1857</v>
      </c>
      <c r="O275" s="144" t="s">
        <v>1880</v>
      </c>
      <c r="P275" s="148">
        <v>2695500</v>
      </c>
      <c r="Q275" s="144" t="s">
        <v>1860</v>
      </c>
      <c r="R275" s="144" t="s">
        <v>1881</v>
      </c>
      <c r="S275" s="149" t="s">
        <v>1862</v>
      </c>
      <c r="T275" s="307">
        <v>72</v>
      </c>
      <c r="U275" s="172">
        <v>30</v>
      </c>
      <c r="V275" s="172">
        <v>0</v>
      </c>
      <c r="W275" s="300" t="s">
        <v>3401</v>
      </c>
      <c r="X275" s="300" t="s">
        <v>3400</v>
      </c>
      <c r="Y275" s="318">
        <v>102</v>
      </c>
      <c r="Z275" s="307">
        <v>0</v>
      </c>
      <c r="AA275" s="172">
        <v>0</v>
      </c>
      <c r="AB275" s="172">
        <v>0</v>
      </c>
      <c r="AC275" s="300"/>
      <c r="AD275" s="300"/>
      <c r="AE275" s="318">
        <v>0</v>
      </c>
      <c r="AF275" s="319">
        <f t="shared" si="4"/>
        <v>102</v>
      </c>
      <c r="AG275" s="146"/>
      <c r="AH275" s="173"/>
    </row>
    <row r="276" spans="1:34" s="78" customFormat="1" ht="12" customHeight="1">
      <c r="A276" s="100">
        <v>2074</v>
      </c>
      <c r="B276" s="101" t="s">
        <v>3400</v>
      </c>
      <c r="C276" s="101" t="s">
        <v>3400</v>
      </c>
      <c r="D276" s="101" t="s">
        <v>3401</v>
      </c>
      <c r="E276" s="100">
        <v>2</v>
      </c>
      <c r="F276" s="143">
        <v>3</v>
      </c>
      <c r="G276" s="103">
        <v>274</v>
      </c>
      <c r="H276" s="144" t="s">
        <v>1882</v>
      </c>
      <c r="I276" s="148" t="s">
        <v>1882</v>
      </c>
      <c r="J276" s="146">
        <v>20500100138902</v>
      </c>
      <c r="K276" s="147" t="s">
        <v>353</v>
      </c>
      <c r="L276" s="147"/>
      <c r="M276" s="147">
        <v>90</v>
      </c>
      <c r="N276" s="148" t="s">
        <v>1883</v>
      </c>
      <c r="O276" s="144" t="s">
        <v>1884</v>
      </c>
      <c r="P276" s="148" t="s">
        <v>1885</v>
      </c>
      <c r="Q276" s="144" t="s">
        <v>1860</v>
      </c>
      <c r="R276" s="144" t="s">
        <v>1886</v>
      </c>
      <c r="S276" s="149" t="s">
        <v>1862</v>
      </c>
      <c r="T276" s="307">
        <v>29</v>
      </c>
      <c r="U276" s="172">
        <v>19</v>
      </c>
      <c r="V276" s="172">
        <v>0</v>
      </c>
      <c r="W276" s="300" t="s">
        <v>3401</v>
      </c>
      <c r="X276" s="300" t="s">
        <v>3400</v>
      </c>
      <c r="Y276" s="318">
        <v>48</v>
      </c>
      <c r="Z276" s="307">
        <v>0</v>
      </c>
      <c r="AA276" s="172">
        <v>0</v>
      </c>
      <c r="AB276" s="172">
        <v>0</v>
      </c>
      <c r="AC276" s="300"/>
      <c r="AD276" s="300"/>
      <c r="AE276" s="318">
        <v>0</v>
      </c>
      <c r="AF276" s="319">
        <f t="shared" si="4"/>
        <v>48</v>
      </c>
      <c r="AG276" s="146"/>
      <c r="AH276" s="173"/>
    </row>
    <row r="277" spans="1:34" s="78" customFormat="1" ht="12" customHeight="1">
      <c r="A277" s="100">
        <v>2075</v>
      </c>
      <c r="B277" s="101" t="s">
        <v>3400</v>
      </c>
      <c r="C277" s="101" t="s">
        <v>3400</v>
      </c>
      <c r="D277" s="101" t="s">
        <v>3401</v>
      </c>
      <c r="E277" s="100">
        <v>2</v>
      </c>
      <c r="F277" s="143">
        <v>3</v>
      </c>
      <c r="G277" s="103">
        <v>275</v>
      </c>
      <c r="H277" s="144" t="s">
        <v>1887</v>
      </c>
      <c r="I277" s="148" t="s">
        <v>1887</v>
      </c>
      <c r="J277" s="146">
        <v>20500100611902</v>
      </c>
      <c r="K277" s="147" t="s">
        <v>353</v>
      </c>
      <c r="L277" s="147"/>
      <c r="M277" s="147">
        <v>90</v>
      </c>
      <c r="N277" s="148" t="s">
        <v>1888</v>
      </c>
      <c r="O277" s="144" t="s">
        <v>1889</v>
      </c>
      <c r="P277" s="148">
        <v>5669186</v>
      </c>
      <c r="Q277" s="144" t="s">
        <v>1890</v>
      </c>
      <c r="R277" s="144" t="s">
        <v>1891</v>
      </c>
      <c r="S277" s="149" t="s">
        <v>1892</v>
      </c>
      <c r="T277" s="307">
        <v>37</v>
      </c>
      <c r="U277" s="172">
        <v>18</v>
      </c>
      <c r="V277" s="172">
        <v>0</v>
      </c>
      <c r="W277" s="300" t="s">
        <v>3401</v>
      </c>
      <c r="X277" s="300" t="s">
        <v>3400</v>
      </c>
      <c r="Y277" s="318">
        <v>55</v>
      </c>
      <c r="Z277" s="307">
        <v>0</v>
      </c>
      <c r="AA277" s="172">
        <v>0</v>
      </c>
      <c r="AB277" s="172">
        <v>0</v>
      </c>
      <c r="AC277" s="300"/>
      <c r="AD277" s="300"/>
      <c r="AE277" s="318">
        <v>0</v>
      </c>
      <c r="AF277" s="319">
        <f t="shared" si="4"/>
        <v>55</v>
      </c>
      <c r="AG277" s="146"/>
      <c r="AH277" s="173"/>
    </row>
    <row r="278" spans="1:34" s="78" customFormat="1" ht="12" customHeight="1">
      <c r="A278" s="100">
        <v>2076</v>
      </c>
      <c r="B278" s="101" t="s">
        <v>3400</v>
      </c>
      <c r="C278" s="101" t="s">
        <v>3400</v>
      </c>
      <c r="D278" s="101" t="s">
        <v>3401</v>
      </c>
      <c r="E278" s="100">
        <v>2</v>
      </c>
      <c r="F278" s="143">
        <v>3</v>
      </c>
      <c r="G278" s="103">
        <v>276</v>
      </c>
      <c r="H278" s="144" t="s">
        <v>1893</v>
      </c>
      <c r="I278" s="148" t="s">
        <v>1893</v>
      </c>
      <c r="J278" s="146">
        <v>20500100611903</v>
      </c>
      <c r="K278" s="147" t="s">
        <v>353</v>
      </c>
      <c r="L278" s="147"/>
      <c r="M278" s="147">
        <v>90</v>
      </c>
      <c r="N278" s="148" t="s">
        <v>1894</v>
      </c>
      <c r="O278" s="144" t="s">
        <v>1895</v>
      </c>
      <c r="P278" s="148">
        <v>5381830</v>
      </c>
      <c r="Q278" s="144" t="s">
        <v>1890</v>
      </c>
      <c r="R278" s="144" t="s">
        <v>1896</v>
      </c>
      <c r="S278" s="149" t="s">
        <v>1897</v>
      </c>
      <c r="T278" s="307">
        <v>48</v>
      </c>
      <c r="U278" s="172">
        <v>21</v>
      </c>
      <c r="V278" s="172">
        <v>0</v>
      </c>
      <c r="W278" s="300" t="s">
        <v>3401</v>
      </c>
      <c r="X278" s="300" t="s">
        <v>3400</v>
      </c>
      <c r="Y278" s="318">
        <v>69</v>
      </c>
      <c r="Z278" s="307">
        <v>0</v>
      </c>
      <c r="AA278" s="172">
        <v>0</v>
      </c>
      <c r="AB278" s="172">
        <v>0</v>
      </c>
      <c r="AC278" s="300"/>
      <c r="AD278" s="300"/>
      <c r="AE278" s="318">
        <v>0</v>
      </c>
      <c r="AF278" s="319">
        <f t="shared" si="4"/>
        <v>69</v>
      </c>
      <c r="AG278" s="146"/>
      <c r="AH278" s="173"/>
    </row>
    <row r="279" spans="1:34" s="78" customFormat="1" ht="12" customHeight="1">
      <c r="A279" s="100">
        <v>2077</v>
      </c>
      <c r="B279" s="101" t="s">
        <v>3400</v>
      </c>
      <c r="C279" s="101" t="s">
        <v>3400</v>
      </c>
      <c r="D279" s="101" t="s">
        <v>3401</v>
      </c>
      <c r="E279" s="100">
        <v>2</v>
      </c>
      <c r="F279" s="143">
        <v>3</v>
      </c>
      <c r="G279" s="103">
        <v>277</v>
      </c>
      <c r="H279" s="144" t="s">
        <v>1898</v>
      </c>
      <c r="I279" s="148" t="s">
        <v>1898</v>
      </c>
      <c r="J279" s="146">
        <v>20500100611901</v>
      </c>
      <c r="K279" s="147" t="s">
        <v>353</v>
      </c>
      <c r="L279" s="147"/>
      <c r="M279" s="147">
        <v>90</v>
      </c>
      <c r="N279" s="148" t="s">
        <v>1899</v>
      </c>
      <c r="O279" s="144" t="s">
        <v>1900</v>
      </c>
      <c r="P279" s="148" t="s">
        <v>1901</v>
      </c>
      <c r="Q279" s="144" t="s">
        <v>1890</v>
      </c>
      <c r="R279" s="144" t="s">
        <v>1902</v>
      </c>
      <c r="S279" s="149" t="s">
        <v>1897</v>
      </c>
      <c r="T279" s="307">
        <v>87</v>
      </c>
      <c r="U279" s="172">
        <v>37</v>
      </c>
      <c r="V279" s="172">
        <v>0</v>
      </c>
      <c r="W279" s="300" t="s">
        <v>3401</v>
      </c>
      <c r="X279" s="300" t="s">
        <v>3400</v>
      </c>
      <c r="Y279" s="318">
        <v>124</v>
      </c>
      <c r="Z279" s="307">
        <v>0</v>
      </c>
      <c r="AA279" s="172">
        <v>0</v>
      </c>
      <c r="AB279" s="172">
        <v>0</v>
      </c>
      <c r="AC279" s="300"/>
      <c r="AD279" s="300"/>
      <c r="AE279" s="318">
        <v>0</v>
      </c>
      <c r="AF279" s="319">
        <f t="shared" si="4"/>
        <v>124</v>
      </c>
      <c r="AG279" s="146"/>
      <c r="AH279" s="173"/>
    </row>
    <row r="280" spans="1:34" s="78" customFormat="1" ht="12" customHeight="1">
      <c r="A280" s="100">
        <v>2078</v>
      </c>
      <c r="B280" s="101" t="s">
        <v>3400</v>
      </c>
      <c r="C280" s="101" t="s">
        <v>3400</v>
      </c>
      <c r="D280" s="101" t="s">
        <v>3401</v>
      </c>
      <c r="E280" s="100">
        <v>2</v>
      </c>
      <c r="F280" s="143">
        <v>3</v>
      </c>
      <c r="G280" s="103">
        <v>278</v>
      </c>
      <c r="H280" s="144" t="s">
        <v>1903</v>
      </c>
      <c r="I280" s="148" t="s">
        <v>1903</v>
      </c>
      <c r="J280" s="146">
        <v>20500100622401</v>
      </c>
      <c r="K280" s="147" t="s">
        <v>353</v>
      </c>
      <c r="L280" s="147"/>
      <c r="M280" s="147">
        <v>90</v>
      </c>
      <c r="N280" s="148" t="s">
        <v>1904</v>
      </c>
      <c r="O280" s="144" t="s">
        <v>1905</v>
      </c>
      <c r="P280" s="148">
        <v>5669390</v>
      </c>
      <c r="Q280" s="144" t="s">
        <v>1906</v>
      </c>
      <c r="R280" s="144" t="s">
        <v>1907</v>
      </c>
      <c r="S280" s="149" t="s">
        <v>1908</v>
      </c>
      <c r="T280" s="307">
        <v>70</v>
      </c>
      <c r="U280" s="172">
        <v>34</v>
      </c>
      <c r="V280" s="172">
        <v>0</v>
      </c>
      <c r="W280" s="300" t="s">
        <v>3401</v>
      </c>
      <c r="X280" s="300" t="s">
        <v>3400</v>
      </c>
      <c r="Y280" s="318">
        <v>104</v>
      </c>
      <c r="Z280" s="307">
        <v>0</v>
      </c>
      <c r="AA280" s="172">
        <v>0</v>
      </c>
      <c r="AB280" s="172">
        <v>0</v>
      </c>
      <c r="AC280" s="300"/>
      <c r="AD280" s="300"/>
      <c r="AE280" s="318">
        <v>0</v>
      </c>
      <c r="AF280" s="319">
        <f t="shared" si="4"/>
        <v>104</v>
      </c>
      <c r="AG280" s="146"/>
      <c r="AH280" s="173"/>
    </row>
    <row r="281" spans="1:34" s="78" customFormat="1" ht="12" customHeight="1">
      <c r="A281" s="100">
        <v>2079</v>
      </c>
      <c r="B281" s="101" t="s">
        <v>3400</v>
      </c>
      <c r="C281" s="101" t="s">
        <v>3400</v>
      </c>
      <c r="D281" s="101" t="s">
        <v>3401</v>
      </c>
      <c r="E281" s="100">
        <v>2</v>
      </c>
      <c r="F281" s="143">
        <v>3</v>
      </c>
      <c r="G281" s="103">
        <v>279</v>
      </c>
      <c r="H281" s="144" t="s">
        <v>1909</v>
      </c>
      <c r="I281" s="148" t="s">
        <v>1909</v>
      </c>
      <c r="J281" s="146">
        <v>30500102251801</v>
      </c>
      <c r="K281" s="147" t="s">
        <v>431</v>
      </c>
      <c r="L281" s="147"/>
      <c r="M281" s="147">
        <v>10</v>
      </c>
      <c r="N281" s="148" t="s">
        <v>1829</v>
      </c>
      <c r="O281" s="144" t="s">
        <v>1910</v>
      </c>
      <c r="P281" s="148" t="s">
        <v>1911</v>
      </c>
      <c r="Q281" s="144" t="s">
        <v>1912</v>
      </c>
      <c r="R281" s="144"/>
      <c r="S281" s="149"/>
      <c r="T281" s="307">
        <v>30</v>
      </c>
      <c r="U281" s="172">
        <v>90</v>
      </c>
      <c r="V281" s="172">
        <v>0</v>
      </c>
      <c r="W281" s="300" t="s">
        <v>3401</v>
      </c>
      <c r="X281" s="300" t="s">
        <v>3400</v>
      </c>
      <c r="Y281" s="318">
        <v>120</v>
      </c>
      <c r="Z281" s="307">
        <v>0</v>
      </c>
      <c r="AA281" s="172">
        <v>0</v>
      </c>
      <c r="AB281" s="172">
        <v>0</v>
      </c>
      <c r="AC281" s="300"/>
      <c r="AD281" s="300"/>
      <c r="AE281" s="318">
        <v>0</v>
      </c>
      <c r="AF281" s="319">
        <f t="shared" si="4"/>
        <v>120</v>
      </c>
      <c r="AG281" s="146"/>
      <c r="AH281" s="173"/>
    </row>
    <row r="282" spans="1:34" s="78" customFormat="1" ht="12" customHeight="1">
      <c r="A282" s="100">
        <v>2080</v>
      </c>
      <c r="B282" s="101" t="s">
        <v>3400</v>
      </c>
      <c r="C282" s="101" t="s">
        <v>3400</v>
      </c>
      <c r="D282" s="101" t="s">
        <v>3402</v>
      </c>
      <c r="E282" s="100">
        <v>2</v>
      </c>
      <c r="F282" s="143">
        <v>4</v>
      </c>
      <c r="G282" s="103">
        <v>280</v>
      </c>
      <c r="H282" s="144" t="s">
        <v>1913</v>
      </c>
      <c r="I282" s="145" t="s">
        <v>1913</v>
      </c>
      <c r="J282" s="146">
        <v>10500100211901</v>
      </c>
      <c r="K282" s="147" t="s">
        <v>353</v>
      </c>
      <c r="L282" s="147" t="s">
        <v>303</v>
      </c>
      <c r="M282" s="147">
        <v>11</v>
      </c>
      <c r="N282" s="148" t="s">
        <v>1914</v>
      </c>
      <c r="O282" s="144" t="s">
        <v>1915</v>
      </c>
      <c r="P282" s="148" t="s">
        <v>1916</v>
      </c>
      <c r="Q282" s="144" t="s">
        <v>1917</v>
      </c>
      <c r="R282" s="144" t="s">
        <v>1918</v>
      </c>
      <c r="S282" s="149" t="s">
        <v>1919</v>
      </c>
      <c r="T282" s="307">
        <v>0</v>
      </c>
      <c r="U282" s="172">
        <v>250</v>
      </c>
      <c r="V282" s="172">
        <v>200</v>
      </c>
      <c r="W282" s="300" t="s">
        <v>3401</v>
      </c>
      <c r="X282" s="300" t="s">
        <v>3400</v>
      </c>
      <c r="Y282" s="318">
        <v>450</v>
      </c>
      <c r="Z282" s="307">
        <v>0</v>
      </c>
      <c r="AA282" s="172">
        <v>200</v>
      </c>
      <c r="AB282" s="172">
        <v>100</v>
      </c>
      <c r="AC282" s="300" t="s">
        <v>3399</v>
      </c>
      <c r="AD282" s="300" t="s">
        <v>3400</v>
      </c>
      <c r="AE282" s="318">
        <v>300</v>
      </c>
      <c r="AF282" s="319">
        <f t="shared" si="4"/>
        <v>750</v>
      </c>
      <c r="AG282" s="146"/>
      <c r="AH282" s="173"/>
    </row>
    <row r="283" spans="1:34" s="78" customFormat="1" ht="12" customHeight="1">
      <c r="A283" s="100">
        <v>2081</v>
      </c>
      <c r="B283" s="101" t="s">
        <v>3400</v>
      </c>
      <c r="C283" s="101" t="s">
        <v>3400</v>
      </c>
      <c r="D283" s="101" t="s">
        <v>3401</v>
      </c>
      <c r="E283" s="100">
        <v>2</v>
      </c>
      <c r="F283" s="143">
        <v>4</v>
      </c>
      <c r="G283" s="103">
        <v>281</v>
      </c>
      <c r="H283" s="144" t="s">
        <v>1920</v>
      </c>
      <c r="I283" s="145" t="s">
        <v>1921</v>
      </c>
      <c r="J283" s="146">
        <v>10500100125201</v>
      </c>
      <c r="K283" s="147" t="s">
        <v>353</v>
      </c>
      <c r="L283" s="147" t="s">
        <v>303</v>
      </c>
      <c r="M283" s="147">
        <v>12</v>
      </c>
      <c r="N283" s="148" t="s">
        <v>1277</v>
      </c>
      <c r="O283" s="144" t="s">
        <v>1922</v>
      </c>
      <c r="P283" s="148" t="s">
        <v>1923</v>
      </c>
      <c r="Q283" s="144" t="s">
        <v>1924</v>
      </c>
      <c r="R283" s="144" t="s">
        <v>1925</v>
      </c>
      <c r="S283" s="149" t="s">
        <v>1926</v>
      </c>
      <c r="T283" s="307">
        <v>0</v>
      </c>
      <c r="U283" s="172">
        <v>8</v>
      </c>
      <c r="V283" s="172">
        <v>147</v>
      </c>
      <c r="W283" s="300" t="s">
        <v>3401</v>
      </c>
      <c r="X283" s="300" t="s">
        <v>3400</v>
      </c>
      <c r="Y283" s="318">
        <v>155</v>
      </c>
      <c r="Z283" s="307">
        <v>0</v>
      </c>
      <c r="AA283" s="172">
        <v>0</v>
      </c>
      <c r="AB283" s="172">
        <v>0</v>
      </c>
      <c r="AC283" s="300"/>
      <c r="AD283" s="300"/>
      <c r="AE283" s="318">
        <v>0</v>
      </c>
      <c r="AF283" s="319">
        <f t="shared" si="4"/>
        <v>155</v>
      </c>
      <c r="AG283" s="146"/>
      <c r="AH283" s="173"/>
    </row>
    <row r="284" spans="1:34" s="78" customFormat="1" ht="12" customHeight="1">
      <c r="A284" s="100">
        <v>2082</v>
      </c>
      <c r="B284" s="101" t="s">
        <v>3400</v>
      </c>
      <c r="C284" s="101" t="s">
        <v>3400</v>
      </c>
      <c r="D284" s="101" t="s">
        <v>3401</v>
      </c>
      <c r="E284" s="100">
        <v>2</v>
      </c>
      <c r="F284" s="143">
        <v>4</v>
      </c>
      <c r="G284" s="103">
        <v>282</v>
      </c>
      <c r="H284" s="144" t="s">
        <v>1927</v>
      </c>
      <c r="I284" s="145" t="s">
        <v>1928</v>
      </c>
      <c r="J284" s="146">
        <v>10500100125201</v>
      </c>
      <c r="K284" s="147" t="s">
        <v>353</v>
      </c>
      <c r="L284" s="326"/>
      <c r="M284" s="147">
        <v>12</v>
      </c>
      <c r="N284" s="148"/>
      <c r="O284" s="144"/>
      <c r="P284" s="148"/>
      <c r="Q284" s="144"/>
      <c r="R284" s="144"/>
      <c r="S284" s="149"/>
      <c r="T284" s="307">
        <v>130</v>
      </c>
      <c r="U284" s="172">
        <v>0</v>
      </c>
      <c r="V284" s="172">
        <v>0</v>
      </c>
      <c r="W284" s="300" t="s">
        <v>3401</v>
      </c>
      <c r="X284" s="300" t="s">
        <v>3400</v>
      </c>
      <c r="Y284" s="318">
        <v>130</v>
      </c>
      <c r="Z284" s="307">
        <v>0</v>
      </c>
      <c r="AA284" s="172">
        <v>0</v>
      </c>
      <c r="AB284" s="172">
        <v>0</v>
      </c>
      <c r="AC284" s="300"/>
      <c r="AD284" s="300"/>
      <c r="AE284" s="318">
        <v>0</v>
      </c>
      <c r="AF284" s="319">
        <f t="shared" si="4"/>
        <v>130</v>
      </c>
      <c r="AG284" s="146"/>
      <c r="AH284" s="173"/>
    </row>
    <row r="285" spans="1:34" s="78" customFormat="1" ht="12" customHeight="1">
      <c r="A285" s="100">
        <v>2083</v>
      </c>
      <c r="B285" s="101" t="s">
        <v>3400</v>
      </c>
      <c r="C285" s="101" t="s">
        <v>3400</v>
      </c>
      <c r="D285" s="101" t="s">
        <v>3401</v>
      </c>
      <c r="E285" s="100">
        <v>2</v>
      </c>
      <c r="F285" s="143">
        <v>4</v>
      </c>
      <c r="G285" s="103">
        <v>283</v>
      </c>
      <c r="H285" s="144" t="s">
        <v>1929</v>
      </c>
      <c r="I285" s="145" t="s">
        <v>1929</v>
      </c>
      <c r="J285" s="146">
        <v>10500100188104</v>
      </c>
      <c r="K285" s="147" t="s">
        <v>353</v>
      </c>
      <c r="L285" s="147" t="s">
        <v>303</v>
      </c>
      <c r="M285" s="147">
        <v>12</v>
      </c>
      <c r="N285" s="148" t="s">
        <v>1258</v>
      </c>
      <c r="O285" s="144" t="s">
        <v>1930</v>
      </c>
      <c r="P285" s="148">
        <v>2520596</v>
      </c>
      <c r="Q285" s="144" t="s">
        <v>1931</v>
      </c>
      <c r="R285" s="144"/>
      <c r="S285" s="144" t="s">
        <v>1932</v>
      </c>
      <c r="T285" s="172">
        <v>270</v>
      </c>
      <c r="U285" s="172">
        <v>120</v>
      </c>
      <c r="V285" s="172">
        <v>0</v>
      </c>
      <c r="W285" s="300" t="s">
        <v>3401</v>
      </c>
      <c r="X285" s="300" t="s">
        <v>3400</v>
      </c>
      <c r="Y285" s="327">
        <v>390</v>
      </c>
      <c r="Z285" s="172">
        <v>0</v>
      </c>
      <c r="AA285" s="172">
        <v>0</v>
      </c>
      <c r="AB285" s="172">
        <v>0</v>
      </c>
      <c r="AC285" s="300"/>
      <c r="AD285" s="300"/>
      <c r="AE285" s="327">
        <v>0</v>
      </c>
      <c r="AF285" s="328">
        <f t="shared" si="4"/>
        <v>390</v>
      </c>
      <c r="AG285" s="146"/>
      <c r="AH285" s="173"/>
    </row>
    <row r="286" spans="1:34" s="78" customFormat="1" ht="12" customHeight="1">
      <c r="A286" s="100">
        <v>2084</v>
      </c>
      <c r="B286" s="101" t="s">
        <v>3400</v>
      </c>
      <c r="C286" s="101" t="s">
        <v>3400</v>
      </c>
      <c r="D286" s="101" t="s">
        <v>3402</v>
      </c>
      <c r="E286" s="100">
        <v>2</v>
      </c>
      <c r="F286" s="143">
        <v>4</v>
      </c>
      <c r="G286" s="103">
        <v>284</v>
      </c>
      <c r="H286" s="144" t="s">
        <v>1933</v>
      </c>
      <c r="I286" s="145" t="s">
        <v>1933</v>
      </c>
      <c r="J286" s="146">
        <v>10500102119901</v>
      </c>
      <c r="K286" s="147" t="s">
        <v>353</v>
      </c>
      <c r="L286" s="147" t="s">
        <v>303</v>
      </c>
      <c r="M286" s="147">
        <v>13</v>
      </c>
      <c r="N286" s="148" t="s">
        <v>1314</v>
      </c>
      <c r="O286" s="144" t="s">
        <v>1934</v>
      </c>
      <c r="P286" s="148">
        <v>4929808</v>
      </c>
      <c r="Q286" s="144" t="s">
        <v>1935</v>
      </c>
      <c r="R286" s="144" t="s">
        <v>1936</v>
      </c>
      <c r="S286" s="149" t="s">
        <v>1937</v>
      </c>
      <c r="T286" s="307">
        <v>0</v>
      </c>
      <c r="U286" s="172">
        <v>136</v>
      </c>
      <c r="V286" s="172">
        <v>294</v>
      </c>
      <c r="W286" s="300" t="s">
        <v>3401</v>
      </c>
      <c r="X286" s="300" t="s">
        <v>3400</v>
      </c>
      <c r="Y286" s="318">
        <v>430</v>
      </c>
      <c r="Z286" s="307">
        <v>0</v>
      </c>
      <c r="AA286" s="172">
        <v>224</v>
      </c>
      <c r="AB286" s="172">
        <v>20</v>
      </c>
      <c r="AC286" s="300" t="s">
        <v>3399</v>
      </c>
      <c r="AD286" s="300" t="s">
        <v>3400</v>
      </c>
      <c r="AE286" s="318">
        <v>244</v>
      </c>
      <c r="AF286" s="319">
        <f t="shared" si="4"/>
        <v>674</v>
      </c>
      <c r="AG286" s="146" t="s">
        <v>404</v>
      </c>
      <c r="AH286" s="152"/>
    </row>
    <row r="287" spans="1:34" s="78" customFormat="1" ht="12" customHeight="1">
      <c r="A287" s="100">
        <v>2085</v>
      </c>
      <c r="B287" s="101" t="s">
        <v>3400</v>
      </c>
      <c r="C287" s="101" t="s">
        <v>3400</v>
      </c>
      <c r="D287" s="101" t="s">
        <v>3401</v>
      </c>
      <c r="E287" s="100">
        <v>2</v>
      </c>
      <c r="F287" s="143">
        <v>4</v>
      </c>
      <c r="G287" s="103">
        <v>285</v>
      </c>
      <c r="H287" s="144" t="s">
        <v>1938</v>
      </c>
      <c r="I287" s="145" t="s">
        <v>1939</v>
      </c>
      <c r="J287" s="146">
        <v>20500100773501</v>
      </c>
      <c r="K287" s="147" t="s">
        <v>353</v>
      </c>
      <c r="L287" s="147" t="s">
        <v>303</v>
      </c>
      <c r="M287" s="147">
        <v>50</v>
      </c>
      <c r="N287" s="148" t="s">
        <v>1940</v>
      </c>
      <c r="O287" s="144" t="s">
        <v>1941</v>
      </c>
      <c r="P287" s="148" t="s">
        <v>1942</v>
      </c>
      <c r="Q287" s="144" t="s">
        <v>1943</v>
      </c>
      <c r="R287" s="144" t="s">
        <v>1944</v>
      </c>
      <c r="S287" s="149" t="s">
        <v>1945</v>
      </c>
      <c r="T287" s="307">
        <v>0</v>
      </c>
      <c r="U287" s="172">
        <v>135</v>
      </c>
      <c r="V287" s="172">
        <v>30</v>
      </c>
      <c r="W287" s="300" t="s">
        <v>3401</v>
      </c>
      <c r="X287" s="300" t="s">
        <v>3400</v>
      </c>
      <c r="Y287" s="318">
        <v>165</v>
      </c>
      <c r="Z287" s="307">
        <v>0</v>
      </c>
      <c r="AA287" s="172">
        <v>0</v>
      </c>
      <c r="AB287" s="172">
        <v>0</v>
      </c>
      <c r="AC287" s="300"/>
      <c r="AD287" s="300"/>
      <c r="AE287" s="318">
        <v>0</v>
      </c>
      <c r="AF287" s="319">
        <f t="shared" si="4"/>
        <v>165</v>
      </c>
      <c r="AG287" s="146"/>
      <c r="AH287" s="173"/>
    </row>
    <row r="288" spans="1:34" s="78" customFormat="1" ht="12" customHeight="1">
      <c r="A288" s="100">
        <v>2086</v>
      </c>
      <c r="B288" s="101" t="s">
        <v>3400</v>
      </c>
      <c r="C288" s="101" t="s">
        <v>3400</v>
      </c>
      <c r="D288" s="101" t="s">
        <v>3401</v>
      </c>
      <c r="E288" s="100">
        <v>2</v>
      </c>
      <c r="F288" s="143">
        <v>4</v>
      </c>
      <c r="G288" s="103">
        <v>286</v>
      </c>
      <c r="H288" s="144" t="s">
        <v>1938</v>
      </c>
      <c r="I288" s="145" t="s">
        <v>1938</v>
      </c>
      <c r="J288" s="146">
        <v>20500100773502</v>
      </c>
      <c r="K288" s="147" t="s">
        <v>353</v>
      </c>
      <c r="L288" s="147" t="s">
        <v>303</v>
      </c>
      <c r="M288" s="147">
        <v>50</v>
      </c>
      <c r="N288" s="148" t="s">
        <v>1940</v>
      </c>
      <c r="O288" s="144" t="s">
        <v>1941</v>
      </c>
      <c r="P288" s="148" t="s">
        <v>1942</v>
      </c>
      <c r="Q288" s="144" t="s">
        <v>1943</v>
      </c>
      <c r="R288" s="144" t="s">
        <v>1944</v>
      </c>
      <c r="S288" s="149" t="s">
        <v>1945</v>
      </c>
      <c r="T288" s="307">
        <v>85</v>
      </c>
      <c r="U288" s="172">
        <v>54</v>
      </c>
      <c r="V288" s="172">
        <v>0</v>
      </c>
      <c r="W288" s="300" t="s">
        <v>3401</v>
      </c>
      <c r="X288" s="300" t="s">
        <v>3400</v>
      </c>
      <c r="Y288" s="318">
        <v>139</v>
      </c>
      <c r="Z288" s="307">
        <v>0</v>
      </c>
      <c r="AA288" s="172">
        <v>0</v>
      </c>
      <c r="AB288" s="172">
        <v>0</v>
      </c>
      <c r="AC288" s="300"/>
      <c r="AD288" s="300"/>
      <c r="AE288" s="318">
        <v>0</v>
      </c>
      <c r="AF288" s="319">
        <f t="shared" si="4"/>
        <v>139</v>
      </c>
      <c r="AG288" s="146"/>
      <c r="AH288" s="173"/>
    </row>
    <row r="289" spans="1:34" s="78" customFormat="1" ht="12" customHeight="1">
      <c r="A289" s="100">
        <v>2087</v>
      </c>
      <c r="B289" s="101" t="s">
        <v>3400</v>
      </c>
      <c r="C289" s="101" t="s">
        <v>3400</v>
      </c>
      <c r="D289" s="101" t="s">
        <v>3401</v>
      </c>
      <c r="E289" s="100">
        <v>2</v>
      </c>
      <c r="F289" s="143">
        <v>4</v>
      </c>
      <c r="G289" s="103">
        <v>287</v>
      </c>
      <c r="H289" s="144" t="s">
        <v>1946</v>
      </c>
      <c r="I289" s="145" t="s">
        <v>1947</v>
      </c>
      <c r="J289" s="146">
        <v>20500100196602</v>
      </c>
      <c r="K289" s="147" t="s">
        <v>353</v>
      </c>
      <c r="L289" s="147"/>
      <c r="M289" s="147">
        <v>50</v>
      </c>
      <c r="N289" s="148" t="s">
        <v>1948</v>
      </c>
      <c r="O289" s="144" t="s">
        <v>1949</v>
      </c>
      <c r="P289" s="148" t="s">
        <v>1950</v>
      </c>
      <c r="Q289" s="144" t="s">
        <v>1951</v>
      </c>
      <c r="R289" s="144" t="s">
        <v>1952</v>
      </c>
      <c r="S289" s="149" t="s">
        <v>1953</v>
      </c>
      <c r="T289" s="307">
        <v>10</v>
      </c>
      <c r="U289" s="172">
        <v>6</v>
      </c>
      <c r="V289" s="172">
        <v>0</v>
      </c>
      <c r="W289" s="300" t="s">
        <v>3401</v>
      </c>
      <c r="X289" s="300" t="s">
        <v>3400</v>
      </c>
      <c r="Y289" s="318">
        <v>16</v>
      </c>
      <c r="Z289" s="307">
        <v>0</v>
      </c>
      <c r="AA289" s="172">
        <v>0</v>
      </c>
      <c r="AB289" s="172">
        <v>0</v>
      </c>
      <c r="AC289" s="300"/>
      <c r="AD289" s="300"/>
      <c r="AE289" s="318">
        <v>0</v>
      </c>
      <c r="AF289" s="319">
        <f t="shared" si="4"/>
        <v>16</v>
      </c>
      <c r="AG289" s="146"/>
      <c r="AH289" s="173"/>
    </row>
    <row r="290" spans="1:34" s="78" customFormat="1" ht="12" customHeight="1">
      <c r="A290" s="100">
        <v>2088</v>
      </c>
      <c r="B290" s="101" t="s">
        <v>3400</v>
      </c>
      <c r="C290" s="101" t="s">
        <v>3400</v>
      </c>
      <c r="D290" s="101" t="s">
        <v>3401</v>
      </c>
      <c r="E290" s="100">
        <v>2</v>
      </c>
      <c r="F290" s="143">
        <v>4</v>
      </c>
      <c r="G290" s="103">
        <v>288</v>
      </c>
      <c r="H290" s="144" t="s">
        <v>1954</v>
      </c>
      <c r="I290" s="145" t="s">
        <v>1954</v>
      </c>
      <c r="J290" s="146">
        <v>20500100196603</v>
      </c>
      <c r="K290" s="147" t="s">
        <v>353</v>
      </c>
      <c r="L290" s="147"/>
      <c r="M290" s="147">
        <v>50</v>
      </c>
      <c r="N290" s="148" t="s">
        <v>1948</v>
      </c>
      <c r="O290" s="144" t="s">
        <v>1955</v>
      </c>
      <c r="P290" s="148">
        <v>4463248</v>
      </c>
      <c r="Q290" s="144" t="s">
        <v>1951</v>
      </c>
      <c r="R290" s="144" t="s">
        <v>1956</v>
      </c>
      <c r="S290" s="149" t="s">
        <v>1957</v>
      </c>
      <c r="T290" s="307">
        <v>12</v>
      </c>
      <c r="U290" s="172">
        <v>5</v>
      </c>
      <c r="V290" s="172">
        <v>0</v>
      </c>
      <c r="W290" s="300" t="s">
        <v>3401</v>
      </c>
      <c r="X290" s="300" t="s">
        <v>3400</v>
      </c>
      <c r="Y290" s="318">
        <v>17</v>
      </c>
      <c r="Z290" s="307">
        <v>0</v>
      </c>
      <c r="AA290" s="172">
        <v>0</v>
      </c>
      <c r="AB290" s="172">
        <v>0</v>
      </c>
      <c r="AC290" s="300"/>
      <c r="AD290" s="300"/>
      <c r="AE290" s="318">
        <v>0</v>
      </c>
      <c r="AF290" s="319">
        <f t="shared" si="4"/>
        <v>17</v>
      </c>
      <c r="AG290" s="146"/>
      <c r="AH290" s="173"/>
    </row>
    <row r="291" spans="1:34" s="78" customFormat="1" ht="12" customHeight="1">
      <c r="A291" s="100">
        <v>2089</v>
      </c>
      <c r="B291" s="101" t="s">
        <v>3400</v>
      </c>
      <c r="C291" s="101" t="s">
        <v>3400</v>
      </c>
      <c r="D291" s="101" t="s">
        <v>3401</v>
      </c>
      <c r="E291" s="100">
        <v>2</v>
      </c>
      <c r="F291" s="153">
        <v>4</v>
      </c>
      <c r="G291" s="103">
        <v>289</v>
      </c>
      <c r="H291" s="144" t="s">
        <v>1946</v>
      </c>
      <c r="I291" s="155" t="s">
        <v>1946</v>
      </c>
      <c r="J291" s="156">
        <v>20500100196605</v>
      </c>
      <c r="K291" s="157" t="s">
        <v>353</v>
      </c>
      <c r="L291" s="147"/>
      <c r="M291" s="157">
        <v>50</v>
      </c>
      <c r="N291" s="158" t="s">
        <v>1948</v>
      </c>
      <c r="O291" s="154" t="s">
        <v>1958</v>
      </c>
      <c r="P291" s="158">
        <v>4463712</v>
      </c>
      <c r="Q291" s="154" t="s">
        <v>1951</v>
      </c>
      <c r="R291" s="154" t="s">
        <v>1959</v>
      </c>
      <c r="S291" s="159" t="s">
        <v>1960</v>
      </c>
      <c r="T291" s="329">
        <v>18</v>
      </c>
      <c r="U291" s="330">
        <v>5</v>
      </c>
      <c r="V291" s="330">
        <v>0</v>
      </c>
      <c r="W291" s="300" t="s">
        <v>3401</v>
      </c>
      <c r="X291" s="300" t="s">
        <v>3400</v>
      </c>
      <c r="Y291" s="318">
        <v>23</v>
      </c>
      <c r="Z291" s="329">
        <v>0</v>
      </c>
      <c r="AA291" s="330">
        <v>0</v>
      </c>
      <c r="AB291" s="330">
        <v>0</v>
      </c>
      <c r="AC291" s="300"/>
      <c r="AD291" s="300"/>
      <c r="AE291" s="318">
        <v>0</v>
      </c>
      <c r="AF291" s="331">
        <f t="shared" si="4"/>
        <v>23</v>
      </c>
      <c r="AG291" s="156"/>
      <c r="AH291" s="332" t="s">
        <v>1961</v>
      </c>
    </row>
    <row r="292" spans="1:34" s="78" customFormat="1" ht="12" customHeight="1">
      <c r="A292" s="100">
        <v>2090</v>
      </c>
      <c r="B292" s="101" t="s">
        <v>3400</v>
      </c>
      <c r="C292" s="101" t="s">
        <v>3400</v>
      </c>
      <c r="D292" s="101" t="s">
        <v>3401</v>
      </c>
      <c r="E292" s="100">
        <v>2</v>
      </c>
      <c r="F292" s="153">
        <v>4</v>
      </c>
      <c r="G292" s="103">
        <v>290</v>
      </c>
      <c r="H292" s="144" t="s">
        <v>1946</v>
      </c>
      <c r="I292" s="155" t="s">
        <v>1962</v>
      </c>
      <c r="J292" s="156">
        <v>30500102560601</v>
      </c>
      <c r="K292" s="157" t="s">
        <v>353</v>
      </c>
      <c r="L292" s="147"/>
      <c r="M292" s="157">
        <v>50</v>
      </c>
      <c r="N292" s="158" t="s">
        <v>1948</v>
      </c>
      <c r="O292" s="154" t="s">
        <v>1958</v>
      </c>
      <c r="P292" s="158">
        <v>4463712</v>
      </c>
      <c r="Q292" s="154" t="s">
        <v>1951</v>
      </c>
      <c r="R292" s="154" t="s">
        <v>1959</v>
      </c>
      <c r="S292" s="159" t="s">
        <v>1960</v>
      </c>
      <c r="T292" s="329">
        <v>0</v>
      </c>
      <c r="U292" s="330">
        <v>15</v>
      </c>
      <c r="V292" s="330">
        <v>15</v>
      </c>
      <c r="W292" s="300" t="s">
        <v>3401</v>
      </c>
      <c r="X292" s="300" t="s">
        <v>3400</v>
      </c>
      <c r="Y292" s="318">
        <v>30</v>
      </c>
      <c r="Z292" s="329">
        <v>0</v>
      </c>
      <c r="AA292" s="330">
        <v>0</v>
      </c>
      <c r="AB292" s="330">
        <v>0</v>
      </c>
      <c r="AC292" s="300"/>
      <c r="AD292" s="300"/>
      <c r="AE292" s="318">
        <v>0</v>
      </c>
      <c r="AF292" s="331">
        <f t="shared" si="4"/>
        <v>30</v>
      </c>
      <c r="AG292" s="156"/>
      <c r="AH292" s="332" t="s">
        <v>1963</v>
      </c>
    </row>
    <row r="293" spans="1:34" s="78" customFormat="1" ht="12" customHeight="1">
      <c r="A293" s="100">
        <v>2091</v>
      </c>
      <c r="B293" s="101" t="s">
        <v>3400</v>
      </c>
      <c r="C293" s="101" t="s">
        <v>3400</v>
      </c>
      <c r="D293" s="101" t="s">
        <v>3401</v>
      </c>
      <c r="E293" s="100">
        <v>2</v>
      </c>
      <c r="F293" s="153">
        <v>4</v>
      </c>
      <c r="G293" s="103">
        <v>291</v>
      </c>
      <c r="H293" s="144" t="s">
        <v>1964</v>
      </c>
      <c r="I293" s="158" t="s">
        <v>1964</v>
      </c>
      <c r="J293" s="158">
        <v>20500100196601</v>
      </c>
      <c r="K293" s="157" t="s">
        <v>353</v>
      </c>
      <c r="L293" s="147"/>
      <c r="M293" s="157">
        <v>50</v>
      </c>
      <c r="N293" s="158" t="s">
        <v>1948</v>
      </c>
      <c r="O293" s="158" t="s">
        <v>1965</v>
      </c>
      <c r="P293" s="158">
        <v>3870129</v>
      </c>
      <c r="Q293" s="158" t="s">
        <v>1951</v>
      </c>
      <c r="R293" s="157" t="s">
        <v>1966</v>
      </c>
      <c r="S293" s="333" t="s">
        <v>1953</v>
      </c>
      <c r="T293" s="334">
        <v>48</v>
      </c>
      <c r="U293" s="157">
        <v>18</v>
      </c>
      <c r="V293" s="157">
        <v>0</v>
      </c>
      <c r="W293" s="300" t="s">
        <v>3401</v>
      </c>
      <c r="X293" s="300" t="s">
        <v>3400</v>
      </c>
      <c r="Y293" s="335">
        <v>66</v>
      </c>
      <c r="Z293" s="334">
        <v>0</v>
      </c>
      <c r="AA293" s="157">
        <v>0</v>
      </c>
      <c r="AB293" s="157">
        <v>0</v>
      </c>
      <c r="AC293" s="300"/>
      <c r="AD293" s="300"/>
      <c r="AE293" s="335">
        <v>0</v>
      </c>
      <c r="AF293" s="153">
        <f t="shared" si="4"/>
        <v>66</v>
      </c>
      <c r="AG293" s="157" t="s">
        <v>404</v>
      </c>
      <c r="AH293" s="157" t="s">
        <v>1967</v>
      </c>
    </row>
    <row r="294" spans="1:34" s="78" customFormat="1" ht="12" customHeight="1">
      <c r="A294" s="100">
        <v>2092</v>
      </c>
      <c r="B294" s="101" t="s">
        <v>3400</v>
      </c>
      <c r="C294" s="101" t="s">
        <v>3400</v>
      </c>
      <c r="D294" s="101" t="s">
        <v>3401</v>
      </c>
      <c r="E294" s="100">
        <v>2</v>
      </c>
      <c r="F294" s="143">
        <v>4</v>
      </c>
      <c r="G294" s="103">
        <v>292</v>
      </c>
      <c r="H294" s="144" t="s">
        <v>1968</v>
      </c>
      <c r="I294" s="145" t="s">
        <v>1968</v>
      </c>
      <c r="J294" s="146">
        <v>20500100196607</v>
      </c>
      <c r="K294" s="147" t="s">
        <v>353</v>
      </c>
      <c r="L294" s="147"/>
      <c r="M294" s="147">
        <v>50</v>
      </c>
      <c r="N294" s="148" t="s">
        <v>1948</v>
      </c>
      <c r="O294" s="144" t="s">
        <v>1969</v>
      </c>
      <c r="P294" s="148">
        <v>3870825</v>
      </c>
      <c r="Q294" s="144" t="s">
        <v>1951</v>
      </c>
      <c r="R294" s="144" t="s">
        <v>1970</v>
      </c>
      <c r="S294" s="149" t="s">
        <v>1953</v>
      </c>
      <c r="T294" s="307">
        <v>10</v>
      </c>
      <c r="U294" s="172">
        <v>6</v>
      </c>
      <c r="V294" s="172">
        <v>0</v>
      </c>
      <c r="W294" s="300" t="s">
        <v>3401</v>
      </c>
      <c r="X294" s="300" t="s">
        <v>3400</v>
      </c>
      <c r="Y294" s="318">
        <v>16</v>
      </c>
      <c r="Z294" s="307">
        <v>0</v>
      </c>
      <c r="AA294" s="172">
        <v>0</v>
      </c>
      <c r="AB294" s="172">
        <v>0</v>
      </c>
      <c r="AC294" s="300"/>
      <c r="AD294" s="300"/>
      <c r="AE294" s="318">
        <v>0</v>
      </c>
      <c r="AF294" s="319">
        <f t="shared" ref="AF294:AF352" si="5">+Y294+AE294</f>
        <v>16</v>
      </c>
      <c r="AG294" s="146"/>
      <c r="AH294" s="173"/>
    </row>
    <row r="295" spans="1:34" s="78" customFormat="1" ht="12" customHeight="1">
      <c r="A295" s="100">
        <v>2093</v>
      </c>
      <c r="B295" s="101" t="s">
        <v>3400</v>
      </c>
      <c r="C295" s="101" t="s">
        <v>3400</v>
      </c>
      <c r="D295" s="101" t="s">
        <v>3401</v>
      </c>
      <c r="E295" s="100">
        <v>2</v>
      </c>
      <c r="F295" s="143">
        <v>4</v>
      </c>
      <c r="G295" s="103">
        <v>293</v>
      </c>
      <c r="H295" s="144" t="s">
        <v>1971</v>
      </c>
      <c r="I295" s="145" t="s">
        <v>1971</v>
      </c>
      <c r="J295" s="146">
        <v>20500100196606</v>
      </c>
      <c r="K295" s="147" t="s">
        <v>353</v>
      </c>
      <c r="L295" s="147"/>
      <c r="M295" s="147">
        <v>50</v>
      </c>
      <c r="N295" s="148" t="s">
        <v>1948</v>
      </c>
      <c r="O295" s="144" t="s">
        <v>1972</v>
      </c>
      <c r="P295" s="148">
        <v>3871105</v>
      </c>
      <c r="Q295" s="144" t="s">
        <v>1951</v>
      </c>
      <c r="R295" s="144" t="s">
        <v>1973</v>
      </c>
      <c r="S295" s="149" t="s">
        <v>1953</v>
      </c>
      <c r="T295" s="307">
        <v>12</v>
      </c>
      <c r="U295" s="172">
        <v>6</v>
      </c>
      <c r="V295" s="172">
        <v>0</v>
      </c>
      <c r="W295" s="300" t="s">
        <v>3401</v>
      </c>
      <c r="X295" s="300" t="s">
        <v>3400</v>
      </c>
      <c r="Y295" s="318">
        <v>18</v>
      </c>
      <c r="Z295" s="307">
        <v>0</v>
      </c>
      <c r="AA295" s="172">
        <v>0</v>
      </c>
      <c r="AB295" s="172">
        <v>0</v>
      </c>
      <c r="AC295" s="300"/>
      <c r="AD295" s="300"/>
      <c r="AE295" s="318">
        <v>0</v>
      </c>
      <c r="AF295" s="319">
        <f t="shared" si="5"/>
        <v>18</v>
      </c>
      <c r="AG295" s="146"/>
      <c r="AH295" s="173"/>
    </row>
    <row r="296" spans="1:34" s="78" customFormat="1" ht="12" customHeight="1">
      <c r="A296" s="100">
        <v>2094</v>
      </c>
      <c r="B296" s="101" t="s">
        <v>3400</v>
      </c>
      <c r="C296" s="101" t="s">
        <v>3400</v>
      </c>
      <c r="D296" s="101" t="s">
        <v>3401</v>
      </c>
      <c r="E296" s="100">
        <v>2</v>
      </c>
      <c r="F296" s="143">
        <v>4</v>
      </c>
      <c r="G296" s="103">
        <v>294</v>
      </c>
      <c r="H296" s="144" t="s">
        <v>1974</v>
      </c>
      <c r="I296" s="145" t="s">
        <v>1974</v>
      </c>
      <c r="J296" s="146">
        <v>20500100196604</v>
      </c>
      <c r="K296" s="147" t="s">
        <v>353</v>
      </c>
      <c r="L296" s="147"/>
      <c r="M296" s="147">
        <v>50</v>
      </c>
      <c r="N296" s="148" t="s">
        <v>1948</v>
      </c>
      <c r="O296" s="144" t="s">
        <v>1975</v>
      </c>
      <c r="P296" s="148">
        <v>4461379</v>
      </c>
      <c r="Q296" s="144" t="s">
        <v>1951</v>
      </c>
      <c r="R296" s="144" t="s">
        <v>1976</v>
      </c>
      <c r="S296" s="149" t="s">
        <v>1953</v>
      </c>
      <c r="T296" s="307">
        <v>10</v>
      </c>
      <c r="U296" s="172">
        <v>10</v>
      </c>
      <c r="V296" s="172">
        <v>0</v>
      </c>
      <c r="W296" s="300" t="s">
        <v>3401</v>
      </c>
      <c r="X296" s="300" t="s">
        <v>3400</v>
      </c>
      <c r="Y296" s="318">
        <v>20</v>
      </c>
      <c r="Z296" s="307">
        <v>0</v>
      </c>
      <c r="AA296" s="172">
        <v>0</v>
      </c>
      <c r="AB296" s="172">
        <v>0</v>
      </c>
      <c r="AC296" s="300"/>
      <c r="AD296" s="300"/>
      <c r="AE296" s="318">
        <v>0</v>
      </c>
      <c r="AF296" s="319">
        <f t="shared" si="5"/>
        <v>20</v>
      </c>
      <c r="AG296" s="146"/>
      <c r="AH296" s="173"/>
    </row>
    <row r="297" spans="1:34" s="78" customFormat="1" ht="12" customHeight="1">
      <c r="A297" s="100">
        <v>2095</v>
      </c>
      <c r="B297" s="101" t="s">
        <v>3400</v>
      </c>
      <c r="C297" s="101" t="s">
        <v>3400</v>
      </c>
      <c r="D297" s="101" t="s">
        <v>3401</v>
      </c>
      <c r="E297" s="100">
        <v>2</v>
      </c>
      <c r="F297" s="143">
        <v>4</v>
      </c>
      <c r="G297" s="103">
        <v>295</v>
      </c>
      <c r="H297" s="144" t="s">
        <v>1977</v>
      </c>
      <c r="I297" s="145" t="s">
        <v>1977</v>
      </c>
      <c r="J297" s="146">
        <v>10500101363301</v>
      </c>
      <c r="K297" s="147" t="s">
        <v>353</v>
      </c>
      <c r="L297" s="147"/>
      <c r="M297" s="147">
        <v>60</v>
      </c>
      <c r="N297" s="148" t="s">
        <v>1369</v>
      </c>
      <c r="O297" s="144" t="s">
        <v>1978</v>
      </c>
      <c r="P297" s="148" t="s">
        <v>1979</v>
      </c>
      <c r="Q297" s="144" t="s">
        <v>1980</v>
      </c>
      <c r="R297" s="144" t="s">
        <v>1981</v>
      </c>
      <c r="S297" s="149" t="s">
        <v>1982</v>
      </c>
      <c r="T297" s="307">
        <v>122</v>
      </c>
      <c r="U297" s="172">
        <v>111</v>
      </c>
      <c r="V297" s="172">
        <v>27</v>
      </c>
      <c r="W297" s="300" t="s">
        <v>3401</v>
      </c>
      <c r="X297" s="300" t="s">
        <v>3400</v>
      </c>
      <c r="Y297" s="318">
        <v>260</v>
      </c>
      <c r="Z297" s="307">
        <v>0</v>
      </c>
      <c r="AA297" s="172">
        <v>0</v>
      </c>
      <c r="AB297" s="172">
        <v>0</v>
      </c>
      <c r="AC297" s="300"/>
      <c r="AD297" s="300"/>
      <c r="AE297" s="318">
        <v>0</v>
      </c>
      <c r="AF297" s="319">
        <f t="shared" si="5"/>
        <v>260</v>
      </c>
      <c r="AG297" s="146"/>
      <c r="AH297" s="173"/>
    </row>
    <row r="298" spans="1:34" s="78" customFormat="1" ht="12" customHeight="1">
      <c r="A298" s="100">
        <v>2096</v>
      </c>
      <c r="B298" s="101" t="s">
        <v>3400</v>
      </c>
      <c r="C298" s="101" t="s">
        <v>3400</v>
      </c>
      <c r="D298" s="101" t="s">
        <v>3401</v>
      </c>
      <c r="E298" s="100">
        <v>2</v>
      </c>
      <c r="F298" s="143">
        <v>4</v>
      </c>
      <c r="G298" s="103">
        <v>296</v>
      </c>
      <c r="H298" s="144" t="s">
        <v>1983</v>
      </c>
      <c r="I298" s="145" t="s">
        <v>1983</v>
      </c>
      <c r="J298" s="146">
        <v>10500101363302</v>
      </c>
      <c r="K298" s="147" t="s">
        <v>353</v>
      </c>
      <c r="L298" s="147"/>
      <c r="M298" s="147">
        <v>60</v>
      </c>
      <c r="N298" s="148" t="s">
        <v>1369</v>
      </c>
      <c r="O298" s="144" t="s">
        <v>1984</v>
      </c>
      <c r="P298" s="148">
        <v>2530223</v>
      </c>
      <c r="Q298" s="144" t="s">
        <v>1980</v>
      </c>
      <c r="R298" s="144" t="s">
        <v>1985</v>
      </c>
      <c r="S298" s="149" t="s">
        <v>1986</v>
      </c>
      <c r="T298" s="307">
        <v>102</v>
      </c>
      <c r="U298" s="172">
        <v>138</v>
      </c>
      <c r="V298" s="172">
        <v>9</v>
      </c>
      <c r="W298" s="300" t="s">
        <v>3401</v>
      </c>
      <c r="X298" s="300" t="s">
        <v>3400</v>
      </c>
      <c r="Y298" s="318">
        <v>249</v>
      </c>
      <c r="Z298" s="307">
        <v>0</v>
      </c>
      <c r="AA298" s="172">
        <v>0</v>
      </c>
      <c r="AB298" s="172">
        <v>0</v>
      </c>
      <c r="AC298" s="300"/>
      <c r="AD298" s="300"/>
      <c r="AE298" s="318">
        <v>0</v>
      </c>
      <c r="AF298" s="319">
        <f t="shared" si="5"/>
        <v>249</v>
      </c>
      <c r="AG298" s="146"/>
      <c r="AH298" s="173"/>
    </row>
    <row r="299" spans="1:34" s="78" customFormat="1" ht="12" customHeight="1">
      <c r="A299" s="100">
        <v>2097</v>
      </c>
      <c r="B299" s="101" t="s">
        <v>3400</v>
      </c>
      <c r="C299" s="101" t="s">
        <v>3400</v>
      </c>
      <c r="D299" s="101" t="s">
        <v>3401</v>
      </c>
      <c r="E299" s="100">
        <v>2</v>
      </c>
      <c r="F299" s="143">
        <v>4</v>
      </c>
      <c r="G299" s="103">
        <v>297</v>
      </c>
      <c r="H299" s="144" t="s">
        <v>1987</v>
      </c>
      <c r="I299" s="145" t="s">
        <v>1987</v>
      </c>
      <c r="J299" s="146">
        <v>20500100623201</v>
      </c>
      <c r="K299" s="147" t="s">
        <v>353</v>
      </c>
      <c r="L299" s="147"/>
      <c r="M299" s="147">
        <v>60</v>
      </c>
      <c r="N299" s="148" t="s">
        <v>1369</v>
      </c>
      <c r="O299" s="144" t="s">
        <v>1988</v>
      </c>
      <c r="P299" s="148" t="s">
        <v>1989</v>
      </c>
      <c r="Q299" s="144" t="s">
        <v>1990</v>
      </c>
      <c r="R299" s="144" t="s">
        <v>1991</v>
      </c>
      <c r="S299" s="149" t="s">
        <v>1992</v>
      </c>
      <c r="T299" s="307">
        <v>30</v>
      </c>
      <c r="U299" s="172">
        <v>140</v>
      </c>
      <c r="V299" s="172">
        <v>170</v>
      </c>
      <c r="W299" s="300" t="s">
        <v>3401</v>
      </c>
      <c r="X299" s="300" t="s">
        <v>3400</v>
      </c>
      <c r="Y299" s="318">
        <v>340</v>
      </c>
      <c r="Z299" s="307">
        <v>0</v>
      </c>
      <c r="AA299" s="172">
        <v>0</v>
      </c>
      <c r="AB299" s="172">
        <v>0</v>
      </c>
      <c r="AC299" s="300"/>
      <c r="AD299" s="300"/>
      <c r="AE299" s="318">
        <v>0</v>
      </c>
      <c r="AF299" s="319">
        <f t="shared" si="5"/>
        <v>340</v>
      </c>
      <c r="AG299" s="146" t="s">
        <v>404</v>
      </c>
      <c r="AH299" s="173"/>
    </row>
    <row r="300" spans="1:34" s="78" customFormat="1" ht="12" customHeight="1">
      <c r="A300" s="100">
        <v>2098</v>
      </c>
      <c r="B300" s="101" t="s">
        <v>3400</v>
      </c>
      <c r="C300" s="101" t="s">
        <v>3400</v>
      </c>
      <c r="D300" s="101" t="s">
        <v>3401</v>
      </c>
      <c r="E300" s="100">
        <v>2</v>
      </c>
      <c r="F300" s="143">
        <v>4</v>
      </c>
      <c r="G300" s="103">
        <v>298</v>
      </c>
      <c r="H300" s="144" t="s">
        <v>1993</v>
      </c>
      <c r="I300" s="145" t="s">
        <v>1993</v>
      </c>
      <c r="J300" s="146">
        <v>20500101998901</v>
      </c>
      <c r="K300" s="147" t="s">
        <v>353</v>
      </c>
      <c r="L300" s="147"/>
      <c r="M300" s="147">
        <v>60</v>
      </c>
      <c r="N300" s="148" t="s">
        <v>1369</v>
      </c>
      <c r="O300" s="144" t="s">
        <v>1994</v>
      </c>
      <c r="P300" s="148">
        <v>4273766</v>
      </c>
      <c r="Q300" s="144" t="s">
        <v>1995</v>
      </c>
      <c r="R300" s="144" t="s">
        <v>1996</v>
      </c>
      <c r="S300" s="149" t="s">
        <v>1997</v>
      </c>
      <c r="T300" s="307">
        <v>130</v>
      </c>
      <c r="U300" s="172">
        <v>70</v>
      </c>
      <c r="V300" s="172">
        <v>0</v>
      </c>
      <c r="W300" s="300" t="s">
        <v>3401</v>
      </c>
      <c r="X300" s="300" t="s">
        <v>3400</v>
      </c>
      <c r="Y300" s="318">
        <v>200</v>
      </c>
      <c r="Z300" s="307">
        <v>0</v>
      </c>
      <c r="AA300" s="172">
        <v>0</v>
      </c>
      <c r="AB300" s="172">
        <v>0</v>
      </c>
      <c r="AC300" s="300"/>
      <c r="AD300" s="300"/>
      <c r="AE300" s="318">
        <v>0</v>
      </c>
      <c r="AF300" s="319">
        <f t="shared" si="5"/>
        <v>200</v>
      </c>
      <c r="AG300" s="146"/>
      <c r="AH300" s="173"/>
    </row>
    <row r="301" spans="1:34" s="78" customFormat="1" ht="12" customHeight="1">
      <c r="A301" s="100">
        <v>2099</v>
      </c>
      <c r="B301" s="101" t="s">
        <v>3400</v>
      </c>
      <c r="C301" s="101" t="s">
        <v>3400</v>
      </c>
      <c r="D301" s="101" t="s">
        <v>3401</v>
      </c>
      <c r="E301" s="100">
        <v>2</v>
      </c>
      <c r="F301" s="143">
        <v>4</v>
      </c>
      <c r="G301" s="103">
        <v>299</v>
      </c>
      <c r="H301" s="144" t="s">
        <v>1998</v>
      </c>
      <c r="I301" s="145" t="s">
        <v>1998</v>
      </c>
      <c r="J301" s="146">
        <v>20500101998902</v>
      </c>
      <c r="K301" s="147" t="s">
        <v>353</v>
      </c>
      <c r="L301" s="147"/>
      <c r="M301" s="147">
        <v>60</v>
      </c>
      <c r="N301" s="148" t="s">
        <v>1369</v>
      </c>
      <c r="O301" s="144" t="s">
        <v>1999</v>
      </c>
      <c r="P301" s="148">
        <v>4271840</v>
      </c>
      <c r="Q301" s="144" t="s">
        <v>1995</v>
      </c>
      <c r="R301" s="144" t="s">
        <v>2000</v>
      </c>
      <c r="S301" s="149" t="s">
        <v>2001</v>
      </c>
      <c r="T301" s="307">
        <v>57</v>
      </c>
      <c r="U301" s="172">
        <v>39</v>
      </c>
      <c r="V301" s="172">
        <v>0</v>
      </c>
      <c r="W301" s="300" t="s">
        <v>3401</v>
      </c>
      <c r="X301" s="300" t="s">
        <v>3400</v>
      </c>
      <c r="Y301" s="318">
        <v>96</v>
      </c>
      <c r="Z301" s="307">
        <v>0</v>
      </c>
      <c r="AA301" s="172">
        <v>0</v>
      </c>
      <c r="AB301" s="172">
        <v>0</v>
      </c>
      <c r="AC301" s="300"/>
      <c r="AD301" s="300"/>
      <c r="AE301" s="318">
        <v>0</v>
      </c>
      <c r="AF301" s="319">
        <f t="shared" si="5"/>
        <v>96</v>
      </c>
      <c r="AG301" s="146"/>
      <c r="AH301" s="173"/>
    </row>
    <row r="302" spans="1:34" s="78" customFormat="1" ht="12" customHeight="1">
      <c r="A302" s="100">
        <v>2100</v>
      </c>
      <c r="B302" s="101" t="s">
        <v>3400</v>
      </c>
      <c r="C302" s="101" t="s">
        <v>3400</v>
      </c>
      <c r="D302" s="101" t="s">
        <v>3401</v>
      </c>
      <c r="E302" s="100">
        <v>2</v>
      </c>
      <c r="F302" s="143">
        <v>4</v>
      </c>
      <c r="G302" s="103">
        <v>300</v>
      </c>
      <c r="H302" s="144" t="s">
        <v>2002</v>
      </c>
      <c r="I302" s="145" t="s">
        <v>2002</v>
      </c>
      <c r="J302" s="146">
        <v>40500101391201</v>
      </c>
      <c r="K302" s="147" t="s">
        <v>431</v>
      </c>
      <c r="L302" s="147"/>
      <c r="M302" s="147">
        <v>60</v>
      </c>
      <c r="N302" s="148" t="s">
        <v>1382</v>
      </c>
      <c r="O302" s="144" t="s">
        <v>2003</v>
      </c>
      <c r="P302" s="148">
        <v>4260788</v>
      </c>
      <c r="Q302" s="144" t="s">
        <v>2004</v>
      </c>
      <c r="R302" s="144" t="s">
        <v>2005</v>
      </c>
      <c r="S302" s="149" t="s">
        <v>2006</v>
      </c>
      <c r="T302" s="307">
        <v>50</v>
      </c>
      <c r="U302" s="172">
        <v>15</v>
      </c>
      <c r="V302" s="172">
        <v>0</v>
      </c>
      <c r="W302" s="300" t="s">
        <v>3401</v>
      </c>
      <c r="X302" s="300" t="s">
        <v>3400</v>
      </c>
      <c r="Y302" s="318">
        <v>65</v>
      </c>
      <c r="Z302" s="307">
        <v>0</v>
      </c>
      <c r="AA302" s="172">
        <v>0</v>
      </c>
      <c r="AB302" s="172">
        <v>0</v>
      </c>
      <c r="AC302" s="300"/>
      <c r="AD302" s="300"/>
      <c r="AE302" s="318">
        <v>0</v>
      </c>
      <c r="AF302" s="319">
        <f t="shared" si="5"/>
        <v>65</v>
      </c>
      <c r="AG302" s="180" t="s">
        <v>404</v>
      </c>
      <c r="AH302" s="173"/>
    </row>
    <row r="303" spans="1:34" s="78" customFormat="1" ht="12" customHeight="1">
      <c r="A303" s="100">
        <v>2101</v>
      </c>
      <c r="B303" s="101" t="s">
        <v>3400</v>
      </c>
      <c r="C303" s="101" t="s">
        <v>3400</v>
      </c>
      <c r="D303" s="101" t="s">
        <v>3401</v>
      </c>
      <c r="E303" s="100">
        <v>2</v>
      </c>
      <c r="F303" s="143">
        <v>4</v>
      </c>
      <c r="G303" s="103">
        <v>301</v>
      </c>
      <c r="H303" s="144" t="s">
        <v>2007</v>
      </c>
      <c r="I303" s="145" t="s">
        <v>2007</v>
      </c>
      <c r="J303" s="146">
        <v>20500102145201</v>
      </c>
      <c r="K303" s="147" t="s">
        <v>353</v>
      </c>
      <c r="L303" s="147"/>
      <c r="M303" s="147">
        <v>60</v>
      </c>
      <c r="N303" s="148" t="s">
        <v>1369</v>
      </c>
      <c r="O303" s="144" t="s">
        <v>2008</v>
      </c>
      <c r="P303" s="148">
        <v>4274457</v>
      </c>
      <c r="Q303" s="144" t="s">
        <v>2009</v>
      </c>
      <c r="R303" s="144" t="s">
        <v>2010</v>
      </c>
      <c r="S303" s="149" t="s">
        <v>2011</v>
      </c>
      <c r="T303" s="307">
        <v>48</v>
      </c>
      <c r="U303" s="172">
        <v>49</v>
      </c>
      <c r="V303" s="172">
        <v>0</v>
      </c>
      <c r="W303" s="300" t="s">
        <v>3401</v>
      </c>
      <c r="X303" s="300" t="s">
        <v>3400</v>
      </c>
      <c r="Y303" s="318">
        <v>97</v>
      </c>
      <c r="Z303" s="307">
        <v>0</v>
      </c>
      <c r="AA303" s="172">
        <v>0</v>
      </c>
      <c r="AB303" s="172">
        <v>0</v>
      </c>
      <c r="AC303" s="300"/>
      <c r="AD303" s="300"/>
      <c r="AE303" s="318">
        <v>0</v>
      </c>
      <c r="AF303" s="319">
        <f t="shared" si="5"/>
        <v>97</v>
      </c>
      <c r="AG303" s="146"/>
      <c r="AH303" s="173"/>
    </row>
    <row r="304" spans="1:34" s="78" customFormat="1" ht="12" customHeight="1">
      <c r="A304" s="100">
        <v>2102</v>
      </c>
      <c r="B304" s="101" t="s">
        <v>3400</v>
      </c>
      <c r="C304" s="101" t="s">
        <v>3400</v>
      </c>
      <c r="D304" s="101" t="s">
        <v>3401</v>
      </c>
      <c r="E304" s="100">
        <v>2</v>
      </c>
      <c r="F304" s="184">
        <v>4</v>
      </c>
      <c r="G304" s="103">
        <v>302</v>
      </c>
      <c r="H304" s="144" t="s">
        <v>2012</v>
      </c>
      <c r="I304" s="336" t="s">
        <v>2012</v>
      </c>
      <c r="J304" s="186">
        <v>20500102145203</v>
      </c>
      <c r="K304" s="187" t="s">
        <v>353</v>
      </c>
      <c r="L304" s="147"/>
      <c r="M304" s="187">
        <v>60</v>
      </c>
      <c r="N304" s="185" t="s">
        <v>1369</v>
      </c>
      <c r="O304" s="188" t="s">
        <v>2013</v>
      </c>
      <c r="P304" s="185">
        <v>4262653</v>
      </c>
      <c r="Q304" s="188" t="s">
        <v>2009</v>
      </c>
      <c r="R304" s="188" t="s">
        <v>2014</v>
      </c>
      <c r="S304" s="189" t="s">
        <v>2015</v>
      </c>
      <c r="T304" s="337">
        <v>10</v>
      </c>
      <c r="U304" s="338">
        <v>14</v>
      </c>
      <c r="V304" s="338">
        <v>0</v>
      </c>
      <c r="W304" s="300" t="s">
        <v>3401</v>
      </c>
      <c r="X304" s="300" t="s">
        <v>3400</v>
      </c>
      <c r="Y304" s="339">
        <v>24</v>
      </c>
      <c r="Z304" s="337">
        <v>0</v>
      </c>
      <c r="AA304" s="338">
        <v>0</v>
      </c>
      <c r="AB304" s="338">
        <v>0</v>
      </c>
      <c r="AC304" s="300"/>
      <c r="AD304" s="300"/>
      <c r="AE304" s="339">
        <v>0</v>
      </c>
      <c r="AF304" s="340">
        <f t="shared" si="5"/>
        <v>24</v>
      </c>
      <c r="AG304" s="186"/>
      <c r="AH304" s="194"/>
    </row>
    <row r="305" spans="1:34" s="78" customFormat="1" ht="12" customHeight="1">
      <c r="A305" s="100">
        <v>2103</v>
      </c>
      <c r="B305" s="101" t="s">
        <v>3400</v>
      </c>
      <c r="C305" s="101" t="s">
        <v>3400</v>
      </c>
      <c r="D305" s="101" t="s">
        <v>3401</v>
      </c>
      <c r="E305" s="100">
        <v>2</v>
      </c>
      <c r="F305" s="143">
        <v>4</v>
      </c>
      <c r="G305" s="103">
        <v>303</v>
      </c>
      <c r="H305" s="144" t="s">
        <v>2016</v>
      </c>
      <c r="I305" s="145" t="s">
        <v>2016</v>
      </c>
      <c r="J305" s="146">
        <v>20500102145204</v>
      </c>
      <c r="K305" s="147" t="s">
        <v>353</v>
      </c>
      <c r="L305" s="147"/>
      <c r="M305" s="147">
        <v>60</v>
      </c>
      <c r="N305" s="148" t="s">
        <v>1369</v>
      </c>
      <c r="O305" s="144" t="s">
        <v>2017</v>
      </c>
      <c r="P305" s="148">
        <v>4261632</v>
      </c>
      <c r="Q305" s="144" t="s">
        <v>2009</v>
      </c>
      <c r="R305" s="144" t="s">
        <v>2018</v>
      </c>
      <c r="S305" s="149" t="s">
        <v>2019</v>
      </c>
      <c r="T305" s="307">
        <v>67</v>
      </c>
      <c r="U305" s="172">
        <v>49</v>
      </c>
      <c r="V305" s="172">
        <v>0</v>
      </c>
      <c r="W305" s="300" t="s">
        <v>3401</v>
      </c>
      <c r="X305" s="300" t="s">
        <v>3400</v>
      </c>
      <c r="Y305" s="318">
        <v>116</v>
      </c>
      <c r="Z305" s="307">
        <v>0</v>
      </c>
      <c r="AA305" s="172">
        <v>0</v>
      </c>
      <c r="AB305" s="172">
        <v>0</v>
      </c>
      <c r="AC305" s="300"/>
      <c r="AD305" s="300"/>
      <c r="AE305" s="318">
        <v>0</v>
      </c>
      <c r="AF305" s="319">
        <f t="shared" si="5"/>
        <v>116</v>
      </c>
      <c r="AG305" s="146"/>
      <c r="AH305" s="173"/>
    </row>
    <row r="306" spans="1:34" s="78" customFormat="1" ht="12" customHeight="1">
      <c r="A306" s="100">
        <v>2104</v>
      </c>
      <c r="B306" s="101" t="s">
        <v>3400</v>
      </c>
      <c r="C306" s="101" t="s">
        <v>3400</v>
      </c>
      <c r="D306" s="101" t="s">
        <v>3401</v>
      </c>
      <c r="E306" s="100">
        <v>2</v>
      </c>
      <c r="F306" s="143">
        <v>4</v>
      </c>
      <c r="G306" s="103">
        <v>304</v>
      </c>
      <c r="H306" s="144" t="s">
        <v>2020</v>
      </c>
      <c r="I306" s="145" t="s">
        <v>2020</v>
      </c>
      <c r="J306" s="146">
        <v>20500102145202</v>
      </c>
      <c r="K306" s="147" t="s">
        <v>353</v>
      </c>
      <c r="L306" s="147"/>
      <c r="M306" s="147">
        <v>60</v>
      </c>
      <c r="N306" s="148" t="s">
        <v>1369</v>
      </c>
      <c r="O306" s="144" t="s">
        <v>2021</v>
      </c>
      <c r="P306" s="148">
        <v>4261307</v>
      </c>
      <c r="Q306" s="144" t="s">
        <v>2009</v>
      </c>
      <c r="R306" s="144" t="s">
        <v>2022</v>
      </c>
      <c r="S306" s="149" t="s">
        <v>2023</v>
      </c>
      <c r="T306" s="307">
        <v>14</v>
      </c>
      <c r="U306" s="172">
        <v>9</v>
      </c>
      <c r="V306" s="172">
        <v>0</v>
      </c>
      <c r="W306" s="300" t="s">
        <v>3401</v>
      </c>
      <c r="X306" s="300" t="s">
        <v>3400</v>
      </c>
      <c r="Y306" s="318">
        <v>23</v>
      </c>
      <c r="Z306" s="307">
        <v>0</v>
      </c>
      <c r="AA306" s="172">
        <v>0</v>
      </c>
      <c r="AB306" s="172">
        <v>0</v>
      </c>
      <c r="AC306" s="300"/>
      <c r="AD306" s="300"/>
      <c r="AE306" s="318">
        <v>0</v>
      </c>
      <c r="AF306" s="319">
        <f t="shared" si="5"/>
        <v>23</v>
      </c>
      <c r="AG306" s="146"/>
      <c r="AH306" s="173"/>
    </row>
    <row r="307" spans="1:34" s="78" customFormat="1" ht="12" customHeight="1">
      <c r="A307" s="100">
        <v>2105</v>
      </c>
      <c r="B307" s="101" t="s">
        <v>3400</v>
      </c>
      <c r="C307" s="101" t="s">
        <v>3400</v>
      </c>
      <c r="D307" s="101" t="s">
        <v>3401</v>
      </c>
      <c r="E307" s="100">
        <v>2</v>
      </c>
      <c r="F307" s="143">
        <v>4</v>
      </c>
      <c r="G307" s="103">
        <v>305</v>
      </c>
      <c r="H307" s="144" t="s">
        <v>2024</v>
      </c>
      <c r="I307" s="145" t="s">
        <v>2024</v>
      </c>
      <c r="J307" s="146">
        <v>10500102600002</v>
      </c>
      <c r="K307" s="147" t="s">
        <v>353</v>
      </c>
      <c r="L307" s="147"/>
      <c r="M307" s="147">
        <v>60</v>
      </c>
      <c r="N307" s="148" t="s">
        <v>1369</v>
      </c>
      <c r="O307" s="144" t="s">
        <v>2025</v>
      </c>
      <c r="P307" s="148">
        <v>4273044</v>
      </c>
      <c r="Q307" s="144" t="s">
        <v>2026</v>
      </c>
      <c r="R307" s="144" t="s">
        <v>2027</v>
      </c>
      <c r="S307" s="149" t="s">
        <v>2028</v>
      </c>
      <c r="T307" s="307">
        <v>200</v>
      </c>
      <c r="U307" s="172">
        <v>111</v>
      </c>
      <c r="V307" s="172">
        <v>0</v>
      </c>
      <c r="W307" s="300" t="s">
        <v>3401</v>
      </c>
      <c r="X307" s="300" t="s">
        <v>3400</v>
      </c>
      <c r="Y307" s="318">
        <v>311</v>
      </c>
      <c r="Z307" s="307">
        <v>0</v>
      </c>
      <c r="AA307" s="172">
        <v>0</v>
      </c>
      <c r="AB307" s="172">
        <v>0</v>
      </c>
      <c r="AC307" s="300"/>
      <c r="AD307" s="300"/>
      <c r="AE307" s="318">
        <v>0</v>
      </c>
      <c r="AF307" s="319">
        <f t="shared" si="5"/>
        <v>311</v>
      </c>
      <c r="AG307" s="146"/>
      <c r="AH307" s="173"/>
    </row>
    <row r="308" spans="1:34" s="78" customFormat="1" ht="12" customHeight="1">
      <c r="A308" s="100">
        <v>2106</v>
      </c>
      <c r="B308" s="101" t="s">
        <v>3400</v>
      </c>
      <c r="C308" s="101" t="s">
        <v>3400</v>
      </c>
      <c r="D308" s="101" t="s">
        <v>3401</v>
      </c>
      <c r="E308" s="100">
        <v>2</v>
      </c>
      <c r="F308" s="143">
        <v>4</v>
      </c>
      <c r="G308" s="103">
        <v>306</v>
      </c>
      <c r="H308" s="144" t="s">
        <v>2029</v>
      </c>
      <c r="I308" s="145" t="s">
        <v>2029</v>
      </c>
      <c r="J308" s="146">
        <v>20500101430801</v>
      </c>
      <c r="K308" s="147" t="s">
        <v>353</v>
      </c>
      <c r="L308" s="147"/>
      <c r="M308" s="147">
        <v>60</v>
      </c>
      <c r="N308" s="148" t="s">
        <v>1369</v>
      </c>
      <c r="O308" s="144" t="s">
        <v>2030</v>
      </c>
      <c r="P308" s="148" t="s">
        <v>2031</v>
      </c>
      <c r="Q308" s="144" t="s">
        <v>2032</v>
      </c>
      <c r="R308" s="144" t="s">
        <v>2033</v>
      </c>
      <c r="S308" s="149" t="s">
        <v>2034</v>
      </c>
      <c r="T308" s="307">
        <v>58</v>
      </c>
      <c r="U308" s="172">
        <v>22</v>
      </c>
      <c r="V308" s="172">
        <v>0</v>
      </c>
      <c r="W308" s="300" t="s">
        <v>3401</v>
      </c>
      <c r="X308" s="300" t="s">
        <v>3400</v>
      </c>
      <c r="Y308" s="318">
        <v>80</v>
      </c>
      <c r="Z308" s="307">
        <v>0</v>
      </c>
      <c r="AA308" s="172">
        <v>0</v>
      </c>
      <c r="AB308" s="172">
        <v>0</v>
      </c>
      <c r="AC308" s="300"/>
      <c r="AD308" s="300"/>
      <c r="AE308" s="318">
        <v>0</v>
      </c>
      <c r="AF308" s="319">
        <f t="shared" si="5"/>
        <v>80</v>
      </c>
      <c r="AG308" s="146"/>
      <c r="AH308" s="173"/>
    </row>
    <row r="309" spans="1:34" s="78" customFormat="1" ht="12" customHeight="1">
      <c r="A309" s="100">
        <v>2107</v>
      </c>
      <c r="B309" s="101" t="s">
        <v>3400</v>
      </c>
      <c r="C309" s="101" t="s">
        <v>3400</v>
      </c>
      <c r="D309" s="101" t="s">
        <v>3401</v>
      </c>
      <c r="E309" s="100">
        <v>2</v>
      </c>
      <c r="F309" s="143">
        <v>4</v>
      </c>
      <c r="G309" s="103">
        <v>307</v>
      </c>
      <c r="H309" s="144" t="s">
        <v>2035</v>
      </c>
      <c r="I309" s="145" t="s">
        <v>2035</v>
      </c>
      <c r="J309" s="146">
        <v>20500101430802</v>
      </c>
      <c r="K309" s="147" t="s">
        <v>353</v>
      </c>
      <c r="L309" s="147"/>
      <c r="M309" s="147">
        <v>60</v>
      </c>
      <c r="N309" s="148" t="s">
        <v>1369</v>
      </c>
      <c r="O309" s="144" t="s">
        <v>2036</v>
      </c>
      <c r="P309" s="148" t="s">
        <v>2037</v>
      </c>
      <c r="Q309" s="144" t="s">
        <v>2032</v>
      </c>
      <c r="R309" s="144" t="s">
        <v>2038</v>
      </c>
      <c r="S309" s="149" t="s">
        <v>2039</v>
      </c>
      <c r="T309" s="307">
        <v>29</v>
      </c>
      <c r="U309" s="172">
        <v>21</v>
      </c>
      <c r="V309" s="172">
        <v>0</v>
      </c>
      <c r="W309" s="300" t="s">
        <v>3401</v>
      </c>
      <c r="X309" s="300" t="s">
        <v>3400</v>
      </c>
      <c r="Y309" s="318">
        <v>50</v>
      </c>
      <c r="Z309" s="307">
        <v>0</v>
      </c>
      <c r="AA309" s="172">
        <v>0</v>
      </c>
      <c r="AB309" s="172">
        <v>0</v>
      </c>
      <c r="AC309" s="300"/>
      <c r="AD309" s="300"/>
      <c r="AE309" s="318">
        <v>0</v>
      </c>
      <c r="AF309" s="319">
        <f t="shared" si="5"/>
        <v>50</v>
      </c>
      <c r="AG309" s="146"/>
      <c r="AH309" s="173"/>
    </row>
    <row r="310" spans="1:34" s="78" customFormat="1" ht="12" customHeight="1">
      <c r="A310" s="100">
        <v>2108</v>
      </c>
      <c r="B310" s="101" t="s">
        <v>3400</v>
      </c>
      <c r="C310" s="101" t="s">
        <v>3400</v>
      </c>
      <c r="D310" s="101" t="s">
        <v>3401</v>
      </c>
      <c r="E310" s="100">
        <v>2</v>
      </c>
      <c r="F310" s="143">
        <v>4</v>
      </c>
      <c r="G310" s="103">
        <v>308</v>
      </c>
      <c r="H310" s="144" t="s">
        <v>2040</v>
      </c>
      <c r="I310" s="145" t="s">
        <v>2040</v>
      </c>
      <c r="J310" s="146">
        <v>20500101430803</v>
      </c>
      <c r="K310" s="147" t="s">
        <v>353</v>
      </c>
      <c r="L310" s="147"/>
      <c r="M310" s="147">
        <v>60</v>
      </c>
      <c r="N310" s="148" t="s">
        <v>1369</v>
      </c>
      <c r="O310" s="144" t="s">
        <v>2041</v>
      </c>
      <c r="P310" s="148">
        <v>4272773</v>
      </c>
      <c r="Q310" s="144" t="s">
        <v>2032</v>
      </c>
      <c r="R310" s="144" t="s">
        <v>2042</v>
      </c>
      <c r="S310" s="149" t="s">
        <v>2043</v>
      </c>
      <c r="T310" s="307">
        <v>22</v>
      </c>
      <c r="U310" s="172">
        <v>13</v>
      </c>
      <c r="V310" s="172">
        <v>0</v>
      </c>
      <c r="W310" s="300" t="s">
        <v>3401</v>
      </c>
      <c r="X310" s="300" t="s">
        <v>3400</v>
      </c>
      <c r="Y310" s="318">
        <v>35</v>
      </c>
      <c r="Z310" s="307">
        <v>0</v>
      </c>
      <c r="AA310" s="172">
        <v>0</v>
      </c>
      <c r="AB310" s="172">
        <v>0</v>
      </c>
      <c r="AC310" s="300"/>
      <c r="AD310" s="300"/>
      <c r="AE310" s="318">
        <v>0</v>
      </c>
      <c r="AF310" s="319">
        <f t="shared" si="5"/>
        <v>35</v>
      </c>
      <c r="AG310" s="146"/>
      <c r="AH310" s="173"/>
    </row>
    <row r="311" spans="1:34" s="78" customFormat="1" ht="12" customHeight="1">
      <c r="A311" s="100">
        <v>2109</v>
      </c>
      <c r="B311" s="101" t="s">
        <v>3400</v>
      </c>
      <c r="C311" s="101" t="s">
        <v>3400</v>
      </c>
      <c r="D311" s="101" t="s">
        <v>3401</v>
      </c>
      <c r="E311" s="100">
        <v>2</v>
      </c>
      <c r="F311" s="143">
        <v>4</v>
      </c>
      <c r="G311" s="103">
        <v>309</v>
      </c>
      <c r="H311" s="144" t="s">
        <v>2044</v>
      </c>
      <c r="I311" s="145" t="s">
        <v>2044</v>
      </c>
      <c r="J311" s="146">
        <v>20500100219901</v>
      </c>
      <c r="K311" s="147" t="s">
        <v>353</v>
      </c>
      <c r="L311" s="147"/>
      <c r="M311" s="147">
        <v>60</v>
      </c>
      <c r="N311" s="148" t="s">
        <v>1369</v>
      </c>
      <c r="O311" s="144" t="s">
        <v>2045</v>
      </c>
      <c r="P311" s="148">
        <v>4273235</v>
      </c>
      <c r="Q311" s="144" t="s">
        <v>2046</v>
      </c>
      <c r="R311" s="144" t="s">
        <v>2047</v>
      </c>
      <c r="S311" s="149" t="s">
        <v>2048</v>
      </c>
      <c r="T311" s="307">
        <v>32</v>
      </c>
      <c r="U311" s="172">
        <v>98</v>
      </c>
      <c r="V311" s="172">
        <v>80</v>
      </c>
      <c r="W311" s="300" t="s">
        <v>3401</v>
      </c>
      <c r="X311" s="300" t="s">
        <v>3400</v>
      </c>
      <c r="Y311" s="318">
        <v>210</v>
      </c>
      <c r="Z311" s="307">
        <v>0</v>
      </c>
      <c r="AA311" s="172">
        <v>0</v>
      </c>
      <c r="AB311" s="172">
        <v>0</v>
      </c>
      <c r="AC311" s="300"/>
      <c r="AD311" s="300"/>
      <c r="AE311" s="318">
        <v>0</v>
      </c>
      <c r="AF311" s="319">
        <f t="shared" si="5"/>
        <v>210</v>
      </c>
      <c r="AG311" s="146"/>
      <c r="AH311" s="173"/>
    </row>
    <row r="312" spans="1:34" s="78" customFormat="1" ht="12" customHeight="1">
      <c r="A312" s="100">
        <v>2110</v>
      </c>
      <c r="B312" s="101" t="s">
        <v>3400</v>
      </c>
      <c r="C312" s="101" t="s">
        <v>3400</v>
      </c>
      <c r="D312" s="101" t="s">
        <v>3401</v>
      </c>
      <c r="E312" s="100">
        <v>2</v>
      </c>
      <c r="F312" s="143">
        <v>4</v>
      </c>
      <c r="G312" s="103">
        <v>310</v>
      </c>
      <c r="H312" s="144" t="s">
        <v>2049</v>
      </c>
      <c r="I312" s="145" t="s">
        <v>2049</v>
      </c>
      <c r="J312" s="146">
        <v>20500100991602</v>
      </c>
      <c r="K312" s="147" t="s">
        <v>353</v>
      </c>
      <c r="L312" s="147"/>
      <c r="M312" s="147">
        <v>70</v>
      </c>
      <c r="N312" s="148" t="s">
        <v>2050</v>
      </c>
      <c r="O312" s="144" t="s">
        <v>2051</v>
      </c>
      <c r="P312" s="148">
        <v>4911556</v>
      </c>
      <c r="Q312" s="144" t="s">
        <v>2052</v>
      </c>
      <c r="R312" s="144" t="s">
        <v>2053</v>
      </c>
      <c r="S312" s="149" t="s">
        <v>2054</v>
      </c>
      <c r="T312" s="307">
        <v>29</v>
      </c>
      <c r="U312" s="172">
        <v>4</v>
      </c>
      <c r="V312" s="172">
        <v>0</v>
      </c>
      <c r="W312" s="300" t="s">
        <v>3401</v>
      </c>
      <c r="X312" s="300" t="s">
        <v>3400</v>
      </c>
      <c r="Y312" s="318">
        <v>33</v>
      </c>
      <c r="Z312" s="307">
        <v>0</v>
      </c>
      <c r="AA312" s="172">
        <v>0</v>
      </c>
      <c r="AB312" s="172">
        <v>0</v>
      </c>
      <c r="AC312" s="300"/>
      <c r="AD312" s="300"/>
      <c r="AE312" s="318">
        <v>0</v>
      </c>
      <c r="AF312" s="319">
        <f t="shared" si="5"/>
        <v>33</v>
      </c>
      <c r="AG312" s="146"/>
      <c r="AH312" s="173"/>
    </row>
    <row r="313" spans="1:34" s="78" customFormat="1" ht="12" customHeight="1">
      <c r="A313" s="100">
        <v>2111</v>
      </c>
      <c r="B313" s="101" t="s">
        <v>3400</v>
      </c>
      <c r="C313" s="101" t="s">
        <v>3400</v>
      </c>
      <c r="D313" s="101" t="s">
        <v>3401</v>
      </c>
      <c r="E313" s="100">
        <v>2</v>
      </c>
      <c r="F313" s="102">
        <v>6</v>
      </c>
      <c r="G313" s="103">
        <v>311</v>
      </c>
      <c r="H313" s="104" t="s">
        <v>2055</v>
      </c>
      <c r="I313" s="104" t="s">
        <v>2055</v>
      </c>
      <c r="J313" s="105">
        <v>10500100039601</v>
      </c>
      <c r="K313" s="106" t="s">
        <v>353</v>
      </c>
      <c r="L313" s="106" t="s">
        <v>303</v>
      </c>
      <c r="M313" s="106">
        <v>15</v>
      </c>
      <c r="N313" s="104" t="s">
        <v>2056</v>
      </c>
      <c r="O313" s="104" t="s">
        <v>2057</v>
      </c>
      <c r="P313" s="104" t="s">
        <v>2058</v>
      </c>
      <c r="Q313" s="104" t="s">
        <v>2059</v>
      </c>
      <c r="R313" s="104" t="s">
        <v>2060</v>
      </c>
      <c r="S313" s="108" t="s">
        <v>2061</v>
      </c>
      <c r="T313" s="305">
        <v>0</v>
      </c>
      <c r="U313" s="306">
        <v>160</v>
      </c>
      <c r="V313" s="306">
        <v>80</v>
      </c>
      <c r="W313" s="300" t="s">
        <v>3401</v>
      </c>
      <c r="X313" s="300" t="s">
        <v>3400</v>
      </c>
      <c r="Y313" s="301">
        <v>240</v>
      </c>
      <c r="Z313" s="305">
        <v>0</v>
      </c>
      <c r="AA313" s="306">
        <v>0</v>
      </c>
      <c r="AB313" s="306">
        <v>0</v>
      </c>
      <c r="AC313" s="300"/>
      <c r="AD313" s="300"/>
      <c r="AE313" s="301">
        <v>0</v>
      </c>
      <c r="AF313" s="302">
        <f t="shared" si="5"/>
        <v>240</v>
      </c>
      <c r="AG313" s="114"/>
      <c r="AH313" s="115"/>
    </row>
    <row r="314" spans="1:34" s="78" customFormat="1" ht="12" customHeight="1">
      <c r="A314" s="100">
        <v>2112</v>
      </c>
      <c r="B314" s="101" t="s">
        <v>3400</v>
      </c>
      <c r="C314" s="101" t="s">
        <v>3400</v>
      </c>
      <c r="D314" s="101" t="s">
        <v>3401</v>
      </c>
      <c r="E314" s="100">
        <v>2</v>
      </c>
      <c r="F314" s="102">
        <v>6</v>
      </c>
      <c r="G314" s="103">
        <v>312</v>
      </c>
      <c r="H314" s="104" t="s">
        <v>2062</v>
      </c>
      <c r="I314" s="104" t="s">
        <v>2062</v>
      </c>
      <c r="J314" s="105">
        <v>10500100039604</v>
      </c>
      <c r="K314" s="106" t="s">
        <v>353</v>
      </c>
      <c r="L314" s="106" t="s">
        <v>303</v>
      </c>
      <c r="M314" s="106">
        <v>15</v>
      </c>
      <c r="N314" s="104" t="s">
        <v>1422</v>
      </c>
      <c r="O314" s="104" t="s">
        <v>2063</v>
      </c>
      <c r="P314" s="104" t="s">
        <v>2064</v>
      </c>
      <c r="Q314" s="104" t="s">
        <v>2065</v>
      </c>
      <c r="R314" s="104" t="s">
        <v>2065</v>
      </c>
      <c r="S314" s="108" t="s">
        <v>2066</v>
      </c>
      <c r="T314" s="305">
        <v>210</v>
      </c>
      <c r="U314" s="306">
        <v>120</v>
      </c>
      <c r="V314" s="306">
        <v>0</v>
      </c>
      <c r="W314" s="300" t="s">
        <v>3401</v>
      </c>
      <c r="X314" s="300" t="s">
        <v>3400</v>
      </c>
      <c r="Y314" s="301">
        <v>330</v>
      </c>
      <c r="Z314" s="305">
        <v>0</v>
      </c>
      <c r="AA314" s="306">
        <v>0</v>
      </c>
      <c r="AB314" s="306">
        <v>0</v>
      </c>
      <c r="AC314" s="300"/>
      <c r="AD314" s="300"/>
      <c r="AE314" s="301">
        <v>0</v>
      </c>
      <c r="AF314" s="302">
        <f t="shared" si="5"/>
        <v>330</v>
      </c>
      <c r="AG314" s="114"/>
      <c r="AH314" s="115"/>
    </row>
    <row r="315" spans="1:34" s="78" customFormat="1" ht="12" customHeight="1">
      <c r="A315" s="100">
        <v>2113</v>
      </c>
      <c r="B315" s="101" t="s">
        <v>3400</v>
      </c>
      <c r="C315" s="101" t="s">
        <v>3400</v>
      </c>
      <c r="D315" s="101" t="s">
        <v>3402</v>
      </c>
      <c r="E315" s="100">
        <v>2</v>
      </c>
      <c r="F315" s="102">
        <v>6</v>
      </c>
      <c r="G315" s="103">
        <v>313</v>
      </c>
      <c r="H315" s="104" t="s">
        <v>2067</v>
      </c>
      <c r="I315" s="104" t="s">
        <v>2067</v>
      </c>
      <c r="J315" s="105">
        <v>10500100249601</v>
      </c>
      <c r="K315" s="106" t="s">
        <v>353</v>
      </c>
      <c r="L315" s="106" t="s">
        <v>303</v>
      </c>
      <c r="M315" s="106">
        <v>15</v>
      </c>
      <c r="N315" s="104" t="s">
        <v>2068</v>
      </c>
      <c r="O315" s="104" t="s">
        <v>2069</v>
      </c>
      <c r="P315" s="104" t="s">
        <v>2070</v>
      </c>
      <c r="Q315" s="104" t="s">
        <v>2071</v>
      </c>
      <c r="R315" s="104" t="s">
        <v>2072</v>
      </c>
      <c r="S315" s="108" t="s">
        <v>2073</v>
      </c>
      <c r="T315" s="305">
        <v>0</v>
      </c>
      <c r="U315" s="306">
        <v>50</v>
      </c>
      <c r="V315" s="306">
        <v>50</v>
      </c>
      <c r="W315" s="300" t="s">
        <v>3401</v>
      </c>
      <c r="X315" s="300" t="s">
        <v>3400</v>
      </c>
      <c r="Y315" s="301">
        <v>100</v>
      </c>
      <c r="Z315" s="305">
        <v>0</v>
      </c>
      <c r="AA315" s="306">
        <v>149</v>
      </c>
      <c r="AB315" s="306">
        <v>116</v>
      </c>
      <c r="AC315" s="300" t="s">
        <v>3399</v>
      </c>
      <c r="AD315" s="300" t="s">
        <v>3400</v>
      </c>
      <c r="AE315" s="301">
        <v>265</v>
      </c>
      <c r="AF315" s="302">
        <f t="shared" si="5"/>
        <v>365</v>
      </c>
      <c r="AG315" s="103" t="s">
        <v>404</v>
      </c>
      <c r="AH315" s="341"/>
    </row>
    <row r="316" spans="1:34" s="78" customFormat="1" ht="12" customHeight="1">
      <c r="A316" s="100">
        <v>2114</v>
      </c>
      <c r="B316" s="101" t="s">
        <v>3400</v>
      </c>
      <c r="C316" s="101" t="s">
        <v>3400</v>
      </c>
      <c r="D316" s="101" t="s">
        <v>3402</v>
      </c>
      <c r="E316" s="100">
        <v>2</v>
      </c>
      <c r="F316" s="102">
        <v>6</v>
      </c>
      <c r="G316" s="103">
        <v>314</v>
      </c>
      <c r="H316" s="104" t="s">
        <v>2074</v>
      </c>
      <c r="I316" s="104" t="s">
        <v>2074</v>
      </c>
      <c r="J316" s="105">
        <v>10500100327101</v>
      </c>
      <c r="K316" s="106" t="s">
        <v>353</v>
      </c>
      <c r="L316" s="106" t="s">
        <v>303</v>
      </c>
      <c r="M316" s="106">
        <v>16</v>
      </c>
      <c r="N316" s="104" t="s">
        <v>2075</v>
      </c>
      <c r="O316" s="104" t="s">
        <v>2076</v>
      </c>
      <c r="P316" s="104" t="s">
        <v>2077</v>
      </c>
      <c r="Q316" s="104" t="s">
        <v>2078</v>
      </c>
      <c r="R316" s="104" t="s">
        <v>2079</v>
      </c>
      <c r="S316" s="108" t="s">
        <v>2080</v>
      </c>
      <c r="T316" s="305">
        <v>70</v>
      </c>
      <c r="U316" s="306">
        <v>80</v>
      </c>
      <c r="V316" s="306">
        <v>50</v>
      </c>
      <c r="W316" s="300" t="s">
        <v>3401</v>
      </c>
      <c r="X316" s="300" t="s">
        <v>3400</v>
      </c>
      <c r="Y316" s="301">
        <v>200</v>
      </c>
      <c r="Z316" s="305">
        <v>19</v>
      </c>
      <c r="AA316" s="306">
        <v>121</v>
      </c>
      <c r="AB316" s="306">
        <v>68</v>
      </c>
      <c r="AC316" s="300" t="s">
        <v>3399</v>
      </c>
      <c r="AD316" s="300" t="s">
        <v>3400</v>
      </c>
      <c r="AE316" s="301">
        <v>208</v>
      </c>
      <c r="AF316" s="302">
        <f t="shared" si="5"/>
        <v>408</v>
      </c>
      <c r="AG316" s="232"/>
      <c r="AH316" s="183"/>
    </row>
    <row r="317" spans="1:34" s="78" customFormat="1" ht="12" customHeight="1">
      <c r="A317" s="100">
        <v>2115</v>
      </c>
      <c r="B317" s="101" t="s">
        <v>3400</v>
      </c>
      <c r="C317" s="101" t="s">
        <v>3400</v>
      </c>
      <c r="D317" s="101" t="s">
        <v>3401</v>
      </c>
      <c r="E317" s="100">
        <v>2</v>
      </c>
      <c r="F317" s="102">
        <v>6</v>
      </c>
      <c r="G317" s="103">
        <v>315</v>
      </c>
      <c r="H317" s="104" t="s">
        <v>2081</v>
      </c>
      <c r="I317" s="104" t="s">
        <v>2081</v>
      </c>
      <c r="J317" s="105">
        <v>10500100327103</v>
      </c>
      <c r="K317" s="106" t="s">
        <v>353</v>
      </c>
      <c r="L317" s="106" t="s">
        <v>303</v>
      </c>
      <c r="M317" s="106">
        <v>16</v>
      </c>
      <c r="N317" s="104" t="s">
        <v>2075</v>
      </c>
      <c r="O317" s="104" t="s">
        <v>2082</v>
      </c>
      <c r="P317" s="104" t="s">
        <v>2083</v>
      </c>
      <c r="Q317" s="104" t="s">
        <v>2078</v>
      </c>
      <c r="R317" s="104" t="s">
        <v>2078</v>
      </c>
      <c r="S317" s="108" t="s">
        <v>2080</v>
      </c>
      <c r="T317" s="305">
        <v>94</v>
      </c>
      <c r="U317" s="306">
        <v>86</v>
      </c>
      <c r="V317" s="306">
        <v>0</v>
      </c>
      <c r="W317" s="300" t="s">
        <v>3401</v>
      </c>
      <c r="X317" s="300" t="s">
        <v>3400</v>
      </c>
      <c r="Y317" s="301">
        <v>180</v>
      </c>
      <c r="Z317" s="305">
        <v>0</v>
      </c>
      <c r="AA317" s="306">
        <v>0</v>
      </c>
      <c r="AB317" s="306">
        <v>0</v>
      </c>
      <c r="AC317" s="300"/>
      <c r="AD317" s="300"/>
      <c r="AE317" s="301">
        <v>0</v>
      </c>
      <c r="AF317" s="302">
        <f t="shared" si="5"/>
        <v>180</v>
      </c>
      <c r="AG317" s="103" t="s">
        <v>404</v>
      </c>
      <c r="AH317" s="183"/>
    </row>
    <row r="318" spans="1:34" s="78" customFormat="1" ht="12" customHeight="1">
      <c r="A318" s="100">
        <v>2116</v>
      </c>
      <c r="B318" s="101" t="s">
        <v>3400</v>
      </c>
      <c r="C318" s="101" t="s">
        <v>3400</v>
      </c>
      <c r="D318" s="101" t="s">
        <v>3402</v>
      </c>
      <c r="E318" s="100">
        <v>2</v>
      </c>
      <c r="F318" s="102">
        <v>6</v>
      </c>
      <c r="G318" s="103">
        <v>316</v>
      </c>
      <c r="H318" s="104" t="s">
        <v>2084</v>
      </c>
      <c r="I318" s="104" t="s">
        <v>2084</v>
      </c>
      <c r="J318" s="105">
        <v>10500100163501</v>
      </c>
      <c r="K318" s="106" t="s">
        <v>353</v>
      </c>
      <c r="L318" s="106" t="s">
        <v>303</v>
      </c>
      <c r="M318" s="106">
        <v>16</v>
      </c>
      <c r="N318" s="104" t="s">
        <v>1455</v>
      </c>
      <c r="O318" s="104" t="s">
        <v>2085</v>
      </c>
      <c r="P318" s="104">
        <v>3433187</v>
      </c>
      <c r="Q318" s="104" t="s">
        <v>2086</v>
      </c>
      <c r="R318" s="104" t="s">
        <v>2087</v>
      </c>
      <c r="S318" s="108" t="s">
        <v>2088</v>
      </c>
      <c r="T318" s="305">
        <v>0</v>
      </c>
      <c r="U318" s="306">
        <v>0</v>
      </c>
      <c r="V318" s="306">
        <v>252</v>
      </c>
      <c r="W318" s="300" t="s">
        <v>3401</v>
      </c>
      <c r="X318" s="300" t="s">
        <v>3400</v>
      </c>
      <c r="Y318" s="301">
        <v>252</v>
      </c>
      <c r="Z318" s="305">
        <v>0</v>
      </c>
      <c r="AA318" s="306">
        <v>188</v>
      </c>
      <c r="AB318" s="306">
        <v>30</v>
      </c>
      <c r="AC318" s="300" t="s">
        <v>3399</v>
      </c>
      <c r="AD318" s="300" t="s">
        <v>3400</v>
      </c>
      <c r="AE318" s="301">
        <v>218</v>
      </c>
      <c r="AF318" s="302">
        <f t="shared" si="5"/>
        <v>470</v>
      </c>
      <c r="AG318" s="103"/>
      <c r="AH318" s="341"/>
    </row>
    <row r="319" spans="1:34" s="78" customFormat="1" ht="12" customHeight="1">
      <c r="A319" s="100">
        <v>2117</v>
      </c>
      <c r="B319" s="101" t="s">
        <v>3400</v>
      </c>
      <c r="C319" s="101" t="s">
        <v>3400</v>
      </c>
      <c r="D319" s="101" t="s">
        <v>3402</v>
      </c>
      <c r="E319" s="100">
        <v>2</v>
      </c>
      <c r="F319" s="102">
        <v>6</v>
      </c>
      <c r="G319" s="103">
        <v>317</v>
      </c>
      <c r="H319" s="104" t="s">
        <v>2089</v>
      </c>
      <c r="I319" s="104" t="s">
        <v>2089</v>
      </c>
      <c r="J319" s="105">
        <v>10500100345001</v>
      </c>
      <c r="K319" s="106" t="s">
        <v>353</v>
      </c>
      <c r="L319" s="115"/>
      <c r="M319" s="106">
        <v>16</v>
      </c>
      <c r="N319" s="104" t="s">
        <v>1455</v>
      </c>
      <c r="O319" s="104" t="s">
        <v>2090</v>
      </c>
      <c r="P319" s="104" t="s">
        <v>2091</v>
      </c>
      <c r="Q319" s="104" t="s">
        <v>2092</v>
      </c>
      <c r="R319" s="104" t="s">
        <v>2093</v>
      </c>
      <c r="S319" s="108" t="s">
        <v>2094</v>
      </c>
      <c r="T319" s="305">
        <v>40</v>
      </c>
      <c r="U319" s="306">
        <v>50</v>
      </c>
      <c r="V319" s="306">
        <v>0</v>
      </c>
      <c r="W319" s="300" t="s">
        <v>3401</v>
      </c>
      <c r="X319" s="300" t="s">
        <v>3400</v>
      </c>
      <c r="Y319" s="301">
        <v>90</v>
      </c>
      <c r="Z319" s="305">
        <v>340</v>
      </c>
      <c r="AA319" s="306">
        <v>150</v>
      </c>
      <c r="AB319" s="306">
        <v>0</v>
      </c>
      <c r="AC319" s="300" t="s">
        <v>3399</v>
      </c>
      <c r="AD319" s="300" t="s">
        <v>3400</v>
      </c>
      <c r="AE319" s="301">
        <v>490</v>
      </c>
      <c r="AF319" s="302">
        <f t="shared" si="5"/>
        <v>580</v>
      </c>
      <c r="AG319" s="103" t="s">
        <v>404</v>
      </c>
      <c r="AH319" s="183"/>
    </row>
    <row r="320" spans="1:34" s="78" customFormat="1" ht="12" customHeight="1">
      <c r="A320" s="100">
        <v>2118</v>
      </c>
      <c r="B320" s="101" t="s">
        <v>3400</v>
      </c>
      <c r="C320" s="101" t="s">
        <v>3400</v>
      </c>
      <c r="D320" s="101" t="s">
        <v>3401</v>
      </c>
      <c r="E320" s="100">
        <v>2</v>
      </c>
      <c r="F320" s="102">
        <v>6</v>
      </c>
      <c r="G320" s="103">
        <v>318</v>
      </c>
      <c r="H320" s="104" t="s">
        <v>2095</v>
      </c>
      <c r="I320" s="104" t="s">
        <v>2095</v>
      </c>
      <c r="J320" s="105">
        <v>10500100312301</v>
      </c>
      <c r="K320" s="106" t="s">
        <v>353</v>
      </c>
      <c r="L320" s="106" t="s">
        <v>303</v>
      </c>
      <c r="M320" s="106">
        <v>16</v>
      </c>
      <c r="N320" s="104" t="s">
        <v>2096</v>
      </c>
      <c r="O320" s="104" t="s">
        <v>2097</v>
      </c>
      <c r="P320" s="104" t="s">
        <v>2098</v>
      </c>
      <c r="Q320" s="104" t="s">
        <v>2099</v>
      </c>
      <c r="R320" s="104" t="s">
        <v>2100</v>
      </c>
      <c r="S320" s="108" t="s">
        <v>2101</v>
      </c>
      <c r="T320" s="305">
        <v>116</v>
      </c>
      <c r="U320" s="306">
        <v>69</v>
      </c>
      <c r="V320" s="306">
        <v>0</v>
      </c>
      <c r="W320" s="300" t="s">
        <v>3401</v>
      </c>
      <c r="X320" s="300" t="s">
        <v>3400</v>
      </c>
      <c r="Y320" s="301">
        <v>185</v>
      </c>
      <c r="Z320" s="305">
        <v>0</v>
      </c>
      <c r="AA320" s="306">
        <v>0</v>
      </c>
      <c r="AB320" s="306">
        <v>0</v>
      </c>
      <c r="AC320" s="300"/>
      <c r="AD320" s="300"/>
      <c r="AE320" s="301">
        <v>0</v>
      </c>
      <c r="AF320" s="302">
        <f t="shared" si="5"/>
        <v>185</v>
      </c>
      <c r="AG320" s="114"/>
      <c r="AH320" s="115"/>
    </row>
    <row r="321" spans="1:34" s="78" customFormat="1" ht="12" customHeight="1">
      <c r="A321" s="100">
        <v>2119</v>
      </c>
      <c r="B321" s="101" t="s">
        <v>3400</v>
      </c>
      <c r="C321" s="101" t="s">
        <v>3400</v>
      </c>
      <c r="D321" s="101" t="s">
        <v>3401</v>
      </c>
      <c r="E321" s="100">
        <v>2</v>
      </c>
      <c r="F321" s="102">
        <v>6</v>
      </c>
      <c r="G321" s="103">
        <v>319</v>
      </c>
      <c r="H321" s="104" t="s">
        <v>2102</v>
      </c>
      <c r="I321" s="104" t="s">
        <v>2102</v>
      </c>
      <c r="J321" s="105">
        <v>10500101210601</v>
      </c>
      <c r="K321" s="106" t="s">
        <v>353</v>
      </c>
      <c r="L321" s="106" t="s">
        <v>303</v>
      </c>
      <c r="M321" s="106">
        <v>16</v>
      </c>
      <c r="N321" s="104" t="s">
        <v>2103</v>
      </c>
      <c r="O321" s="104" t="s">
        <v>2104</v>
      </c>
      <c r="P321" s="104" t="s">
        <v>2105</v>
      </c>
      <c r="Q321" s="104" t="s">
        <v>2106</v>
      </c>
      <c r="R321" s="229" t="s">
        <v>2107</v>
      </c>
      <c r="S321" s="231" t="s">
        <v>2108</v>
      </c>
      <c r="T321" s="305">
        <v>100</v>
      </c>
      <c r="U321" s="306">
        <v>50</v>
      </c>
      <c r="V321" s="306">
        <v>50</v>
      </c>
      <c r="W321" s="300" t="s">
        <v>3401</v>
      </c>
      <c r="X321" s="300" t="s">
        <v>3400</v>
      </c>
      <c r="Y321" s="301">
        <v>200</v>
      </c>
      <c r="Z321" s="305">
        <v>0</v>
      </c>
      <c r="AA321" s="306">
        <v>0</v>
      </c>
      <c r="AB321" s="306">
        <v>0</v>
      </c>
      <c r="AC321" s="300"/>
      <c r="AD321" s="300"/>
      <c r="AE321" s="301">
        <v>0</v>
      </c>
      <c r="AF321" s="302">
        <f t="shared" si="5"/>
        <v>200</v>
      </c>
      <c r="AG321" s="114"/>
      <c r="AH321" s="115"/>
    </row>
    <row r="322" spans="1:34" s="78" customFormat="1" ht="12" customHeight="1">
      <c r="A322" s="100">
        <v>2120</v>
      </c>
      <c r="B322" s="101" t="s">
        <v>3400</v>
      </c>
      <c r="C322" s="101" t="s">
        <v>3400</v>
      </c>
      <c r="D322" s="101" t="s">
        <v>3402</v>
      </c>
      <c r="E322" s="100">
        <v>2</v>
      </c>
      <c r="F322" s="102">
        <v>6</v>
      </c>
      <c r="G322" s="103">
        <v>320</v>
      </c>
      <c r="H322" s="104" t="s">
        <v>2109</v>
      </c>
      <c r="I322" s="104" t="s">
        <v>2109</v>
      </c>
      <c r="J322" s="105">
        <v>10500102576301</v>
      </c>
      <c r="K322" s="106" t="s">
        <v>353</v>
      </c>
      <c r="L322" s="106" t="s">
        <v>303</v>
      </c>
      <c r="M322" s="106">
        <v>70</v>
      </c>
      <c r="N322" s="104" t="s">
        <v>2050</v>
      </c>
      <c r="O322" s="104" t="s">
        <v>2110</v>
      </c>
      <c r="P322" s="229" t="s">
        <v>2111</v>
      </c>
      <c r="Q322" s="104" t="s">
        <v>2112</v>
      </c>
      <c r="R322" s="229" t="s">
        <v>2113</v>
      </c>
      <c r="S322" s="231" t="s">
        <v>2114</v>
      </c>
      <c r="T322" s="305">
        <v>97</v>
      </c>
      <c r="U322" s="306">
        <v>203</v>
      </c>
      <c r="V322" s="306">
        <v>120</v>
      </c>
      <c r="W322" s="300" t="s">
        <v>3401</v>
      </c>
      <c r="X322" s="300" t="s">
        <v>3400</v>
      </c>
      <c r="Y322" s="301">
        <v>420</v>
      </c>
      <c r="Z322" s="305">
        <v>69</v>
      </c>
      <c r="AA322" s="306">
        <v>261</v>
      </c>
      <c r="AB322" s="306">
        <v>0</v>
      </c>
      <c r="AC322" s="300" t="s">
        <v>3399</v>
      </c>
      <c r="AD322" s="300" t="s">
        <v>3400</v>
      </c>
      <c r="AE322" s="301">
        <v>330</v>
      </c>
      <c r="AF322" s="302">
        <f t="shared" si="5"/>
        <v>750</v>
      </c>
      <c r="AG322" s="114"/>
      <c r="AH322" s="115"/>
    </row>
    <row r="323" spans="1:34" s="78" customFormat="1" ht="12" customHeight="1">
      <c r="A323" s="100">
        <v>2121</v>
      </c>
      <c r="B323" s="101" t="s">
        <v>3400</v>
      </c>
      <c r="C323" s="101" t="s">
        <v>3400</v>
      </c>
      <c r="D323" s="101" t="s">
        <v>3402</v>
      </c>
      <c r="E323" s="100">
        <v>2</v>
      </c>
      <c r="F323" s="102">
        <v>6</v>
      </c>
      <c r="G323" s="103">
        <v>321</v>
      </c>
      <c r="H323" s="104" t="s">
        <v>2115</v>
      </c>
      <c r="I323" s="104" t="s">
        <v>2115</v>
      </c>
      <c r="J323" s="105">
        <v>10500101160601</v>
      </c>
      <c r="K323" s="106" t="s">
        <v>353</v>
      </c>
      <c r="L323" s="106" t="s">
        <v>303</v>
      </c>
      <c r="M323" s="106">
        <v>70</v>
      </c>
      <c r="N323" s="104" t="s">
        <v>2116</v>
      </c>
      <c r="O323" s="104" t="s">
        <v>2117</v>
      </c>
      <c r="P323" s="229" t="s">
        <v>2118</v>
      </c>
      <c r="Q323" s="229" t="s">
        <v>2119</v>
      </c>
      <c r="R323" s="229" t="s">
        <v>2120</v>
      </c>
      <c r="S323" s="231" t="s">
        <v>2121</v>
      </c>
      <c r="T323" s="305">
        <v>150</v>
      </c>
      <c r="U323" s="306">
        <v>200</v>
      </c>
      <c r="V323" s="306">
        <v>100</v>
      </c>
      <c r="W323" s="300" t="s">
        <v>3401</v>
      </c>
      <c r="X323" s="300" t="s">
        <v>3400</v>
      </c>
      <c r="Y323" s="301">
        <v>450</v>
      </c>
      <c r="Z323" s="305">
        <v>57</v>
      </c>
      <c r="AA323" s="306">
        <v>220</v>
      </c>
      <c r="AB323" s="306">
        <v>173</v>
      </c>
      <c r="AC323" s="300" t="s">
        <v>3399</v>
      </c>
      <c r="AD323" s="300" t="s">
        <v>3400</v>
      </c>
      <c r="AE323" s="301">
        <v>450</v>
      </c>
      <c r="AF323" s="302">
        <f t="shared" si="5"/>
        <v>900</v>
      </c>
      <c r="AG323" s="114"/>
      <c r="AH323" s="115"/>
    </row>
    <row r="324" spans="1:34" s="78" customFormat="1" ht="12" customHeight="1">
      <c r="A324" s="100">
        <v>2122</v>
      </c>
      <c r="B324" s="101" t="s">
        <v>3400</v>
      </c>
      <c r="C324" s="101" t="s">
        <v>3400</v>
      </c>
      <c r="D324" s="101" t="s">
        <v>3401</v>
      </c>
      <c r="E324" s="100">
        <v>2</v>
      </c>
      <c r="F324" s="102">
        <v>6</v>
      </c>
      <c r="G324" s="103">
        <v>322</v>
      </c>
      <c r="H324" s="104" t="s">
        <v>2122</v>
      </c>
      <c r="I324" s="104" t="s">
        <v>2122</v>
      </c>
      <c r="J324" s="105">
        <v>10500101160602</v>
      </c>
      <c r="K324" s="106" t="s">
        <v>353</v>
      </c>
      <c r="L324" s="106" t="s">
        <v>303</v>
      </c>
      <c r="M324" s="106">
        <v>70</v>
      </c>
      <c r="N324" s="104" t="s">
        <v>2123</v>
      </c>
      <c r="O324" s="104" t="s">
        <v>2124</v>
      </c>
      <c r="P324" s="229" t="s">
        <v>2125</v>
      </c>
      <c r="Q324" s="229" t="s">
        <v>2126</v>
      </c>
      <c r="R324" s="229" t="s">
        <v>2127</v>
      </c>
      <c r="S324" s="231" t="s">
        <v>2128</v>
      </c>
      <c r="T324" s="305">
        <v>120</v>
      </c>
      <c r="U324" s="306">
        <v>40</v>
      </c>
      <c r="V324" s="306">
        <v>0</v>
      </c>
      <c r="W324" s="300" t="s">
        <v>3401</v>
      </c>
      <c r="X324" s="300" t="s">
        <v>3400</v>
      </c>
      <c r="Y324" s="301">
        <v>160</v>
      </c>
      <c r="Z324" s="305">
        <v>0</v>
      </c>
      <c r="AA324" s="306">
        <v>0</v>
      </c>
      <c r="AB324" s="306">
        <v>0</v>
      </c>
      <c r="AC324" s="300"/>
      <c r="AD324" s="300"/>
      <c r="AE324" s="301">
        <v>0</v>
      </c>
      <c r="AF324" s="302">
        <f t="shared" si="5"/>
        <v>160</v>
      </c>
      <c r="AG324" s="114"/>
      <c r="AH324" s="115"/>
    </row>
    <row r="325" spans="1:34" s="78" customFormat="1" ht="12" customHeight="1">
      <c r="A325" s="100">
        <v>2123</v>
      </c>
      <c r="B325" s="101" t="s">
        <v>3400</v>
      </c>
      <c r="C325" s="101" t="s">
        <v>3400</v>
      </c>
      <c r="D325" s="101" t="s">
        <v>3401</v>
      </c>
      <c r="E325" s="100">
        <v>2</v>
      </c>
      <c r="F325" s="102">
        <v>6</v>
      </c>
      <c r="G325" s="103">
        <v>323</v>
      </c>
      <c r="H325" s="342" t="s">
        <v>2129</v>
      </c>
      <c r="I325" s="104" t="s">
        <v>2129</v>
      </c>
      <c r="J325" s="105">
        <v>20500100652601</v>
      </c>
      <c r="K325" s="106" t="s">
        <v>353</v>
      </c>
      <c r="L325" s="343"/>
      <c r="M325" s="106">
        <v>70</v>
      </c>
      <c r="N325" s="104" t="s">
        <v>2123</v>
      </c>
      <c r="O325" s="104" t="s">
        <v>2130</v>
      </c>
      <c r="P325" s="229" t="s">
        <v>2131</v>
      </c>
      <c r="Q325" s="229" t="s">
        <v>2132</v>
      </c>
      <c r="R325" s="229" t="s">
        <v>2133</v>
      </c>
      <c r="S325" s="231" t="s">
        <v>2134</v>
      </c>
      <c r="T325" s="305">
        <v>63</v>
      </c>
      <c r="U325" s="306">
        <v>120</v>
      </c>
      <c r="V325" s="306">
        <v>23</v>
      </c>
      <c r="W325" s="300" t="s">
        <v>3401</v>
      </c>
      <c r="X325" s="300" t="s">
        <v>3400</v>
      </c>
      <c r="Y325" s="301">
        <v>206</v>
      </c>
      <c r="Z325" s="305">
        <v>0</v>
      </c>
      <c r="AA325" s="306">
        <v>0</v>
      </c>
      <c r="AB325" s="306">
        <v>0</v>
      </c>
      <c r="AC325" s="300"/>
      <c r="AD325" s="300"/>
      <c r="AE325" s="301">
        <v>0</v>
      </c>
      <c r="AF325" s="302">
        <f t="shared" si="5"/>
        <v>206</v>
      </c>
      <c r="AG325" s="114"/>
      <c r="AH325" s="115"/>
    </row>
    <row r="326" spans="1:34" s="78" customFormat="1" ht="12" customHeight="1">
      <c r="A326" s="100">
        <v>2124</v>
      </c>
      <c r="B326" s="101" t="s">
        <v>3400</v>
      </c>
      <c r="C326" s="101" t="s">
        <v>3400</v>
      </c>
      <c r="D326" s="101" t="s">
        <v>3401</v>
      </c>
      <c r="E326" s="100">
        <v>2</v>
      </c>
      <c r="F326" s="102">
        <v>6</v>
      </c>
      <c r="G326" s="103">
        <v>324</v>
      </c>
      <c r="H326" s="104" t="s">
        <v>2135</v>
      </c>
      <c r="I326" s="104" t="s">
        <v>2135</v>
      </c>
      <c r="J326" s="105">
        <v>20500100652602</v>
      </c>
      <c r="K326" s="106" t="s">
        <v>353</v>
      </c>
      <c r="L326" s="115"/>
      <c r="M326" s="106">
        <v>70</v>
      </c>
      <c r="N326" s="104" t="s">
        <v>2136</v>
      </c>
      <c r="O326" s="104" t="s">
        <v>2130</v>
      </c>
      <c r="P326" s="229" t="s">
        <v>2137</v>
      </c>
      <c r="Q326" s="229" t="s">
        <v>2132</v>
      </c>
      <c r="R326" s="229" t="s">
        <v>2138</v>
      </c>
      <c r="S326" s="231" t="s">
        <v>2139</v>
      </c>
      <c r="T326" s="305">
        <v>24</v>
      </c>
      <c r="U326" s="306">
        <v>16</v>
      </c>
      <c r="V326" s="306">
        <v>0</v>
      </c>
      <c r="W326" s="300" t="s">
        <v>3401</v>
      </c>
      <c r="X326" s="300" t="s">
        <v>3400</v>
      </c>
      <c r="Y326" s="301">
        <v>40</v>
      </c>
      <c r="Z326" s="305">
        <v>0</v>
      </c>
      <c r="AA326" s="306">
        <v>0</v>
      </c>
      <c r="AB326" s="306">
        <v>0</v>
      </c>
      <c r="AC326" s="300"/>
      <c r="AD326" s="300"/>
      <c r="AE326" s="301">
        <v>0</v>
      </c>
      <c r="AF326" s="302">
        <f t="shared" si="5"/>
        <v>40</v>
      </c>
      <c r="AG326" s="114"/>
      <c r="AH326" s="115"/>
    </row>
    <row r="327" spans="1:34" s="78" customFormat="1" ht="12" customHeight="1">
      <c r="A327" s="100">
        <v>2125</v>
      </c>
      <c r="B327" s="101" t="s">
        <v>3400</v>
      </c>
      <c r="C327" s="101" t="s">
        <v>3400</v>
      </c>
      <c r="D327" s="101" t="s">
        <v>3401</v>
      </c>
      <c r="E327" s="100">
        <v>2</v>
      </c>
      <c r="F327" s="102">
        <v>6</v>
      </c>
      <c r="G327" s="103">
        <v>325</v>
      </c>
      <c r="H327" s="104" t="s">
        <v>2140</v>
      </c>
      <c r="I327" s="104" t="s">
        <v>2140</v>
      </c>
      <c r="J327" s="105">
        <v>20500100991601</v>
      </c>
      <c r="K327" s="106" t="s">
        <v>353</v>
      </c>
      <c r="L327" s="115"/>
      <c r="M327" s="106">
        <v>70</v>
      </c>
      <c r="N327" s="104" t="s">
        <v>2141</v>
      </c>
      <c r="O327" s="104" t="s">
        <v>2142</v>
      </c>
      <c r="P327" s="229" t="s">
        <v>2143</v>
      </c>
      <c r="Q327" s="229" t="s">
        <v>2144</v>
      </c>
      <c r="R327" s="229" t="s">
        <v>2145</v>
      </c>
      <c r="S327" s="231" t="s">
        <v>2146</v>
      </c>
      <c r="T327" s="305">
        <v>110</v>
      </c>
      <c r="U327" s="306">
        <v>60</v>
      </c>
      <c r="V327" s="306">
        <v>0</v>
      </c>
      <c r="W327" s="300" t="s">
        <v>3401</v>
      </c>
      <c r="X327" s="300" t="s">
        <v>3400</v>
      </c>
      <c r="Y327" s="301">
        <v>170</v>
      </c>
      <c r="Z327" s="305">
        <v>0</v>
      </c>
      <c r="AA327" s="306">
        <v>0</v>
      </c>
      <c r="AB327" s="306">
        <v>0</v>
      </c>
      <c r="AC327" s="300"/>
      <c r="AD327" s="300"/>
      <c r="AE327" s="301">
        <v>0</v>
      </c>
      <c r="AF327" s="302">
        <f t="shared" si="5"/>
        <v>170</v>
      </c>
      <c r="AG327" s="114"/>
      <c r="AH327" s="115"/>
    </row>
    <row r="328" spans="1:34" s="78" customFormat="1" ht="12" customHeight="1">
      <c r="A328" s="100">
        <v>2126</v>
      </c>
      <c r="B328" s="101" t="s">
        <v>3400</v>
      </c>
      <c r="C328" s="101" t="s">
        <v>3400</v>
      </c>
      <c r="D328" s="101" t="s">
        <v>3401</v>
      </c>
      <c r="E328" s="100">
        <v>2</v>
      </c>
      <c r="F328" s="102">
        <v>6</v>
      </c>
      <c r="G328" s="103">
        <v>326</v>
      </c>
      <c r="H328" s="104" t="s">
        <v>2147</v>
      </c>
      <c r="I328" s="104" t="s">
        <v>2147</v>
      </c>
      <c r="J328" s="105">
        <v>10500102660301</v>
      </c>
      <c r="K328" s="106" t="s">
        <v>353</v>
      </c>
      <c r="L328" s="106" t="s">
        <v>303</v>
      </c>
      <c r="M328" s="106">
        <v>70</v>
      </c>
      <c r="N328" s="104" t="s">
        <v>2148</v>
      </c>
      <c r="O328" s="104" t="s">
        <v>2130</v>
      </c>
      <c r="P328" s="229" t="s">
        <v>2149</v>
      </c>
      <c r="Q328" s="229" t="s">
        <v>2150</v>
      </c>
      <c r="R328" s="229" t="s">
        <v>2151</v>
      </c>
      <c r="S328" s="231" t="s">
        <v>2152</v>
      </c>
      <c r="T328" s="305">
        <v>110</v>
      </c>
      <c r="U328" s="306">
        <v>179</v>
      </c>
      <c r="V328" s="306">
        <v>81</v>
      </c>
      <c r="W328" s="300" t="s">
        <v>3401</v>
      </c>
      <c r="X328" s="300" t="s">
        <v>3400</v>
      </c>
      <c r="Y328" s="301">
        <v>370</v>
      </c>
      <c r="Z328" s="305">
        <v>0</v>
      </c>
      <c r="AA328" s="306">
        <v>0</v>
      </c>
      <c r="AB328" s="306">
        <v>0</v>
      </c>
      <c r="AC328" s="300"/>
      <c r="AD328" s="300"/>
      <c r="AE328" s="301">
        <v>0</v>
      </c>
      <c r="AF328" s="302">
        <f t="shared" si="5"/>
        <v>370</v>
      </c>
      <c r="AG328" s="114"/>
      <c r="AH328" s="115"/>
    </row>
    <row r="329" spans="1:34" s="78" customFormat="1" ht="12" customHeight="1">
      <c r="A329" s="100">
        <v>2127</v>
      </c>
      <c r="B329" s="101" t="s">
        <v>3400</v>
      </c>
      <c r="C329" s="101" t="s">
        <v>3400</v>
      </c>
      <c r="D329" s="101" t="s">
        <v>3401</v>
      </c>
      <c r="E329" s="100">
        <v>2</v>
      </c>
      <c r="F329" s="102">
        <v>6</v>
      </c>
      <c r="G329" s="103">
        <v>327</v>
      </c>
      <c r="H329" s="104" t="s">
        <v>2153</v>
      </c>
      <c r="I329" s="104" t="s">
        <v>2153</v>
      </c>
      <c r="J329" s="105">
        <v>20500100991603</v>
      </c>
      <c r="K329" s="106" t="s">
        <v>353</v>
      </c>
      <c r="L329" s="115"/>
      <c r="M329" s="106">
        <v>70</v>
      </c>
      <c r="N329" s="104" t="s">
        <v>2154</v>
      </c>
      <c r="O329" s="104" t="s">
        <v>2130</v>
      </c>
      <c r="P329" s="229" t="s">
        <v>2155</v>
      </c>
      <c r="Q329" s="229" t="s">
        <v>2144</v>
      </c>
      <c r="R329" s="229" t="s">
        <v>2156</v>
      </c>
      <c r="S329" s="230" t="s">
        <v>2157</v>
      </c>
      <c r="T329" s="305">
        <v>13</v>
      </c>
      <c r="U329" s="306">
        <v>13</v>
      </c>
      <c r="V329" s="306">
        <v>0</v>
      </c>
      <c r="W329" s="300" t="s">
        <v>3401</v>
      </c>
      <c r="X329" s="300" t="s">
        <v>3400</v>
      </c>
      <c r="Y329" s="301">
        <v>26</v>
      </c>
      <c r="Z329" s="305">
        <v>0</v>
      </c>
      <c r="AA329" s="306">
        <v>0</v>
      </c>
      <c r="AB329" s="306">
        <v>0</v>
      </c>
      <c r="AC329" s="300"/>
      <c r="AD329" s="300"/>
      <c r="AE329" s="301">
        <v>0</v>
      </c>
      <c r="AF329" s="302">
        <f t="shared" si="5"/>
        <v>26</v>
      </c>
      <c r="AG329" s="114"/>
      <c r="AH329" s="115"/>
    </row>
    <row r="330" spans="1:34" s="78" customFormat="1" ht="12" customHeight="1">
      <c r="A330" s="100">
        <v>2128</v>
      </c>
      <c r="B330" s="101" t="s">
        <v>3400</v>
      </c>
      <c r="C330" s="101" t="s">
        <v>3400</v>
      </c>
      <c r="D330" s="101" t="s">
        <v>3401</v>
      </c>
      <c r="E330" s="100">
        <v>2</v>
      </c>
      <c r="F330" s="102">
        <v>6</v>
      </c>
      <c r="G330" s="103">
        <v>328</v>
      </c>
      <c r="H330" s="104" t="s">
        <v>2158</v>
      </c>
      <c r="I330" s="104" t="s">
        <v>2158</v>
      </c>
      <c r="J330" s="105">
        <v>20500100276802</v>
      </c>
      <c r="K330" s="106" t="s">
        <v>353</v>
      </c>
      <c r="L330" s="115"/>
      <c r="M330" s="106">
        <v>80</v>
      </c>
      <c r="N330" s="104" t="s">
        <v>2159</v>
      </c>
      <c r="O330" s="104" t="s">
        <v>2160</v>
      </c>
      <c r="P330" s="104">
        <v>3224346</v>
      </c>
      <c r="Q330" s="104" t="s">
        <v>2161</v>
      </c>
      <c r="R330" s="104" t="s">
        <v>2162</v>
      </c>
      <c r="S330" s="108" t="s">
        <v>2163</v>
      </c>
      <c r="T330" s="305">
        <v>32</v>
      </c>
      <c r="U330" s="306">
        <v>16</v>
      </c>
      <c r="V330" s="306">
        <v>0</v>
      </c>
      <c r="W330" s="300" t="s">
        <v>3401</v>
      </c>
      <c r="X330" s="300" t="s">
        <v>3400</v>
      </c>
      <c r="Y330" s="301">
        <v>48</v>
      </c>
      <c r="Z330" s="305">
        <v>0</v>
      </c>
      <c r="AA330" s="306">
        <v>0</v>
      </c>
      <c r="AB330" s="306">
        <v>0</v>
      </c>
      <c r="AC330" s="300"/>
      <c r="AD330" s="300"/>
      <c r="AE330" s="301">
        <v>0</v>
      </c>
      <c r="AF330" s="302">
        <f t="shared" si="5"/>
        <v>48</v>
      </c>
      <c r="AG330" s="114"/>
      <c r="AH330" s="115"/>
    </row>
    <row r="331" spans="1:34" s="78" customFormat="1" ht="12" customHeight="1">
      <c r="A331" s="100">
        <v>2129</v>
      </c>
      <c r="B331" s="101" t="s">
        <v>3400</v>
      </c>
      <c r="C331" s="101" t="s">
        <v>3400</v>
      </c>
      <c r="D331" s="101" t="s">
        <v>3401</v>
      </c>
      <c r="E331" s="100">
        <v>2</v>
      </c>
      <c r="F331" s="102">
        <v>6</v>
      </c>
      <c r="G331" s="103">
        <v>329</v>
      </c>
      <c r="H331" s="104" t="s">
        <v>2164</v>
      </c>
      <c r="I331" s="104" t="s">
        <v>2164</v>
      </c>
      <c r="J331" s="105">
        <v>20500100276806</v>
      </c>
      <c r="K331" s="106" t="s">
        <v>353</v>
      </c>
      <c r="L331" s="115"/>
      <c r="M331" s="106">
        <v>80</v>
      </c>
      <c r="N331" s="104" t="s">
        <v>2165</v>
      </c>
      <c r="O331" s="104" t="s">
        <v>2160</v>
      </c>
      <c r="P331" s="104">
        <v>3028518</v>
      </c>
      <c r="Q331" s="104" t="s">
        <v>2161</v>
      </c>
      <c r="R331" s="104" t="s">
        <v>2166</v>
      </c>
      <c r="S331" s="108" t="s">
        <v>2167</v>
      </c>
      <c r="T331" s="305">
        <v>22</v>
      </c>
      <c r="U331" s="306">
        <v>10</v>
      </c>
      <c r="V331" s="306">
        <v>0</v>
      </c>
      <c r="W331" s="300" t="s">
        <v>3401</v>
      </c>
      <c r="X331" s="300" t="s">
        <v>3400</v>
      </c>
      <c r="Y331" s="301">
        <v>32</v>
      </c>
      <c r="Z331" s="305">
        <v>0</v>
      </c>
      <c r="AA331" s="306">
        <v>0</v>
      </c>
      <c r="AB331" s="306">
        <v>0</v>
      </c>
      <c r="AC331" s="300"/>
      <c r="AD331" s="300"/>
      <c r="AE331" s="301">
        <v>0</v>
      </c>
      <c r="AF331" s="302">
        <f t="shared" si="5"/>
        <v>32</v>
      </c>
      <c r="AG331" s="114"/>
      <c r="AH331" s="115"/>
    </row>
    <row r="332" spans="1:34" s="78" customFormat="1" ht="12" customHeight="1">
      <c r="A332" s="100">
        <v>2130</v>
      </c>
      <c r="B332" s="101" t="s">
        <v>3400</v>
      </c>
      <c r="C332" s="101" t="s">
        <v>3400</v>
      </c>
      <c r="D332" s="101" t="s">
        <v>3402</v>
      </c>
      <c r="E332" s="100">
        <v>2</v>
      </c>
      <c r="F332" s="102">
        <v>6</v>
      </c>
      <c r="G332" s="103">
        <v>330</v>
      </c>
      <c r="H332" s="104" t="s">
        <v>2168</v>
      </c>
      <c r="I332" s="104" t="s">
        <v>2168</v>
      </c>
      <c r="J332" s="105">
        <v>20500101253403</v>
      </c>
      <c r="K332" s="106" t="s">
        <v>353</v>
      </c>
      <c r="L332" s="115"/>
      <c r="M332" s="106">
        <v>80</v>
      </c>
      <c r="N332" s="104" t="s">
        <v>2169</v>
      </c>
      <c r="O332" s="104" t="s">
        <v>2170</v>
      </c>
      <c r="P332" s="104">
        <v>2860139</v>
      </c>
      <c r="Q332" s="104" t="s">
        <v>2171</v>
      </c>
      <c r="R332" s="104" t="s">
        <v>2172</v>
      </c>
      <c r="S332" s="108" t="s">
        <v>2173</v>
      </c>
      <c r="T332" s="305">
        <v>100</v>
      </c>
      <c r="U332" s="306">
        <v>70</v>
      </c>
      <c r="V332" s="306">
        <v>0</v>
      </c>
      <c r="W332" s="300" t="s">
        <v>3401</v>
      </c>
      <c r="X332" s="300" t="s">
        <v>3400</v>
      </c>
      <c r="Y332" s="301">
        <v>170</v>
      </c>
      <c r="Z332" s="305">
        <v>358</v>
      </c>
      <c r="AA332" s="306">
        <v>102</v>
      </c>
      <c r="AB332" s="306">
        <v>0</v>
      </c>
      <c r="AC332" s="300" t="s">
        <v>3399</v>
      </c>
      <c r="AD332" s="300" t="s">
        <v>3400</v>
      </c>
      <c r="AE332" s="301">
        <v>460</v>
      </c>
      <c r="AF332" s="302">
        <f t="shared" si="5"/>
        <v>630</v>
      </c>
      <c r="AG332" s="114"/>
      <c r="AH332" s="115"/>
    </row>
    <row r="333" spans="1:34" s="78" customFormat="1" ht="12" customHeight="1">
      <c r="A333" s="100">
        <v>2131</v>
      </c>
      <c r="B333" s="101" t="s">
        <v>3400</v>
      </c>
      <c r="C333" s="101" t="s">
        <v>3400</v>
      </c>
      <c r="D333" s="101" t="s">
        <v>3401</v>
      </c>
      <c r="E333" s="100">
        <v>2</v>
      </c>
      <c r="F333" s="102">
        <v>6</v>
      </c>
      <c r="G333" s="103">
        <v>331</v>
      </c>
      <c r="H333" s="104" t="s">
        <v>2174</v>
      </c>
      <c r="I333" s="104" t="s">
        <v>2174</v>
      </c>
      <c r="J333" s="105">
        <v>20500100276805</v>
      </c>
      <c r="K333" s="106" t="s">
        <v>353</v>
      </c>
      <c r="L333" s="115"/>
      <c r="M333" s="106">
        <v>80</v>
      </c>
      <c r="N333" s="104" t="s">
        <v>2175</v>
      </c>
      <c r="O333" s="104" t="s">
        <v>2176</v>
      </c>
      <c r="P333" s="104">
        <v>2863725</v>
      </c>
      <c r="Q333" s="104" t="s">
        <v>2161</v>
      </c>
      <c r="R333" s="104" t="s">
        <v>2177</v>
      </c>
      <c r="S333" s="108" t="s">
        <v>2163</v>
      </c>
      <c r="T333" s="305">
        <v>25</v>
      </c>
      <c r="U333" s="306">
        <v>20</v>
      </c>
      <c r="V333" s="306">
        <v>0</v>
      </c>
      <c r="W333" s="300" t="s">
        <v>3401</v>
      </c>
      <c r="X333" s="300" t="s">
        <v>3400</v>
      </c>
      <c r="Y333" s="301">
        <v>45</v>
      </c>
      <c r="Z333" s="305">
        <v>0</v>
      </c>
      <c r="AA333" s="306">
        <v>0</v>
      </c>
      <c r="AB333" s="306">
        <v>0</v>
      </c>
      <c r="AC333" s="300"/>
      <c r="AD333" s="300"/>
      <c r="AE333" s="301">
        <v>0</v>
      </c>
      <c r="AF333" s="302">
        <f t="shared" si="5"/>
        <v>45</v>
      </c>
      <c r="AG333" s="114"/>
      <c r="AH333" s="115"/>
    </row>
    <row r="334" spans="1:34" s="78" customFormat="1" ht="12" customHeight="1">
      <c r="A334" s="100">
        <v>2132</v>
      </c>
      <c r="B334" s="101" t="s">
        <v>3400</v>
      </c>
      <c r="C334" s="101" t="s">
        <v>3400</v>
      </c>
      <c r="D334" s="101" t="s">
        <v>3402</v>
      </c>
      <c r="E334" s="100">
        <v>2</v>
      </c>
      <c r="F334" s="102">
        <v>6</v>
      </c>
      <c r="G334" s="103">
        <v>332</v>
      </c>
      <c r="H334" s="104" t="s">
        <v>2178</v>
      </c>
      <c r="I334" s="104" t="s">
        <v>2178</v>
      </c>
      <c r="J334" s="105">
        <v>10500102579801</v>
      </c>
      <c r="K334" s="106" t="s">
        <v>353</v>
      </c>
      <c r="L334" s="106" t="s">
        <v>303</v>
      </c>
      <c r="M334" s="106">
        <v>80</v>
      </c>
      <c r="N334" s="104" t="s">
        <v>2179</v>
      </c>
      <c r="O334" s="104" t="s">
        <v>2180</v>
      </c>
      <c r="P334" s="104" t="s">
        <v>2181</v>
      </c>
      <c r="Q334" s="104" t="s">
        <v>2182</v>
      </c>
      <c r="R334" s="104" t="s">
        <v>2183</v>
      </c>
      <c r="S334" s="108" t="s">
        <v>2184</v>
      </c>
      <c r="T334" s="305">
        <v>132</v>
      </c>
      <c r="U334" s="306">
        <v>126</v>
      </c>
      <c r="V334" s="306">
        <v>117</v>
      </c>
      <c r="W334" s="300" t="s">
        <v>3401</v>
      </c>
      <c r="X334" s="300" t="s">
        <v>3400</v>
      </c>
      <c r="Y334" s="301">
        <v>375</v>
      </c>
      <c r="Z334" s="305">
        <v>86</v>
      </c>
      <c r="AA334" s="306">
        <v>404</v>
      </c>
      <c r="AB334" s="306">
        <v>110</v>
      </c>
      <c r="AC334" s="300" t="s">
        <v>3399</v>
      </c>
      <c r="AD334" s="300" t="s">
        <v>3400</v>
      </c>
      <c r="AE334" s="301">
        <v>600</v>
      </c>
      <c r="AF334" s="302">
        <f t="shared" si="5"/>
        <v>975</v>
      </c>
      <c r="AG334" s="106"/>
      <c r="AH334" s="115"/>
    </row>
    <row r="335" spans="1:34" s="78" customFormat="1" ht="12" customHeight="1">
      <c r="A335" s="100">
        <v>2133</v>
      </c>
      <c r="B335" s="101" t="s">
        <v>3400</v>
      </c>
      <c r="C335" s="101" t="s">
        <v>3400</v>
      </c>
      <c r="D335" s="101" t="s">
        <v>3402</v>
      </c>
      <c r="E335" s="100">
        <v>2</v>
      </c>
      <c r="F335" s="102">
        <v>6</v>
      </c>
      <c r="G335" s="103">
        <v>333</v>
      </c>
      <c r="H335" s="104" t="s">
        <v>2185</v>
      </c>
      <c r="I335" s="104" t="s">
        <v>2185</v>
      </c>
      <c r="J335" s="105">
        <v>10500102579802</v>
      </c>
      <c r="K335" s="106" t="s">
        <v>353</v>
      </c>
      <c r="L335" s="106" t="s">
        <v>303</v>
      </c>
      <c r="M335" s="106">
        <v>80</v>
      </c>
      <c r="N335" s="104" t="s">
        <v>2186</v>
      </c>
      <c r="O335" s="104" t="s">
        <v>2187</v>
      </c>
      <c r="P335" s="104" t="s">
        <v>2188</v>
      </c>
      <c r="Q335" s="104" t="s">
        <v>2182</v>
      </c>
      <c r="R335" s="104" t="s">
        <v>2189</v>
      </c>
      <c r="S335" s="108" t="s">
        <v>2190</v>
      </c>
      <c r="T335" s="305">
        <v>149</v>
      </c>
      <c r="U335" s="306">
        <v>53</v>
      </c>
      <c r="V335" s="306">
        <v>0</v>
      </c>
      <c r="W335" s="300" t="s">
        <v>3401</v>
      </c>
      <c r="X335" s="300" t="s">
        <v>3400</v>
      </c>
      <c r="Y335" s="301">
        <v>202</v>
      </c>
      <c r="Z335" s="305">
        <v>88</v>
      </c>
      <c r="AA335" s="306">
        <v>91</v>
      </c>
      <c r="AB335" s="306">
        <v>0</v>
      </c>
      <c r="AC335" s="300" t="s">
        <v>3399</v>
      </c>
      <c r="AD335" s="300" t="s">
        <v>3400</v>
      </c>
      <c r="AE335" s="301">
        <v>179</v>
      </c>
      <c r="AF335" s="302">
        <f t="shared" si="5"/>
        <v>381</v>
      </c>
      <c r="AG335" s="114"/>
      <c r="AH335" s="115"/>
    </row>
    <row r="336" spans="1:34" s="78" customFormat="1" ht="12" customHeight="1">
      <c r="A336" s="100">
        <v>2134</v>
      </c>
      <c r="B336" s="101" t="s">
        <v>3400</v>
      </c>
      <c r="C336" s="101" t="s">
        <v>3400</v>
      </c>
      <c r="D336" s="101" t="s">
        <v>3402</v>
      </c>
      <c r="E336" s="100">
        <v>2</v>
      </c>
      <c r="F336" s="102">
        <v>6</v>
      </c>
      <c r="G336" s="103">
        <v>334</v>
      </c>
      <c r="H336" s="104" t="s">
        <v>2191</v>
      </c>
      <c r="I336" s="104" t="s">
        <v>2191</v>
      </c>
      <c r="J336" s="105">
        <v>20500100167201</v>
      </c>
      <c r="K336" s="106" t="s">
        <v>353</v>
      </c>
      <c r="L336" s="115"/>
      <c r="M336" s="106">
        <v>80</v>
      </c>
      <c r="N336" s="104" t="s">
        <v>2192</v>
      </c>
      <c r="O336" s="104" t="s">
        <v>2193</v>
      </c>
      <c r="P336" s="104">
        <v>2860010</v>
      </c>
      <c r="Q336" s="104" t="s">
        <v>2194</v>
      </c>
      <c r="R336" s="104" t="s">
        <v>2195</v>
      </c>
      <c r="S336" s="108" t="s">
        <v>2196</v>
      </c>
      <c r="T336" s="305">
        <v>190</v>
      </c>
      <c r="U336" s="306">
        <v>170</v>
      </c>
      <c r="V336" s="306">
        <v>60</v>
      </c>
      <c r="W336" s="300" t="s">
        <v>3401</v>
      </c>
      <c r="X336" s="300" t="s">
        <v>3400</v>
      </c>
      <c r="Y336" s="301">
        <v>420</v>
      </c>
      <c r="Z336" s="305">
        <v>60</v>
      </c>
      <c r="AA336" s="306">
        <v>400</v>
      </c>
      <c r="AB336" s="306">
        <v>190</v>
      </c>
      <c r="AC336" s="300" t="s">
        <v>3399</v>
      </c>
      <c r="AD336" s="300" t="s">
        <v>3400</v>
      </c>
      <c r="AE336" s="301">
        <v>650</v>
      </c>
      <c r="AF336" s="302">
        <f t="shared" si="5"/>
        <v>1070</v>
      </c>
      <c r="AG336" s="114"/>
      <c r="AH336" s="115"/>
    </row>
    <row r="337" spans="1:34" s="78" customFormat="1" ht="12" customHeight="1">
      <c r="A337" s="100">
        <v>2135</v>
      </c>
      <c r="B337" s="101" t="s">
        <v>3400</v>
      </c>
      <c r="C337" s="101" t="s">
        <v>3400</v>
      </c>
      <c r="D337" s="101" t="s">
        <v>3402</v>
      </c>
      <c r="E337" s="100">
        <v>2</v>
      </c>
      <c r="F337" s="102">
        <v>6</v>
      </c>
      <c r="G337" s="103">
        <v>335</v>
      </c>
      <c r="H337" s="104" t="s">
        <v>2197</v>
      </c>
      <c r="I337" s="104" t="s">
        <v>2197</v>
      </c>
      <c r="J337" s="105">
        <v>20500101931801</v>
      </c>
      <c r="K337" s="106" t="s">
        <v>353</v>
      </c>
      <c r="L337" s="106" t="s">
        <v>303</v>
      </c>
      <c r="M337" s="106">
        <v>80</v>
      </c>
      <c r="N337" s="104" t="s">
        <v>2198</v>
      </c>
      <c r="O337" s="104" t="s">
        <v>2199</v>
      </c>
      <c r="P337" s="104" t="s">
        <v>2200</v>
      </c>
      <c r="Q337" s="104" t="s">
        <v>2201</v>
      </c>
      <c r="R337" s="104" t="s">
        <v>2202</v>
      </c>
      <c r="S337" s="108" t="s">
        <v>2203</v>
      </c>
      <c r="T337" s="305">
        <v>202</v>
      </c>
      <c r="U337" s="306">
        <v>257</v>
      </c>
      <c r="V337" s="306">
        <v>100</v>
      </c>
      <c r="W337" s="300" t="s">
        <v>3401</v>
      </c>
      <c r="X337" s="300" t="s">
        <v>3400</v>
      </c>
      <c r="Y337" s="301">
        <v>559</v>
      </c>
      <c r="Z337" s="305">
        <v>22</v>
      </c>
      <c r="AA337" s="306">
        <v>203</v>
      </c>
      <c r="AB337" s="306">
        <v>170</v>
      </c>
      <c r="AC337" s="300" t="s">
        <v>3399</v>
      </c>
      <c r="AD337" s="300" t="s">
        <v>3400</v>
      </c>
      <c r="AE337" s="301">
        <v>395</v>
      </c>
      <c r="AF337" s="302">
        <f t="shared" si="5"/>
        <v>954</v>
      </c>
      <c r="AG337" s="114"/>
      <c r="AH337" s="115"/>
    </row>
    <row r="338" spans="1:34" s="78" customFormat="1" ht="12" customHeight="1">
      <c r="A338" s="100">
        <v>2136</v>
      </c>
      <c r="B338" s="101" t="s">
        <v>3400</v>
      </c>
      <c r="C338" s="101" t="s">
        <v>3400</v>
      </c>
      <c r="D338" s="101" t="s">
        <v>3402</v>
      </c>
      <c r="E338" s="100">
        <v>2</v>
      </c>
      <c r="F338" s="102">
        <v>6</v>
      </c>
      <c r="G338" s="103">
        <v>336</v>
      </c>
      <c r="H338" s="104" t="s">
        <v>2204</v>
      </c>
      <c r="I338" s="104" t="s">
        <v>2204</v>
      </c>
      <c r="J338" s="105">
        <v>20500101931802</v>
      </c>
      <c r="K338" s="106" t="s">
        <v>353</v>
      </c>
      <c r="L338" s="106" t="s">
        <v>303</v>
      </c>
      <c r="M338" s="106">
        <v>80</v>
      </c>
      <c r="N338" s="104" t="s">
        <v>2205</v>
      </c>
      <c r="O338" s="104" t="s">
        <v>2206</v>
      </c>
      <c r="P338" s="104" t="s">
        <v>2207</v>
      </c>
      <c r="Q338" s="104" t="s">
        <v>2208</v>
      </c>
      <c r="R338" s="104" t="s">
        <v>2209</v>
      </c>
      <c r="S338" s="108" t="s">
        <v>766</v>
      </c>
      <c r="T338" s="305">
        <v>112</v>
      </c>
      <c r="U338" s="306">
        <v>70</v>
      </c>
      <c r="V338" s="306">
        <v>30</v>
      </c>
      <c r="W338" s="300" t="s">
        <v>3401</v>
      </c>
      <c r="X338" s="300" t="s">
        <v>3400</v>
      </c>
      <c r="Y338" s="301">
        <v>212</v>
      </c>
      <c r="Z338" s="305">
        <v>0</v>
      </c>
      <c r="AA338" s="306">
        <v>95</v>
      </c>
      <c r="AB338" s="306">
        <v>73</v>
      </c>
      <c r="AC338" s="300" t="s">
        <v>3399</v>
      </c>
      <c r="AD338" s="300" t="s">
        <v>3400</v>
      </c>
      <c r="AE338" s="301">
        <v>168</v>
      </c>
      <c r="AF338" s="302">
        <f t="shared" si="5"/>
        <v>380</v>
      </c>
      <c r="AG338" s="114"/>
      <c r="AH338" s="115"/>
    </row>
    <row r="339" spans="1:34" s="78" customFormat="1" ht="12" customHeight="1">
      <c r="A339" s="100">
        <v>2137</v>
      </c>
      <c r="B339" s="101" t="s">
        <v>3400</v>
      </c>
      <c r="C339" s="101" t="s">
        <v>3400</v>
      </c>
      <c r="D339" s="101" t="s">
        <v>3401</v>
      </c>
      <c r="E339" s="100">
        <v>2</v>
      </c>
      <c r="F339" s="102">
        <v>6</v>
      </c>
      <c r="G339" s="103">
        <v>337</v>
      </c>
      <c r="H339" s="104" t="s">
        <v>2210</v>
      </c>
      <c r="I339" s="104" t="s">
        <v>2210</v>
      </c>
      <c r="J339" s="105">
        <v>20500101874501</v>
      </c>
      <c r="K339" s="106" t="s">
        <v>353</v>
      </c>
      <c r="L339" s="115"/>
      <c r="M339" s="106">
        <v>80</v>
      </c>
      <c r="N339" s="104" t="s">
        <v>2211</v>
      </c>
      <c r="O339" s="104" t="s">
        <v>2212</v>
      </c>
      <c r="P339" s="104">
        <v>2862293</v>
      </c>
      <c r="Q339" s="104" t="s">
        <v>2213</v>
      </c>
      <c r="R339" s="104" t="s">
        <v>2214</v>
      </c>
      <c r="S339" s="108" t="s">
        <v>2215</v>
      </c>
      <c r="T339" s="305">
        <v>100</v>
      </c>
      <c r="U339" s="306">
        <v>110</v>
      </c>
      <c r="V339" s="306">
        <v>0</v>
      </c>
      <c r="W339" s="300" t="s">
        <v>3401</v>
      </c>
      <c r="X339" s="300" t="s">
        <v>3400</v>
      </c>
      <c r="Y339" s="301">
        <v>210</v>
      </c>
      <c r="Z339" s="305">
        <v>0</v>
      </c>
      <c r="AA339" s="306">
        <v>0</v>
      </c>
      <c r="AB339" s="306">
        <v>0</v>
      </c>
      <c r="AC339" s="300"/>
      <c r="AD339" s="300"/>
      <c r="AE339" s="301">
        <v>0</v>
      </c>
      <c r="AF339" s="302">
        <f t="shared" si="5"/>
        <v>210</v>
      </c>
      <c r="AG339" s="114"/>
      <c r="AH339" s="344"/>
    </row>
    <row r="340" spans="1:34" s="78" customFormat="1" ht="12" customHeight="1">
      <c r="A340" s="100">
        <v>2138</v>
      </c>
      <c r="B340" s="101" t="s">
        <v>3400</v>
      </c>
      <c r="C340" s="101" t="s">
        <v>3400</v>
      </c>
      <c r="D340" s="101" t="s">
        <v>3401</v>
      </c>
      <c r="E340" s="100">
        <v>2</v>
      </c>
      <c r="F340" s="102">
        <v>6</v>
      </c>
      <c r="G340" s="103">
        <v>338</v>
      </c>
      <c r="H340" s="104" t="s">
        <v>2216</v>
      </c>
      <c r="I340" s="104" t="s">
        <v>2216</v>
      </c>
      <c r="J340" s="105">
        <v>10500101875902</v>
      </c>
      <c r="K340" s="106" t="s">
        <v>353</v>
      </c>
      <c r="L340" s="115"/>
      <c r="M340" s="106">
        <v>80</v>
      </c>
      <c r="N340" s="104" t="s">
        <v>2217</v>
      </c>
      <c r="O340" s="104" t="s">
        <v>2218</v>
      </c>
      <c r="P340" s="104" t="s">
        <v>2219</v>
      </c>
      <c r="Q340" s="104" t="s">
        <v>2220</v>
      </c>
      <c r="R340" s="104" t="s">
        <v>2221</v>
      </c>
      <c r="S340" s="108" t="s">
        <v>2222</v>
      </c>
      <c r="T340" s="305">
        <v>251</v>
      </c>
      <c r="U340" s="306">
        <v>53</v>
      </c>
      <c r="V340" s="306">
        <v>0</v>
      </c>
      <c r="W340" s="300" t="s">
        <v>3401</v>
      </c>
      <c r="X340" s="300" t="s">
        <v>3400</v>
      </c>
      <c r="Y340" s="301">
        <v>304</v>
      </c>
      <c r="Z340" s="305">
        <v>0</v>
      </c>
      <c r="AA340" s="306">
        <v>0</v>
      </c>
      <c r="AB340" s="306">
        <v>0</v>
      </c>
      <c r="AC340" s="300"/>
      <c r="AD340" s="300"/>
      <c r="AE340" s="301">
        <v>0</v>
      </c>
      <c r="AF340" s="302">
        <f t="shared" si="5"/>
        <v>304</v>
      </c>
      <c r="AG340" s="345"/>
      <c r="AH340" s="344"/>
    </row>
    <row r="341" spans="1:34" s="78" customFormat="1" ht="12" customHeight="1">
      <c r="A341" s="100">
        <v>2139</v>
      </c>
      <c r="B341" s="101" t="s">
        <v>3400</v>
      </c>
      <c r="C341" s="101" t="s">
        <v>3400</v>
      </c>
      <c r="D341" s="101" t="s">
        <v>3401</v>
      </c>
      <c r="E341" s="100">
        <v>2</v>
      </c>
      <c r="F341" s="102">
        <v>6</v>
      </c>
      <c r="G341" s="103">
        <v>339</v>
      </c>
      <c r="H341" s="104" t="s">
        <v>2223</v>
      </c>
      <c r="I341" s="104" t="s">
        <v>2223</v>
      </c>
      <c r="J341" s="105">
        <v>20500100276801</v>
      </c>
      <c r="K341" s="106" t="s">
        <v>353</v>
      </c>
      <c r="L341" s="115"/>
      <c r="M341" s="106">
        <v>80</v>
      </c>
      <c r="N341" s="104" t="s">
        <v>2224</v>
      </c>
      <c r="O341" s="104" t="s">
        <v>2176</v>
      </c>
      <c r="P341" s="104">
        <v>3373048</v>
      </c>
      <c r="Q341" s="104" t="s">
        <v>2161</v>
      </c>
      <c r="R341" s="104" t="s">
        <v>2225</v>
      </c>
      <c r="S341" s="108" t="s">
        <v>2226</v>
      </c>
      <c r="T341" s="305">
        <v>0</v>
      </c>
      <c r="U341" s="306">
        <v>30</v>
      </c>
      <c r="V341" s="306">
        <v>24</v>
      </c>
      <c r="W341" s="300" t="s">
        <v>3401</v>
      </c>
      <c r="X341" s="300" t="s">
        <v>3400</v>
      </c>
      <c r="Y341" s="301">
        <v>54</v>
      </c>
      <c r="Z341" s="305">
        <v>0</v>
      </c>
      <c r="AA341" s="306">
        <v>0</v>
      </c>
      <c r="AB341" s="306">
        <v>0</v>
      </c>
      <c r="AC341" s="300"/>
      <c r="AD341" s="300"/>
      <c r="AE341" s="301">
        <v>0</v>
      </c>
      <c r="AF341" s="302">
        <f t="shared" si="5"/>
        <v>54</v>
      </c>
      <c r="AG341" s="346"/>
      <c r="AH341" s="344"/>
    </row>
    <row r="342" spans="1:34" s="78" customFormat="1" ht="12" customHeight="1">
      <c r="A342" s="100">
        <v>2140</v>
      </c>
      <c r="B342" s="101" t="s">
        <v>3400</v>
      </c>
      <c r="C342" s="101" t="s">
        <v>3400</v>
      </c>
      <c r="D342" s="101" t="s">
        <v>3401</v>
      </c>
      <c r="E342" s="100">
        <v>2</v>
      </c>
      <c r="F342" s="102">
        <v>6</v>
      </c>
      <c r="G342" s="103">
        <v>340</v>
      </c>
      <c r="H342" s="104" t="s">
        <v>2227</v>
      </c>
      <c r="I342" s="104" t="s">
        <v>2227</v>
      </c>
      <c r="J342" s="105">
        <v>20500100276804</v>
      </c>
      <c r="K342" s="106" t="s">
        <v>353</v>
      </c>
      <c r="L342" s="115"/>
      <c r="M342" s="106">
        <v>80</v>
      </c>
      <c r="N342" s="104" t="s">
        <v>2228</v>
      </c>
      <c r="O342" s="104" t="s">
        <v>2176</v>
      </c>
      <c r="P342" s="104" t="s">
        <v>2229</v>
      </c>
      <c r="Q342" s="104" t="s">
        <v>2161</v>
      </c>
      <c r="R342" s="104" t="s">
        <v>2230</v>
      </c>
      <c r="S342" s="108" t="s">
        <v>2226</v>
      </c>
      <c r="T342" s="305">
        <v>12</v>
      </c>
      <c r="U342" s="306">
        <v>14</v>
      </c>
      <c r="V342" s="306">
        <v>0</v>
      </c>
      <c r="W342" s="300" t="s">
        <v>3401</v>
      </c>
      <c r="X342" s="300" t="s">
        <v>3400</v>
      </c>
      <c r="Y342" s="301">
        <v>26</v>
      </c>
      <c r="Z342" s="305">
        <v>0</v>
      </c>
      <c r="AA342" s="306">
        <v>0</v>
      </c>
      <c r="AB342" s="306">
        <v>0</v>
      </c>
      <c r="AC342" s="300"/>
      <c r="AD342" s="300"/>
      <c r="AE342" s="301">
        <v>0</v>
      </c>
      <c r="AF342" s="302">
        <f t="shared" si="5"/>
        <v>26</v>
      </c>
      <c r="AG342" s="114"/>
      <c r="AH342" s="344"/>
    </row>
    <row r="343" spans="1:34" s="78" customFormat="1" ht="12" customHeight="1">
      <c r="A343" s="100">
        <v>2141</v>
      </c>
      <c r="B343" s="101" t="s">
        <v>3400</v>
      </c>
      <c r="C343" s="101" t="s">
        <v>3400</v>
      </c>
      <c r="D343" s="101" t="s">
        <v>3401</v>
      </c>
      <c r="E343" s="100">
        <v>2</v>
      </c>
      <c r="F343" s="102">
        <v>6</v>
      </c>
      <c r="G343" s="103">
        <v>341</v>
      </c>
      <c r="H343" s="104" t="s">
        <v>2231</v>
      </c>
      <c r="I343" s="104" t="s">
        <v>2231</v>
      </c>
      <c r="J343" s="105">
        <v>20500102664101</v>
      </c>
      <c r="K343" s="106" t="s">
        <v>353</v>
      </c>
      <c r="L343" s="106" t="s">
        <v>303</v>
      </c>
      <c r="M343" s="106">
        <v>80</v>
      </c>
      <c r="N343" s="104" t="s">
        <v>2192</v>
      </c>
      <c r="O343" s="104" t="s">
        <v>2232</v>
      </c>
      <c r="P343" s="104">
        <v>2865071</v>
      </c>
      <c r="Q343" s="104" t="s">
        <v>2233</v>
      </c>
      <c r="R343" s="104" t="s">
        <v>2234</v>
      </c>
      <c r="S343" s="108" t="s">
        <v>2235</v>
      </c>
      <c r="T343" s="305">
        <v>125</v>
      </c>
      <c r="U343" s="306">
        <v>181</v>
      </c>
      <c r="V343" s="306">
        <v>84</v>
      </c>
      <c r="W343" s="300" t="s">
        <v>3401</v>
      </c>
      <c r="X343" s="300" t="s">
        <v>3400</v>
      </c>
      <c r="Y343" s="301">
        <v>390</v>
      </c>
      <c r="Z343" s="305">
        <v>0</v>
      </c>
      <c r="AA343" s="306">
        <v>0</v>
      </c>
      <c r="AB343" s="306">
        <v>0</v>
      </c>
      <c r="AC343" s="300"/>
      <c r="AD343" s="300"/>
      <c r="AE343" s="301">
        <v>0</v>
      </c>
      <c r="AF343" s="302">
        <f t="shared" si="5"/>
        <v>390</v>
      </c>
      <c r="AG343" s="114"/>
      <c r="AH343" s="344"/>
    </row>
    <row r="344" spans="1:34" s="78" customFormat="1" ht="12" customHeight="1">
      <c r="A344" s="100">
        <v>2142</v>
      </c>
      <c r="B344" s="101" t="s">
        <v>3400</v>
      </c>
      <c r="C344" s="101" t="s">
        <v>3400</v>
      </c>
      <c r="D344" s="101" t="s">
        <v>3402</v>
      </c>
      <c r="E344" s="100">
        <v>2</v>
      </c>
      <c r="F344" s="102">
        <v>6</v>
      </c>
      <c r="G344" s="103">
        <v>342</v>
      </c>
      <c r="H344" s="104" t="s">
        <v>2236</v>
      </c>
      <c r="I344" s="104" t="s">
        <v>2237</v>
      </c>
      <c r="J344" s="105">
        <v>20500100979701</v>
      </c>
      <c r="K344" s="106" t="s">
        <v>353</v>
      </c>
      <c r="L344" s="115"/>
      <c r="M344" s="106">
        <v>80</v>
      </c>
      <c r="N344" s="104" t="s">
        <v>2169</v>
      </c>
      <c r="O344" s="104" t="s">
        <v>2238</v>
      </c>
      <c r="P344" s="104" t="s">
        <v>2239</v>
      </c>
      <c r="Q344" s="104" t="s">
        <v>2240</v>
      </c>
      <c r="R344" s="104" t="s">
        <v>2241</v>
      </c>
      <c r="S344" s="108" t="s">
        <v>2242</v>
      </c>
      <c r="T344" s="305">
        <v>0</v>
      </c>
      <c r="U344" s="306">
        <v>130</v>
      </c>
      <c r="V344" s="306">
        <v>120</v>
      </c>
      <c r="W344" s="300" t="s">
        <v>3401</v>
      </c>
      <c r="X344" s="300" t="s">
        <v>3400</v>
      </c>
      <c r="Y344" s="301">
        <v>250</v>
      </c>
      <c r="Z344" s="305">
        <v>0</v>
      </c>
      <c r="AA344" s="306">
        <v>0</v>
      </c>
      <c r="AB344" s="306">
        <v>250</v>
      </c>
      <c r="AC344" s="300" t="s">
        <v>3399</v>
      </c>
      <c r="AD344" s="300" t="s">
        <v>3400</v>
      </c>
      <c r="AE344" s="301">
        <v>250</v>
      </c>
      <c r="AF344" s="302">
        <f t="shared" si="5"/>
        <v>500</v>
      </c>
      <c r="AG344" s="114"/>
      <c r="AH344" s="344"/>
    </row>
    <row r="345" spans="1:34" s="78" customFormat="1" ht="12" customHeight="1">
      <c r="A345" s="100">
        <v>2143</v>
      </c>
      <c r="B345" s="101" t="s">
        <v>3400</v>
      </c>
      <c r="C345" s="101" t="s">
        <v>3400</v>
      </c>
      <c r="D345" s="101" t="s">
        <v>3401</v>
      </c>
      <c r="E345" s="100">
        <v>2</v>
      </c>
      <c r="F345" s="102">
        <v>6</v>
      </c>
      <c r="G345" s="103">
        <v>343</v>
      </c>
      <c r="H345" s="104" t="s">
        <v>2243</v>
      </c>
      <c r="I345" s="104" t="s">
        <v>2243</v>
      </c>
      <c r="J345" s="105">
        <v>20500100979702</v>
      </c>
      <c r="K345" s="106" t="s">
        <v>353</v>
      </c>
      <c r="L345" s="115"/>
      <c r="M345" s="106">
        <v>80</v>
      </c>
      <c r="N345" s="104" t="s">
        <v>2169</v>
      </c>
      <c r="O345" s="104" t="s">
        <v>2244</v>
      </c>
      <c r="P345" s="104" t="s">
        <v>2245</v>
      </c>
      <c r="Q345" s="104" t="s">
        <v>2240</v>
      </c>
      <c r="R345" s="104" t="s">
        <v>2246</v>
      </c>
      <c r="S345" s="108" t="s">
        <v>2247</v>
      </c>
      <c r="T345" s="305">
        <v>202</v>
      </c>
      <c r="U345" s="306">
        <v>102</v>
      </c>
      <c r="V345" s="306">
        <v>0</v>
      </c>
      <c r="W345" s="300" t="s">
        <v>3401</v>
      </c>
      <c r="X345" s="300" t="s">
        <v>3400</v>
      </c>
      <c r="Y345" s="301">
        <v>304</v>
      </c>
      <c r="Z345" s="305">
        <v>0</v>
      </c>
      <c r="AA345" s="306">
        <v>0</v>
      </c>
      <c r="AB345" s="306">
        <v>0</v>
      </c>
      <c r="AC345" s="300"/>
      <c r="AD345" s="300"/>
      <c r="AE345" s="301">
        <v>0</v>
      </c>
      <c r="AF345" s="302">
        <f t="shared" si="5"/>
        <v>304</v>
      </c>
      <c r="AG345" s="114"/>
      <c r="AH345" s="344"/>
    </row>
    <row r="346" spans="1:34" s="78" customFormat="1" ht="12" customHeight="1">
      <c r="A346" s="100">
        <v>2144</v>
      </c>
      <c r="B346" s="101" t="s">
        <v>3400</v>
      </c>
      <c r="C346" s="101" t="s">
        <v>3400</v>
      </c>
      <c r="D346" s="101" t="s">
        <v>3401</v>
      </c>
      <c r="E346" s="100">
        <v>2</v>
      </c>
      <c r="F346" s="102">
        <v>6</v>
      </c>
      <c r="G346" s="103">
        <v>344</v>
      </c>
      <c r="H346" s="104" t="s">
        <v>2248</v>
      </c>
      <c r="I346" s="104" t="s">
        <v>2248</v>
      </c>
      <c r="J346" s="105">
        <v>20500100276803</v>
      </c>
      <c r="K346" s="106" t="s">
        <v>353</v>
      </c>
      <c r="L346" s="115"/>
      <c r="M346" s="106">
        <v>80</v>
      </c>
      <c r="N346" s="104" t="s">
        <v>2249</v>
      </c>
      <c r="O346" s="104" t="s">
        <v>2176</v>
      </c>
      <c r="P346" s="104">
        <v>3240635</v>
      </c>
      <c r="Q346" s="104" t="s">
        <v>2161</v>
      </c>
      <c r="R346" s="104" t="s">
        <v>2250</v>
      </c>
      <c r="S346" s="108" t="s">
        <v>2251</v>
      </c>
      <c r="T346" s="305">
        <v>5</v>
      </c>
      <c r="U346" s="306">
        <v>5</v>
      </c>
      <c r="V346" s="306">
        <v>0</v>
      </c>
      <c r="W346" s="300" t="s">
        <v>3401</v>
      </c>
      <c r="X346" s="300" t="s">
        <v>3400</v>
      </c>
      <c r="Y346" s="301">
        <v>10</v>
      </c>
      <c r="Z346" s="305">
        <v>0</v>
      </c>
      <c r="AA346" s="306">
        <v>0</v>
      </c>
      <c r="AB346" s="306">
        <v>0</v>
      </c>
      <c r="AC346" s="300"/>
      <c r="AD346" s="300"/>
      <c r="AE346" s="301">
        <v>0</v>
      </c>
      <c r="AF346" s="302">
        <f t="shared" si="5"/>
        <v>10</v>
      </c>
      <c r="AG346" s="106"/>
      <c r="AH346" s="344"/>
    </row>
    <row r="347" spans="1:34" s="78" customFormat="1" ht="12" customHeight="1">
      <c r="A347" s="233">
        <v>2145</v>
      </c>
      <c r="B347" s="252" t="s">
        <v>3400</v>
      </c>
      <c r="C347" s="252" t="s">
        <v>3400</v>
      </c>
      <c r="D347" s="252" t="s">
        <v>3401</v>
      </c>
      <c r="E347" s="233">
        <v>2</v>
      </c>
      <c r="F347" s="235">
        <v>3</v>
      </c>
      <c r="G347" s="103">
        <v>345</v>
      </c>
      <c r="H347" s="240" t="s">
        <v>1167</v>
      </c>
      <c r="I347" s="240" t="s">
        <v>1167</v>
      </c>
      <c r="J347" s="347">
        <v>10500100534701</v>
      </c>
      <c r="K347" s="238" t="s">
        <v>353</v>
      </c>
      <c r="L347" s="239"/>
      <c r="M347" s="238">
        <v>10</v>
      </c>
      <c r="N347" s="240" t="s">
        <v>1168</v>
      </c>
      <c r="O347" s="240" t="s">
        <v>1169</v>
      </c>
      <c r="P347" s="240" t="s">
        <v>1170</v>
      </c>
      <c r="Q347" s="240" t="s">
        <v>1171</v>
      </c>
      <c r="R347" s="240" t="s">
        <v>1172</v>
      </c>
      <c r="S347" s="241" t="s">
        <v>1173</v>
      </c>
      <c r="T347" s="242">
        <v>79</v>
      </c>
      <c r="U347" s="243">
        <v>153</v>
      </c>
      <c r="V347" s="243">
        <v>83</v>
      </c>
      <c r="W347" s="244" t="s">
        <v>3401</v>
      </c>
      <c r="X347" s="244" t="s">
        <v>3400</v>
      </c>
      <c r="Y347" s="246">
        <f>SUM(T347:V347)</f>
        <v>315</v>
      </c>
      <c r="Z347" s="242">
        <v>0</v>
      </c>
      <c r="AA347" s="243">
        <v>0</v>
      </c>
      <c r="AB347" s="243">
        <v>0</v>
      </c>
      <c r="AC347" s="247"/>
      <c r="AD347" s="244"/>
      <c r="AE347" s="246">
        <v>0</v>
      </c>
      <c r="AF347" s="248">
        <f t="shared" si="5"/>
        <v>315</v>
      </c>
      <c r="AG347" s="239"/>
      <c r="AH347" s="348"/>
    </row>
    <row r="348" spans="1:34" s="78" customFormat="1" ht="12" customHeight="1">
      <c r="A348" s="233">
        <v>2146</v>
      </c>
      <c r="B348" s="252" t="s">
        <v>3400</v>
      </c>
      <c r="C348" s="252" t="s">
        <v>3400</v>
      </c>
      <c r="D348" s="252" t="s">
        <v>3402</v>
      </c>
      <c r="E348" s="233">
        <v>2</v>
      </c>
      <c r="F348" s="235">
        <v>1</v>
      </c>
      <c r="G348" s="103">
        <v>346</v>
      </c>
      <c r="H348" s="240" t="s">
        <v>552</v>
      </c>
      <c r="I348" s="240" t="s">
        <v>552</v>
      </c>
      <c r="J348" s="347">
        <v>10500100166001</v>
      </c>
      <c r="K348" s="238" t="s">
        <v>353</v>
      </c>
      <c r="L348" s="239"/>
      <c r="M348" s="238">
        <v>3</v>
      </c>
      <c r="N348" s="240" t="s">
        <v>546</v>
      </c>
      <c r="O348" s="240" t="s">
        <v>553</v>
      </c>
      <c r="P348" s="240">
        <v>2363000</v>
      </c>
      <c r="Q348" s="240" t="s">
        <v>554</v>
      </c>
      <c r="R348" s="240" t="s">
        <v>555</v>
      </c>
      <c r="S348" s="241" t="s">
        <v>556</v>
      </c>
      <c r="T348" s="242">
        <v>0</v>
      </c>
      <c r="U348" s="243">
        <v>84</v>
      </c>
      <c r="V348" s="243">
        <v>115</v>
      </c>
      <c r="W348" s="244" t="s">
        <v>3401</v>
      </c>
      <c r="X348" s="244" t="s">
        <v>3400</v>
      </c>
      <c r="Y348" s="246">
        <f>SUM(T348:V348)</f>
        <v>199</v>
      </c>
      <c r="Z348" s="242">
        <v>200</v>
      </c>
      <c r="AA348" s="243">
        <v>200</v>
      </c>
      <c r="AB348" s="243">
        <v>120</v>
      </c>
      <c r="AC348" s="247" t="s">
        <v>3399</v>
      </c>
      <c r="AD348" s="244" t="s">
        <v>3400</v>
      </c>
      <c r="AE348" s="246">
        <f>SUM(Z348:AB348)</f>
        <v>520</v>
      </c>
      <c r="AF348" s="248">
        <f t="shared" si="5"/>
        <v>719</v>
      </c>
      <c r="AG348" s="239"/>
      <c r="AH348" s="348"/>
    </row>
    <row r="349" spans="1:34" s="78" customFormat="1" ht="12" customHeight="1">
      <c r="A349" s="250">
        <v>2147</v>
      </c>
      <c r="B349" s="252" t="s">
        <v>3400</v>
      </c>
      <c r="C349" s="252" t="s">
        <v>3400</v>
      </c>
      <c r="D349" s="251" t="s">
        <v>3399</v>
      </c>
      <c r="E349" s="250">
        <v>2</v>
      </c>
      <c r="F349" s="349">
        <v>1</v>
      </c>
      <c r="G349" s="103">
        <v>347</v>
      </c>
      <c r="H349" s="350" t="s">
        <v>537</v>
      </c>
      <c r="I349" s="350" t="s">
        <v>544</v>
      </c>
      <c r="J349" s="351">
        <v>10500101058802</v>
      </c>
      <c r="K349" s="352" t="s">
        <v>353</v>
      </c>
      <c r="L349" s="353"/>
      <c r="M349" s="352">
        <v>3</v>
      </c>
      <c r="N349" s="350" t="s">
        <v>538</v>
      </c>
      <c r="O349" s="350" t="s">
        <v>539</v>
      </c>
      <c r="P349" s="354">
        <v>2631727</v>
      </c>
      <c r="Q349" s="350" t="s">
        <v>540</v>
      </c>
      <c r="R349" s="350" t="s">
        <v>541</v>
      </c>
      <c r="S349" s="355" t="s">
        <v>542</v>
      </c>
      <c r="T349" s="356">
        <v>0</v>
      </c>
      <c r="U349" s="357">
        <v>0</v>
      </c>
      <c r="V349" s="357">
        <v>0</v>
      </c>
      <c r="W349" s="253" t="s">
        <v>3397</v>
      </c>
      <c r="X349" s="244" t="s">
        <v>3400</v>
      </c>
      <c r="Y349" s="294">
        <v>0</v>
      </c>
      <c r="Z349" s="356"/>
      <c r="AA349" s="357"/>
      <c r="AB349" s="357">
        <v>0</v>
      </c>
      <c r="AC349" s="253" t="s">
        <v>3399</v>
      </c>
      <c r="AD349" s="244" t="s">
        <v>3400</v>
      </c>
      <c r="AE349" s="294">
        <v>549</v>
      </c>
      <c r="AF349" s="248">
        <f t="shared" si="5"/>
        <v>549</v>
      </c>
      <c r="AG349" s="358"/>
      <c r="AH349" s="359"/>
    </row>
    <row r="350" spans="1:34" s="78" customFormat="1" ht="12" customHeight="1">
      <c r="A350" s="250">
        <v>2148</v>
      </c>
      <c r="B350" s="252" t="s">
        <v>3400</v>
      </c>
      <c r="C350" s="252" t="s">
        <v>3400</v>
      </c>
      <c r="D350" s="251" t="s">
        <v>3401</v>
      </c>
      <c r="E350" s="250">
        <v>2</v>
      </c>
      <c r="F350" s="282">
        <v>6</v>
      </c>
      <c r="G350" s="103">
        <v>348</v>
      </c>
      <c r="H350" s="283" t="s">
        <v>2766</v>
      </c>
      <c r="I350" s="283" t="s">
        <v>2766</v>
      </c>
      <c r="J350" s="284">
        <v>10500100207102</v>
      </c>
      <c r="K350" s="285" t="s">
        <v>353</v>
      </c>
      <c r="L350" s="293"/>
      <c r="M350" s="285">
        <v>15</v>
      </c>
      <c r="N350" s="283" t="s">
        <v>2760</v>
      </c>
      <c r="O350" s="283" t="s">
        <v>2767</v>
      </c>
      <c r="P350" s="283" t="s">
        <v>2768</v>
      </c>
      <c r="Q350" s="283" t="s">
        <v>2769</v>
      </c>
      <c r="R350" s="283" t="s">
        <v>2770</v>
      </c>
      <c r="S350" s="287" t="s">
        <v>2771</v>
      </c>
      <c r="T350" s="288">
        <v>100</v>
      </c>
      <c r="U350" s="289">
        <v>129</v>
      </c>
      <c r="V350" s="289">
        <v>0</v>
      </c>
      <c r="W350" s="279" t="s">
        <v>3403</v>
      </c>
      <c r="X350" s="244" t="s">
        <v>3400</v>
      </c>
      <c r="Y350" s="290">
        <v>229</v>
      </c>
      <c r="Z350" s="288">
        <v>0</v>
      </c>
      <c r="AA350" s="289">
        <v>0</v>
      </c>
      <c r="AB350" s="289">
        <v>0</v>
      </c>
      <c r="AC350" s="253"/>
      <c r="AD350" s="244" t="s">
        <v>3400</v>
      </c>
      <c r="AE350" s="294">
        <v>0</v>
      </c>
      <c r="AF350" s="248">
        <f t="shared" si="5"/>
        <v>229</v>
      </c>
      <c r="AG350" s="360"/>
      <c r="AH350" s="361"/>
    </row>
    <row r="351" spans="1:34" s="78" customFormat="1" ht="12" customHeight="1">
      <c r="A351" s="250">
        <v>2149</v>
      </c>
      <c r="B351" s="252" t="s">
        <v>3400</v>
      </c>
      <c r="C351" s="252" t="s">
        <v>3400</v>
      </c>
      <c r="D351" s="251" t="s">
        <v>4144</v>
      </c>
      <c r="E351" s="250">
        <v>2</v>
      </c>
      <c r="F351" s="362">
        <v>6</v>
      </c>
      <c r="G351" s="103">
        <v>349</v>
      </c>
      <c r="H351" s="283" t="s">
        <v>1415</v>
      </c>
      <c r="I351" s="283" t="s">
        <v>1415</v>
      </c>
      <c r="J351" s="284">
        <v>10500100039603</v>
      </c>
      <c r="K351" s="285" t="s">
        <v>353</v>
      </c>
      <c r="L351" s="293"/>
      <c r="M351" s="285">
        <v>15</v>
      </c>
      <c r="N351" s="283" t="s">
        <v>1416</v>
      </c>
      <c r="O351" s="283" t="s">
        <v>1417</v>
      </c>
      <c r="P351" s="283" t="s">
        <v>1418</v>
      </c>
      <c r="Q351" s="283" t="s">
        <v>1419</v>
      </c>
      <c r="R351" s="283" t="s">
        <v>1419</v>
      </c>
      <c r="S351" s="287" t="s">
        <v>1420</v>
      </c>
      <c r="T351" s="288"/>
      <c r="U351" s="289"/>
      <c r="V351" s="289">
        <v>0</v>
      </c>
      <c r="W351" s="253" t="s">
        <v>4144</v>
      </c>
      <c r="X351" s="244" t="s">
        <v>3400</v>
      </c>
      <c r="Y351" s="294">
        <v>160</v>
      </c>
      <c r="Z351" s="288"/>
      <c r="AA351" s="289"/>
      <c r="AB351" s="289">
        <v>0</v>
      </c>
      <c r="AC351" s="253" t="s">
        <v>3399</v>
      </c>
      <c r="AD351" s="244" t="s">
        <v>3400</v>
      </c>
      <c r="AE351" s="294">
        <v>60</v>
      </c>
      <c r="AF351" s="248">
        <f t="shared" si="5"/>
        <v>220</v>
      </c>
      <c r="AG351" s="363"/>
      <c r="AH351" s="364"/>
    </row>
    <row r="352" spans="1:34" s="78" customFormat="1" ht="12" customHeight="1">
      <c r="A352" s="250">
        <v>2150</v>
      </c>
      <c r="B352" s="365" t="s">
        <v>3400</v>
      </c>
      <c r="C352" s="365" t="s">
        <v>3400</v>
      </c>
      <c r="D352" s="366" t="s">
        <v>4144</v>
      </c>
      <c r="E352" s="367">
        <v>2</v>
      </c>
      <c r="F352" s="368">
        <v>6</v>
      </c>
      <c r="G352" s="103">
        <v>350</v>
      </c>
      <c r="H352" s="369" t="s">
        <v>2819</v>
      </c>
      <c r="I352" s="369" t="s">
        <v>2819</v>
      </c>
      <c r="J352" s="370">
        <v>20500101253401</v>
      </c>
      <c r="K352" s="371" t="s">
        <v>353</v>
      </c>
      <c r="L352" s="372"/>
      <c r="M352" s="371">
        <v>80</v>
      </c>
      <c r="N352" s="369" t="s">
        <v>2169</v>
      </c>
      <c r="O352" s="369" t="s">
        <v>2820</v>
      </c>
      <c r="P352" s="369" t="s">
        <v>2821</v>
      </c>
      <c r="Q352" s="369" t="s">
        <v>2822</v>
      </c>
      <c r="R352" s="369" t="s">
        <v>2823</v>
      </c>
      <c r="S352" s="373" t="s">
        <v>2824</v>
      </c>
      <c r="T352" s="374">
        <v>0</v>
      </c>
      <c r="U352" s="375">
        <v>80</v>
      </c>
      <c r="V352" s="375">
        <v>120</v>
      </c>
      <c r="W352" s="376" t="s">
        <v>3403</v>
      </c>
      <c r="X352" s="377" t="s">
        <v>3400</v>
      </c>
      <c r="Y352" s="378">
        <v>200</v>
      </c>
      <c r="Z352" s="374">
        <v>0</v>
      </c>
      <c r="AA352" s="375">
        <v>330</v>
      </c>
      <c r="AB352" s="375">
        <v>265</v>
      </c>
      <c r="AC352" s="379" t="s">
        <v>3399</v>
      </c>
      <c r="AD352" s="377" t="s">
        <v>3400</v>
      </c>
      <c r="AE352" s="378">
        <v>595</v>
      </c>
      <c r="AF352" s="380">
        <f t="shared" si="5"/>
        <v>795</v>
      </c>
      <c r="AG352" s="381"/>
      <c r="AH352" s="361"/>
    </row>
    <row r="353" spans="1:34" s="78" customFormat="1" ht="12" customHeight="1">
      <c r="A353" s="382">
        <v>2151</v>
      </c>
      <c r="B353" s="383" t="s">
        <v>3400</v>
      </c>
      <c r="C353" s="383" t="s">
        <v>3400</v>
      </c>
      <c r="D353" s="384" t="s">
        <v>3399</v>
      </c>
      <c r="E353" s="385">
        <v>2</v>
      </c>
      <c r="F353" s="282">
        <v>1</v>
      </c>
      <c r="G353" s="103">
        <v>351</v>
      </c>
      <c r="H353" s="283" t="s">
        <v>2371</v>
      </c>
      <c r="I353" s="283" t="s">
        <v>2372</v>
      </c>
      <c r="J353" s="284">
        <v>10500100123601</v>
      </c>
      <c r="K353" s="285" t="s">
        <v>353</v>
      </c>
      <c r="L353" s="285"/>
      <c r="M353" s="285">
        <v>3</v>
      </c>
      <c r="N353" s="283" t="s">
        <v>538</v>
      </c>
      <c r="O353" s="283" t="s">
        <v>1605</v>
      </c>
      <c r="P353" s="286" t="s">
        <v>2373</v>
      </c>
      <c r="Q353" s="283" t="s">
        <v>1606</v>
      </c>
      <c r="R353" s="283" t="s">
        <v>1607</v>
      </c>
      <c r="S353" s="287" t="s">
        <v>2374</v>
      </c>
      <c r="T353" s="288">
        <v>0</v>
      </c>
      <c r="U353" s="289">
        <v>0</v>
      </c>
      <c r="V353" s="289">
        <v>0</v>
      </c>
      <c r="W353" s="279"/>
      <c r="X353" s="279"/>
      <c r="Y353" s="294">
        <v>0</v>
      </c>
      <c r="Z353" s="288">
        <v>0</v>
      </c>
      <c r="AA353" s="289">
        <v>105</v>
      </c>
      <c r="AB353" s="289">
        <v>345</v>
      </c>
      <c r="AC353" s="253" t="s">
        <v>3399</v>
      </c>
      <c r="AD353" s="386" t="s">
        <v>3400</v>
      </c>
      <c r="AE353" s="294">
        <v>450</v>
      </c>
      <c r="AF353" s="248">
        <v>450</v>
      </c>
      <c r="AG353" s="293"/>
      <c r="AH353" s="387"/>
    </row>
    <row r="354" spans="1:34" s="78" customFormat="1" ht="12" customHeight="1">
      <c r="A354" s="388">
        <v>2152</v>
      </c>
      <c r="B354" s="252" t="s">
        <v>3400</v>
      </c>
      <c r="C354" s="252" t="s">
        <v>3400</v>
      </c>
      <c r="D354" s="252" t="s">
        <v>3401</v>
      </c>
      <c r="E354" s="388">
        <v>2</v>
      </c>
      <c r="F354" s="389">
        <v>1</v>
      </c>
      <c r="G354" s="103">
        <v>352</v>
      </c>
      <c r="H354" s="390" t="s">
        <v>537</v>
      </c>
      <c r="I354" s="390" t="s">
        <v>537</v>
      </c>
      <c r="J354" s="391">
        <v>10500101058801</v>
      </c>
      <c r="K354" s="392" t="s">
        <v>353</v>
      </c>
      <c r="L354" s="392"/>
      <c r="M354" s="392">
        <v>3</v>
      </c>
      <c r="N354" s="390" t="s">
        <v>538</v>
      </c>
      <c r="O354" s="390" t="s">
        <v>539</v>
      </c>
      <c r="P354" s="393">
        <v>2631727</v>
      </c>
      <c r="Q354" s="390" t="s">
        <v>540</v>
      </c>
      <c r="R354" s="390" t="s">
        <v>541</v>
      </c>
      <c r="S354" s="394" t="s">
        <v>542</v>
      </c>
      <c r="T354" s="395">
        <v>0</v>
      </c>
      <c r="U354" s="396">
        <v>139</v>
      </c>
      <c r="V354" s="396">
        <v>255</v>
      </c>
      <c r="W354" s="266" t="s">
        <v>3401</v>
      </c>
      <c r="X354" s="244" t="s">
        <v>3400</v>
      </c>
      <c r="Y354" s="397">
        <v>394</v>
      </c>
      <c r="Z354" s="395">
        <v>0</v>
      </c>
      <c r="AA354" s="396">
        <v>0</v>
      </c>
      <c r="AB354" s="396">
        <v>0</v>
      </c>
      <c r="AC354" s="398" t="s">
        <v>3399</v>
      </c>
      <c r="AD354" s="398"/>
      <c r="AE354" s="397"/>
      <c r="AF354" s="399">
        <f t="shared" ref="AF354:AF413" si="6">+Y354+AE354</f>
        <v>394</v>
      </c>
      <c r="AG354" s="400"/>
      <c r="AH354" s="401" t="s">
        <v>543</v>
      </c>
    </row>
    <row r="355" spans="1:34" s="78" customFormat="1" ht="12" customHeight="1">
      <c r="A355" s="388">
        <v>2153</v>
      </c>
      <c r="B355" s="252" t="s">
        <v>3400</v>
      </c>
      <c r="C355" s="252" t="s">
        <v>3400</v>
      </c>
      <c r="D355" s="252" t="s">
        <v>3402</v>
      </c>
      <c r="E355" s="388">
        <v>2</v>
      </c>
      <c r="F355" s="389">
        <v>3</v>
      </c>
      <c r="G355" s="103">
        <v>353</v>
      </c>
      <c r="H355" s="390" t="s">
        <v>2601</v>
      </c>
      <c r="I355" s="390" t="s">
        <v>2601</v>
      </c>
      <c r="J355" s="391">
        <v>10500100278001</v>
      </c>
      <c r="K355" s="392" t="s">
        <v>353</v>
      </c>
      <c r="L355" s="392"/>
      <c r="M355" s="392">
        <v>8</v>
      </c>
      <c r="N355" s="390" t="s">
        <v>1072</v>
      </c>
      <c r="O355" s="390" t="s">
        <v>2602</v>
      </c>
      <c r="P355" s="393">
        <v>2690520</v>
      </c>
      <c r="Q355" s="390" t="s">
        <v>2603</v>
      </c>
      <c r="R355" s="390" t="s">
        <v>2604</v>
      </c>
      <c r="S355" s="394" t="s">
        <v>2605</v>
      </c>
      <c r="T355" s="395">
        <v>0</v>
      </c>
      <c r="U355" s="396">
        <v>125</v>
      </c>
      <c r="V355" s="396">
        <v>125</v>
      </c>
      <c r="W355" s="266" t="s">
        <v>3401</v>
      </c>
      <c r="X355" s="244" t="s">
        <v>3400</v>
      </c>
      <c r="Y355" s="397" t="e">
        <f>SUM([1]!Table_1[[#This Row],[COMPLEMENTO ALIMENTARIO  AM/PM 
0° a 3°]:[COMPLEMENTO ALIMENTARIO  AM/PM 
9° a 11°]])</f>
        <v>#REF!</v>
      </c>
      <c r="Z355" s="395">
        <v>179</v>
      </c>
      <c r="AA355" s="396">
        <v>219</v>
      </c>
      <c r="AB355" s="396">
        <v>45</v>
      </c>
      <c r="AC355" s="253" t="s">
        <v>3399</v>
      </c>
      <c r="AD355" s="386" t="s">
        <v>3400</v>
      </c>
      <c r="AE355" s="294" t="e">
        <f>SUM([1]!Table_1[[#This Row],[ COMPLEMENTO VASO DE LECHE 0° a 3°]:[ COMPLEMENTO VASO DE LECHE 9° a 11°]])</f>
        <v>#REF!</v>
      </c>
      <c r="AF355" s="399" t="e">
        <f t="shared" si="6"/>
        <v>#REF!</v>
      </c>
      <c r="AG355" s="400"/>
      <c r="AH355" s="401"/>
    </row>
    <row r="356" spans="1:34" s="78" customFormat="1" ht="12" customHeight="1">
      <c r="A356" s="388">
        <v>2154</v>
      </c>
      <c r="B356" s="252" t="s">
        <v>3400</v>
      </c>
      <c r="C356" s="252" t="s">
        <v>3400</v>
      </c>
      <c r="D356" s="252" t="s">
        <v>3399</v>
      </c>
      <c r="E356" s="388">
        <v>3</v>
      </c>
      <c r="F356" s="389">
        <v>2</v>
      </c>
      <c r="G356" s="103">
        <v>354</v>
      </c>
      <c r="H356" s="390" t="s">
        <v>2460</v>
      </c>
      <c r="I356" s="390" t="s">
        <v>2460</v>
      </c>
      <c r="J356" s="391">
        <v>10500102598401</v>
      </c>
      <c r="K356" s="392" t="s">
        <v>353</v>
      </c>
      <c r="L356" s="392" t="s">
        <v>303</v>
      </c>
      <c r="M356" s="392">
        <v>5</v>
      </c>
      <c r="N356" s="390" t="s">
        <v>714</v>
      </c>
      <c r="O356" s="390" t="s">
        <v>2461</v>
      </c>
      <c r="P356" s="393">
        <v>4648274</v>
      </c>
      <c r="Q356" s="390" t="s">
        <v>2462</v>
      </c>
      <c r="R356" s="390" t="s">
        <v>2463</v>
      </c>
      <c r="S356" s="394" t="s">
        <v>2464</v>
      </c>
      <c r="T356" s="395">
        <v>0</v>
      </c>
      <c r="U356" s="396">
        <v>170</v>
      </c>
      <c r="V356" s="396">
        <v>105</v>
      </c>
      <c r="W356" s="266" t="s">
        <v>3399</v>
      </c>
      <c r="X356" s="244" t="s">
        <v>3400</v>
      </c>
      <c r="Y356" s="397">
        <v>275</v>
      </c>
      <c r="Z356" s="395">
        <v>0</v>
      </c>
      <c r="AA356" s="396">
        <v>65</v>
      </c>
      <c r="AB356" s="396">
        <v>30</v>
      </c>
      <c r="AC356" s="253" t="s">
        <v>3399</v>
      </c>
      <c r="AD356" s="386" t="s">
        <v>3400</v>
      </c>
      <c r="AE356" s="294">
        <v>95</v>
      </c>
      <c r="AF356" s="399">
        <f t="shared" si="6"/>
        <v>370</v>
      </c>
      <c r="AG356" s="400"/>
      <c r="AH356" s="401"/>
    </row>
    <row r="357" spans="1:34" s="78" customFormat="1" ht="12" customHeight="1">
      <c r="A357" s="388">
        <v>2155</v>
      </c>
      <c r="B357" s="252" t="s">
        <v>3400</v>
      </c>
      <c r="C357" s="252" t="s">
        <v>3400</v>
      </c>
      <c r="D357" s="252" t="s">
        <v>3402</v>
      </c>
      <c r="E357" s="388">
        <v>2</v>
      </c>
      <c r="F357" s="389">
        <v>4</v>
      </c>
      <c r="G357" s="103">
        <v>355</v>
      </c>
      <c r="H357" s="255" t="s">
        <v>1381</v>
      </c>
      <c r="I357" s="485" t="s">
        <v>1381</v>
      </c>
      <c r="J357" s="257">
        <v>10500102657301</v>
      </c>
      <c r="K357" s="258" t="s">
        <v>353</v>
      </c>
      <c r="L357" s="258"/>
      <c r="M357" s="258">
        <v>60</v>
      </c>
      <c r="N357" s="256" t="s">
        <v>1382</v>
      </c>
      <c r="O357" s="255" t="s">
        <v>1383</v>
      </c>
      <c r="P357" s="256"/>
      <c r="Q357" s="255" t="s">
        <v>1384</v>
      </c>
      <c r="R357" s="255" t="s">
        <v>1385</v>
      </c>
      <c r="S357" s="259" t="s">
        <v>1386</v>
      </c>
      <c r="T357" s="260">
        <v>402</v>
      </c>
      <c r="U357" s="261">
        <v>475</v>
      </c>
      <c r="V357" s="261">
        <v>190</v>
      </c>
      <c r="W357" s="279" t="s">
        <v>3403</v>
      </c>
      <c r="X357" s="279" t="s">
        <v>2880</v>
      </c>
      <c r="Y357" s="262">
        <v>1067</v>
      </c>
      <c r="Z357" s="260">
        <v>0</v>
      </c>
      <c r="AA357" s="261">
        <v>0</v>
      </c>
      <c r="AB357" s="261">
        <v>0</v>
      </c>
      <c r="AC357" s="253"/>
      <c r="AD357" s="279"/>
      <c r="AE357" s="262">
        <v>0</v>
      </c>
      <c r="AF357" s="280">
        <f>+Y357+AE357</f>
        <v>1067</v>
      </c>
      <c r="AG357" s="486"/>
      <c r="AH357" s="487"/>
    </row>
    <row r="358" spans="1:34" s="78" customFormat="1" ht="12" customHeight="1">
      <c r="A358" s="388">
        <v>2156</v>
      </c>
      <c r="B358" s="252" t="s">
        <v>3400</v>
      </c>
      <c r="C358" s="252" t="s">
        <v>3400</v>
      </c>
      <c r="D358" s="252" t="s">
        <v>3401</v>
      </c>
      <c r="E358" s="388">
        <v>2</v>
      </c>
      <c r="F358" s="389">
        <v>6</v>
      </c>
      <c r="G358" s="103">
        <v>339</v>
      </c>
      <c r="H358" s="255" t="s">
        <v>4191</v>
      </c>
      <c r="I358" s="485" t="s">
        <v>4191</v>
      </c>
      <c r="J358" s="257">
        <v>20500100276801</v>
      </c>
      <c r="K358" s="258" t="s">
        <v>353</v>
      </c>
      <c r="L358" s="258"/>
      <c r="M358" s="258">
        <v>80</v>
      </c>
      <c r="N358" s="256" t="s">
        <v>2224</v>
      </c>
      <c r="O358" s="255" t="s">
        <v>2176</v>
      </c>
      <c r="P358" s="256">
        <v>3373048</v>
      </c>
      <c r="Q358" s="255" t="s">
        <v>2161</v>
      </c>
      <c r="R358" s="255" t="s">
        <v>2225</v>
      </c>
      <c r="S358" s="259" t="s">
        <v>2226</v>
      </c>
      <c r="T358" s="260">
        <v>0</v>
      </c>
      <c r="U358" s="261">
        <v>19</v>
      </c>
      <c r="V358" s="261">
        <v>7</v>
      </c>
      <c r="W358" s="279" t="s">
        <v>3401</v>
      </c>
      <c r="X358" s="279" t="s">
        <v>3400</v>
      </c>
      <c r="Y358" s="262">
        <v>26</v>
      </c>
      <c r="Z358" s="260">
        <v>0</v>
      </c>
      <c r="AA358" s="261">
        <v>0</v>
      </c>
      <c r="AB358" s="261">
        <v>0</v>
      </c>
      <c r="AC358" s="253"/>
      <c r="AD358" s="279"/>
      <c r="AE358" s="262">
        <v>0</v>
      </c>
      <c r="AF358" s="280">
        <f t="shared" ref="AF358" si="7">+Y358+AE358</f>
        <v>26</v>
      </c>
      <c r="AG358" s="486"/>
      <c r="AH358" s="487"/>
    </row>
    <row r="359" spans="1:34" s="78" customFormat="1" ht="12" customHeight="1">
      <c r="A359" s="100">
        <v>3001</v>
      </c>
      <c r="B359" s="101" t="s">
        <v>2880</v>
      </c>
      <c r="C359" s="101" t="s">
        <v>2880</v>
      </c>
      <c r="D359" s="101" t="s">
        <v>3403</v>
      </c>
      <c r="E359" s="100">
        <v>3</v>
      </c>
      <c r="F359" s="404">
        <v>1</v>
      </c>
      <c r="G359" s="103">
        <v>356</v>
      </c>
      <c r="H359" s="104" t="s">
        <v>2252</v>
      </c>
      <c r="I359" s="104" t="s">
        <v>2253</v>
      </c>
      <c r="J359" s="105">
        <v>40500101694601</v>
      </c>
      <c r="K359" s="106" t="s">
        <v>431</v>
      </c>
      <c r="L359" s="106"/>
      <c r="M359" s="106">
        <v>1</v>
      </c>
      <c r="N359" s="104" t="s">
        <v>388</v>
      </c>
      <c r="O359" s="104" t="s">
        <v>2254</v>
      </c>
      <c r="P359" s="107" t="s">
        <v>2255</v>
      </c>
      <c r="Q359" s="104" t="s">
        <v>2256</v>
      </c>
      <c r="R359" s="104" t="s">
        <v>2257</v>
      </c>
      <c r="S359" s="108" t="s">
        <v>2258</v>
      </c>
      <c r="T359" s="131">
        <v>135</v>
      </c>
      <c r="U359" s="132">
        <v>60</v>
      </c>
      <c r="V359" s="132">
        <v>0</v>
      </c>
      <c r="W359" s="402" t="s">
        <v>3403</v>
      </c>
      <c r="X359" s="402" t="s">
        <v>2880</v>
      </c>
      <c r="Y359" s="112">
        <v>195</v>
      </c>
      <c r="Z359" s="109">
        <v>0</v>
      </c>
      <c r="AA359" s="110">
        <v>0</v>
      </c>
      <c r="AB359" s="110">
        <v>0</v>
      </c>
      <c r="AC359" s="111"/>
      <c r="AD359" s="402"/>
      <c r="AE359" s="112">
        <v>0</v>
      </c>
      <c r="AF359" s="113">
        <f t="shared" si="6"/>
        <v>195</v>
      </c>
      <c r="AG359" s="115"/>
      <c r="AH359" s="403"/>
    </row>
    <row r="360" spans="1:34" s="78" customFormat="1" ht="12" customHeight="1">
      <c r="A360" s="100">
        <v>3002</v>
      </c>
      <c r="B360" s="101" t="s">
        <v>2880</v>
      </c>
      <c r="C360" s="101" t="s">
        <v>2880</v>
      </c>
      <c r="D360" s="101" t="s">
        <v>3403</v>
      </c>
      <c r="E360" s="100">
        <v>3</v>
      </c>
      <c r="F360" s="405">
        <v>1</v>
      </c>
      <c r="G360" s="103">
        <v>357</v>
      </c>
      <c r="H360" s="117" t="s">
        <v>1486</v>
      </c>
      <c r="I360" s="117" t="s">
        <v>1486</v>
      </c>
      <c r="J360" s="295">
        <v>10500102584401</v>
      </c>
      <c r="K360" s="121" t="s">
        <v>353</v>
      </c>
      <c r="L360" s="121" t="s">
        <v>303</v>
      </c>
      <c r="M360" s="121">
        <v>1</v>
      </c>
      <c r="N360" s="117" t="s">
        <v>361</v>
      </c>
      <c r="O360" s="117" t="s">
        <v>1487</v>
      </c>
      <c r="P360" s="296" t="s">
        <v>1488</v>
      </c>
      <c r="Q360" s="117" t="s">
        <v>364</v>
      </c>
      <c r="R360" s="117" t="s">
        <v>1489</v>
      </c>
      <c r="S360" s="297" t="s">
        <v>1490</v>
      </c>
      <c r="T360" s="406">
        <v>0</v>
      </c>
      <c r="U360" s="407">
        <v>212</v>
      </c>
      <c r="V360" s="407">
        <v>88</v>
      </c>
      <c r="W360" s="402" t="s">
        <v>3403</v>
      </c>
      <c r="X360" s="402" t="s">
        <v>2880</v>
      </c>
      <c r="Y360" s="112">
        <v>300</v>
      </c>
      <c r="Z360" s="406">
        <v>0</v>
      </c>
      <c r="AA360" s="407">
        <v>0</v>
      </c>
      <c r="AB360" s="407">
        <v>0</v>
      </c>
      <c r="AC360" s="111"/>
      <c r="AD360" s="402"/>
      <c r="AE360" s="112">
        <v>0</v>
      </c>
      <c r="AF360" s="113">
        <f t="shared" si="6"/>
        <v>300</v>
      </c>
      <c r="AG360" s="304" t="s">
        <v>1491</v>
      </c>
      <c r="AH360" s="403"/>
    </row>
    <row r="361" spans="1:34" s="78" customFormat="1" ht="12" customHeight="1">
      <c r="A361" s="100">
        <v>3003</v>
      </c>
      <c r="B361" s="101" t="s">
        <v>2880</v>
      </c>
      <c r="C361" s="101" t="s">
        <v>2880</v>
      </c>
      <c r="D361" s="101" t="s">
        <v>3403</v>
      </c>
      <c r="E361" s="100">
        <v>3</v>
      </c>
      <c r="F361" s="405">
        <v>1</v>
      </c>
      <c r="G361" s="103">
        <v>358</v>
      </c>
      <c r="H361" s="117" t="s">
        <v>2259</v>
      </c>
      <c r="I361" s="117" t="s">
        <v>2259</v>
      </c>
      <c r="J361" s="295">
        <v>10500102584403</v>
      </c>
      <c r="K361" s="121" t="s">
        <v>353</v>
      </c>
      <c r="L361" s="121"/>
      <c r="M361" s="121">
        <v>1</v>
      </c>
      <c r="N361" s="117" t="s">
        <v>361</v>
      </c>
      <c r="O361" s="117" t="s">
        <v>2260</v>
      </c>
      <c r="P361" s="296">
        <v>5280020</v>
      </c>
      <c r="Q361" s="117" t="s">
        <v>364</v>
      </c>
      <c r="R361" s="117" t="s">
        <v>2261</v>
      </c>
      <c r="S361" s="297" t="s">
        <v>366</v>
      </c>
      <c r="T361" s="406">
        <v>0</v>
      </c>
      <c r="U361" s="407">
        <v>453</v>
      </c>
      <c r="V361" s="407">
        <v>47</v>
      </c>
      <c r="W361" s="402" t="s">
        <v>3403</v>
      </c>
      <c r="X361" s="402" t="s">
        <v>2880</v>
      </c>
      <c r="Y361" s="112">
        <v>500</v>
      </c>
      <c r="Z361" s="406">
        <v>0</v>
      </c>
      <c r="AA361" s="407">
        <v>0</v>
      </c>
      <c r="AB361" s="407">
        <v>0</v>
      </c>
      <c r="AC361" s="111"/>
      <c r="AD361" s="402"/>
      <c r="AE361" s="112">
        <v>0</v>
      </c>
      <c r="AF361" s="113">
        <f t="shared" si="6"/>
        <v>500</v>
      </c>
      <c r="AG361" s="303"/>
      <c r="AH361" s="403"/>
    </row>
    <row r="362" spans="1:34" s="78" customFormat="1" ht="12" customHeight="1">
      <c r="A362" s="100">
        <v>3004</v>
      </c>
      <c r="B362" s="101" t="s">
        <v>2880</v>
      </c>
      <c r="C362" s="101" t="s">
        <v>2880</v>
      </c>
      <c r="D362" s="101" t="s">
        <v>3403</v>
      </c>
      <c r="E362" s="100">
        <v>3</v>
      </c>
      <c r="F362" s="405">
        <v>1</v>
      </c>
      <c r="G362" s="103">
        <v>359</v>
      </c>
      <c r="H362" s="117" t="s">
        <v>360</v>
      </c>
      <c r="I362" s="117" t="s">
        <v>360</v>
      </c>
      <c r="J362" s="295">
        <v>10500102584402</v>
      </c>
      <c r="K362" s="121" t="s">
        <v>353</v>
      </c>
      <c r="L362" s="121"/>
      <c r="M362" s="121">
        <v>1</v>
      </c>
      <c r="N362" s="117" t="s">
        <v>361</v>
      </c>
      <c r="O362" s="117" t="s">
        <v>362</v>
      </c>
      <c r="P362" s="296" t="s">
        <v>363</v>
      </c>
      <c r="Q362" s="117" t="s">
        <v>364</v>
      </c>
      <c r="R362" s="117" t="s">
        <v>365</v>
      </c>
      <c r="S362" s="297" t="s">
        <v>366</v>
      </c>
      <c r="T362" s="406">
        <v>309</v>
      </c>
      <c r="U362" s="407">
        <v>91</v>
      </c>
      <c r="V362" s="407">
        <v>0</v>
      </c>
      <c r="W362" s="402" t="s">
        <v>3403</v>
      </c>
      <c r="X362" s="402" t="s">
        <v>2880</v>
      </c>
      <c r="Y362" s="112">
        <v>400</v>
      </c>
      <c r="Z362" s="406">
        <v>0</v>
      </c>
      <c r="AA362" s="407">
        <v>0</v>
      </c>
      <c r="AB362" s="407">
        <v>0</v>
      </c>
      <c r="AC362" s="111"/>
      <c r="AD362" s="402"/>
      <c r="AE362" s="112">
        <v>0</v>
      </c>
      <c r="AF362" s="113">
        <f t="shared" si="6"/>
        <v>400</v>
      </c>
      <c r="AG362" s="304" t="s">
        <v>367</v>
      </c>
      <c r="AH362" s="403"/>
    </row>
    <row r="363" spans="1:34" s="78" customFormat="1" ht="12" customHeight="1">
      <c r="A363" s="100">
        <v>3005</v>
      </c>
      <c r="B363" s="101" t="s">
        <v>2880</v>
      </c>
      <c r="C363" s="101" t="s">
        <v>2880</v>
      </c>
      <c r="D363" s="101" t="s">
        <v>3403</v>
      </c>
      <c r="E363" s="100">
        <v>3</v>
      </c>
      <c r="F363" s="404">
        <v>1</v>
      </c>
      <c r="G363" s="103">
        <v>360</v>
      </c>
      <c r="H363" s="104" t="s">
        <v>2262</v>
      </c>
      <c r="I363" s="104" t="s">
        <v>2262</v>
      </c>
      <c r="J363" s="105">
        <v>10500101270001</v>
      </c>
      <c r="K363" s="106" t="s">
        <v>353</v>
      </c>
      <c r="L363" s="106"/>
      <c r="M363" s="106">
        <v>1</v>
      </c>
      <c r="N363" s="104" t="s">
        <v>400</v>
      </c>
      <c r="O363" s="104" t="s">
        <v>2263</v>
      </c>
      <c r="P363" s="107" t="s">
        <v>2264</v>
      </c>
      <c r="Q363" s="104" t="s">
        <v>2265</v>
      </c>
      <c r="R363" s="104" t="s">
        <v>2266</v>
      </c>
      <c r="S363" s="108" t="s">
        <v>2267</v>
      </c>
      <c r="T363" s="131">
        <v>0</v>
      </c>
      <c r="U363" s="132">
        <v>577</v>
      </c>
      <c r="V363" s="132">
        <v>203</v>
      </c>
      <c r="W363" s="402" t="s">
        <v>3403</v>
      </c>
      <c r="X363" s="402" t="s">
        <v>2880</v>
      </c>
      <c r="Y363" s="112">
        <v>780</v>
      </c>
      <c r="Z363" s="109">
        <v>0</v>
      </c>
      <c r="AA363" s="110">
        <v>0</v>
      </c>
      <c r="AB363" s="110">
        <v>0</v>
      </c>
      <c r="AC363" s="111"/>
      <c r="AD363" s="402"/>
      <c r="AE363" s="112">
        <v>0</v>
      </c>
      <c r="AF363" s="113">
        <f t="shared" si="6"/>
        <v>780</v>
      </c>
      <c r="AG363" s="115"/>
      <c r="AH363" s="403"/>
    </row>
    <row r="364" spans="1:34" s="78" customFormat="1" ht="12" customHeight="1">
      <c r="A364" s="100">
        <v>3006</v>
      </c>
      <c r="B364" s="101" t="s">
        <v>2880</v>
      </c>
      <c r="C364" s="101" t="s">
        <v>2880</v>
      </c>
      <c r="D364" s="101" t="s">
        <v>3403</v>
      </c>
      <c r="E364" s="100">
        <v>3</v>
      </c>
      <c r="F364" s="404">
        <v>1</v>
      </c>
      <c r="G364" s="103">
        <v>361</v>
      </c>
      <c r="H364" s="104" t="s">
        <v>2268</v>
      </c>
      <c r="I364" s="104" t="s">
        <v>2268</v>
      </c>
      <c r="J364" s="105">
        <v>10500101270003</v>
      </c>
      <c r="K364" s="106" t="s">
        <v>353</v>
      </c>
      <c r="L364" s="106"/>
      <c r="M364" s="106">
        <v>1</v>
      </c>
      <c r="N364" s="104" t="s">
        <v>400</v>
      </c>
      <c r="O364" s="104" t="s">
        <v>2269</v>
      </c>
      <c r="P364" s="107">
        <v>2586525</v>
      </c>
      <c r="Q364" s="104" t="s">
        <v>2270</v>
      </c>
      <c r="R364" s="104" t="s">
        <v>2271</v>
      </c>
      <c r="S364" s="108" t="s">
        <v>2272</v>
      </c>
      <c r="T364" s="109">
        <v>260</v>
      </c>
      <c r="U364" s="110">
        <v>0</v>
      </c>
      <c r="V364" s="110">
        <v>0</v>
      </c>
      <c r="W364" s="402" t="s">
        <v>3403</v>
      </c>
      <c r="X364" s="402" t="s">
        <v>2880</v>
      </c>
      <c r="Y364" s="112">
        <v>260</v>
      </c>
      <c r="Z364" s="109">
        <v>0</v>
      </c>
      <c r="AA364" s="110">
        <v>0</v>
      </c>
      <c r="AB364" s="110">
        <v>0</v>
      </c>
      <c r="AC364" s="111"/>
      <c r="AD364" s="402"/>
      <c r="AE364" s="112">
        <v>0</v>
      </c>
      <c r="AF364" s="113">
        <f t="shared" si="6"/>
        <v>260</v>
      </c>
      <c r="AG364" s="115"/>
      <c r="AH364" s="403"/>
    </row>
    <row r="365" spans="1:34" s="78" customFormat="1" ht="12" customHeight="1">
      <c r="A365" s="100">
        <v>3007</v>
      </c>
      <c r="B365" s="101" t="s">
        <v>2880</v>
      </c>
      <c r="C365" s="101" t="s">
        <v>2880</v>
      </c>
      <c r="D365" s="101" t="s">
        <v>3403</v>
      </c>
      <c r="E365" s="100">
        <v>3</v>
      </c>
      <c r="F365" s="404">
        <v>1</v>
      </c>
      <c r="G365" s="103">
        <v>362</v>
      </c>
      <c r="H365" s="104" t="s">
        <v>1503</v>
      </c>
      <c r="I365" s="104" t="s">
        <v>1503</v>
      </c>
      <c r="J365" s="105">
        <v>10500100234801</v>
      </c>
      <c r="K365" s="106" t="s">
        <v>353</v>
      </c>
      <c r="L365" s="115"/>
      <c r="M365" s="106">
        <v>1</v>
      </c>
      <c r="N365" s="104" t="s">
        <v>382</v>
      </c>
      <c r="O365" s="104" t="s">
        <v>1504</v>
      </c>
      <c r="P365" s="107" t="s">
        <v>1505</v>
      </c>
      <c r="Q365" s="104" t="s">
        <v>1506</v>
      </c>
      <c r="R365" s="104" t="s">
        <v>1507</v>
      </c>
      <c r="S365" s="108" t="s">
        <v>1508</v>
      </c>
      <c r="T365" s="131">
        <v>13</v>
      </c>
      <c r="U365" s="132">
        <v>337</v>
      </c>
      <c r="V365" s="132">
        <v>0</v>
      </c>
      <c r="W365" s="402" t="s">
        <v>3403</v>
      </c>
      <c r="X365" s="402" t="s">
        <v>2880</v>
      </c>
      <c r="Y365" s="112">
        <v>350</v>
      </c>
      <c r="Z365" s="109">
        <v>0</v>
      </c>
      <c r="AA365" s="110">
        <v>0</v>
      </c>
      <c r="AB365" s="110">
        <v>0</v>
      </c>
      <c r="AC365" s="111"/>
      <c r="AD365" s="402"/>
      <c r="AE365" s="112">
        <v>0</v>
      </c>
      <c r="AF365" s="113">
        <f t="shared" si="6"/>
        <v>350</v>
      </c>
      <c r="AG365" s="115"/>
      <c r="AH365" s="403"/>
    </row>
    <row r="366" spans="1:34" s="78" customFormat="1" ht="12" customHeight="1">
      <c r="A366" s="100">
        <v>3008</v>
      </c>
      <c r="B366" s="101" t="s">
        <v>2880</v>
      </c>
      <c r="C366" s="101" t="s">
        <v>2880</v>
      </c>
      <c r="D366" s="101" t="s">
        <v>3403</v>
      </c>
      <c r="E366" s="100">
        <v>3</v>
      </c>
      <c r="F366" s="404">
        <v>1</v>
      </c>
      <c r="G366" s="103">
        <v>363</v>
      </c>
      <c r="H366" s="104" t="s">
        <v>1509</v>
      </c>
      <c r="I366" s="104" t="s">
        <v>1509</v>
      </c>
      <c r="J366" s="105">
        <v>10500100234802</v>
      </c>
      <c r="K366" s="106" t="s">
        <v>353</v>
      </c>
      <c r="L366" s="106" t="s">
        <v>303</v>
      </c>
      <c r="M366" s="106">
        <v>1</v>
      </c>
      <c r="N366" s="104" t="s">
        <v>382</v>
      </c>
      <c r="O366" s="104" t="s">
        <v>1510</v>
      </c>
      <c r="P366" s="107" t="s">
        <v>1511</v>
      </c>
      <c r="Q366" s="104" t="s">
        <v>1506</v>
      </c>
      <c r="R366" s="104" t="s">
        <v>1512</v>
      </c>
      <c r="S366" s="108" t="s">
        <v>1513</v>
      </c>
      <c r="T366" s="131">
        <v>0</v>
      </c>
      <c r="U366" s="132">
        <v>200</v>
      </c>
      <c r="V366" s="132">
        <v>60</v>
      </c>
      <c r="W366" s="402" t="s">
        <v>3403</v>
      </c>
      <c r="X366" s="402" t="s">
        <v>2880</v>
      </c>
      <c r="Y366" s="112">
        <v>260</v>
      </c>
      <c r="Z366" s="109">
        <v>0</v>
      </c>
      <c r="AA366" s="110">
        <v>0</v>
      </c>
      <c r="AB366" s="110">
        <v>0</v>
      </c>
      <c r="AC366" s="111"/>
      <c r="AD366" s="402"/>
      <c r="AE366" s="112">
        <v>0</v>
      </c>
      <c r="AF366" s="113">
        <f t="shared" si="6"/>
        <v>260</v>
      </c>
      <c r="AG366" s="308"/>
      <c r="AH366" s="403"/>
    </row>
    <row r="367" spans="1:34" s="78" customFormat="1" ht="12" customHeight="1">
      <c r="A367" s="100">
        <v>3009</v>
      </c>
      <c r="B367" s="101" t="s">
        <v>2880</v>
      </c>
      <c r="C367" s="101" t="s">
        <v>2880</v>
      </c>
      <c r="D367" s="101" t="s">
        <v>3403</v>
      </c>
      <c r="E367" s="100">
        <v>3</v>
      </c>
      <c r="F367" s="404">
        <v>1</v>
      </c>
      <c r="G367" s="103">
        <v>364</v>
      </c>
      <c r="H367" s="104" t="s">
        <v>394</v>
      </c>
      <c r="I367" s="104" t="s">
        <v>394</v>
      </c>
      <c r="J367" s="105">
        <v>10500101216501</v>
      </c>
      <c r="K367" s="106" t="s">
        <v>353</v>
      </c>
      <c r="L367" s="106"/>
      <c r="M367" s="106">
        <v>1</v>
      </c>
      <c r="N367" s="104" t="s">
        <v>354</v>
      </c>
      <c r="O367" s="104" t="s">
        <v>395</v>
      </c>
      <c r="P367" s="107">
        <v>5211353</v>
      </c>
      <c r="Q367" s="104" t="s">
        <v>396</v>
      </c>
      <c r="R367" s="104" t="s">
        <v>397</v>
      </c>
      <c r="S367" s="108" t="s">
        <v>398</v>
      </c>
      <c r="T367" s="131">
        <v>0</v>
      </c>
      <c r="U367" s="132">
        <v>91</v>
      </c>
      <c r="V367" s="132">
        <v>59</v>
      </c>
      <c r="W367" s="402" t="s">
        <v>3403</v>
      </c>
      <c r="X367" s="402" t="s">
        <v>2880</v>
      </c>
      <c r="Y367" s="112">
        <v>150</v>
      </c>
      <c r="Z367" s="109">
        <v>0</v>
      </c>
      <c r="AA367" s="110">
        <v>0</v>
      </c>
      <c r="AB367" s="110">
        <v>0</v>
      </c>
      <c r="AC367" s="111"/>
      <c r="AD367" s="402"/>
      <c r="AE367" s="112">
        <v>0</v>
      </c>
      <c r="AF367" s="113">
        <f t="shared" si="6"/>
        <v>150</v>
      </c>
      <c r="AG367" s="115"/>
      <c r="AH367" s="403"/>
    </row>
    <row r="368" spans="1:34" s="78" customFormat="1" ht="12" customHeight="1">
      <c r="A368" s="100">
        <v>3010</v>
      </c>
      <c r="B368" s="101" t="s">
        <v>2880</v>
      </c>
      <c r="C368" s="101" t="s">
        <v>2880</v>
      </c>
      <c r="D368" s="101" t="s">
        <v>3403</v>
      </c>
      <c r="E368" s="100">
        <v>3</v>
      </c>
      <c r="F368" s="404">
        <v>1</v>
      </c>
      <c r="G368" s="103">
        <v>365</v>
      </c>
      <c r="H368" s="104" t="s">
        <v>2273</v>
      </c>
      <c r="I368" s="104" t="s">
        <v>2273</v>
      </c>
      <c r="J368" s="105">
        <v>10500101216502</v>
      </c>
      <c r="K368" s="106" t="s">
        <v>353</v>
      </c>
      <c r="L368" s="106"/>
      <c r="M368" s="106">
        <v>1</v>
      </c>
      <c r="N368" s="104" t="s">
        <v>354</v>
      </c>
      <c r="O368" s="104" t="s">
        <v>2274</v>
      </c>
      <c r="P368" s="107">
        <v>5211321</v>
      </c>
      <c r="Q368" s="104" t="s">
        <v>396</v>
      </c>
      <c r="R368" s="104" t="s">
        <v>2275</v>
      </c>
      <c r="S368" s="108" t="s">
        <v>2276</v>
      </c>
      <c r="T368" s="131">
        <v>200</v>
      </c>
      <c r="U368" s="132">
        <v>125</v>
      </c>
      <c r="V368" s="132">
        <v>0</v>
      </c>
      <c r="W368" s="402" t="s">
        <v>3403</v>
      </c>
      <c r="X368" s="402" t="s">
        <v>2880</v>
      </c>
      <c r="Y368" s="112">
        <v>325</v>
      </c>
      <c r="Z368" s="109">
        <v>0</v>
      </c>
      <c r="AA368" s="110">
        <v>0</v>
      </c>
      <c r="AB368" s="110">
        <v>0</v>
      </c>
      <c r="AC368" s="111"/>
      <c r="AD368" s="402"/>
      <c r="AE368" s="112">
        <v>0</v>
      </c>
      <c r="AF368" s="113">
        <f t="shared" si="6"/>
        <v>325</v>
      </c>
      <c r="AG368" s="115"/>
      <c r="AH368" s="403"/>
    </row>
    <row r="369" spans="1:34" s="78" customFormat="1" ht="12" customHeight="1">
      <c r="A369" s="100">
        <v>3011</v>
      </c>
      <c r="B369" s="101" t="s">
        <v>2880</v>
      </c>
      <c r="C369" s="101" t="s">
        <v>2880</v>
      </c>
      <c r="D369" s="101" t="s">
        <v>3403</v>
      </c>
      <c r="E369" s="100">
        <v>3</v>
      </c>
      <c r="F369" s="404">
        <v>1</v>
      </c>
      <c r="G369" s="103">
        <v>366</v>
      </c>
      <c r="H369" s="104" t="s">
        <v>1532</v>
      </c>
      <c r="I369" s="104" t="s">
        <v>1532</v>
      </c>
      <c r="J369" s="105">
        <v>10500100721801</v>
      </c>
      <c r="K369" s="106" t="s">
        <v>353</v>
      </c>
      <c r="L369" s="106" t="s">
        <v>303</v>
      </c>
      <c r="M369" s="106">
        <v>1</v>
      </c>
      <c r="N369" s="104" t="s">
        <v>413</v>
      </c>
      <c r="O369" s="104" t="s">
        <v>1533</v>
      </c>
      <c r="P369" s="107" t="s">
        <v>1534</v>
      </c>
      <c r="Q369" s="104" t="s">
        <v>1535</v>
      </c>
      <c r="R369" s="104" t="s">
        <v>1536</v>
      </c>
      <c r="S369" s="108" t="s">
        <v>1537</v>
      </c>
      <c r="T369" s="109">
        <v>0</v>
      </c>
      <c r="U369" s="110">
        <v>720</v>
      </c>
      <c r="V369" s="110">
        <v>280</v>
      </c>
      <c r="W369" s="402" t="s">
        <v>3403</v>
      </c>
      <c r="X369" s="402" t="s">
        <v>2880</v>
      </c>
      <c r="Y369" s="112">
        <v>1000</v>
      </c>
      <c r="Z369" s="109">
        <v>0</v>
      </c>
      <c r="AA369" s="110">
        <v>0</v>
      </c>
      <c r="AB369" s="110">
        <v>0</v>
      </c>
      <c r="AC369" s="111"/>
      <c r="AD369" s="402"/>
      <c r="AE369" s="112">
        <v>0</v>
      </c>
      <c r="AF369" s="113">
        <f t="shared" si="6"/>
        <v>1000</v>
      </c>
      <c r="AG369" s="115"/>
      <c r="AH369" s="403"/>
    </row>
    <row r="370" spans="1:34" s="78" customFormat="1" ht="12" customHeight="1">
      <c r="A370" s="100">
        <v>3012</v>
      </c>
      <c r="B370" s="101" t="s">
        <v>2880</v>
      </c>
      <c r="C370" s="101" t="s">
        <v>2880</v>
      </c>
      <c r="D370" s="101" t="s">
        <v>3403</v>
      </c>
      <c r="E370" s="100">
        <v>3</v>
      </c>
      <c r="F370" s="404">
        <v>1</v>
      </c>
      <c r="G370" s="103">
        <v>367</v>
      </c>
      <c r="H370" s="104" t="s">
        <v>2277</v>
      </c>
      <c r="I370" s="104" t="s">
        <v>2277</v>
      </c>
      <c r="J370" s="105">
        <v>30500101698401</v>
      </c>
      <c r="K370" s="106" t="s">
        <v>431</v>
      </c>
      <c r="L370" s="106"/>
      <c r="M370" s="106">
        <v>1</v>
      </c>
      <c r="N370" s="104" t="s">
        <v>388</v>
      </c>
      <c r="O370" s="104" t="s">
        <v>2278</v>
      </c>
      <c r="P370" s="107">
        <v>2366036</v>
      </c>
      <c r="Q370" s="104" t="s">
        <v>2279</v>
      </c>
      <c r="R370" s="104" t="s">
        <v>2280</v>
      </c>
      <c r="S370" s="108" t="s">
        <v>2281</v>
      </c>
      <c r="T370" s="131">
        <v>72</v>
      </c>
      <c r="U370" s="132">
        <v>113</v>
      </c>
      <c r="V370" s="132">
        <v>0</v>
      </c>
      <c r="W370" s="402" t="s">
        <v>3403</v>
      </c>
      <c r="X370" s="402" t="s">
        <v>2880</v>
      </c>
      <c r="Y370" s="112">
        <v>185</v>
      </c>
      <c r="Z370" s="109">
        <v>0</v>
      </c>
      <c r="AA370" s="110">
        <v>0</v>
      </c>
      <c r="AB370" s="110">
        <v>0</v>
      </c>
      <c r="AC370" s="111"/>
      <c r="AD370" s="402"/>
      <c r="AE370" s="112">
        <v>0</v>
      </c>
      <c r="AF370" s="113">
        <f t="shared" si="6"/>
        <v>185</v>
      </c>
      <c r="AG370" s="115"/>
      <c r="AH370" s="403"/>
    </row>
    <row r="371" spans="1:34" s="78" customFormat="1" ht="12" customHeight="1">
      <c r="A371" s="100">
        <v>3013</v>
      </c>
      <c r="B371" s="101" t="s">
        <v>2880</v>
      </c>
      <c r="C371" s="101" t="s">
        <v>2880</v>
      </c>
      <c r="D371" s="101" t="s">
        <v>3403</v>
      </c>
      <c r="E371" s="100">
        <v>3</v>
      </c>
      <c r="F371" s="404">
        <v>1</v>
      </c>
      <c r="G371" s="103">
        <v>368</v>
      </c>
      <c r="H371" s="104" t="s">
        <v>1551</v>
      </c>
      <c r="I371" s="104" t="s">
        <v>1551</v>
      </c>
      <c r="J371" s="105">
        <v>30500102182101</v>
      </c>
      <c r="K371" s="106" t="s">
        <v>431</v>
      </c>
      <c r="L371" s="106"/>
      <c r="M371" s="106">
        <v>1</v>
      </c>
      <c r="N371" s="104" t="s">
        <v>1493</v>
      </c>
      <c r="O371" s="104" t="s">
        <v>1552</v>
      </c>
      <c r="P371" s="107">
        <v>5285471</v>
      </c>
      <c r="Q371" s="104" t="s">
        <v>1553</v>
      </c>
      <c r="R371" s="104" t="s">
        <v>1554</v>
      </c>
      <c r="S371" s="108" t="s">
        <v>1555</v>
      </c>
      <c r="T371" s="109">
        <v>7</v>
      </c>
      <c r="U371" s="110">
        <v>160</v>
      </c>
      <c r="V371" s="110">
        <v>103</v>
      </c>
      <c r="W371" s="402" t="s">
        <v>3403</v>
      </c>
      <c r="X371" s="402" t="s">
        <v>2880</v>
      </c>
      <c r="Y371" s="112">
        <v>270</v>
      </c>
      <c r="Z371" s="109">
        <v>0</v>
      </c>
      <c r="AA371" s="110">
        <v>0</v>
      </c>
      <c r="AB371" s="110">
        <v>0</v>
      </c>
      <c r="AC371" s="111"/>
      <c r="AD371" s="402"/>
      <c r="AE371" s="112">
        <v>0</v>
      </c>
      <c r="AF371" s="113">
        <f t="shared" si="6"/>
        <v>270</v>
      </c>
      <c r="AG371" s="309"/>
      <c r="AH371" s="403"/>
    </row>
    <row r="372" spans="1:34" s="78" customFormat="1" ht="12" customHeight="1">
      <c r="A372" s="100">
        <v>3014</v>
      </c>
      <c r="B372" s="101" t="s">
        <v>2880</v>
      </c>
      <c r="C372" s="101" t="s">
        <v>2880</v>
      </c>
      <c r="D372" s="101" t="s">
        <v>3403</v>
      </c>
      <c r="E372" s="100">
        <v>3</v>
      </c>
      <c r="F372" s="404">
        <v>1</v>
      </c>
      <c r="G372" s="103">
        <v>369</v>
      </c>
      <c r="H372" s="104" t="s">
        <v>2282</v>
      </c>
      <c r="I372" s="104" t="s">
        <v>2282</v>
      </c>
      <c r="J372" s="105">
        <v>30500102249601</v>
      </c>
      <c r="K372" s="106" t="s">
        <v>431</v>
      </c>
      <c r="L372" s="106"/>
      <c r="M372" s="106">
        <v>1</v>
      </c>
      <c r="N372" s="104" t="s">
        <v>1493</v>
      </c>
      <c r="O372" s="104" t="s">
        <v>2283</v>
      </c>
      <c r="P372" s="107" t="s">
        <v>2284</v>
      </c>
      <c r="Q372" s="104" t="s">
        <v>2285</v>
      </c>
      <c r="R372" s="104" t="s">
        <v>2286</v>
      </c>
      <c r="S372" s="108" t="s">
        <v>2287</v>
      </c>
      <c r="T372" s="109">
        <v>520</v>
      </c>
      <c r="U372" s="110">
        <v>719</v>
      </c>
      <c r="V372" s="110">
        <v>91</v>
      </c>
      <c r="W372" s="402" t="s">
        <v>3403</v>
      </c>
      <c r="X372" s="402" t="s">
        <v>2880</v>
      </c>
      <c r="Y372" s="112">
        <v>1330</v>
      </c>
      <c r="Z372" s="109">
        <v>0</v>
      </c>
      <c r="AA372" s="110">
        <v>0</v>
      </c>
      <c r="AB372" s="110">
        <v>0</v>
      </c>
      <c r="AC372" s="111"/>
      <c r="AD372" s="402"/>
      <c r="AE372" s="112">
        <v>0</v>
      </c>
      <c r="AF372" s="113">
        <f t="shared" si="6"/>
        <v>1330</v>
      </c>
      <c r="AG372" s="115"/>
      <c r="AH372" s="403"/>
    </row>
    <row r="373" spans="1:34" s="78" customFormat="1" ht="12" customHeight="1">
      <c r="A373" s="100">
        <v>3015</v>
      </c>
      <c r="B373" s="101" t="s">
        <v>2880</v>
      </c>
      <c r="C373" s="101" t="s">
        <v>2880</v>
      </c>
      <c r="D373" s="101" t="s">
        <v>3403</v>
      </c>
      <c r="E373" s="100">
        <v>3</v>
      </c>
      <c r="F373" s="404">
        <v>1</v>
      </c>
      <c r="G373" s="103">
        <v>370</v>
      </c>
      <c r="H373" s="104" t="s">
        <v>2288</v>
      </c>
      <c r="I373" s="104" t="s">
        <v>2288</v>
      </c>
      <c r="J373" s="105">
        <v>10500102665401</v>
      </c>
      <c r="K373" s="106" t="s">
        <v>353</v>
      </c>
      <c r="L373" s="106"/>
      <c r="M373" s="106">
        <v>2</v>
      </c>
      <c r="N373" s="104" t="s">
        <v>2289</v>
      </c>
      <c r="O373" s="104" t="s">
        <v>2290</v>
      </c>
      <c r="P373" s="107" t="s">
        <v>2291</v>
      </c>
      <c r="Q373" s="104" t="s">
        <v>2292</v>
      </c>
      <c r="R373" s="104" t="s">
        <v>2293</v>
      </c>
      <c r="S373" s="108" t="s">
        <v>2294</v>
      </c>
      <c r="T373" s="109">
        <v>137</v>
      </c>
      <c r="U373" s="110">
        <v>252</v>
      </c>
      <c r="V373" s="110">
        <v>111</v>
      </c>
      <c r="W373" s="402" t="s">
        <v>3403</v>
      </c>
      <c r="X373" s="402" t="s">
        <v>2880</v>
      </c>
      <c r="Y373" s="112">
        <v>500</v>
      </c>
      <c r="Z373" s="109">
        <v>0</v>
      </c>
      <c r="AA373" s="110">
        <v>0</v>
      </c>
      <c r="AB373" s="110">
        <v>0</v>
      </c>
      <c r="AC373" s="111"/>
      <c r="AD373" s="402"/>
      <c r="AE373" s="112">
        <v>0</v>
      </c>
      <c r="AF373" s="113">
        <f t="shared" si="6"/>
        <v>500</v>
      </c>
      <c r="AG373" s="115"/>
      <c r="AH373" s="403"/>
    </row>
    <row r="374" spans="1:34" s="78" customFormat="1" ht="12" customHeight="1">
      <c r="A374" s="100">
        <v>3016</v>
      </c>
      <c r="B374" s="101" t="s">
        <v>2880</v>
      </c>
      <c r="C374" s="101" t="s">
        <v>2880</v>
      </c>
      <c r="D374" s="101" t="s">
        <v>3403</v>
      </c>
      <c r="E374" s="100">
        <v>3</v>
      </c>
      <c r="F374" s="116">
        <v>1</v>
      </c>
      <c r="G374" s="103">
        <v>371</v>
      </c>
      <c r="H374" s="118" t="s">
        <v>437</v>
      </c>
      <c r="I374" s="118" t="s">
        <v>437</v>
      </c>
      <c r="J374" s="119">
        <v>10500100671801</v>
      </c>
      <c r="K374" s="120" t="s">
        <v>353</v>
      </c>
      <c r="L374" s="120"/>
      <c r="M374" s="120">
        <v>2</v>
      </c>
      <c r="N374" s="118" t="s">
        <v>438</v>
      </c>
      <c r="O374" s="118" t="s">
        <v>439</v>
      </c>
      <c r="P374" s="122" t="s">
        <v>440</v>
      </c>
      <c r="Q374" s="118" t="s">
        <v>441</v>
      </c>
      <c r="R374" s="118" t="s">
        <v>442</v>
      </c>
      <c r="S374" s="123" t="s">
        <v>443</v>
      </c>
      <c r="T374" s="124">
        <v>0</v>
      </c>
      <c r="U374" s="125">
        <v>0</v>
      </c>
      <c r="V374" s="125">
        <v>86</v>
      </c>
      <c r="W374" s="402" t="s">
        <v>3403</v>
      </c>
      <c r="X374" s="402" t="s">
        <v>2880</v>
      </c>
      <c r="Y374" s="112">
        <v>86</v>
      </c>
      <c r="Z374" s="124">
        <v>0</v>
      </c>
      <c r="AA374" s="125">
        <v>0</v>
      </c>
      <c r="AB374" s="125">
        <v>0</v>
      </c>
      <c r="AC374" s="111"/>
      <c r="AD374" s="402"/>
      <c r="AE374" s="112">
        <v>0</v>
      </c>
      <c r="AF374" s="113">
        <f t="shared" si="6"/>
        <v>86</v>
      </c>
      <c r="AG374" s="128" t="s">
        <v>2295</v>
      </c>
      <c r="AH374" s="403"/>
    </row>
    <row r="375" spans="1:34" s="78" customFormat="1" ht="12" customHeight="1">
      <c r="A375" s="100">
        <v>3017</v>
      </c>
      <c r="B375" s="101" t="s">
        <v>2880</v>
      </c>
      <c r="C375" s="101" t="s">
        <v>2880</v>
      </c>
      <c r="D375" s="101" t="s">
        <v>3403</v>
      </c>
      <c r="E375" s="100">
        <v>3</v>
      </c>
      <c r="F375" s="116">
        <v>1</v>
      </c>
      <c r="G375" s="103">
        <v>372</v>
      </c>
      <c r="H375" s="118" t="s">
        <v>437</v>
      </c>
      <c r="I375" s="118" t="s">
        <v>2296</v>
      </c>
      <c r="J375" s="119">
        <v>10500100671804</v>
      </c>
      <c r="K375" s="120" t="s">
        <v>353</v>
      </c>
      <c r="L375" s="120"/>
      <c r="M375" s="120">
        <v>2</v>
      </c>
      <c r="N375" s="118" t="s">
        <v>438</v>
      </c>
      <c r="O375" s="118" t="s">
        <v>439</v>
      </c>
      <c r="P375" s="122" t="s">
        <v>440</v>
      </c>
      <c r="Q375" s="118" t="s">
        <v>441</v>
      </c>
      <c r="R375" s="118" t="s">
        <v>442</v>
      </c>
      <c r="S375" s="123" t="s">
        <v>443</v>
      </c>
      <c r="T375" s="124">
        <v>57</v>
      </c>
      <c r="U375" s="125">
        <v>0</v>
      </c>
      <c r="V375" s="125">
        <v>0</v>
      </c>
      <c r="W375" s="402" t="s">
        <v>3403</v>
      </c>
      <c r="X375" s="402" t="s">
        <v>2880</v>
      </c>
      <c r="Y375" s="112">
        <v>57</v>
      </c>
      <c r="Z375" s="124">
        <v>0</v>
      </c>
      <c r="AA375" s="125">
        <v>0</v>
      </c>
      <c r="AB375" s="125">
        <v>0</v>
      </c>
      <c r="AC375" s="111"/>
      <c r="AD375" s="402"/>
      <c r="AE375" s="112">
        <v>0</v>
      </c>
      <c r="AF375" s="113">
        <f t="shared" si="6"/>
        <v>57</v>
      </c>
      <c r="AG375" s="128" t="s">
        <v>2295</v>
      </c>
      <c r="AH375" s="403"/>
    </row>
    <row r="376" spans="1:34" s="78" customFormat="1" ht="12" customHeight="1">
      <c r="A376" s="100">
        <v>3018</v>
      </c>
      <c r="B376" s="101" t="s">
        <v>2880</v>
      </c>
      <c r="C376" s="101" t="s">
        <v>2880</v>
      </c>
      <c r="D376" s="101" t="s">
        <v>3403</v>
      </c>
      <c r="E376" s="100">
        <v>3</v>
      </c>
      <c r="F376" s="135">
        <v>1</v>
      </c>
      <c r="G376" s="103">
        <v>373</v>
      </c>
      <c r="H376" s="118" t="s">
        <v>437</v>
      </c>
      <c r="I376" s="118" t="s">
        <v>445</v>
      </c>
      <c r="J376" s="119">
        <v>10500100671803</v>
      </c>
      <c r="K376" s="120" t="s">
        <v>353</v>
      </c>
      <c r="L376" s="128"/>
      <c r="M376" s="120">
        <v>2</v>
      </c>
      <c r="N376" s="118" t="s">
        <v>438</v>
      </c>
      <c r="O376" s="118" t="s">
        <v>439</v>
      </c>
      <c r="P376" s="122" t="s">
        <v>440</v>
      </c>
      <c r="Q376" s="118" t="s">
        <v>441</v>
      </c>
      <c r="R376" s="118" t="s">
        <v>442</v>
      </c>
      <c r="S376" s="123" t="s">
        <v>443</v>
      </c>
      <c r="T376" s="124">
        <v>60</v>
      </c>
      <c r="U376" s="125">
        <v>200</v>
      </c>
      <c r="V376" s="125">
        <v>0</v>
      </c>
      <c r="W376" s="402" t="s">
        <v>3403</v>
      </c>
      <c r="X376" s="402" t="s">
        <v>2880</v>
      </c>
      <c r="Y376" s="112">
        <v>260</v>
      </c>
      <c r="Z376" s="124">
        <v>0</v>
      </c>
      <c r="AA376" s="125">
        <v>0</v>
      </c>
      <c r="AB376" s="125">
        <v>0</v>
      </c>
      <c r="AC376" s="111"/>
      <c r="AD376" s="402"/>
      <c r="AE376" s="112">
        <v>0</v>
      </c>
      <c r="AF376" s="113">
        <f t="shared" si="6"/>
        <v>260</v>
      </c>
      <c r="AG376" s="128" t="s">
        <v>2295</v>
      </c>
      <c r="AH376" s="403"/>
    </row>
    <row r="377" spans="1:34" s="78" customFormat="1" ht="12" customHeight="1">
      <c r="A377" s="100">
        <v>3019</v>
      </c>
      <c r="B377" s="101" t="s">
        <v>2880</v>
      </c>
      <c r="C377" s="101" t="s">
        <v>2880</v>
      </c>
      <c r="D377" s="101" t="s">
        <v>3403</v>
      </c>
      <c r="E377" s="100">
        <v>3</v>
      </c>
      <c r="F377" s="404">
        <v>1</v>
      </c>
      <c r="G377" s="103">
        <v>374</v>
      </c>
      <c r="H377" s="104" t="s">
        <v>2297</v>
      </c>
      <c r="I377" s="104" t="s">
        <v>2297</v>
      </c>
      <c r="J377" s="105">
        <v>10500101945301</v>
      </c>
      <c r="K377" s="106" t="s">
        <v>353</v>
      </c>
      <c r="L377" s="106"/>
      <c r="M377" s="106">
        <v>2</v>
      </c>
      <c r="N377" s="104" t="s">
        <v>450</v>
      </c>
      <c r="O377" s="104" t="s">
        <v>2298</v>
      </c>
      <c r="P377" s="107">
        <v>5218673</v>
      </c>
      <c r="Q377" s="104" t="s">
        <v>453</v>
      </c>
      <c r="R377" s="104" t="s">
        <v>2299</v>
      </c>
      <c r="S377" s="108" t="s">
        <v>2300</v>
      </c>
      <c r="T377" s="131">
        <v>0</v>
      </c>
      <c r="U377" s="132">
        <v>408</v>
      </c>
      <c r="V377" s="132">
        <v>442</v>
      </c>
      <c r="W377" s="402" t="s">
        <v>3403</v>
      </c>
      <c r="X377" s="402" t="s">
        <v>2880</v>
      </c>
      <c r="Y377" s="112">
        <v>850</v>
      </c>
      <c r="Z377" s="109">
        <v>0</v>
      </c>
      <c r="AA377" s="110">
        <v>0</v>
      </c>
      <c r="AB377" s="110">
        <v>0</v>
      </c>
      <c r="AC377" s="111"/>
      <c r="AD377" s="402"/>
      <c r="AE377" s="112">
        <v>0</v>
      </c>
      <c r="AF377" s="113">
        <f t="shared" si="6"/>
        <v>850</v>
      </c>
      <c r="AG377" s="115"/>
      <c r="AH377" s="403"/>
    </row>
    <row r="378" spans="1:34" s="78" customFormat="1" ht="12" customHeight="1">
      <c r="A378" s="100">
        <v>3020</v>
      </c>
      <c r="B378" s="101" t="s">
        <v>2880</v>
      </c>
      <c r="C378" s="101" t="s">
        <v>2880</v>
      </c>
      <c r="D378" s="101" t="s">
        <v>3403</v>
      </c>
      <c r="E378" s="100">
        <v>3</v>
      </c>
      <c r="F378" s="404">
        <v>1</v>
      </c>
      <c r="G378" s="103">
        <v>375</v>
      </c>
      <c r="H378" s="104" t="s">
        <v>2301</v>
      </c>
      <c r="I378" s="104" t="s">
        <v>2301</v>
      </c>
      <c r="J378" s="105">
        <v>10500100127903</v>
      </c>
      <c r="K378" s="106" t="s">
        <v>353</v>
      </c>
      <c r="L378" s="106"/>
      <c r="M378" s="106">
        <v>2</v>
      </c>
      <c r="N378" s="104" t="s">
        <v>464</v>
      </c>
      <c r="O378" s="104" t="s">
        <v>2302</v>
      </c>
      <c r="P378" s="107">
        <v>2360755</v>
      </c>
      <c r="Q378" s="104" t="s">
        <v>467</v>
      </c>
      <c r="R378" s="104" t="s">
        <v>2303</v>
      </c>
      <c r="S378" s="108" t="s">
        <v>2304</v>
      </c>
      <c r="T378" s="131">
        <v>375</v>
      </c>
      <c r="U378" s="132">
        <v>260</v>
      </c>
      <c r="V378" s="132">
        <v>0</v>
      </c>
      <c r="W378" s="402" t="s">
        <v>3403</v>
      </c>
      <c r="X378" s="402" t="s">
        <v>2880</v>
      </c>
      <c r="Y378" s="112">
        <v>635</v>
      </c>
      <c r="Z378" s="109">
        <v>0</v>
      </c>
      <c r="AA378" s="110">
        <v>0</v>
      </c>
      <c r="AB378" s="110">
        <v>0</v>
      </c>
      <c r="AC378" s="111"/>
      <c r="AD378" s="402"/>
      <c r="AE378" s="112">
        <v>0</v>
      </c>
      <c r="AF378" s="113">
        <f t="shared" si="6"/>
        <v>635</v>
      </c>
      <c r="AG378" s="115"/>
      <c r="AH378" s="403"/>
    </row>
    <row r="379" spans="1:34" s="78" customFormat="1" ht="12" customHeight="1">
      <c r="A379" s="100">
        <v>3021</v>
      </c>
      <c r="B379" s="101" t="s">
        <v>2880</v>
      </c>
      <c r="C379" s="101" t="s">
        <v>2880</v>
      </c>
      <c r="D379" s="101" t="s">
        <v>3403</v>
      </c>
      <c r="E379" s="100">
        <v>3</v>
      </c>
      <c r="F379" s="404">
        <v>1</v>
      </c>
      <c r="G379" s="103">
        <v>376</v>
      </c>
      <c r="H379" s="104" t="s">
        <v>2305</v>
      </c>
      <c r="I379" s="104" t="s">
        <v>2305</v>
      </c>
      <c r="J379" s="105">
        <v>10500100116301</v>
      </c>
      <c r="K379" s="106" t="s">
        <v>353</v>
      </c>
      <c r="L379" s="106"/>
      <c r="M379" s="106">
        <v>2</v>
      </c>
      <c r="N379" s="104" t="s">
        <v>464</v>
      </c>
      <c r="O379" s="104" t="s">
        <v>2306</v>
      </c>
      <c r="P379" s="107">
        <v>5217466</v>
      </c>
      <c r="Q379" s="104" t="s">
        <v>2307</v>
      </c>
      <c r="R379" s="104" t="s">
        <v>2308</v>
      </c>
      <c r="S379" s="108" t="s">
        <v>2309</v>
      </c>
      <c r="T379" s="131">
        <v>216</v>
      </c>
      <c r="U379" s="132">
        <v>189</v>
      </c>
      <c r="V379" s="132">
        <v>130</v>
      </c>
      <c r="W379" s="402" t="s">
        <v>3403</v>
      </c>
      <c r="X379" s="402" t="s">
        <v>2880</v>
      </c>
      <c r="Y379" s="112">
        <v>535</v>
      </c>
      <c r="Z379" s="109">
        <v>0</v>
      </c>
      <c r="AA379" s="110">
        <v>0</v>
      </c>
      <c r="AB379" s="110">
        <v>0</v>
      </c>
      <c r="AC379" s="111"/>
      <c r="AD379" s="402"/>
      <c r="AE379" s="112">
        <v>0</v>
      </c>
      <c r="AF379" s="113">
        <f t="shared" si="6"/>
        <v>535</v>
      </c>
      <c r="AG379" s="115"/>
      <c r="AH379" s="403"/>
    </row>
    <row r="380" spans="1:34" s="78" customFormat="1" ht="12" customHeight="1">
      <c r="A380" s="100">
        <v>3022</v>
      </c>
      <c r="B380" s="101" t="s">
        <v>2880</v>
      </c>
      <c r="C380" s="101" t="s">
        <v>2880</v>
      </c>
      <c r="D380" s="101" t="s">
        <v>3403</v>
      </c>
      <c r="E380" s="100">
        <v>3</v>
      </c>
      <c r="F380" s="404">
        <v>1</v>
      </c>
      <c r="G380" s="103">
        <v>377</v>
      </c>
      <c r="H380" s="104" t="s">
        <v>482</v>
      </c>
      <c r="I380" s="104" t="s">
        <v>482</v>
      </c>
      <c r="J380" s="105">
        <v>10500100004301</v>
      </c>
      <c r="K380" s="106" t="s">
        <v>353</v>
      </c>
      <c r="L380" s="106"/>
      <c r="M380" s="106">
        <v>2</v>
      </c>
      <c r="N380" s="104" t="s">
        <v>483</v>
      </c>
      <c r="O380" s="104" t="s">
        <v>484</v>
      </c>
      <c r="P380" s="107">
        <v>5294058</v>
      </c>
      <c r="Q380" s="104" t="s">
        <v>485</v>
      </c>
      <c r="R380" s="104" t="s">
        <v>486</v>
      </c>
      <c r="S380" s="108" t="s">
        <v>487</v>
      </c>
      <c r="T380" s="109">
        <v>304</v>
      </c>
      <c r="U380" s="110">
        <v>196</v>
      </c>
      <c r="V380" s="110">
        <v>0</v>
      </c>
      <c r="W380" s="402" t="s">
        <v>3403</v>
      </c>
      <c r="X380" s="402" t="s">
        <v>2880</v>
      </c>
      <c r="Y380" s="112">
        <v>500</v>
      </c>
      <c r="Z380" s="109">
        <v>0</v>
      </c>
      <c r="AA380" s="110">
        <v>0</v>
      </c>
      <c r="AB380" s="110">
        <v>0</v>
      </c>
      <c r="AC380" s="111"/>
      <c r="AD380" s="402"/>
      <c r="AE380" s="112">
        <v>0</v>
      </c>
      <c r="AF380" s="113">
        <f t="shared" si="6"/>
        <v>500</v>
      </c>
      <c r="AG380" s="115"/>
      <c r="AH380" s="403"/>
    </row>
    <row r="381" spans="1:34" s="78" customFormat="1" ht="12" customHeight="1">
      <c r="A381" s="100">
        <v>3023</v>
      </c>
      <c r="B381" s="101" t="s">
        <v>2880</v>
      </c>
      <c r="C381" s="101" t="s">
        <v>2880</v>
      </c>
      <c r="D381" s="101" t="s">
        <v>3403</v>
      </c>
      <c r="E381" s="100">
        <v>3</v>
      </c>
      <c r="F381" s="404">
        <v>1</v>
      </c>
      <c r="G381" s="103">
        <v>378</v>
      </c>
      <c r="H381" s="104" t="s">
        <v>2310</v>
      </c>
      <c r="I381" s="104" t="s">
        <v>2310</v>
      </c>
      <c r="J381" s="105">
        <v>10500100000101</v>
      </c>
      <c r="K381" s="106" t="s">
        <v>353</v>
      </c>
      <c r="L381" s="106"/>
      <c r="M381" s="106">
        <v>2</v>
      </c>
      <c r="N381" s="104" t="s">
        <v>1574</v>
      </c>
      <c r="O381" s="104" t="s">
        <v>2311</v>
      </c>
      <c r="P381" s="107" t="s">
        <v>2312</v>
      </c>
      <c r="Q381" s="104" t="s">
        <v>2313</v>
      </c>
      <c r="R381" s="104" t="s">
        <v>2314</v>
      </c>
      <c r="S381" s="108" t="s">
        <v>2315</v>
      </c>
      <c r="T381" s="109">
        <v>301</v>
      </c>
      <c r="U381" s="110">
        <v>484</v>
      </c>
      <c r="V381" s="110">
        <v>135</v>
      </c>
      <c r="W381" s="402" t="s">
        <v>3403</v>
      </c>
      <c r="X381" s="402" t="s">
        <v>2880</v>
      </c>
      <c r="Y381" s="112">
        <v>920</v>
      </c>
      <c r="Z381" s="109">
        <v>0</v>
      </c>
      <c r="AA381" s="110">
        <v>0</v>
      </c>
      <c r="AB381" s="110">
        <v>0</v>
      </c>
      <c r="AC381" s="111"/>
      <c r="AD381" s="402"/>
      <c r="AE381" s="112">
        <v>0</v>
      </c>
      <c r="AF381" s="113">
        <f t="shared" si="6"/>
        <v>920</v>
      </c>
      <c r="AG381" s="115"/>
      <c r="AH381" s="403"/>
    </row>
    <row r="382" spans="1:34" s="78" customFormat="1" ht="12" customHeight="1">
      <c r="A382" s="100">
        <v>3024</v>
      </c>
      <c r="B382" s="101" t="s">
        <v>2880</v>
      </c>
      <c r="C382" s="101" t="s">
        <v>2880</v>
      </c>
      <c r="D382" s="101" t="s">
        <v>3403</v>
      </c>
      <c r="E382" s="100">
        <v>3</v>
      </c>
      <c r="F382" s="404">
        <v>1</v>
      </c>
      <c r="G382" s="103">
        <v>379</v>
      </c>
      <c r="H382" s="104" t="s">
        <v>1567</v>
      </c>
      <c r="I382" s="104" t="s">
        <v>1567</v>
      </c>
      <c r="J382" s="105">
        <v>10500102396501</v>
      </c>
      <c r="K382" s="106" t="s">
        <v>353</v>
      </c>
      <c r="L382" s="106" t="s">
        <v>303</v>
      </c>
      <c r="M382" s="106">
        <v>2</v>
      </c>
      <c r="N382" s="104" t="s">
        <v>438</v>
      </c>
      <c r="O382" s="104" t="s">
        <v>1568</v>
      </c>
      <c r="P382" s="107" t="s">
        <v>1569</v>
      </c>
      <c r="Q382" s="104" t="s">
        <v>1570</v>
      </c>
      <c r="R382" s="104" t="s">
        <v>1571</v>
      </c>
      <c r="S382" s="108" t="s">
        <v>1572</v>
      </c>
      <c r="T382" s="109">
        <v>0</v>
      </c>
      <c r="U382" s="110">
        <v>630</v>
      </c>
      <c r="V382" s="110">
        <v>370</v>
      </c>
      <c r="W382" s="402" t="s">
        <v>3403</v>
      </c>
      <c r="X382" s="402" t="s">
        <v>2880</v>
      </c>
      <c r="Y382" s="112">
        <v>1000</v>
      </c>
      <c r="Z382" s="109">
        <v>0</v>
      </c>
      <c r="AA382" s="110">
        <v>0</v>
      </c>
      <c r="AB382" s="110">
        <v>0</v>
      </c>
      <c r="AC382" s="111"/>
      <c r="AD382" s="402"/>
      <c r="AE382" s="112">
        <v>0</v>
      </c>
      <c r="AF382" s="113">
        <f t="shared" si="6"/>
        <v>1000</v>
      </c>
      <c r="AG382" s="308"/>
      <c r="AH382" s="403"/>
    </row>
    <row r="383" spans="1:34" s="78" customFormat="1" ht="12" customHeight="1">
      <c r="A383" s="100">
        <v>3025</v>
      </c>
      <c r="B383" s="101" t="s">
        <v>2880</v>
      </c>
      <c r="C383" s="101" t="s">
        <v>2880</v>
      </c>
      <c r="D383" s="101" t="s">
        <v>3403</v>
      </c>
      <c r="E383" s="100">
        <v>3</v>
      </c>
      <c r="F383" s="404">
        <v>1</v>
      </c>
      <c r="G383" s="103">
        <v>380</v>
      </c>
      <c r="H383" s="104" t="s">
        <v>488</v>
      </c>
      <c r="I383" s="104" t="s">
        <v>488</v>
      </c>
      <c r="J383" s="105">
        <v>10500102396502</v>
      </c>
      <c r="K383" s="106" t="s">
        <v>353</v>
      </c>
      <c r="L383" s="106"/>
      <c r="M383" s="106">
        <v>2</v>
      </c>
      <c r="N383" s="104" t="s">
        <v>489</v>
      </c>
      <c r="O383" s="104" t="s">
        <v>490</v>
      </c>
      <c r="P383" s="107">
        <v>2369693</v>
      </c>
      <c r="Q383" s="104" t="s">
        <v>491</v>
      </c>
      <c r="R383" s="104" t="s">
        <v>492</v>
      </c>
      <c r="S383" s="108" t="s">
        <v>493</v>
      </c>
      <c r="T383" s="109">
        <v>130</v>
      </c>
      <c r="U383" s="110">
        <v>30</v>
      </c>
      <c r="V383" s="110">
        <v>0</v>
      </c>
      <c r="W383" s="402" t="s">
        <v>3403</v>
      </c>
      <c r="X383" s="402" t="s">
        <v>2880</v>
      </c>
      <c r="Y383" s="112">
        <v>160</v>
      </c>
      <c r="Z383" s="109">
        <v>0</v>
      </c>
      <c r="AA383" s="110">
        <v>0</v>
      </c>
      <c r="AB383" s="110">
        <v>0</v>
      </c>
      <c r="AC383" s="111"/>
      <c r="AD383" s="402"/>
      <c r="AE383" s="112">
        <v>0</v>
      </c>
      <c r="AF383" s="113">
        <f t="shared" si="6"/>
        <v>160</v>
      </c>
      <c r="AG383" s="115"/>
      <c r="AH383" s="403"/>
    </row>
    <row r="384" spans="1:34" s="78" customFormat="1" ht="12" customHeight="1">
      <c r="A384" s="100">
        <v>3026</v>
      </c>
      <c r="B384" s="101" t="s">
        <v>2880</v>
      </c>
      <c r="C384" s="101" t="s">
        <v>2880</v>
      </c>
      <c r="D384" s="101" t="s">
        <v>3403</v>
      </c>
      <c r="E384" s="100">
        <v>3</v>
      </c>
      <c r="F384" s="404">
        <v>1</v>
      </c>
      <c r="G384" s="103">
        <v>381</v>
      </c>
      <c r="H384" s="104" t="s">
        <v>2316</v>
      </c>
      <c r="I384" s="104" t="s">
        <v>2316</v>
      </c>
      <c r="J384" s="105">
        <v>10500102396504</v>
      </c>
      <c r="K384" s="106" t="s">
        <v>353</v>
      </c>
      <c r="L384" s="106"/>
      <c r="M384" s="106">
        <v>2</v>
      </c>
      <c r="N384" s="104" t="s">
        <v>2317</v>
      </c>
      <c r="O384" s="104" t="s">
        <v>2318</v>
      </c>
      <c r="P384" s="107">
        <v>5217992</v>
      </c>
      <c r="Q384" s="104" t="s">
        <v>1576</v>
      </c>
      <c r="R384" s="104" t="s">
        <v>2319</v>
      </c>
      <c r="S384" s="108" t="s">
        <v>2320</v>
      </c>
      <c r="T384" s="109">
        <v>328</v>
      </c>
      <c r="U384" s="110">
        <v>97</v>
      </c>
      <c r="V384" s="110">
        <v>0</v>
      </c>
      <c r="W384" s="402" t="s">
        <v>3403</v>
      </c>
      <c r="X384" s="402" t="s">
        <v>2880</v>
      </c>
      <c r="Y384" s="112">
        <v>425</v>
      </c>
      <c r="Z384" s="109">
        <v>0</v>
      </c>
      <c r="AA384" s="110">
        <v>0</v>
      </c>
      <c r="AB384" s="110">
        <v>0</v>
      </c>
      <c r="AC384" s="111"/>
      <c r="AD384" s="402"/>
      <c r="AE384" s="112">
        <v>0</v>
      </c>
      <c r="AF384" s="113">
        <f t="shared" si="6"/>
        <v>425</v>
      </c>
      <c r="AG384" s="115"/>
      <c r="AH384" s="403"/>
    </row>
    <row r="385" spans="1:34" s="78" customFormat="1" ht="12" customHeight="1">
      <c r="A385" s="100">
        <v>3027</v>
      </c>
      <c r="B385" s="101" t="s">
        <v>2880</v>
      </c>
      <c r="C385" s="101" t="s">
        <v>2880</v>
      </c>
      <c r="D385" s="101" t="s">
        <v>3403</v>
      </c>
      <c r="E385" s="100">
        <v>3</v>
      </c>
      <c r="F385" s="404">
        <v>1</v>
      </c>
      <c r="G385" s="103">
        <v>382</v>
      </c>
      <c r="H385" s="104" t="s">
        <v>494</v>
      </c>
      <c r="I385" s="104" t="s">
        <v>494</v>
      </c>
      <c r="J385" s="105">
        <v>10500100538001</v>
      </c>
      <c r="K385" s="106" t="s">
        <v>353</v>
      </c>
      <c r="L385" s="106"/>
      <c r="M385" s="106">
        <v>2</v>
      </c>
      <c r="N385" s="104" t="s">
        <v>495</v>
      </c>
      <c r="O385" s="104" t="s">
        <v>496</v>
      </c>
      <c r="P385" s="107">
        <v>2581854</v>
      </c>
      <c r="Q385" s="104" t="s">
        <v>497</v>
      </c>
      <c r="R385" s="104" t="s">
        <v>498</v>
      </c>
      <c r="S385" s="108" t="s">
        <v>499</v>
      </c>
      <c r="T385" s="131">
        <v>6</v>
      </c>
      <c r="U385" s="132">
        <v>290</v>
      </c>
      <c r="V385" s="132">
        <v>244</v>
      </c>
      <c r="W385" s="402" t="s">
        <v>3403</v>
      </c>
      <c r="X385" s="402" t="s">
        <v>2880</v>
      </c>
      <c r="Y385" s="112">
        <v>540</v>
      </c>
      <c r="Z385" s="109">
        <v>0</v>
      </c>
      <c r="AA385" s="110">
        <v>0</v>
      </c>
      <c r="AB385" s="110">
        <v>0</v>
      </c>
      <c r="AC385" s="111"/>
      <c r="AD385" s="402"/>
      <c r="AE385" s="112">
        <v>0</v>
      </c>
      <c r="AF385" s="113">
        <f t="shared" si="6"/>
        <v>540</v>
      </c>
      <c r="AG385" s="115"/>
      <c r="AH385" s="403"/>
    </row>
    <row r="386" spans="1:34" s="78" customFormat="1" ht="12" customHeight="1">
      <c r="A386" s="100">
        <v>3028</v>
      </c>
      <c r="B386" s="101" t="s">
        <v>2880</v>
      </c>
      <c r="C386" s="101" t="s">
        <v>2880</v>
      </c>
      <c r="D386" s="101" t="s">
        <v>3403</v>
      </c>
      <c r="E386" s="100">
        <v>3</v>
      </c>
      <c r="F386" s="404">
        <v>1</v>
      </c>
      <c r="G386" s="103">
        <v>383</v>
      </c>
      <c r="H386" s="104" t="s">
        <v>500</v>
      </c>
      <c r="I386" s="104" t="s">
        <v>500</v>
      </c>
      <c r="J386" s="105">
        <v>10500100538002</v>
      </c>
      <c r="K386" s="106" t="s">
        <v>353</v>
      </c>
      <c r="L386" s="106"/>
      <c r="M386" s="106">
        <v>2</v>
      </c>
      <c r="N386" s="104" t="s">
        <v>489</v>
      </c>
      <c r="O386" s="104" t="s">
        <v>501</v>
      </c>
      <c r="P386" s="107">
        <v>5213916</v>
      </c>
      <c r="Q386" s="104" t="s">
        <v>502</v>
      </c>
      <c r="R386" s="104" t="s">
        <v>503</v>
      </c>
      <c r="S386" s="108" t="s">
        <v>504</v>
      </c>
      <c r="T386" s="131">
        <v>56</v>
      </c>
      <c r="U386" s="132">
        <v>104</v>
      </c>
      <c r="V386" s="132">
        <v>0</v>
      </c>
      <c r="W386" s="402" t="s">
        <v>3403</v>
      </c>
      <c r="X386" s="402" t="s">
        <v>2880</v>
      </c>
      <c r="Y386" s="112">
        <v>160</v>
      </c>
      <c r="Z386" s="109">
        <v>0</v>
      </c>
      <c r="AA386" s="110">
        <v>0</v>
      </c>
      <c r="AB386" s="110">
        <v>0</v>
      </c>
      <c r="AC386" s="111"/>
      <c r="AD386" s="402"/>
      <c r="AE386" s="112">
        <v>0</v>
      </c>
      <c r="AF386" s="113">
        <f t="shared" si="6"/>
        <v>160</v>
      </c>
      <c r="AG386" s="115"/>
      <c r="AH386" s="403"/>
    </row>
    <row r="387" spans="1:34" s="78" customFormat="1" ht="12" customHeight="1">
      <c r="A387" s="100">
        <v>3029</v>
      </c>
      <c r="B387" s="101" t="s">
        <v>2880</v>
      </c>
      <c r="C387" s="101" t="s">
        <v>2880</v>
      </c>
      <c r="D387" s="101" t="s">
        <v>3403</v>
      </c>
      <c r="E387" s="100">
        <v>3</v>
      </c>
      <c r="F387" s="404">
        <v>1</v>
      </c>
      <c r="G387" s="103">
        <v>384</v>
      </c>
      <c r="H387" s="104" t="s">
        <v>505</v>
      </c>
      <c r="I387" s="104" t="s">
        <v>2321</v>
      </c>
      <c r="J387" s="105">
        <v>10500102654901</v>
      </c>
      <c r="K387" s="106" t="s">
        <v>353</v>
      </c>
      <c r="L387" s="106"/>
      <c r="M387" s="106">
        <v>3</v>
      </c>
      <c r="N387" s="104" t="s">
        <v>506</v>
      </c>
      <c r="O387" s="104" t="s">
        <v>2322</v>
      </c>
      <c r="P387" s="107">
        <v>5288234</v>
      </c>
      <c r="Q387" s="104" t="s">
        <v>2323</v>
      </c>
      <c r="R387" s="104" t="s">
        <v>2324</v>
      </c>
      <c r="S387" s="108" t="s">
        <v>2325</v>
      </c>
      <c r="T387" s="131">
        <v>276</v>
      </c>
      <c r="U387" s="132">
        <v>495</v>
      </c>
      <c r="V387" s="132">
        <v>129</v>
      </c>
      <c r="W387" s="402" t="s">
        <v>3403</v>
      </c>
      <c r="X387" s="402" t="s">
        <v>2880</v>
      </c>
      <c r="Y387" s="112">
        <v>900</v>
      </c>
      <c r="Z387" s="109">
        <v>0</v>
      </c>
      <c r="AA387" s="110">
        <v>0</v>
      </c>
      <c r="AB387" s="110">
        <v>0</v>
      </c>
      <c r="AC387" s="111"/>
      <c r="AD387" s="402"/>
      <c r="AE387" s="112">
        <v>0</v>
      </c>
      <c r="AF387" s="113">
        <f t="shared" si="6"/>
        <v>900</v>
      </c>
      <c r="AG387" s="115"/>
      <c r="AH387" s="403"/>
    </row>
    <row r="388" spans="1:34" s="78" customFormat="1" ht="12" customHeight="1">
      <c r="A388" s="100">
        <v>3030</v>
      </c>
      <c r="B388" s="101" t="s">
        <v>2880</v>
      </c>
      <c r="C388" s="101" t="s">
        <v>2880</v>
      </c>
      <c r="D388" s="101" t="s">
        <v>3403</v>
      </c>
      <c r="E388" s="100">
        <v>3</v>
      </c>
      <c r="F388" s="404">
        <v>1</v>
      </c>
      <c r="G388" s="103">
        <v>385</v>
      </c>
      <c r="H388" s="104" t="s">
        <v>2326</v>
      </c>
      <c r="I388" s="104" t="s">
        <v>2326</v>
      </c>
      <c r="J388" s="105">
        <v>30500102562201</v>
      </c>
      <c r="K388" s="106" t="s">
        <v>431</v>
      </c>
      <c r="L388" s="106"/>
      <c r="M388" s="106">
        <v>3</v>
      </c>
      <c r="N388" s="104" t="s">
        <v>369</v>
      </c>
      <c r="O388" s="104" t="s">
        <v>2327</v>
      </c>
      <c r="P388" s="107" t="s">
        <v>2328</v>
      </c>
      <c r="Q388" s="104" t="s">
        <v>2329</v>
      </c>
      <c r="R388" s="104" t="s">
        <v>2330</v>
      </c>
      <c r="S388" s="108" t="s">
        <v>2331</v>
      </c>
      <c r="T388" s="131">
        <v>175</v>
      </c>
      <c r="U388" s="132">
        <v>95</v>
      </c>
      <c r="V388" s="132">
        <v>0</v>
      </c>
      <c r="W388" s="402" t="s">
        <v>3403</v>
      </c>
      <c r="X388" s="402" t="s">
        <v>2880</v>
      </c>
      <c r="Y388" s="112">
        <v>270</v>
      </c>
      <c r="Z388" s="109">
        <v>0</v>
      </c>
      <c r="AA388" s="110">
        <v>0</v>
      </c>
      <c r="AB388" s="110">
        <v>0</v>
      </c>
      <c r="AC388" s="111"/>
      <c r="AD388" s="402"/>
      <c r="AE388" s="112">
        <v>0</v>
      </c>
      <c r="AF388" s="113">
        <f t="shared" si="6"/>
        <v>270</v>
      </c>
      <c r="AG388" s="115"/>
      <c r="AH388" s="403"/>
    </row>
    <row r="389" spans="1:34" s="78" customFormat="1" ht="12" customHeight="1">
      <c r="A389" s="100">
        <v>3031</v>
      </c>
      <c r="B389" s="101" t="s">
        <v>2880</v>
      </c>
      <c r="C389" s="101" t="s">
        <v>2880</v>
      </c>
      <c r="D389" s="101" t="s">
        <v>3403</v>
      </c>
      <c r="E389" s="100">
        <v>3</v>
      </c>
      <c r="F389" s="404">
        <v>1</v>
      </c>
      <c r="G389" s="103">
        <v>386</v>
      </c>
      <c r="H389" s="104" t="s">
        <v>511</v>
      </c>
      <c r="I389" s="104" t="s">
        <v>511</v>
      </c>
      <c r="J389" s="105">
        <v>10500100147301</v>
      </c>
      <c r="K389" s="106" t="s">
        <v>353</v>
      </c>
      <c r="L389" s="106"/>
      <c r="M389" s="106">
        <v>3</v>
      </c>
      <c r="N389" s="104" t="s">
        <v>512</v>
      </c>
      <c r="O389" s="104" t="s">
        <v>513</v>
      </c>
      <c r="P389" s="107" t="s">
        <v>514</v>
      </c>
      <c r="Q389" s="104" t="s">
        <v>515</v>
      </c>
      <c r="R389" s="104" t="s">
        <v>516</v>
      </c>
      <c r="S389" s="108" t="s">
        <v>517</v>
      </c>
      <c r="T389" s="109">
        <v>0</v>
      </c>
      <c r="U389" s="110">
        <v>400</v>
      </c>
      <c r="V389" s="110">
        <v>100</v>
      </c>
      <c r="W389" s="402" t="s">
        <v>3403</v>
      </c>
      <c r="X389" s="402" t="s">
        <v>2880</v>
      </c>
      <c r="Y389" s="112">
        <v>500</v>
      </c>
      <c r="Z389" s="109">
        <v>0</v>
      </c>
      <c r="AA389" s="110">
        <v>0</v>
      </c>
      <c r="AB389" s="110">
        <v>0</v>
      </c>
      <c r="AC389" s="111"/>
      <c r="AD389" s="402"/>
      <c r="AE389" s="112">
        <v>0</v>
      </c>
      <c r="AF389" s="113">
        <f t="shared" si="6"/>
        <v>500</v>
      </c>
      <c r="AG389" s="115"/>
      <c r="AH389" s="403"/>
    </row>
    <row r="390" spans="1:34" s="78" customFormat="1" ht="12" customHeight="1">
      <c r="A390" s="100">
        <v>3032</v>
      </c>
      <c r="B390" s="101" t="s">
        <v>2880</v>
      </c>
      <c r="C390" s="101" t="s">
        <v>2880</v>
      </c>
      <c r="D390" s="101" t="s">
        <v>3403</v>
      </c>
      <c r="E390" s="100">
        <v>3</v>
      </c>
      <c r="F390" s="404">
        <v>1</v>
      </c>
      <c r="G390" s="103">
        <v>387</v>
      </c>
      <c r="H390" s="104" t="s">
        <v>2204</v>
      </c>
      <c r="I390" s="104" t="s">
        <v>2204</v>
      </c>
      <c r="J390" s="105">
        <v>10500100147302</v>
      </c>
      <c r="K390" s="106" t="s">
        <v>353</v>
      </c>
      <c r="L390" s="106"/>
      <c r="M390" s="106">
        <v>3</v>
      </c>
      <c r="N390" s="104" t="s">
        <v>519</v>
      </c>
      <c r="O390" s="104" t="s">
        <v>2332</v>
      </c>
      <c r="P390" s="107">
        <v>2841206</v>
      </c>
      <c r="Q390" s="104" t="s">
        <v>2333</v>
      </c>
      <c r="R390" s="104" t="s">
        <v>2334</v>
      </c>
      <c r="S390" s="108" t="s">
        <v>2335</v>
      </c>
      <c r="T390" s="109">
        <v>320</v>
      </c>
      <c r="U390" s="110">
        <v>0</v>
      </c>
      <c r="V390" s="110">
        <v>0</v>
      </c>
      <c r="W390" s="402" t="s">
        <v>3403</v>
      </c>
      <c r="X390" s="402" t="s">
        <v>2880</v>
      </c>
      <c r="Y390" s="112">
        <v>320</v>
      </c>
      <c r="Z390" s="109">
        <v>0</v>
      </c>
      <c r="AA390" s="110">
        <v>0</v>
      </c>
      <c r="AB390" s="110">
        <v>0</v>
      </c>
      <c r="AC390" s="111"/>
      <c r="AD390" s="402"/>
      <c r="AE390" s="112">
        <v>0</v>
      </c>
      <c r="AF390" s="113">
        <f t="shared" si="6"/>
        <v>320</v>
      </c>
      <c r="AG390" s="115"/>
      <c r="AH390" s="403"/>
    </row>
    <row r="391" spans="1:34" s="78" customFormat="1" ht="12" customHeight="1">
      <c r="A391" s="100">
        <v>3033</v>
      </c>
      <c r="B391" s="101" t="s">
        <v>2880</v>
      </c>
      <c r="C391" s="101" t="s">
        <v>2880</v>
      </c>
      <c r="D391" s="101" t="s">
        <v>3403</v>
      </c>
      <c r="E391" s="100">
        <v>3</v>
      </c>
      <c r="F391" s="404">
        <v>1</v>
      </c>
      <c r="G391" s="103">
        <v>388</v>
      </c>
      <c r="H391" s="104" t="s">
        <v>2336</v>
      </c>
      <c r="I391" s="104" t="s">
        <v>2336</v>
      </c>
      <c r="J391" s="105">
        <v>10500100248801</v>
      </c>
      <c r="K391" s="106" t="s">
        <v>353</v>
      </c>
      <c r="L391" s="106"/>
      <c r="M391" s="106">
        <v>3</v>
      </c>
      <c r="N391" s="104" t="s">
        <v>2337</v>
      </c>
      <c r="O391" s="104" t="s">
        <v>2338</v>
      </c>
      <c r="P391" s="107" t="s">
        <v>2339</v>
      </c>
      <c r="Q391" s="104" t="s">
        <v>2340</v>
      </c>
      <c r="R391" s="104" t="s">
        <v>2341</v>
      </c>
      <c r="S391" s="108" t="s">
        <v>2342</v>
      </c>
      <c r="T391" s="109">
        <v>128</v>
      </c>
      <c r="U391" s="110">
        <v>492</v>
      </c>
      <c r="V391" s="110">
        <v>180</v>
      </c>
      <c r="W391" s="402" t="s">
        <v>3403</v>
      </c>
      <c r="X391" s="402" t="s">
        <v>2880</v>
      </c>
      <c r="Y391" s="112">
        <v>800</v>
      </c>
      <c r="Z391" s="109">
        <v>0</v>
      </c>
      <c r="AA391" s="110">
        <v>0</v>
      </c>
      <c r="AB391" s="110">
        <v>0</v>
      </c>
      <c r="AC391" s="111"/>
      <c r="AD391" s="402"/>
      <c r="AE391" s="112">
        <v>0</v>
      </c>
      <c r="AF391" s="113">
        <f t="shared" si="6"/>
        <v>800</v>
      </c>
      <c r="AG391" s="115"/>
      <c r="AH391" s="403"/>
    </row>
    <row r="392" spans="1:34" s="78" customFormat="1" ht="12" customHeight="1">
      <c r="A392" s="100">
        <v>3034</v>
      </c>
      <c r="B392" s="101" t="s">
        <v>2880</v>
      </c>
      <c r="C392" s="101" t="s">
        <v>2880</v>
      </c>
      <c r="D392" s="101" t="s">
        <v>3403</v>
      </c>
      <c r="E392" s="100">
        <v>3</v>
      </c>
      <c r="F392" s="404">
        <v>1</v>
      </c>
      <c r="G392" s="103">
        <v>389</v>
      </c>
      <c r="H392" s="104" t="s">
        <v>2268</v>
      </c>
      <c r="I392" s="104" t="s">
        <v>2268</v>
      </c>
      <c r="J392" s="105">
        <v>10500100248802</v>
      </c>
      <c r="K392" s="106" t="s">
        <v>353</v>
      </c>
      <c r="L392" s="106"/>
      <c r="M392" s="106">
        <v>3</v>
      </c>
      <c r="N392" s="104" t="s">
        <v>2337</v>
      </c>
      <c r="O392" s="104" t="s">
        <v>2343</v>
      </c>
      <c r="P392" s="107">
        <v>2331640</v>
      </c>
      <c r="Q392" s="104" t="s">
        <v>521</v>
      </c>
      <c r="R392" s="104" t="s">
        <v>2344</v>
      </c>
      <c r="S392" s="108" t="s">
        <v>2345</v>
      </c>
      <c r="T392" s="109">
        <v>200</v>
      </c>
      <c r="U392" s="110">
        <v>100</v>
      </c>
      <c r="V392" s="110">
        <v>0</v>
      </c>
      <c r="W392" s="402" t="s">
        <v>3403</v>
      </c>
      <c r="X392" s="402" t="s">
        <v>2880</v>
      </c>
      <c r="Y392" s="112">
        <v>300</v>
      </c>
      <c r="Z392" s="109">
        <v>0</v>
      </c>
      <c r="AA392" s="110">
        <v>0</v>
      </c>
      <c r="AB392" s="110">
        <v>0</v>
      </c>
      <c r="AC392" s="111"/>
      <c r="AD392" s="402"/>
      <c r="AE392" s="112">
        <v>0</v>
      </c>
      <c r="AF392" s="113">
        <f t="shared" si="6"/>
        <v>300</v>
      </c>
      <c r="AG392" s="115"/>
      <c r="AH392" s="403"/>
    </row>
    <row r="393" spans="1:34" s="78" customFormat="1" ht="12" customHeight="1">
      <c r="A393" s="100">
        <v>3035</v>
      </c>
      <c r="B393" s="101" t="s">
        <v>2880</v>
      </c>
      <c r="C393" s="101" t="s">
        <v>2880</v>
      </c>
      <c r="D393" s="101" t="s">
        <v>3403</v>
      </c>
      <c r="E393" s="100">
        <v>3</v>
      </c>
      <c r="F393" s="404">
        <v>1</v>
      </c>
      <c r="G393" s="103">
        <v>390</v>
      </c>
      <c r="H393" s="104" t="s">
        <v>2346</v>
      </c>
      <c r="I393" s="104" t="s">
        <v>2346</v>
      </c>
      <c r="J393" s="105">
        <v>10500100112102</v>
      </c>
      <c r="K393" s="106" t="s">
        <v>353</v>
      </c>
      <c r="L393" s="106"/>
      <c r="M393" s="106">
        <v>3</v>
      </c>
      <c r="N393" s="104" t="s">
        <v>569</v>
      </c>
      <c r="O393" s="104" t="s">
        <v>2347</v>
      </c>
      <c r="P393" s="107" t="s">
        <v>2348</v>
      </c>
      <c r="Q393" s="104" t="s">
        <v>2349</v>
      </c>
      <c r="R393" s="104" t="s">
        <v>2350</v>
      </c>
      <c r="S393" s="108" t="s">
        <v>2351</v>
      </c>
      <c r="T393" s="131">
        <v>220</v>
      </c>
      <c r="U393" s="132">
        <v>160</v>
      </c>
      <c r="V393" s="132">
        <v>0</v>
      </c>
      <c r="W393" s="402" t="s">
        <v>3403</v>
      </c>
      <c r="X393" s="402" t="s">
        <v>2880</v>
      </c>
      <c r="Y393" s="112">
        <v>380</v>
      </c>
      <c r="Z393" s="109">
        <v>0</v>
      </c>
      <c r="AA393" s="110">
        <v>0</v>
      </c>
      <c r="AB393" s="110">
        <v>0</v>
      </c>
      <c r="AC393" s="111"/>
      <c r="AD393" s="402"/>
      <c r="AE393" s="112">
        <v>0</v>
      </c>
      <c r="AF393" s="113">
        <f t="shared" si="6"/>
        <v>380</v>
      </c>
      <c r="AG393" s="115"/>
      <c r="AH393" s="403"/>
    </row>
    <row r="394" spans="1:34" s="78" customFormat="1" ht="12" customHeight="1">
      <c r="A394" s="100">
        <v>3036</v>
      </c>
      <c r="B394" s="101" t="s">
        <v>2880</v>
      </c>
      <c r="C394" s="101" t="s">
        <v>2880</v>
      </c>
      <c r="D394" s="101" t="s">
        <v>3403</v>
      </c>
      <c r="E394" s="100">
        <v>3</v>
      </c>
      <c r="F394" s="404">
        <v>1</v>
      </c>
      <c r="G394" s="103">
        <v>391</v>
      </c>
      <c r="H394" s="104" t="s">
        <v>2352</v>
      </c>
      <c r="I394" s="104" t="s">
        <v>2352</v>
      </c>
      <c r="J394" s="105">
        <v>10500100112103</v>
      </c>
      <c r="K394" s="106" t="s">
        <v>353</v>
      </c>
      <c r="L394" s="106"/>
      <c r="M394" s="106">
        <v>3</v>
      </c>
      <c r="N394" s="104" t="s">
        <v>558</v>
      </c>
      <c r="O394" s="104" t="s">
        <v>2353</v>
      </c>
      <c r="P394" s="107" t="s">
        <v>2354</v>
      </c>
      <c r="Q394" s="104" t="s">
        <v>2355</v>
      </c>
      <c r="R394" s="104" t="s">
        <v>2356</v>
      </c>
      <c r="S394" s="108" t="s">
        <v>2357</v>
      </c>
      <c r="T394" s="131">
        <v>249</v>
      </c>
      <c r="U394" s="132">
        <v>146</v>
      </c>
      <c r="V394" s="132">
        <v>0</v>
      </c>
      <c r="W394" s="402" t="s">
        <v>3403</v>
      </c>
      <c r="X394" s="402" t="s">
        <v>2880</v>
      </c>
      <c r="Y394" s="112">
        <v>395</v>
      </c>
      <c r="Z394" s="109">
        <v>0</v>
      </c>
      <c r="AA394" s="110">
        <v>0</v>
      </c>
      <c r="AB394" s="110">
        <v>0</v>
      </c>
      <c r="AC394" s="111"/>
      <c r="AD394" s="402"/>
      <c r="AE394" s="112">
        <v>0</v>
      </c>
      <c r="AF394" s="113">
        <f t="shared" si="6"/>
        <v>395</v>
      </c>
      <c r="AG394" s="115"/>
      <c r="AH394" s="403"/>
    </row>
    <row r="395" spans="1:34" s="78" customFormat="1" ht="12" customHeight="1">
      <c r="A395" s="100">
        <v>3037</v>
      </c>
      <c r="B395" s="101" t="s">
        <v>2880</v>
      </c>
      <c r="C395" s="101" t="s">
        <v>2880</v>
      </c>
      <c r="D395" s="101" t="s">
        <v>3403</v>
      </c>
      <c r="E395" s="100">
        <v>3</v>
      </c>
      <c r="F395" s="404">
        <v>1</v>
      </c>
      <c r="G395" s="103">
        <v>392</v>
      </c>
      <c r="H395" s="104" t="s">
        <v>545</v>
      </c>
      <c r="I395" s="104" t="s">
        <v>545</v>
      </c>
      <c r="J395" s="105">
        <v>10500100115501</v>
      </c>
      <c r="K395" s="106" t="s">
        <v>353</v>
      </c>
      <c r="L395" s="106"/>
      <c r="M395" s="106">
        <v>3</v>
      </c>
      <c r="N395" s="104" t="s">
        <v>546</v>
      </c>
      <c r="O395" s="104" t="s">
        <v>547</v>
      </c>
      <c r="P395" s="107" t="s">
        <v>548</v>
      </c>
      <c r="Q395" s="104" t="s">
        <v>549</v>
      </c>
      <c r="R395" s="104" t="s">
        <v>550</v>
      </c>
      <c r="S395" s="108" t="s">
        <v>551</v>
      </c>
      <c r="T395" s="109">
        <v>270</v>
      </c>
      <c r="U395" s="110">
        <v>350</v>
      </c>
      <c r="V395" s="110">
        <v>0</v>
      </c>
      <c r="W395" s="402" t="s">
        <v>3403</v>
      </c>
      <c r="X395" s="402" t="s">
        <v>2880</v>
      </c>
      <c r="Y395" s="112">
        <v>620</v>
      </c>
      <c r="Z395" s="109">
        <v>0</v>
      </c>
      <c r="AA395" s="110">
        <v>0</v>
      </c>
      <c r="AB395" s="110">
        <v>0</v>
      </c>
      <c r="AC395" s="111"/>
      <c r="AD395" s="402"/>
      <c r="AE395" s="112">
        <v>0</v>
      </c>
      <c r="AF395" s="113">
        <f t="shared" si="6"/>
        <v>620</v>
      </c>
      <c r="AG395" s="115"/>
      <c r="AH395" s="403"/>
    </row>
    <row r="396" spans="1:34" s="78" customFormat="1" ht="12" customHeight="1">
      <c r="A396" s="100">
        <v>3038</v>
      </c>
      <c r="B396" s="101" t="s">
        <v>2880</v>
      </c>
      <c r="C396" s="101" t="s">
        <v>2880</v>
      </c>
      <c r="D396" s="101" t="s">
        <v>3403</v>
      </c>
      <c r="E396" s="100">
        <v>3</v>
      </c>
      <c r="F396" s="404">
        <v>1</v>
      </c>
      <c r="G396" s="103">
        <v>393</v>
      </c>
      <c r="H396" s="104" t="s">
        <v>2358</v>
      </c>
      <c r="I396" s="104" t="s">
        <v>2358</v>
      </c>
      <c r="J396" s="105">
        <v>10500100136801</v>
      </c>
      <c r="K396" s="106" t="s">
        <v>353</v>
      </c>
      <c r="L396" s="106"/>
      <c r="M396" s="106">
        <v>3</v>
      </c>
      <c r="N396" s="104" t="s">
        <v>558</v>
      </c>
      <c r="O396" s="104" t="s">
        <v>2359</v>
      </c>
      <c r="P396" s="107">
        <v>2118264</v>
      </c>
      <c r="Q396" s="408" t="s">
        <v>2360</v>
      </c>
      <c r="R396" s="104" t="s">
        <v>2361</v>
      </c>
      <c r="S396" s="108" t="s">
        <v>2362</v>
      </c>
      <c r="T396" s="109">
        <v>104</v>
      </c>
      <c r="U396" s="110">
        <v>426</v>
      </c>
      <c r="V396" s="110">
        <v>50</v>
      </c>
      <c r="W396" s="402" t="s">
        <v>3403</v>
      </c>
      <c r="X396" s="402" t="s">
        <v>2880</v>
      </c>
      <c r="Y396" s="112">
        <v>580</v>
      </c>
      <c r="Z396" s="109">
        <v>0</v>
      </c>
      <c r="AA396" s="110">
        <v>0</v>
      </c>
      <c r="AB396" s="110">
        <v>0</v>
      </c>
      <c r="AC396" s="111"/>
      <c r="AD396" s="402"/>
      <c r="AE396" s="112">
        <v>0</v>
      </c>
      <c r="AF396" s="113">
        <f t="shared" si="6"/>
        <v>580</v>
      </c>
      <c r="AG396" s="115"/>
      <c r="AH396" s="403"/>
    </row>
    <row r="397" spans="1:34" s="78" customFormat="1" ht="12" customHeight="1">
      <c r="A397" s="100">
        <v>3039</v>
      </c>
      <c r="B397" s="101" t="s">
        <v>2880</v>
      </c>
      <c r="C397" s="101" t="s">
        <v>2880</v>
      </c>
      <c r="D397" s="101" t="s">
        <v>3403</v>
      </c>
      <c r="E397" s="100">
        <v>3</v>
      </c>
      <c r="F397" s="404">
        <v>1</v>
      </c>
      <c r="G397" s="103">
        <v>394</v>
      </c>
      <c r="H397" s="104" t="s">
        <v>557</v>
      </c>
      <c r="I397" s="104" t="s">
        <v>557</v>
      </c>
      <c r="J397" s="105">
        <v>10500100986501</v>
      </c>
      <c r="K397" s="106" t="s">
        <v>353</v>
      </c>
      <c r="L397" s="106"/>
      <c r="M397" s="106">
        <v>3</v>
      </c>
      <c r="N397" s="104" t="s">
        <v>558</v>
      </c>
      <c r="O397" s="104" t="s">
        <v>559</v>
      </c>
      <c r="P397" s="107"/>
      <c r="Q397" s="104" t="s">
        <v>560</v>
      </c>
      <c r="R397" s="104" t="s">
        <v>561</v>
      </c>
      <c r="S397" s="108" t="s">
        <v>562</v>
      </c>
      <c r="T397" s="109">
        <v>0</v>
      </c>
      <c r="U397" s="110">
        <v>215</v>
      </c>
      <c r="V397" s="110">
        <v>115</v>
      </c>
      <c r="W397" s="402" t="s">
        <v>3403</v>
      </c>
      <c r="X397" s="402" t="s">
        <v>2880</v>
      </c>
      <c r="Y397" s="112">
        <v>330</v>
      </c>
      <c r="Z397" s="409">
        <v>0</v>
      </c>
      <c r="AA397" s="110">
        <v>0</v>
      </c>
      <c r="AB397" s="110">
        <v>0</v>
      </c>
      <c r="AC397" s="111"/>
      <c r="AD397" s="402"/>
      <c r="AE397" s="112">
        <v>0</v>
      </c>
      <c r="AF397" s="113">
        <f t="shared" si="6"/>
        <v>330</v>
      </c>
      <c r="AG397" s="115"/>
      <c r="AH397" s="403"/>
    </row>
    <row r="398" spans="1:34" s="78" customFormat="1" ht="12" customHeight="1">
      <c r="A398" s="100">
        <v>3040</v>
      </c>
      <c r="B398" s="101" t="s">
        <v>2880</v>
      </c>
      <c r="C398" s="101" t="s">
        <v>2880</v>
      </c>
      <c r="D398" s="101" t="s">
        <v>3403</v>
      </c>
      <c r="E398" s="100">
        <v>3</v>
      </c>
      <c r="F398" s="116">
        <v>1</v>
      </c>
      <c r="G398" s="103">
        <v>395</v>
      </c>
      <c r="H398" s="118" t="s">
        <v>2363</v>
      </c>
      <c r="I398" s="118" t="s">
        <v>2363</v>
      </c>
      <c r="J398" s="119">
        <v>10500100986502</v>
      </c>
      <c r="K398" s="120" t="s">
        <v>353</v>
      </c>
      <c r="L398" s="120"/>
      <c r="M398" s="120">
        <v>3</v>
      </c>
      <c r="N398" s="118" t="s">
        <v>2364</v>
      </c>
      <c r="O398" s="118" t="s">
        <v>2365</v>
      </c>
      <c r="P398" s="122">
        <v>2118250</v>
      </c>
      <c r="Q398" s="118" t="s">
        <v>560</v>
      </c>
      <c r="R398" s="118" t="s">
        <v>2366</v>
      </c>
      <c r="S398" s="123" t="s">
        <v>2367</v>
      </c>
      <c r="T398" s="124">
        <v>170</v>
      </c>
      <c r="U398" s="125">
        <v>0</v>
      </c>
      <c r="V398" s="125">
        <v>0</v>
      </c>
      <c r="W398" s="402" t="s">
        <v>3403</v>
      </c>
      <c r="X398" s="402" t="s">
        <v>2880</v>
      </c>
      <c r="Y398" s="112">
        <v>170</v>
      </c>
      <c r="Z398" s="124">
        <v>0</v>
      </c>
      <c r="AA398" s="125">
        <v>0</v>
      </c>
      <c r="AB398" s="125">
        <v>0</v>
      </c>
      <c r="AC398" s="111"/>
      <c r="AD398" s="402"/>
      <c r="AE398" s="112">
        <v>0</v>
      </c>
      <c r="AF398" s="113">
        <f t="shared" si="6"/>
        <v>170</v>
      </c>
      <c r="AG398" s="128" t="s">
        <v>2368</v>
      </c>
      <c r="AH398" s="403"/>
    </row>
    <row r="399" spans="1:34" s="78" customFormat="1" ht="12" customHeight="1">
      <c r="A399" s="100">
        <v>3041</v>
      </c>
      <c r="B399" s="101" t="s">
        <v>2880</v>
      </c>
      <c r="C399" s="101" t="s">
        <v>2880</v>
      </c>
      <c r="D399" s="101" t="s">
        <v>3403</v>
      </c>
      <c r="E399" s="100">
        <v>3</v>
      </c>
      <c r="F399" s="135">
        <v>1</v>
      </c>
      <c r="G399" s="103">
        <v>396</v>
      </c>
      <c r="H399" s="118" t="s">
        <v>2363</v>
      </c>
      <c r="I399" s="118" t="s">
        <v>2369</v>
      </c>
      <c r="J399" s="119">
        <v>10500100986503</v>
      </c>
      <c r="K399" s="120" t="s">
        <v>353</v>
      </c>
      <c r="L399" s="128"/>
      <c r="M399" s="120">
        <v>3</v>
      </c>
      <c r="N399" s="118" t="s">
        <v>2364</v>
      </c>
      <c r="O399" s="118" t="s">
        <v>2365</v>
      </c>
      <c r="P399" s="122">
        <v>2118250</v>
      </c>
      <c r="Q399" s="118" t="s">
        <v>560</v>
      </c>
      <c r="R399" s="118" t="s">
        <v>2366</v>
      </c>
      <c r="S399" s="123" t="s">
        <v>2370</v>
      </c>
      <c r="T399" s="124">
        <v>91</v>
      </c>
      <c r="U399" s="125">
        <v>9</v>
      </c>
      <c r="V399" s="125">
        <v>0</v>
      </c>
      <c r="W399" s="402" t="s">
        <v>3403</v>
      </c>
      <c r="X399" s="402" t="s">
        <v>2880</v>
      </c>
      <c r="Y399" s="112">
        <v>100</v>
      </c>
      <c r="Z399" s="124">
        <v>0</v>
      </c>
      <c r="AA399" s="125">
        <v>0</v>
      </c>
      <c r="AB399" s="125">
        <v>0</v>
      </c>
      <c r="AC399" s="111"/>
      <c r="AD399" s="402"/>
      <c r="AE399" s="112">
        <v>0</v>
      </c>
      <c r="AF399" s="113">
        <f t="shared" si="6"/>
        <v>100</v>
      </c>
      <c r="AG399" s="128" t="s">
        <v>2368</v>
      </c>
      <c r="AH399" s="403"/>
    </row>
    <row r="400" spans="1:34" s="78" customFormat="1" ht="12" customHeight="1">
      <c r="A400" s="100">
        <v>3042</v>
      </c>
      <c r="B400" s="101" t="s">
        <v>2880</v>
      </c>
      <c r="C400" s="101" t="s">
        <v>2880</v>
      </c>
      <c r="D400" s="101" t="s">
        <v>3399</v>
      </c>
      <c r="E400" s="100">
        <v>3</v>
      </c>
      <c r="F400" s="404">
        <v>1</v>
      </c>
      <c r="G400" s="103">
        <v>397</v>
      </c>
      <c r="H400" s="104" t="s">
        <v>2371</v>
      </c>
      <c r="I400" s="104" t="s">
        <v>2372</v>
      </c>
      <c r="J400" s="105">
        <v>10500100123601</v>
      </c>
      <c r="K400" s="106" t="s">
        <v>353</v>
      </c>
      <c r="L400" s="106"/>
      <c r="M400" s="106">
        <v>3</v>
      </c>
      <c r="N400" s="104" t="s">
        <v>538</v>
      </c>
      <c r="O400" s="104" t="s">
        <v>1605</v>
      </c>
      <c r="P400" s="107" t="s">
        <v>2373</v>
      </c>
      <c r="Q400" s="104" t="s">
        <v>1606</v>
      </c>
      <c r="R400" s="104" t="s">
        <v>1607</v>
      </c>
      <c r="S400" s="108" t="s">
        <v>2374</v>
      </c>
      <c r="T400" s="109">
        <v>0</v>
      </c>
      <c r="U400" s="110">
        <v>0</v>
      </c>
      <c r="V400" s="110">
        <v>0</v>
      </c>
      <c r="W400" s="402"/>
      <c r="X400" s="402"/>
      <c r="Y400" s="112">
        <v>0</v>
      </c>
      <c r="Z400" s="109">
        <v>0</v>
      </c>
      <c r="AA400" s="110">
        <v>230</v>
      </c>
      <c r="AB400" s="110">
        <v>220</v>
      </c>
      <c r="AC400" s="111" t="s">
        <v>3399</v>
      </c>
      <c r="AD400" s="402" t="s">
        <v>2880</v>
      </c>
      <c r="AE400" s="112">
        <v>450</v>
      </c>
      <c r="AF400" s="113">
        <f t="shared" si="6"/>
        <v>450</v>
      </c>
      <c r="AG400" s="115"/>
      <c r="AH400" s="403"/>
    </row>
    <row r="401" spans="1:34" s="78" customFormat="1" ht="12" customHeight="1">
      <c r="A401" s="100">
        <v>3043</v>
      </c>
      <c r="B401" s="101" t="s">
        <v>2880</v>
      </c>
      <c r="C401" s="101" t="s">
        <v>2880</v>
      </c>
      <c r="D401" s="101" t="s">
        <v>3403</v>
      </c>
      <c r="E401" s="100">
        <v>3</v>
      </c>
      <c r="F401" s="404">
        <v>1</v>
      </c>
      <c r="G401" s="103">
        <v>398</v>
      </c>
      <c r="H401" s="104" t="s">
        <v>2375</v>
      </c>
      <c r="I401" s="104" t="s">
        <v>2376</v>
      </c>
      <c r="J401" s="105">
        <v>10500101953401</v>
      </c>
      <c r="K401" s="106" t="s">
        <v>353</v>
      </c>
      <c r="L401" s="106"/>
      <c r="M401" s="106">
        <v>3</v>
      </c>
      <c r="N401" s="104" t="s">
        <v>512</v>
      </c>
      <c r="O401" s="104" t="s">
        <v>2377</v>
      </c>
      <c r="P401" s="107" t="s">
        <v>2378</v>
      </c>
      <c r="Q401" s="104" t="s">
        <v>1613</v>
      </c>
      <c r="R401" s="104" t="s">
        <v>2379</v>
      </c>
      <c r="S401" s="108" t="s">
        <v>2380</v>
      </c>
      <c r="T401" s="109">
        <v>0</v>
      </c>
      <c r="U401" s="110">
        <v>318</v>
      </c>
      <c r="V401" s="110">
        <v>182</v>
      </c>
      <c r="W401" s="402" t="s">
        <v>3403</v>
      </c>
      <c r="X401" s="402" t="s">
        <v>2880</v>
      </c>
      <c r="Y401" s="112">
        <v>500</v>
      </c>
      <c r="Z401" s="109">
        <v>0</v>
      </c>
      <c r="AA401" s="110">
        <v>0</v>
      </c>
      <c r="AB401" s="110">
        <v>0</v>
      </c>
      <c r="AC401" s="111"/>
      <c r="AD401" s="402"/>
      <c r="AE401" s="112">
        <v>0</v>
      </c>
      <c r="AF401" s="113">
        <f t="shared" si="6"/>
        <v>500</v>
      </c>
      <c r="AG401" s="115"/>
      <c r="AH401" s="403"/>
    </row>
    <row r="402" spans="1:34" s="78" customFormat="1" ht="12" customHeight="1">
      <c r="A402" s="100">
        <v>3044</v>
      </c>
      <c r="B402" s="101" t="s">
        <v>2880</v>
      </c>
      <c r="C402" s="101" t="s">
        <v>2880</v>
      </c>
      <c r="D402" s="101" t="s">
        <v>3403</v>
      </c>
      <c r="E402" s="100">
        <v>3</v>
      </c>
      <c r="F402" s="404">
        <v>1</v>
      </c>
      <c r="G402" s="103">
        <v>399</v>
      </c>
      <c r="H402" s="104" t="s">
        <v>1622</v>
      </c>
      <c r="I402" s="104" t="s">
        <v>1622</v>
      </c>
      <c r="J402" s="105">
        <v>30500102246101</v>
      </c>
      <c r="K402" s="106" t="s">
        <v>431</v>
      </c>
      <c r="L402" s="106"/>
      <c r="M402" s="106">
        <v>3</v>
      </c>
      <c r="N402" s="104" t="s">
        <v>574</v>
      </c>
      <c r="O402" s="104" t="s">
        <v>1623</v>
      </c>
      <c r="P402" s="107" t="s">
        <v>1624</v>
      </c>
      <c r="Q402" s="104" t="s">
        <v>1625</v>
      </c>
      <c r="R402" s="104" t="s">
        <v>1626</v>
      </c>
      <c r="S402" s="108" t="s">
        <v>1627</v>
      </c>
      <c r="T402" s="109">
        <v>0</v>
      </c>
      <c r="U402" s="110">
        <v>0</v>
      </c>
      <c r="V402" s="110">
        <v>200</v>
      </c>
      <c r="W402" s="402" t="s">
        <v>3403</v>
      </c>
      <c r="X402" s="402" t="s">
        <v>2880</v>
      </c>
      <c r="Y402" s="112">
        <v>200</v>
      </c>
      <c r="Z402" s="109">
        <v>0</v>
      </c>
      <c r="AA402" s="110">
        <v>0</v>
      </c>
      <c r="AB402" s="110">
        <v>0</v>
      </c>
      <c r="AC402" s="111"/>
      <c r="AD402" s="402"/>
      <c r="AE402" s="112">
        <v>0</v>
      </c>
      <c r="AF402" s="113">
        <f t="shared" si="6"/>
        <v>200</v>
      </c>
      <c r="AG402" s="309"/>
      <c r="AH402" s="403"/>
    </row>
    <row r="403" spans="1:34" s="78" customFormat="1" ht="12" customHeight="1">
      <c r="A403" s="100">
        <v>3045</v>
      </c>
      <c r="B403" s="101" t="s">
        <v>2880</v>
      </c>
      <c r="C403" s="101" t="s">
        <v>2880</v>
      </c>
      <c r="D403" s="101" t="s">
        <v>3403</v>
      </c>
      <c r="E403" s="100">
        <v>3</v>
      </c>
      <c r="F403" s="404">
        <v>1</v>
      </c>
      <c r="G403" s="103">
        <v>400</v>
      </c>
      <c r="H403" s="104" t="s">
        <v>2381</v>
      </c>
      <c r="I403" s="104" t="s">
        <v>2381</v>
      </c>
      <c r="J403" s="105">
        <v>30500102245301</v>
      </c>
      <c r="K403" s="106" t="s">
        <v>431</v>
      </c>
      <c r="L403" s="106"/>
      <c r="M403" s="106">
        <v>3</v>
      </c>
      <c r="N403" s="104" t="s">
        <v>519</v>
      </c>
      <c r="O403" s="104" t="s">
        <v>2382</v>
      </c>
      <c r="P403" s="107" t="s">
        <v>2383</v>
      </c>
      <c r="Q403" s="104" t="s">
        <v>2384</v>
      </c>
      <c r="R403" s="104" t="s">
        <v>2385</v>
      </c>
      <c r="S403" s="108" t="s">
        <v>2386</v>
      </c>
      <c r="T403" s="131">
        <v>117</v>
      </c>
      <c r="U403" s="132">
        <v>53</v>
      </c>
      <c r="V403" s="132">
        <v>0</v>
      </c>
      <c r="W403" s="402" t="s">
        <v>3403</v>
      </c>
      <c r="X403" s="402" t="s">
        <v>2880</v>
      </c>
      <c r="Y403" s="112">
        <v>170</v>
      </c>
      <c r="Z403" s="109">
        <v>0</v>
      </c>
      <c r="AA403" s="110">
        <v>0</v>
      </c>
      <c r="AB403" s="110">
        <v>0</v>
      </c>
      <c r="AC403" s="111"/>
      <c r="AD403" s="402"/>
      <c r="AE403" s="112">
        <v>0</v>
      </c>
      <c r="AF403" s="410">
        <f t="shared" si="6"/>
        <v>170</v>
      </c>
      <c r="AG403" s="115"/>
      <c r="AH403" s="403"/>
    </row>
    <row r="404" spans="1:34" s="78" customFormat="1" ht="12" customHeight="1" thickBot="1">
      <c r="A404" s="100">
        <v>3046</v>
      </c>
      <c r="B404" s="101" t="s">
        <v>2880</v>
      </c>
      <c r="C404" s="101" t="s">
        <v>2880</v>
      </c>
      <c r="D404" s="101" t="s">
        <v>3403</v>
      </c>
      <c r="E404" s="100">
        <v>3</v>
      </c>
      <c r="F404" s="411">
        <v>1</v>
      </c>
      <c r="G404" s="103">
        <v>401</v>
      </c>
      <c r="H404" s="104" t="s">
        <v>2387</v>
      </c>
      <c r="I404" s="412" t="s">
        <v>2387</v>
      </c>
      <c r="J404" s="413">
        <v>10500100342501</v>
      </c>
      <c r="K404" s="414" t="s">
        <v>353</v>
      </c>
      <c r="L404" s="106"/>
      <c r="M404" s="414">
        <v>4</v>
      </c>
      <c r="N404" s="412" t="s">
        <v>594</v>
      </c>
      <c r="O404" s="412" t="s">
        <v>2388</v>
      </c>
      <c r="P404" s="415" t="s">
        <v>2389</v>
      </c>
      <c r="Q404" s="412" t="s">
        <v>2390</v>
      </c>
      <c r="R404" s="412" t="s">
        <v>2391</v>
      </c>
      <c r="S404" s="416" t="s">
        <v>2392</v>
      </c>
      <c r="T404" s="417">
        <v>0</v>
      </c>
      <c r="U404" s="418">
        <v>531</v>
      </c>
      <c r="V404" s="418">
        <v>234</v>
      </c>
      <c r="W404" s="402" t="s">
        <v>3403</v>
      </c>
      <c r="X404" s="402" t="s">
        <v>2880</v>
      </c>
      <c r="Y404" s="419">
        <v>765</v>
      </c>
      <c r="Z404" s="417">
        <v>0</v>
      </c>
      <c r="AA404" s="418">
        <v>0</v>
      </c>
      <c r="AB404" s="418">
        <v>0</v>
      </c>
      <c r="AC404" s="111"/>
      <c r="AD404" s="402"/>
      <c r="AE404" s="420">
        <v>0</v>
      </c>
      <c r="AF404" s="421">
        <f t="shared" si="6"/>
        <v>765</v>
      </c>
      <c r="AG404" s="115"/>
      <c r="AH404" s="403"/>
    </row>
    <row r="405" spans="1:34" s="78" customFormat="1" ht="12" customHeight="1">
      <c r="A405" s="100">
        <v>3047</v>
      </c>
      <c r="B405" s="101" t="s">
        <v>2880</v>
      </c>
      <c r="C405" s="101" t="s">
        <v>2880</v>
      </c>
      <c r="D405" s="101" t="s">
        <v>3403</v>
      </c>
      <c r="E405" s="100">
        <v>3</v>
      </c>
      <c r="F405" s="422">
        <v>1</v>
      </c>
      <c r="G405" s="103">
        <v>402</v>
      </c>
      <c r="H405" s="104" t="s">
        <v>2393</v>
      </c>
      <c r="I405" s="104" t="s">
        <v>2393</v>
      </c>
      <c r="J405" s="105">
        <v>10500100342503</v>
      </c>
      <c r="K405" s="106" t="s">
        <v>353</v>
      </c>
      <c r="L405" s="106"/>
      <c r="M405" s="106">
        <v>4</v>
      </c>
      <c r="N405" s="104" t="s">
        <v>594</v>
      </c>
      <c r="O405" s="104" t="s">
        <v>2394</v>
      </c>
      <c r="P405" s="107" t="s">
        <v>2395</v>
      </c>
      <c r="Q405" s="104" t="s">
        <v>2390</v>
      </c>
      <c r="R405" s="104" t="s">
        <v>2396</v>
      </c>
      <c r="S405" s="108" t="s">
        <v>2397</v>
      </c>
      <c r="T405" s="109">
        <v>354</v>
      </c>
      <c r="U405" s="110">
        <v>261</v>
      </c>
      <c r="V405" s="110">
        <v>0</v>
      </c>
      <c r="W405" s="402" t="s">
        <v>3403</v>
      </c>
      <c r="X405" s="402" t="s">
        <v>2880</v>
      </c>
      <c r="Y405" s="419">
        <v>615</v>
      </c>
      <c r="Z405" s="109">
        <v>0</v>
      </c>
      <c r="AA405" s="110">
        <v>0</v>
      </c>
      <c r="AB405" s="110">
        <v>0</v>
      </c>
      <c r="AC405" s="111"/>
      <c r="AD405" s="402"/>
      <c r="AE405" s="112">
        <v>0</v>
      </c>
      <c r="AF405" s="410">
        <f t="shared" si="6"/>
        <v>615</v>
      </c>
      <c r="AG405" s="115"/>
      <c r="AH405" s="403"/>
    </row>
    <row r="406" spans="1:34" s="78" customFormat="1" ht="12" customHeight="1">
      <c r="A406" s="100">
        <v>3048</v>
      </c>
      <c r="B406" s="101" t="s">
        <v>2880</v>
      </c>
      <c r="C406" s="101" t="s">
        <v>2880</v>
      </c>
      <c r="D406" s="101" t="s">
        <v>3403</v>
      </c>
      <c r="E406" s="100">
        <v>3</v>
      </c>
      <c r="F406" s="404">
        <v>1</v>
      </c>
      <c r="G406" s="103">
        <v>403</v>
      </c>
      <c r="H406" s="104" t="s">
        <v>598</v>
      </c>
      <c r="I406" s="104" t="s">
        <v>598</v>
      </c>
      <c r="J406" s="105">
        <v>10500100529101</v>
      </c>
      <c r="K406" s="106" t="s">
        <v>353</v>
      </c>
      <c r="L406" s="106"/>
      <c r="M406" s="106">
        <v>4</v>
      </c>
      <c r="N406" s="104" t="s">
        <v>587</v>
      </c>
      <c r="O406" s="104" t="s">
        <v>599</v>
      </c>
      <c r="P406" s="107" t="s">
        <v>600</v>
      </c>
      <c r="Q406" s="104" t="s">
        <v>601</v>
      </c>
      <c r="R406" s="104" t="s">
        <v>602</v>
      </c>
      <c r="S406" s="108" t="s">
        <v>603</v>
      </c>
      <c r="T406" s="131">
        <v>111</v>
      </c>
      <c r="U406" s="132">
        <v>212</v>
      </c>
      <c r="V406" s="132">
        <v>67</v>
      </c>
      <c r="W406" s="402" t="s">
        <v>3403</v>
      </c>
      <c r="X406" s="402" t="s">
        <v>2880</v>
      </c>
      <c r="Y406" s="112">
        <v>390</v>
      </c>
      <c r="Z406" s="109">
        <v>0</v>
      </c>
      <c r="AA406" s="110">
        <v>0</v>
      </c>
      <c r="AB406" s="110">
        <v>0</v>
      </c>
      <c r="AC406" s="111"/>
      <c r="AD406" s="402"/>
      <c r="AE406" s="112">
        <v>0</v>
      </c>
      <c r="AF406" s="410">
        <f t="shared" si="6"/>
        <v>390</v>
      </c>
      <c r="AG406" s="115"/>
      <c r="AH406" s="403"/>
    </row>
    <row r="407" spans="1:34" s="78" customFormat="1" ht="12" customHeight="1">
      <c r="A407" s="100">
        <v>3049</v>
      </c>
      <c r="B407" s="101" t="s">
        <v>2880</v>
      </c>
      <c r="C407" s="101" t="s">
        <v>2880</v>
      </c>
      <c r="D407" s="101" t="s">
        <v>3403</v>
      </c>
      <c r="E407" s="100">
        <v>3</v>
      </c>
      <c r="F407" s="404">
        <v>1</v>
      </c>
      <c r="G407" s="103">
        <v>404</v>
      </c>
      <c r="H407" s="104" t="s">
        <v>615</v>
      </c>
      <c r="I407" s="104" t="s">
        <v>615</v>
      </c>
      <c r="J407" s="105">
        <v>10500100210101</v>
      </c>
      <c r="K407" s="106" t="s">
        <v>353</v>
      </c>
      <c r="L407" s="106"/>
      <c r="M407" s="106">
        <v>4</v>
      </c>
      <c r="N407" s="104" t="s">
        <v>616</v>
      </c>
      <c r="O407" s="104" t="s">
        <v>617</v>
      </c>
      <c r="P407" s="107" t="s">
        <v>618</v>
      </c>
      <c r="Q407" s="104" t="s">
        <v>619</v>
      </c>
      <c r="R407" s="104" t="s">
        <v>620</v>
      </c>
      <c r="S407" s="108" t="s">
        <v>621</v>
      </c>
      <c r="T407" s="109">
        <v>293</v>
      </c>
      <c r="U407" s="110">
        <v>207</v>
      </c>
      <c r="V407" s="110">
        <v>100</v>
      </c>
      <c r="W407" s="402" t="s">
        <v>3403</v>
      </c>
      <c r="X407" s="402" t="s">
        <v>2880</v>
      </c>
      <c r="Y407" s="112">
        <v>600</v>
      </c>
      <c r="Z407" s="109">
        <v>0</v>
      </c>
      <c r="AA407" s="110">
        <v>0</v>
      </c>
      <c r="AB407" s="110">
        <v>0</v>
      </c>
      <c r="AC407" s="111"/>
      <c r="AD407" s="402"/>
      <c r="AE407" s="112">
        <v>0</v>
      </c>
      <c r="AF407" s="410">
        <f t="shared" si="6"/>
        <v>600</v>
      </c>
      <c r="AG407" s="115"/>
      <c r="AH407" s="403"/>
    </row>
    <row r="408" spans="1:34" s="78" customFormat="1" ht="12" customHeight="1">
      <c r="A408" s="100">
        <v>3050</v>
      </c>
      <c r="B408" s="101" t="s">
        <v>2880</v>
      </c>
      <c r="C408" s="101" t="s">
        <v>2880</v>
      </c>
      <c r="D408" s="101" t="s">
        <v>3403</v>
      </c>
      <c r="E408" s="100">
        <v>3</v>
      </c>
      <c r="F408" s="404">
        <v>1</v>
      </c>
      <c r="G408" s="103">
        <v>405</v>
      </c>
      <c r="H408" s="104" t="s">
        <v>2398</v>
      </c>
      <c r="I408" s="104" t="s">
        <v>2398</v>
      </c>
      <c r="J408" s="105">
        <v>10500100969501</v>
      </c>
      <c r="K408" s="106" t="s">
        <v>353</v>
      </c>
      <c r="L408" s="106"/>
      <c r="M408" s="106">
        <v>4</v>
      </c>
      <c r="N408" s="104" t="s">
        <v>605</v>
      </c>
      <c r="O408" s="104" t="s">
        <v>2399</v>
      </c>
      <c r="P408" s="107" t="s">
        <v>2400</v>
      </c>
      <c r="Q408" s="104" t="s">
        <v>2401</v>
      </c>
      <c r="R408" s="104" t="s">
        <v>2402</v>
      </c>
      <c r="S408" s="108" t="s">
        <v>2403</v>
      </c>
      <c r="T408" s="109">
        <v>168</v>
      </c>
      <c r="U408" s="110">
        <v>151</v>
      </c>
      <c r="V408" s="110">
        <v>81</v>
      </c>
      <c r="W408" s="402" t="s">
        <v>3403</v>
      </c>
      <c r="X408" s="402" t="s">
        <v>2880</v>
      </c>
      <c r="Y408" s="112">
        <v>400</v>
      </c>
      <c r="Z408" s="109">
        <v>0</v>
      </c>
      <c r="AA408" s="110">
        <v>0</v>
      </c>
      <c r="AB408" s="110">
        <v>0</v>
      </c>
      <c r="AC408" s="111"/>
      <c r="AD408" s="402"/>
      <c r="AE408" s="112">
        <v>0</v>
      </c>
      <c r="AF408" s="410">
        <f t="shared" si="6"/>
        <v>400</v>
      </c>
      <c r="AG408" s="115"/>
      <c r="AH408" s="403"/>
    </row>
    <row r="409" spans="1:34" s="78" customFormat="1" ht="12" customHeight="1">
      <c r="A409" s="100">
        <v>3051</v>
      </c>
      <c r="B409" s="101" t="s">
        <v>2880</v>
      </c>
      <c r="C409" s="101" t="s">
        <v>2880</v>
      </c>
      <c r="D409" s="101" t="s">
        <v>3403</v>
      </c>
      <c r="E409" s="100">
        <v>3</v>
      </c>
      <c r="F409" s="404">
        <v>1</v>
      </c>
      <c r="G409" s="103">
        <v>406</v>
      </c>
      <c r="H409" s="104" t="s">
        <v>2404</v>
      </c>
      <c r="I409" s="104" t="s">
        <v>2404</v>
      </c>
      <c r="J409" s="105">
        <v>30500100485401</v>
      </c>
      <c r="K409" s="106" t="s">
        <v>353</v>
      </c>
      <c r="L409" s="106"/>
      <c r="M409" s="106">
        <v>4</v>
      </c>
      <c r="N409" s="104" t="s">
        <v>2405</v>
      </c>
      <c r="O409" s="104" t="s">
        <v>2406</v>
      </c>
      <c r="P409" s="107" t="s">
        <v>2407</v>
      </c>
      <c r="Q409" s="104" t="s">
        <v>2408</v>
      </c>
      <c r="R409" s="104" t="s">
        <v>2409</v>
      </c>
      <c r="S409" s="108" t="s">
        <v>2410</v>
      </c>
      <c r="T409" s="109">
        <v>217</v>
      </c>
      <c r="U409" s="110">
        <v>174</v>
      </c>
      <c r="V409" s="110">
        <v>109</v>
      </c>
      <c r="W409" s="402" t="s">
        <v>3403</v>
      </c>
      <c r="X409" s="402" t="s">
        <v>2880</v>
      </c>
      <c r="Y409" s="112">
        <v>500</v>
      </c>
      <c r="Z409" s="109">
        <v>0</v>
      </c>
      <c r="AA409" s="110">
        <v>0</v>
      </c>
      <c r="AB409" s="110">
        <v>0</v>
      </c>
      <c r="AC409" s="111"/>
      <c r="AD409" s="402"/>
      <c r="AE409" s="112">
        <v>0</v>
      </c>
      <c r="AF409" s="410">
        <f t="shared" si="6"/>
        <v>500</v>
      </c>
      <c r="AG409" s="115"/>
      <c r="AH409" s="403"/>
    </row>
    <row r="410" spans="1:34" s="78" customFormat="1" ht="12" customHeight="1">
      <c r="A410" s="100">
        <v>3052</v>
      </c>
      <c r="B410" s="101" t="s">
        <v>2880</v>
      </c>
      <c r="C410" s="101" t="s">
        <v>2880</v>
      </c>
      <c r="D410" s="101" t="s">
        <v>3403</v>
      </c>
      <c r="E410" s="100">
        <v>3</v>
      </c>
      <c r="F410" s="404">
        <v>1</v>
      </c>
      <c r="G410" s="103">
        <v>407</v>
      </c>
      <c r="H410" s="104" t="s">
        <v>622</v>
      </c>
      <c r="I410" s="104" t="s">
        <v>622</v>
      </c>
      <c r="J410" s="105">
        <v>10500100014101</v>
      </c>
      <c r="K410" s="106" t="s">
        <v>353</v>
      </c>
      <c r="L410" s="106"/>
      <c r="M410" s="106">
        <v>4</v>
      </c>
      <c r="N410" s="104" t="s">
        <v>587</v>
      </c>
      <c r="O410" s="104" t="s">
        <v>623</v>
      </c>
      <c r="P410" s="107">
        <v>2338044</v>
      </c>
      <c r="Q410" s="104" t="s">
        <v>624</v>
      </c>
      <c r="R410" s="104" t="s">
        <v>625</v>
      </c>
      <c r="S410" s="108" t="s">
        <v>626</v>
      </c>
      <c r="T410" s="131">
        <v>43</v>
      </c>
      <c r="U410" s="132">
        <v>90</v>
      </c>
      <c r="V410" s="132">
        <v>47</v>
      </c>
      <c r="W410" s="402" t="s">
        <v>3403</v>
      </c>
      <c r="X410" s="402" t="s">
        <v>2880</v>
      </c>
      <c r="Y410" s="112">
        <v>180</v>
      </c>
      <c r="Z410" s="109">
        <v>0</v>
      </c>
      <c r="AA410" s="110">
        <v>0</v>
      </c>
      <c r="AB410" s="110">
        <v>0</v>
      </c>
      <c r="AC410" s="111"/>
      <c r="AD410" s="402"/>
      <c r="AE410" s="112">
        <v>0</v>
      </c>
      <c r="AF410" s="410">
        <f t="shared" si="6"/>
        <v>180</v>
      </c>
      <c r="AG410" s="115"/>
      <c r="AH410" s="403"/>
    </row>
    <row r="411" spans="1:34" s="78" customFormat="1" ht="12" customHeight="1">
      <c r="A411" s="100">
        <v>3053</v>
      </c>
      <c r="B411" s="101" t="s">
        <v>2880</v>
      </c>
      <c r="C411" s="101" t="s">
        <v>2880</v>
      </c>
      <c r="D411" s="101" t="s">
        <v>3403</v>
      </c>
      <c r="E411" s="100">
        <v>3</v>
      </c>
      <c r="F411" s="404">
        <v>1</v>
      </c>
      <c r="G411" s="103">
        <v>408</v>
      </c>
      <c r="H411" s="104" t="s">
        <v>2411</v>
      </c>
      <c r="I411" s="104" t="s">
        <v>2411</v>
      </c>
      <c r="J411" s="105">
        <v>30500102264001</v>
      </c>
      <c r="K411" s="106" t="s">
        <v>353</v>
      </c>
      <c r="L411" s="106"/>
      <c r="M411" s="106">
        <v>4</v>
      </c>
      <c r="N411" s="104" t="s">
        <v>2412</v>
      </c>
      <c r="O411" s="104" t="s">
        <v>2413</v>
      </c>
      <c r="P411" s="107" t="s">
        <v>2414</v>
      </c>
      <c r="Q411" s="104" t="s">
        <v>2415</v>
      </c>
      <c r="R411" s="104" t="s">
        <v>2416</v>
      </c>
      <c r="S411" s="108" t="s">
        <v>2417</v>
      </c>
      <c r="T411" s="109">
        <v>419</v>
      </c>
      <c r="U411" s="110">
        <v>430</v>
      </c>
      <c r="V411" s="110">
        <v>51</v>
      </c>
      <c r="W411" s="402" t="s">
        <v>3403</v>
      </c>
      <c r="X411" s="402" t="s">
        <v>2880</v>
      </c>
      <c r="Y411" s="112">
        <v>900</v>
      </c>
      <c r="Z411" s="109">
        <v>0</v>
      </c>
      <c r="AA411" s="110">
        <v>0</v>
      </c>
      <c r="AB411" s="110">
        <v>0</v>
      </c>
      <c r="AC411" s="111"/>
      <c r="AD411" s="402"/>
      <c r="AE411" s="112">
        <v>0</v>
      </c>
      <c r="AF411" s="410">
        <f t="shared" si="6"/>
        <v>900</v>
      </c>
      <c r="AG411" s="115"/>
      <c r="AH411" s="403"/>
    </row>
    <row r="412" spans="1:34" s="78" customFormat="1" ht="12" customHeight="1">
      <c r="A412" s="100">
        <v>3054</v>
      </c>
      <c r="B412" s="101" t="s">
        <v>2880</v>
      </c>
      <c r="C412" s="101" t="s">
        <v>2880</v>
      </c>
      <c r="D412" s="101" t="s">
        <v>3403</v>
      </c>
      <c r="E412" s="100">
        <v>3</v>
      </c>
      <c r="F412" s="404">
        <v>1</v>
      </c>
      <c r="G412" s="103">
        <v>409</v>
      </c>
      <c r="H412" s="312" t="s">
        <v>1633</v>
      </c>
      <c r="I412" s="104" t="s">
        <v>1633</v>
      </c>
      <c r="J412" s="105">
        <v>10500100098101</v>
      </c>
      <c r="K412" s="106" t="s">
        <v>353</v>
      </c>
      <c r="L412" s="313"/>
      <c r="M412" s="106">
        <v>4</v>
      </c>
      <c r="N412" s="104" t="s">
        <v>641</v>
      </c>
      <c r="O412" s="104" t="s">
        <v>1634</v>
      </c>
      <c r="P412" s="107" t="s">
        <v>1635</v>
      </c>
      <c r="Q412" s="104" t="s">
        <v>637</v>
      </c>
      <c r="R412" s="104" t="s">
        <v>1636</v>
      </c>
      <c r="S412" s="108" t="s">
        <v>1637</v>
      </c>
      <c r="T412" s="131">
        <v>0</v>
      </c>
      <c r="U412" s="321">
        <v>766</v>
      </c>
      <c r="V412" s="164">
        <v>184</v>
      </c>
      <c r="W412" s="402" t="s">
        <v>3403</v>
      </c>
      <c r="X412" s="402" t="s">
        <v>2880</v>
      </c>
      <c r="Y412" s="112">
        <f>U412+V412</f>
        <v>950</v>
      </c>
      <c r="Z412" s="109">
        <v>0</v>
      </c>
      <c r="AA412" s="110">
        <v>0</v>
      </c>
      <c r="AB412" s="110">
        <v>0</v>
      </c>
      <c r="AC412" s="111"/>
      <c r="AD412" s="402"/>
      <c r="AE412" s="112">
        <v>0</v>
      </c>
      <c r="AF412" s="410">
        <f t="shared" si="6"/>
        <v>950</v>
      </c>
      <c r="AG412" s="115"/>
      <c r="AH412" s="403"/>
    </row>
    <row r="413" spans="1:34" s="78" customFormat="1" ht="12" customHeight="1">
      <c r="A413" s="100">
        <v>3055</v>
      </c>
      <c r="B413" s="101" t="s">
        <v>2880</v>
      </c>
      <c r="C413" s="101" t="s">
        <v>2880</v>
      </c>
      <c r="D413" s="101" t="s">
        <v>3403</v>
      </c>
      <c r="E413" s="100">
        <v>3</v>
      </c>
      <c r="F413" s="404">
        <v>1</v>
      </c>
      <c r="G413" s="103">
        <v>410</v>
      </c>
      <c r="H413" s="104" t="s">
        <v>634</v>
      </c>
      <c r="I413" s="104" t="s">
        <v>634</v>
      </c>
      <c r="J413" s="105">
        <v>10500100098105</v>
      </c>
      <c r="K413" s="106" t="s">
        <v>353</v>
      </c>
      <c r="L413" s="106"/>
      <c r="M413" s="106">
        <v>4</v>
      </c>
      <c r="N413" s="104" t="s">
        <v>635</v>
      </c>
      <c r="O413" s="104" t="s">
        <v>636</v>
      </c>
      <c r="P413" s="107">
        <v>3668358</v>
      </c>
      <c r="Q413" s="104" t="s">
        <v>637</v>
      </c>
      <c r="R413" s="104" t="s">
        <v>638</v>
      </c>
      <c r="S413" s="108" t="s">
        <v>639</v>
      </c>
      <c r="T413" s="131">
        <v>250</v>
      </c>
      <c r="U413" s="132">
        <v>0</v>
      </c>
      <c r="V413" s="132">
        <v>0</v>
      </c>
      <c r="W413" s="402" t="s">
        <v>3403</v>
      </c>
      <c r="X413" s="402" t="s">
        <v>2880</v>
      </c>
      <c r="Y413" s="112">
        <v>250</v>
      </c>
      <c r="Z413" s="109">
        <v>0</v>
      </c>
      <c r="AA413" s="110">
        <v>0</v>
      </c>
      <c r="AB413" s="110">
        <v>0</v>
      </c>
      <c r="AC413" s="111"/>
      <c r="AD413" s="402"/>
      <c r="AE413" s="112">
        <v>0</v>
      </c>
      <c r="AF413" s="410">
        <f t="shared" si="6"/>
        <v>250</v>
      </c>
      <c r="AG413" s="115"/>
      <c r="AH413" s="403"/>
    </row>
    <row r="414" spans="1:34" s="78" customFormat="1" ht="12" customHeight="1">
      <c r="A414" s="100">
        <v>3056</v>
      </c>
      <c r="B414" s="101" t="s">
        <v>2880</v>
      </c>
      <c r="C414" s="101" t="s">
        <v>2880</v>
      </c>
      <c r="D414" s="101" t="s">
        <v>3403</v>
      </c>
      <c r="E414" s="100">
        <v>3</v>
      </c>
      <c r="F414" s="102">
        <v>1</v>
      </c>
      <c r="G414" s="103">
        <v>411</v>
      </c>
      <c r="H414" s="312" t="s">
        <v>2418</v>
      </c>
      <c r="I414" s="423" t="s">
        <v>2418</v>
      </c>
      <c r="J414" s="105">
        <v>10500100098102</v>
      </c>
      <c r="K414" s="106" t="s">
        <v>353</v>
      </c>
      <c r="L414" s="106"/>
      <c r="M414" s="106">
        <v>4</v>
      </c>
      <c r="N414" s="104" t="s">
        <v>641</v>
      </c>
      <c r="O414" s="115"/>
      <c r="P414" s="107" t="s">
        <v>2419</v>
      </c>
      <c r="Q414" s="104" t="s">
        <v>637</v>
      </c>
      <c r="R414" s="104" t="s">
        <v>643</v>
      </c>
      <c r="S414" s="108" t="s">
        <v>2420</v>
      </c>
      <c r="T414" s="305">
        <v>0</v>
      </c>
      <c r="U414" s="139">
        <v>230</v>
      </c>
      <c r="V414" s="306">
        <v>0</v>
      </c>
      <c r="W414" s="402" t="s">
        <v>3403</v>
      </c>
      <c r="X414" s="402" t="s">
        <v>2880</v>
      </c>
      <c r="Y414" s="301">
        <f>T414+U414+V414</f>
        <v>230</v>
      </c>
      <c r="Z414" s="424">
        <v>0</v>
      </c>
      <c r="AA414" s="110">
        <v>0</v>
      </c>
      <c r="AB414" s="110">
        <v>0</v>
      </c>
      <c r="AC414" s="111"/>
      <c r="AD414" s="402"/>
      <c r="AE414" s="112">
        <v>0</v>
      </c>
      <c r="AF414" s="410">
        <v>230</v>
      </c>
      <c r="AG414" s="115"/>
      <c r="AH414" s="403"/>
    </row>
    <row r="415" spans="1:34" s="78" customFormat="1" ht="12" customHeight="1">
      <c r="A415" s="100">
        <v>3057</v>
      </c>
      <c r="B415" s="101" t="s">
        <v>2880</v>
      </c>
      <c r="C415" s="101" t="s">
        <v>2880</v>
      </c>
      <c r="D415" s="101" t="s">
        <v>3403</v>
      </c>
      <c r="E415" s="100">
        <v>3</v>
      </c>
      <c r="F415" s="404">
        <v>1</v>
      </c>
      <c r="G415" s="103">
        <v>412</v>
      </c>
      <c r="H415" s="104" t="s">
        <v>2421</v>
      </c>
      <c r="I415" s="104" t="s">
        <v>2421</v>
      </c>
      <c r="J415" s="105">
        <v>10500100098104</v>
      </c>
      <c r="K415" s="106" t="s">
        <v>353</v>
      </c>
      <c r="L415" s="106"/>
      <c r="M415" s="106">
        <v>4</v>
      </c>
      <c r="N415" s="104" t="s">
        <v>2422</v>
      </c>
      <c r="O415" s="104" t="s">
        <v>2423</v>
      </c>
      <c r="P415" s="107">
        <v>2637256</v>
      </c>
      <c r="Q415" s="104" t="s">
        <v>637</v>
      </c>
      <c r="R415" s="104" t="s">
        <v>2424</v>
      </c>
      <c r="S415" s="108" t="s">
        <v>2425</v>
      </c>
      <c r="T415" s="131">
        <v>299</v>
      </c>
      <c r="U415" s="132">
        <v>46</v>
      </c>
      <c r="V415" s="132">
        <v>0</v>
      </c>
      <c r="W415" s="402" t="s">
        <v>3403</v>
      </c>
      <c r="X415" s="402" t="s">
        <v>2880</v>
      </c>
      <c r="Y415" s="112">
        <v>345</v>
      </c>
      <c r="Z415" s="109">
        <v>0</v>
      </c>
      <c r="AA415" s="110">
        <v>0</v>
      </c>
      <c r="AB415" s="110">
        <v>0</v>
      </c>
      <c r="AC415" s="111"/>
      <c r="AD415" s="402"/>
      <c r="AE415" s="112">
        <v>0</v>
      </c>
      <c r="AF415" s="410">
        <f t="shared" ref="AF415:AF478" si="8">+Y415+AE415</f>
        <v>345</v>
      </c>
      <c r="AG415" s="115"/>
      <c r="AH415" s="403"/>
    </row>
    <row r="416" spans="1:34" s="78" customFormat="1" ht="12" customHeight="1">
      <c r="A416" s="100">
        <v>3058</v>
      </c>
      <c r="B416" s="101" t="s">
        <v>2880</v>
      </c>
      <c r="C416" s="101" t="s">
        <v>2880</v>
      </c>
      <c r="D416" s="101" t="s">
        <v>3403</v>
      </c>
      <c r="E416" s="100">
        <v>3</v>
      </c>
      <c r="F416" s="404">
        <v>1</v>
      </c>
      <c r="G416" s="103">
        <v>413</v>
      </c>
      <c r="H416" s="104" t="s">
        <v>2426</v>
      </c>
      <c r="I416" s="104" t="s">
        <v>2426</v>
      </c>
      <c r="J416" s="105">
        <v>10500100329801</v>
      </c>
      <c r="K416" s="106" t="s">
        <v>353</v>
      </c>
      <c r="L416" s="106"/>
      <c r="M416" s="106">
        <v>4</v>
      </c>
      <c r="N416" s="104" t="s">
        <v>628</v>
      </c>
      <c r="O416" s="104" t="s">
        <v>2427</v>
      </c>
      <c r="P416" s="107" t="s">
        <v>2428</v>
      </c>
      <c r="Q416" s="104" t="s">
        <v>653</v>
      </c>
      <c r="R416" s="104" t="s">
        <v>2429</v>
      </c>
      <c r="S416" s="108" t="s">
        <v>2430</v>
      </c>
      <c r="T416" s="131">
        <v>0</v>
      </c>
      <c r="U416" s="132">
        <v>260</v>
      </c>
      <c r="V416" s="132">
        <v>290</v>
      </c>
      <c r="W416" s="402" t="s">
        <v>3403</v>
      </c>
      <c r="X416" s="402" t="s">
        <v>2880</v>
      </c>
      <c r="Y416" s="112">
        <v>550</v>
      </c>
      <c r="Z416" s="109">
        <v>0</v>
      </c>
      <c r="AA416" s="110">
        <v>0</v>
      </c>
      <c r="AB416" s="110">
        <v>0</v>
      </c>
      <c r="AC416" s="111"/>
      <c r="AD416" s="402"/>
      <c r="AE416" s="112">
        <v>0</v>
      </c>
      <c r="AF416" s="410">
        <f t="shared" si="8"/>
        <v>550</v>
      </c>
      <c r="AG416" s="115"/>
      <c r="AH416" s="403"/>
    </row>
    <row r="417" spans="1:34" s="78" customFormat="1" ht="12" customHeight="1">
      <c r="A417" s="100">
        <v>3059</v>
      </c>
      <c r="B417" s="101" t="s">
        <v>2880</v>
      </c>
      <c r="C417" s="101" t="s">
        <v>2880</v>
      </c>
      <c r="D417" s="101" t="s">
        <v>3403</v>
      </c>
      <c r="E417" s="100">
        <v>3</v>
      </c>
      <c r="F417" s="404">
        <v>1</v>
      </c>
      <c r="G417" s="103">
        <v>414</v>
      </c>
      <c r="H417" s="104" t="s">
        <v>2431</v>
      </c>
      <c r="I417" s="104" t="s">
        <v>2431</v>
      </c>
      <c r="J417" s="105">
        <v>10500100533902</v>
      </c>
      <c r="K417" s="106" t="s">
        <v>353</v>
      </c>
      <c r="L417" s="106"/>
      <c r="M417" s="106">
        <v>4</v>
      </c>
      <c r="N417" s="104" t="s">
        <v>628</v>
      </c>
      <c r="O417" s="104" t="s">
        <v>2432</v>
      </c>
      <c r="P417" s="107">
        <v>2362053</v>
      </c>
      <c r="Q417" s="104" t="s">
        <v>662</v>
      </c>
      <c r="R417" s="104" t="s">
        <v>2433</v>
      </c>
      <c r="S417" s="108" t="s">
        <v>2434</v>
      </c>
      <c r="T417" s="131">
        <v>320</v>
      </c>
      <c r="U417" s="132">
        <v>0</v>
      </c>
      <c r="V417" s="132">
        <v>0</v>
      </c>
      <c r="W417" s="402" t="s">
        <v>3403</v>
      </c>
      <c r="X417" s="402" t="s">
        <v>2880</v>
      </c>
      <c r="Y417" s="112">
        <v>320</v>
      </c>
      <c r="Z417" s="109">
        <v>0</v>
      </c>
      <c r="AA417" s="110">
        <v>0</v>
      </c>
      <c r="AB417" s="110">
        <v>0</v>
      </c>
      <c r="AC417" s="111"/>
      <c r="AD417" s="402"/>
      <c r="AE417" s="112">
        <v>0</v>
      </c>
      <c r="AF417" s="410">
        <f t="shared" si="8"/>
        <v>320</v>
      </c>
      <c r="AG417" s="115"/>
      <c r="AH417" s="403"/>
    </row>
    <row r="418" spans="1:34" s="78" customFormat="1" ht="12" customHeight="1">
      <c r="A418" s="100">
        <v>3060</v>
      </c>
      <c r="B418" s="101" t="s">
        <v>2880</v>
      </c>
      <c r="C418" s="101" t="s">
        <v>2880</v>
      </c>
      <c r="D418" s="101" t="s">
        <v>3403</v>
      </c>
      <c r="E418" s="100">
        <v>3</v>
      </c>
      <c r="F418" s="404">
        <v>1</v>
      </c>
      <c r="G418" s="103">
        <v>415</v>
      </c>
      <c r="H418" s="104" t="s">
        <v>2435</v>
      </c>
      <c r="I418" s="104" t="s">
        <v>2435</v>
      </c>
      <c r="J418" s="105">
        <v>10500100533903</v>
      </c>
      <c r="K418" s="106" t="s">
        <v>353</v>
      </c>
      <c r="L418" s="106"/>
      <c r="M418" s="106">
        <v>4</v>
      </c>
      <c r="N418" s="104" t="s">
        <v>628</v>
      </c>
      <c r="O418" s="104" t="s">
        <v>2436</v>
      </c>
      <c r="P418" s="107">
        <v>2366368</v>
      </c>
      <c r="Q418" s="104" t="s">
        <v>662</v>
      </c>
      <c r="R418" s="104" t="s">
        <v>2437</v>
      </c>
      <c r="S418" s="108" t="s">
        <v>2438</v>
      </c>
      <c r="T418" s="131">
        <v>110</v>
      </c>
      <c r="U418" s="132">
        <v>190</v>
      </c>
      <c r="V418" s="132">
        <v>0</v>
      </c>
      <c r="W418" s="402" t="s">
        <v>3403</v>
      </c>
      <c r="X418" s="402" t="s">
        <v>2880</v>
      </c>
      <c r="Y418" s="112">
        <v>300</v>
      </c>
      <c r="Z418" s="109">
        <v>0</v>
      </c>
      <c r="AA418" s="110">
        <v>0</v>
      </c>
      <c r="AB418" s="110">
        <v>0</v>
      </c>
      <c r="AC418" s="111"/>
      <c r="AD418" s="402"/>
      <c r="AE418" s="112">
        <v>0</v>
      </c>
      <c r="AF418" s="410">
        <f t="shared" si="8"/>
        <v>300</v>
      </c>
      <c r="AG418" s="115"/>
      <c r="AH418" s="403"/>
    </row>
    <row r="419" spans="1:34" s="78" customFormat="1" ht="12" customHeight="1">
      <c r="A419" s="100">
        <v>3061</v>
      </c>
      <c r="B419" s="101" t="s">
        <v>2880</v>
      </c>
      <c r="C419" s="101" t="s">
        <v>2880</v>
      </c>
      <c r="D419" s="101" t="s">
        <v>3403</v>
      </c>
      <c r="E419" s="100">
        <v>3</v>
      </c>
      <c r="F419" s="404">
        <v>1</v>
      </c>
      <c r="G419" s="103">
        <v>416</v>
      </c>
      <c r="H419" s="104" t="s">
        <v>2439</v>
      </c>
      <c r="I419" s="104" t="s">
        <v>2439</v>
      </c>
      <c r="J419" s="105">
        <v>30500101802201</v>
      </c>
      <c r="K419" s="106" t="s">
        <v>353</v>
      </c>
      <c r="L419" s="106"/>
      <c r="M419" s="106">
        <v>4</v>
      </c>
      <c r="N419" s="104" t="s">
        <v>2412</v>
      </c>
      <c r="O419" s="104" t="s">
        <v>2440</v>
      </c>
      <c r="P419" s="107">
        <v>2634812</v>
      </c>
      <c r="Q419" s="104" t="s">
        <v>2441</v>
      </c>
      <c r="R419" s="104" t="s">
        <v>2442</v>
      </c>
      <c r="S419" s="108" t="s">
        <v>2443</v>
      </c>
      <c r="T419" s="109">
        <v>255</v>
      </c>
      <c r="U419" s="110">
        <v>357</v>
      </c>
      <c r="V419" s="110">
        <v>188</v>
      </c>
      <c r="W419" s="402" t="s">
        <v>3403</v>
      </c>
      <c r="X419" s="402" t="s">
        <v>2880</v>
      </c>
      <c r="Y419" s="112">
        <v>800</v>
      </c>
      <c r="Z419" s="109">
        <v>0</v>
      </c>
      <c r="AA419" s="110">
        <v>0</v>
      </c>
      <c r="AB419" s="110">
        <v>0</v>
      </c>
      <c r="AC419" s="111"/>
      <c r="AD419" s="402"/>
      <c r="AE419" s="112">
        <v>0</v>
      </c>
      <c r="AF419" s="410">
        <f t="shared" si="8"/>
        <v>800</v>
      </c>
      <c r="AG419" s="115"/>
      <c r="AH419" s="403"/>
    </row>
    <row r="420" spans="1:34" s="78" customFormat="1" ht="12" customHeight="1">
      <c r="A420" s="100">
        <v>3062</v>
      </c>
      <c r="B420" s="101" t="s">
        <v>2880</v>
      </c>
      <c r="C420" s="101" t="s">
        <v>2880</v>
      </c>
      <c r="D420" s="101" t="s">
        <v>3403</v>
      </c>
      <c r="E420" s="100">
        <v>3</v>
      </c>
      <c r="F420" s="404">
        <v>1</v>
      </c>
      <c r="G420" s="103">
        <v>417</v>
      </c>
      <c r="H420" s="104" t="s">
        <v>2444</v>
      </c>
      <c r="I420" s="104" t="s">
        <v>2444</v>
      </c>
      <c r="J420" s="105">
        <v>30500102126101</v>
      </c>
      <c r="K420" s="106" t="s">
        <v>431</v>
      </c>
      <c r="L420" s="106"/>
      <c r="M420" s="106">
        <v>4</v>
      </c>
      <c r="N420" s="104" t="s">
        <v>2412</v>
      </c>
      <c r="O420" s="104" t="s">
        <v>2445</v>
      </c>
      <c r="P420" s="107" t="s">
        <v>2446</v>
      </c>
      <c r="Q420" s="104" t="s">
        <v>2447</v>
      </c>
      <c r="R420" s="104" t="s">
        <v>2448</v>
      </c>
      <c r="S420" s="108" t="s">
        <v>2449</v>
      </c>
      <c r="T420" s="109">
        <v>0</v>
      </c>
      <c r="U420" s="110">
        <v>100</v>
      </c>
      <c r="V420" s="110">
        <v>0</v>
      </c>
      <c r="W420" s="402" t="s">
        <v>3403</v>
      </c>
      <c r="X420" s="402" t="s">
        <v>2880</v>
      </c>
      <c r="Y420" s="112">
        <v>100</v>
      </c>
      <c r="Z420" s="109">
        <v>0</v>
      </c>
      <c r="AA420" s="110">
        <v>0</v>
      </c>
      <c r="AB420" s="110">
        <v>0</v>
      </c>
      <c r="AC420" s="111"/>
      <c r="AD420" s="402"/>
      <c r="AE420" s="112">
        <v>0</v>
      </c>
      <c r="AF420" s="410">
        <f t="shared" si="8"/>
        <v>100</v>
      </c>
      <c r="AG420" s="309"/>
      <c r="AH420" s="403"/>
    </row>
    <row r="421" spans="1:34" s="78" customFormat="1" ht="12" customHeight="1">
      <c r="A421" s="100">
        <v>3063</v>
      </c>
      <c r="B421" s="101" t="s">
        <v>2880</v>
      </c>
      <c r="C421" s="101" t="s">
        <v>2880</v>
      </c>
      <c r="D421" s="101" t="s">
        <v>3403</v>
      </c>
      <c r="E421" s="100">
        <v>3</v>
      </c>
      <c r="F421" s="404">
        <v>1</v>
      </c>
      <c r="G421" s="103">
        <v>418</v>
      </c>
      <c r="H421" s="104" t="s">
        <v>2450</v>
      </c>
      <c r="I421" s="104" t="s">
        <v>2450</v>
      </c>
      <c r="J421" s="105">
        <v>30500100421801</v>
      </c>
      <c r="K421" s="106" t="s">
        <v>431</v>
      </c>
      <c r="L421" s="106"/>
      <c r="M421" s="106">
        <v>4</v>
      </c>
      <c r="N421" s="104" t="s">
        <v>628</v>
      </c>
      <c r="O421" s="104" t="s">
        <v>2451</v>
      </c>
      <c r="P421" s="107">
        <v>2120728</v>
      </c>
      <c r="Q421" s="104" t="s">
        <v>2452</v>
      </c>
      <c r="R421" s="104" t="s">
        <v>2453</v>
      </c>
      <c r="S421" s="108" t="s">
        <v>2454</v>
      </c>
      <c r="T421" s="109">
        <v>209</v>
      </c>
      <c r="U421" s="110">
        <v>216</v>
      </c>
      <c r="V421" s="110">
        <v>135</v>
      </c>
      <c r="W421" s="402" t="s">
        <v>3403</v>
      </c>
      <c r="X421" s="402" t="s">
        <v>2880</v>
      </c>
      <c r="Y421" s="112">
        <v>560</v>
      </c>
      <c r="Z421" s="109">
        <v>0</v>
      </c>
      <c r="AA421" s="110">
        <v>0</v>
      </c>
      <c r="AB421" s="110">
        <v>0</v>
      </c>
      <c r="AC421" s="111"/>
      <c r="AD421" s="402"/>
      <c r="AE421" s="112">
        <v>0</v>
      </c>
      <c r="AF421" s="410">
        <f t="shared" si="8"/>
        <v>560</v>
      </c>
      <c r="AG421" s="115"/>
      <c r="AH421" s="403"/>
    </row>
    <row r="422" spans="1:34" s="78" customFormat="1" ht="12" customHeight="1">
      <c r="A422" s="100">
        <v>3064</v>
      </c>
      <c r="B422" s="101" t="s">
        <v>2880</v>
      </c>
      <c r="C422" s="101" t="s">
        <v>2880</v>
      </c>
      <c r="D422" s="101" t="s">
        <v>3403</v>
      </c>
      <c r="E422" s="100">
        <v>3</v>
      </c>
      <c r="F422" s="425">
        <v>2</v>
      </c>
      <c r="G422" s="103">
        <v>419</v>
      </c>
      <c r="H422" s="144" t="s">
        <v>2455</v>
      </c>
      <c r="I422" s="145" t="s">
        <v>2455</v>
      </c>
      <c r="J422" s="146">
        <v>10500100328002</v>
      </c>
      <c r="K422" s="147" t="s">
        <v>353</v>
      </c>
      <c r="L422" s="147"/>
      <c r="M422" s="147">
        <v>5</v>
      </c>
      <c r="N422" s="148" t="s">
        <v>738</v>
      </c>
      <c r="O422" s="144" t="s">
        <v>2456</v>
      </c>
      <c r="P422" s="148">
        <v>2378038</v>
      </c>
      <c r="Q422" s="144" t="s">
        <v>2457</v>
      </c>
      <c r="R422" s="144" t="s">
        <v>2458</v>
      </c>
      <c r="S422" s="149" t="s">
        <v>2459</v>
      </c>
      <c r="T422" s="131">
        <v>180</v>
      </c>
      <c r="U422" s="132">
        <v>130</v>
      </c>
      <c r="V422" s="132">
        <v>0</v>
      </c>
      <c r="W422" s="402" t="s">
        <v>3403</v>
      </c>
      <c r="X422" s="402" t="s">
        <v>2880</v>
      </c>
      <c r="Y422" s="142">
        <v>310</v>
      </c>
      <c r="Z422" s="131">
        <v>0</v>
      </c>
      <c r="AA422" s="132">
        <v>0</v>
      </c>
      <c r="AB422" s="132">
        <v>0</v>
      </c>
      <c r="AC422" s="111"/>
      <c r="AD422" s="402"/>
      <c r="AE422" s="142">
        <v>0</v>
      </c>
      <c r="AF422" s="426">
        <f t="shared" si="8"/>
        <v>310</v>
      </c>
      <c r="AG422" s="152"/>
      <c r="AH422" s="403"/>
    </row>
    <row r="423" spans="1:34" s="78" customFormat="1" ht="12" customHeight="1">
      <c r="A423" s="100">
        <v>3065</v>
      </c>
      <c r="B423" s="101" t="s">
        <v>2880</v>
      </c>
      <c r="C423" s="101" t="s">
        <v>2880</v>
      </c>
      <c r="D423" s="101" t="s">
        <v>3404</v>
      </c>
      <c r="E423" s="100">
        <v>3</v>
      </c>
      <c r="F423" s="427">
        <v>2</v>
      </c>
      <c r="G423" s="103">
        <v>420</v>
      </c>
      <c r="H423" s="144" t="s">
        <v>2460</v>
      </c>
      <c r="I423" s="145" t="s">
        <v>2460</v>
      </c>
      <c r="J423" s="146">
        <v>10500102598401</v>
      </c>
      <c r="K423" s="147" t="s">
        <v>353</v>
      </c>
      <c r="L423" s="147" t="s">
        <v>303</v>
      </c>
      <c r="M423" s="147">
        <v>5</v>
      </c>
      <c r="N423" s="148" t="s">
        <v>714</v>
      </c>
      <c r="O423" s="144" t="s">
        <v>2461</v>
      </c>
      <c r="P423" s="148">
        <v>4648274</v>
      </c>
      <c r="Q423" s="144" t="s">
        <v>2462</v>
      </c>
      <c r="R423" s="144" t="s">
        <v>2463</v>
      </c>
      <c r="S423" s="149" t="s">
        <v>2464</v>
      </c>
      <c r="T423" s="131">
        <v>0</v>
      </c>
      <c r="U423" s="132">
        <v>170</v>
      </c>
      <c r="V423" s="132">
        <v>105</v>
      </c>
      <c r="W423" s="402" t="s">
        <v>3403</v>
      </c>
      <c r="X423" s="402" t="s">
        <v>2880</v>
      </c>
      <c r="Y423" s="142">
        <v>275</v>
      </c>
      <c r="Z423" s="131">
        <v>0</v>
      </c>
      <c r="AA423" s="132">
        <v>65</v>
      </c>
      <c r="AB423" s="132">
        <v>30</v>
      </c>
      <c r="AC423" s="111" t="s">
        <v>3399</v>
      </c>
      <c r="AD423" s="402" t="s">
        <v>2880</v>
      </c>
      <c r="AE423" s="142">
        <v>95</v>
      </c>
      <c r="AF423" s="426">
        <f t="shared" si="8"/>
        <v>370</v>
      </c>
      <c r="AG423" s="152"/>
      <c r="AH423" s="403"/>
    </row>
    <row r="424" spans="1:34" s="78" customFormat="1" ht="12" customHeight="1">
      <c r="A424" s="100">
        <v>3066</v>
      </c>
      <c r="B424" s="101" t="s">
        <v>2880</v>
      </c>
      <c r="C424" s="101" t="s">
        <v>2880</v>
      </c>
      <c r="D424" s="101" t="s">
        <v>3399</v>
      </c>
      <c r="E424" s="100">
        <v>3</v>
      </c>
      <c r="F424" s="153">
        <v>2</v>
      </c>
      <c r="G424" s="103">
        <v>421</v>
      </c>
      <c r="H424" s="154" t="s">
        <v>684</v>
      </c>
      <c r="I424" s="155" t="s">
        <v>2465</v>
      </c>
      <c r="J424" s="156">
        <v>10500101979803</v>
      </c>
      <c r="K424" s="157" t="s">
        <v>353</v>
      </c>
      <c r="L424" s="157"/>
      <c r="M424" s="157">
        <v>5</v>
      </c>
      <c r="N424" s="158" t="s">
        <v>685</v>
      </c>
      <c r="O424" s="154" t="s">
        <v>2466</v>
      </c>
      <c r="P424" s="158" t="s">
        <v>2467</v>
      </c>
      <c r="Q424" s="154" t="s">
        <v>688</v>
      </c>
      <c r="R424" s="154" t="s">
        <v>689</v>
      </c>
      <c r="S424" s="159" t="s">
        <v>690</v>
      </c>
      <c r="T424" s="160">
        <v>0</v>
      </c>
      <c r="U424" s="161">
        <v>0</v>
      </c>
      <c r="V424" s="161">
        <v>0</v>
      </c>
      <c r="W424" s="402"/>
      <c r="X424" s="402"/>
      <c r="Y424" s="142">
        <v>0</v>
      </c>
      <c r="Z424" s="160">
        <v>0</v>
      </c>
      <c r="AA424" s="161">
        <v>30</v>
      </c>
      <c r="AB424" s="161">
        <v>60</v>
      </c>
      <c r="AC424" s="111" t="s">
        <v>3399</v>
      </c>
      <c r="AD424" s="402" t="s">
        <v>2880</v>
      </c>
      <c r="AE424" s="142">
        <v>90</v>
      </c>
      <c r="AF424" s="426">
        <f t="shared" si="8"/>
        <v>90</v>
      </c>
      <c r="AG424" s="152"/>
      <c r="AH424" s="403"/>
    </row>
    <row r="425" spans="1:34" s="78" customFormat="1" ht="12" customHeight="1">
      <c r="A425" s="100">
        <v>3067</v>
      </c>
      <c r="B425" s="101" t="s">
        <v>2880</v>
      </c>
      <c r="C425" s="101" t="s">
        <v>2880</v>
      </c>
      <c r="D425" s="101" t="s">
        <v>3404</v>
      </c>
      <c r="E425" s="100">
        <v>3</v>
      </c>
      <c r="F425" s="427">
        <v>2</v>
      </c>
      <c r="G425" s="103">
        <v>422</v>
      </c>
      <c r="H425" s="144" t="s">
        <v>2468</v>
      </c>
      <c r="I425" s="145" t="s">
        <v>2468</v>
      </c>
      <c r="J425" s="146">
        <v>10500101343901</v>
      </c>
      <c r="K425" s="147" t="s">
        <v>353</v>
      </c>
      <c r="L425" s="147"/>
      <c r="M425" s="147">
        <v>5</v>
      </c>
      <c r="N425" s="148" t="s">
        <v>679</v>
      </c>
      <c r="O425" s="144" t="s">
        <v>2469</v>
      </c>
      <c r="P425" s="148" t="s">
        <v>2470</v>
      </c>
      <c r="Q425" s="144" t="s">
        <v>2471</v>
      </c>
      <c r="R425" s="144" t="s">
        <v>2472</v>
      </c>
      <c r="S425" s="149" t="s">
        <v>2473</v>
      </c>
      <c r="T425" s="131">
        <v>115</v>
      </c>
      <c r="U425" s="132">
        <v>110</v>
      </c>
      <c r="V425" s="132">
        <v>70</v>
      </c>
      <c r="W425" s="402" t="s">
        <v>3403</v>
      </c>
      <c r="X425" s="402" t="s">
        <v>2880</v>
      </c>
      <c r="Y425" s="142">
        <v>295</v>
      </c>
      <c r="Z425" s="131">
        <v>75</v>
      </c>
      <c r="AA425" s="132">
        <v>195</v>
      </c>
      <c r="AB425" s="132">
        <v>90</v>
      </c>
      <c r="AC425" s="111" t="s">
        <v>3399</v>
      </c>
      <c r="AD425" s="402" t="s">
        <v>2880</v>
      </c>
      <c r="AE425" s="142">
        <v>360</v>
      </c>
      <c r="AF425" s="426">
        <f t="shared" si="8"/>
        <v>655</v>
      </c>
      <c r="AG425" s="152"/>
      <c r="AH425" s="403"/>
    </row>
    <row r="426" spans="1:34" s="78" customFormat="1" ht="12" customHeight="1">
      <c r="A426" s="100">
        <v>3068</v>
      </c>
      <c r="B426" s="101" t="s">
        <v>2880</v>
      </c>
      <c r="C426" s="101" t="s">
        <v>2880</v>
      </c>
      <c r="D426" s="101" t="s">
        <v>3404</v>
      </c>
      <c r="E426" s="100">
        <v>3</v>
      </c>
      <c r="F426" s="427">
        <v>2</v>
      </c>
      <c r="G426" s="103">
        <v>423</v>
      </c>
      <c r="H426" s="144" t="s">
        <v>2474</v>
      </c>
      <c r="I426" s="145" t="s">
        <v>2474</v>
      </c>
      <c r="J426" s="146">
        <v>10500100711101</v>
      </c>
      <c r="K426" s="147" t="s">
        <v>353</v>
      </c>
      <c r="L426" s="147"/>
      <c r="M426" s="147">
        <v>5</v>
      </c>
      <c r="N426" s="148" t="s">
        <v>2475</v>
      </c>
      <c r="O426" s="144" t="s">
        <v>2476</v>
      </c>
      <c r="P426" s="148" t="s">
        <v>2477</v>
      </c>
      <c r="Q426" s="144" t="s">
        <v>2478</v>
      </c>
      <c r="R426" s="144" t="s">
        <v>2479</v>
      </c>
      <c r="S426" s="149" t="s">
        <v>2480</v>
      </c>
      <c r="T426" s="131">
        <v>112</v>
      </c>
      <c r="U426" s="132">
        <v>130</v>
      </c>
      <c r="V426" s="132">
        <v>58</v>
      </c>
      <c r="W426" s="402" t="s">
        <v>3403</v>
      </c>
      <c r="X426" s="402" t="s">
        <v>2880</v>
      </c>
      <c r="Y426" s="142">
        <v>300</v>
      </c>
      <c r="Z426" s="131">
        <v>39</v>
      </c>
      <c r="AA426" s="132">
        <v>118</v>
      </c>
      <c r="AB426" s="132">
        <v>43</v>
      </c>
      <c r="AC426" s="111" t="s">
        <v>3399</v>
      </c>
      <c r="AD426" s="402" t="s">
        <v>2880</v>
      </c>
      <c r="AE426" s="142">
        <v>200</v>
      </c>
      <c r="AF426" s="426">
        <f t="shared" si="8"/>
        <v>500</v>
      </c>
      <c r="AG426" s="152"/>
      <c r="AH426" s="403"/>
    </row>
    <row r="427" spans="1:34" s="78" customFormat="1" ht="12" customHeight="1">
      <c r="A427" s="100">
        <v>3069</v>
      </c>
      <c r="B427" s="101" t="s">
        <v>2880</v>
      </c>
      <c r="C427" s="101" t="s">
        <v>2880</v>
      </c>
      <c r="D427" s="101" t="s">
        <v>3404</v>
      </c>
      <c r="E427" s="100">
        <v>3</v>
      </c>
      <c r="F427" s="427">
        <v>2</v>
      </c>
      <c r="G427" s="103">
        <v>424</v>
      </c>
      <c r="H427" s="144" t="s">
        <v>2481</v>
      </c>
      <c r="I427" s="145" t="s">
        <v>2481</v>
      </c>
      <c r="J427" s="146">
        <v>10500100743901</v>
      </c>
      <c r="K427" s="147" t="s">
        <v>353</v>
      </c>
      <c r="L427" s="147"/>
      <c r="M427" s="147">
        <v>5</v>
      </c>
      <c r="N427" s="148" t="s">
        <v>738</v>
      </c>
      <c r="O427" s="144" t="s">
        <v>2482</v>
      </c>
      <c r="P427" s="148">
        <v>2372482</v>
      </c>
      <c r="Q427" s="144" t="s">
        <v>2483</v>
      </c>
      <c r="R427" s="144" t="s">
        <v>2484</v>
      </c>
      <c r="S427" s="149" t="s">
        <v>2485</v>
      </c>
      <c r="T427" s="131">
        <v>120</v>
      </c>
      <c r="U427" s="132">
        <v>140</v>
      </c>
      <c r="V427" s="132">
        <v>0</v>
      </c>
      <c r="W427" s="402" t="s">
        <v>3403</v>
      </c>
      <c r="X427" s="402" t="s">
        <v>2880</v>
      </c>
      <c r="Y427" s="142">
        <v>260</v>
      </c>
      <c r="Z427" s="131">
        <v>0</v>
      </c>
      <c r="AA427" s="132">
        <v>110</v>
      </c>
      <c r="AB427" s="132">
        <v>130</v>
      </c>
      <c r="AC427" s="111" t="s">
        <v>3399</v>
      </c>
      <c r="AD427" s="402" t="s">
        <v>2880</v>
      </c>
      <c r="AE427" s="142">
        <v>240</v>
      </c>
      <c r="AF427" s="426">
        <f t="shared" si="8"/>
        <v>500</v>
      </c>
      <c r="AG427" s="152"/>
      <c r="AH427" s="403"/>
    </row>
    <row r="428" spans="1:34" s="78" customFormat="1" ht="12" customHeight="1">
      <c r="A428" s="100">
        <v>3070</v>
      </c>
      <c r="B428" s="101" t="s">
        <v>2880</v>
      </c>
      <c r="C428" s="101" t="s">
        <v>2880</v>
      </c>
      <c r="D428" s="101" t="s">
        <v>3404</v>
      </c>
      <c r="E428" s="100">
        <v>3</v>
      </c>
      <c r="F428" s="427">
        <v>2</v>
      </c>
      <c r="G428" s="103">
        <v>425</v>
      </c>
      <c r="H428" s="144" t="s">
        <v>2486</v>
      </c>
      <c r="I428" s="145" t="s">
        <v>2486</v>
      </c>
      <c r="J428" s="146">
        <v>10500100549501</v>
      </c>
      <c r="K428" s="147" t="s">
        <v>353</v>
      </c>
      <c r="L428" s="147"/>
      <c r="M428" s="147">
        <v>5</v>
      </c>
      <c r="N428" s="148" t="s">
        <v>685</v>
      </c>
      <c r="O428" s="144" t="s">
        <v>2487</v>
      </c>
      <c r="P428" s="148" t="s">
        <v>2488</v>
      </c>
      <c r="Q428" s="144" t="s">
        <v>2489</v>
      </c>
      <c r="R428" s="144" t="s">
        <v>2490</v>
      </c>
      <c r="S428" s="149" t="s">
        <v>2491</v>
      </c>
      <c r="T428" s="131">
        <v>160</v>
      </c>
      <c r="U428" s="132">
        <v>160</v>
      </c>
      <c r="V428" s="132">
        <v>40</v>
      </c>
      <c r="W428" s="402" t="s">
        <v>3403</v>
      </c>
      <c r="X428" s="402" t="s">
        <v>2880</v>
      </c>
      <c r="Y428" s="142">
        <v>360</v>
      </c>
      <c r="Z428" s="163">
        <v>130</v>
      </c>
      <c r="AA428" s="164">
        <v>280</v>
      </c>
      <c r="AB428" s="164">
        <v>190</v>
      </c>
      <c r="AC428" s="111" t="s">
        <v>3399</v>
      </c>
      <c r="AD428" s="402" t="s">
        <v>2880</v>
      </c>
      <c r="AE428" s="142">
        <v>600</v>
      </c>
      <c r="AF428" s="426">
        <f t="shared" si="8"/>
        <v>960</v>
      </c>
      <c r="AG428" s="152"/>
      <c r="AH428" s="403"/>
    </row>
    <row r="429" spans="1:34" s="78" customFormat="1" ht="12" customHeight="1">
      <c r="A429" s="100">
        <v>3071</v>
      </c>
      <c r="B429" s="101" t="s">
        <v>2880</v>
      </c>
      <c r="C429" s="101" t="s">
        <v>2880</v>
      </c>
      <c r="D429" s="101" t="s">
        <v>3404</v>
      </c>
      <c r="E429" s="100">
        <v>3</v>
      </c>
      <c r="F429" s="427">
        <v>2</v>
      </c>
      <c r="G429" s="103">
        <v>426</v>
      </c>
      <c r="H429" s="144" t="s">
        <v>2492</v>
      </c>
      <c r="I429" s="145" t="s">
        <v>2492</v>
      </c>
      <c r="J429" s="146">
        <v>10500101106101</v>
      </c>
      <c r="K429" s="147" t="s">
        <v>353</v>
      </c>
      <c r="L429" s="147"/>
      <c r="M429" s="147">
        <v>5</v>
      </c>
      <c r="N429" s="148" t="s">
        <v>761</v>
      </c>
      <c r="O429" s="144" t="s">
        <v>2493</v>
      </c>
      <c r="P429" s="148">
        <v>2739576</v>
      </c>
      <c r="Q429" s="144" t="s">
        <v>2494</v>
      </c>
      <c r="R429" s="144" t="s">
        <v>2495</v>
      </c>
      <c r="S429" s="149" t="s">
        <v>2496</v>
      </c>
      <c r="T429" s="131">
        <v>80</v>
      </c>
      <c r="U429" s="132">
        <v>160</v>
      </c>
      <c r="V429" s="132">
        <v>40</v>
      </c>
      <c r="W429" s="402" t="s">
        <v>3403</v>
      </c>
      <c r="X429" s="402" t="s">
        <v>2880</v>
      </c>
      <c r="Y429" s="142">
        <v>280</v>
      </c>
      <c r="Z429" s="163">
        <v>83</v>
      </c>
      <c r="AA429" s="164">
        <v>151</v>
      </c>
      <c r="AB429" s="164">
        <v>46</v>
      </c>
      <c r="AC429" s="111" t="s">
        <v>3399</v>
      </c>
      <c r="AD429" s="402" t="s">
        <v>2880</v>
      </c>
      <c r="AE429" s="142">
        <v>280</v>
      </c>
      <c r="AF429" s="426">
        <f t="shared" si="8"/>
        <v>560</v>
      </c>
      <c r="AG429" s="152"/>
      <c r="AH429" s="403"/>
    </row>
    <row r="430" spans="1:34" s="78" customFormat="1" ht="12" customHeight="1">
      <c r="A430" s="100">
        <v>3072</v>
      </c>
      <c r="B430" s="101" t="s">
        <v>2880</v>
      </c>
      <c r="C430" s="101" t="s">
        <v>2880</v>
      </c>
      <c r="D430" s="101" t="s">
        <v>3404</v>
      </c>
      <c r="E430" s="100">
        <v>3</v>
      </c>
      <c r="F430" s="427">
        <v>2</v>
      </c>
      <c r="G430" s="103">
        <v>427</v>
      </c>
      <c r="H430" s="144" t="s">
        <v>2497</v>
      </c>
      <c r="I430" s="145" t="s">
        <v>2497</v>
      </c>
      <c r="J430" s="146">
        <v>10500101796501</v>
      </c>
      <c r="K430" s="147" t="s">
        <v>353</v>
      </c>
      <c r="L430" s="147"/>
      <c r="M430" s="147">
        <v>5</v>
      </c>
      <c r="N430" s="148" t="s">
        <v>738</v>
      </c>
      <c r="O430" s="144" t="s">
        <v>2498</v>
      </c>
      <c r="P430" s="148" t="s">
        <v>2499</v>
      </c>
      <c r="Q430" s="144" t="s">
        <v>2500</v>
      </c>
      <c r="R430" s="144" t="s">
        <v>2501</v>
      </c>
      <c r="S430" s="149" t="s">
        <v>2502</v>
      </c>
      <c r="T430" s="131">
        <v>0</v>
      </c>
      <c r="U430" s="132">
        <v>180</v>
      </c>
      <c r="V430" s="132">
        <v>120</v>
      </c>
      <c r="W430" s="402" t="s">
        <v>3403</v>
      </c>
      <c r="X430" s="402" t="s">
        <v>2880</v>
      </c>
      <c r="Y430" s="142">
        <v>300</v>
      </c>
      <c r="Z430" s="131">
        <v>0</v>
      </c>
      <c r="AA430" s="132">
        <v>60</v>
      </c>
      <c r="AB430" s="132">
        <v>90</v>
      </c>
      <c r="AC430" s="111" t="s">
        <v>3399</v>
      </c>
      <c r="AD430" s="402" t="s">
        <v>2880</v>
      </c>
      <c r="AE430" s="142">
        <v>150</v>
      </c>
      <c r="AF430" s="426">
        <f t="shared" si="8"/>
        <v>450</v>
      </c>
      <c r="AG430" s="152"/>
      <c r="AH430" s="403"/>
    </row>
    <row r="431" spans="1:34" s="78" customFormat="1" ht="12" customHeight="1">
      <c r="A431" s="100">
        <v>3073</v>
      </c>
      <c r="B431" s="101" t="s">
        <v>2880</v>
      </c>
      <c r="C431" s="101" t="s">
        <v>2880</v>
      </c>
      <c r="D431" s="101" t="s">
        <v>3403</v>
      </c>
      <c r="E431" s="100">
        <v>3</v>
      </c>
      <c r="F431" s="427">
        <v>2</v>
      </c>
      <c r="G431" s="103">
        <v>428</v>
      </c>
      <c r="H431" s="144" t="s">
        <v>2503</v>
      </c>
      <c r="I431" s="145" t="s">
        <v>2503</v>
      </c>
      <c r="J431" s="146">
        <v>10500100184801</v>
      </c>
      <c r="K431" s="147" t="s">
        <v>353</v>
      </c>
      <c r="L431" s="147"/>
      <c r="M431" s="147">
        <v>5</v>
      </c>
      <c r="N431" s="148" t="s">
        <v>2504</v>
      </c>
      <c r="O431" s="144" t="s">
        <v>2505</v>
      </c>
      <c r="P431" s="148" t="s">
        <v>2506</v>
      </c>
      <c r="Q431" s="144" t="s">
        <v>2507</v>
      </c>
      <c r="R431" s="144"/>
      <c r="S431" s="149" t="s">
        <v>2508</v>
      </c>
      <c r="T431" s="131">
        <v>100</v>
      </c>
      <c r="U431" s="132">
        <v>220</v>
      </c>
      <c r="V431" s="132">
        <v>180</v>
      </c>
      <c r="W431" s="402" t="s">
        <v>3403</v>
      </c>
      <c r="X431" s="402" t="s">
        <v>2880</v>
      </c>
      <c r="Y431" s="142">
        <v>500</v>
      </c>
      <c r="Z431" s="131">
        <v>0</v>
      </c>
      <c r="AA431" s="132">
        <v>0</v>
      </c>
      <c r="AB431" s="132">
        <v>0</v>
      </c>
      <c r="AC431" s="111"/>
      <c r="AD431" s="402"/>
      <c r="AE431" s="142">
        <v>0</v>
      </c>
      <c r="AF431" s="426">
        <f t="shared" si="8"/>
        <v>500</v>
      </c>
      <c r="AG431" s="152"/>
      <c r="AH431" s="403"/>
    </row>
    <row r="432" spans="1:34" s="78" customFormat="1" ht="12" customHeight="1">
      <c r="A432" s="100">
        <v>3074</v>
      </c>
      <c r="B432" s="101" t="s">
        <v>2880</v>
      </c>
      <c r="C432" s="101" t="s">
        <v>2880</v>
      </c>
      <c r="D432" s="101" t="s">
        <v>3403</v>
      </c>
      <c r="E432" s="100">
        <v>3</v>
      </c>
      <c r="F432" s="427">
        <v>2</v>
      </c>
      <c r="G432" s="103">
        <v>429</v>
      </c>
      <c r="H432" s="144" t="s">
        <v>2509</v>
      </c>
      <c r="I432" s="145" t="s">
        <v>2509</v>
      </c>
      <c r="J432" s="146">
        <v>10500100184802</v>
      </c>
      <c r="K432" s="147" t="s">
        <v>353</v>
      </c>
      <c r="L432" s="147"/>
      <c r="M432" s="147">
        <v>5</v>
      </c>
      <c r="N432" s="148" t="s">
        <v>2504</v>
      </c>
      <c r="O432" s="144" t="s">
        <v>4181</v>
      </c>
      <c r="P432" s="148" t="s">
        <v>4182</v>
      </c>
      <c r="Q432" s="144"/>
      <c r="R432" s="144"/>
      <c r="S432" s="149"/>
      <c r="T432" s="131">
        <v>110</v>
      </c>
      <c r="U432" s="132">
        <v>0</v>
      </c>
      <c r="V432" s="132">
        <v>0</v>
      </c>
      <c r="W432" s="402" t="s">
        <v>3403</v>
      </c>
      <c r="X432" s="402" t="s">
        <v>2880</v>
      </c>
      <c r="Y432" s="142">
        <v>110</v>
      </c>
      <c r="Z432" s="131">
        <v>0</v>
      </c>
      <c r="AA432" s="132">
        <v>0</v>
      </c>
      <c r="AB432" s="132">
        <v>0</v>
      </c>
      <c r="AC432" s="111"/>
      <c r="AD432" s="402"/>
      <c r="AE432" s="142">
        <v>0</v>
      </c>
      <c r="AF432" s="426">
        <f t="shared" si="8"/>
        <v>110</v>
      </c>
      <c r="AG432" s="152"/>
      <c r="AH432" s="403"/>
    </row>
    <row r="433" spans="1:34" s="78" customFormat="1" ht="12" customHeight="1">
      <c r="A433" s="100">
        <v>3075</v>
      </c>
      <c r="B433" s="101" t="s">
        <v>2880</v>
      </c>
      <c r="C433" s="101" t="s">
        <v>2880</v>
      </c>
      <c r="D433" s="101" t="s">
        <v>3403</v>
      </c>
      <c r="E433" s="100">
        <v>3</v>
      </c>
      <c r="F433" s="427">
        <v>2</v>
      </c>
      <c r="G433" s="103">
        <v>430</v>
      </c>
      <c r="H433" s="144" t="s">
        <v>2510</v>
      </c>
      <c r="I433" s="145" t="s">
        <v>2510</v>
      </c>
      <c r="J433" s="146">
        <v>30500101842101</v>
      </c>
      <c r="K433" s="147" t="s">
        <v>431</v>
      </c>
      <c r="L433" s="147"/>
      <c r="M433" s="147">
        <v>6</v>
      </c>
      <c r="N433" s="148" t="s">
        <v>775</v>
      </c>
      <c r="O433" s="144" t="s">
        <v>2511</v>
      </c>
      <c r="P433" s="148">
        <v>2673204</v>
      </c>
      <c r="Q433" s="144" t="s">
        <v>2512</v>
      </c>
      <c r="R433" s="144" t="s">
        <v>2513</v>
      </c>
      <c r="S433" s="149" t="s">
        <v>2514</v>
      </c>
      <c r="T433" s="131">
        <v>25</v>
      </c>
      <c r="U433" s="132">
        <v>255</v>
      </c>
      <c r="V433" s="132">
        <v>0</v>
      </c>
      <c r="W433" s="402" t="s">
        <v>3403</v>
      </c>
      <c r="X433" s="402" t="s">
        <v>2880</v>
      </c>
      <c r="Y433" s="142">
        <v>280</v>
      </c>
      <c r="Z433" s="131">
        <v>0</v>
      </c>
      <c r="AA433" s="132">
        <v>0</v>
      </c>
      <c r="AB433" s="132">
        <v>0</v>
      </c>
      <c r="AC433" s="111"/>
      <c r="AD433" s="402"/>
      <c r="AE433" s="142">
        <v>0</v>
      </c>
      <c r="AF433" s="426">
        <f t="shared" si="8"/>
        <v>280</v>
      </c>
      <c r="AG433" s="152"/>
      <c r="AH433" s="403"/>
    </row>
    <row r="434" spans="1:34" s="78" customFormat="1" ht="12" customHeight="1">
      <c r="A434" s="100">
        <v>3076</v>
      </c>
      <c r="B434" s="101" t="s">
        <v>2880</v>
      </c>
      <c r="C434" s="101" t="s">
        <v>2880</v>
      </c>
      <c r="D434" s="101" t="s">
        <v>3403</v>
      </c>
      <c r="E434" s="100">
        <v>3</v>
      </c>
      <c r="F434" s="427">
        <v>2</v>
      </c>
      <c r="G434" s="103">
        <v>431</v>
      </c>
      <c r="H434" s="144" t="s">
        <v>2515</v>
      </c>
      <c r="I434" s="145" t="s">
        <v>2515</v>
      </c>
      <c r="J434" s="146">
        <v>10500100230502</v>
      </c>
      <c r="K434" s="147" t="s">
        <v>353</v>
      </c>
      <c r="L434" s="147"/>
      <c r="M434" s="147">
        <v>7</v>
      </c>
      <c r="N434" s="148" t="s">
        <v>929</v>
      </c>
      <c r="O434" s="144" t="s">
        <v>2516</v>
      </c>
      <c r="P434" s="148" t="s">
        <v>2517</v>
      </c>
      <c r="Q434" s="144" t="s">
        <v>945</v>
      </c>
      <c r="R434" s="144" t="s">
        <v>2518</v>
      </c>
      <c r="S434" s="149" t="s">
        <v>2519</v>
      </c>
      <c r="T434" s="131">
        <v>247</v>
      </c>
      <c r="U434" s="132">
        <v>373</v>
      </c>
      <c r="V434" s="132">
        <v>0</v>
      </c>
      <c r="W434" s="402" t="s">
        <v>3403</v>
      </c>
      <c r="X434" s="402" t="s">
        <v>2880</v>
      </c>
      <c r="Y434" s="142">
        <v>620</v>
      </c>
      <c r="Z434" s="131">
        <v>0</v>
      </c>
      <c r="AA434" s="132">
        <v>0</v>
      </c>
      <c r="AB434" s="132">
        <v>0</v>
      </c>
      <c r="AC434" s="111"/>
      <c r="AD434" s="402"/>
      <c r="AE434" s="142">
        <v>0</v>
      </c>
      <c r="AF434" s="426">
        <f t="shared" si="8"/>
        <v>620</v>
      </c>
      <c r="AG434" s="152"/>
      <c r="AH434" s="403"/>
    </row>
    <row r="435" spans="1:34" s="78" customFormat="1" ht="12" customHeight="1">
      <c r="A435" s="100">
        <v>3077</v>
      </c>
      <c r="B435" s="101" t="s">
        <v>2880</v>
      </c>
      <c r="C435" s="101" t="s">
        <v>2880</v>
      </c>
      <c r="D435" s="101" t="s">
        <v>3404</v>
      </c>
      <c r="E435" s="100">
        <v>3</v>
      </c>
      <c r="F435" s="427">
        <v>2</v>
      </c>
      <c r="G435" s="103">
        <v>432</v>
      </c>
      <c r="H435" s="144" t="s">
        <v>2520</v>
      </c>
      <c r="I435" s="145" t="s">
        <v>2520</v>
      </c>
      <c r="J435" s="146">
        <v>10500101439701</v>
      </c>
      <c r="K435" s="147" t="s">
        <v>353</v>
      </c>
      <c r="L435" s="147"/>
      <c r="M435" s="147">
        <v>7</v>
      </c>
      <c r="N435" s="148" t="s">
        <v>2521</v>
      </c>
      <c r="O435" s="144" t="s">
        <v>2522</v>
      </c>
      <c r="P435" s="148">
        <v>4417456</v>
      </c>
      <c r="Q435" s="144" t="s">
        <v>2523</v>
      </c>
      <c r="R435" s="144" t="s">
        <v>2524</v>
      </c>
      <c r="S435" s="149" t="s">
        <v>2525</v>
      </c>
      <c r="T435" s="131">
        <v>231</v>
      </c>
      <c r="U435" s="132">
        <v>219</v>
      </c>
      <c r="V435" s="132">
        <v>100</v>
      </c>
      <c r="W435" s="402" t="s">
        <v>3403</v>
      </c>
      <c r="X435" s="402" t="s">
        <v>2880</v>
      </c>
      <c r="Y435" s="142">
        <v>550</v>
      </c>
      <c r="Z435" s="131">
        <v>0</v>
      </c>
      <c r="AA435" s="132">
        <v>260</v>
      </c>
      <c r="AB435" s="132">
        <v>190</v>
      </c>
      <c r="AC435" s="111" t="s">
        <v>3399</v>
      </c>
      <c r="AD435" s="402" t="s">
        <v>2880</v>
      </c>
      <c r="AE435" s="142">
        <v>450</v>
      </c>
      <c r="AF435" s="426">
        <f t="shared" si="8"/>
        <v>1000</v>
      </c>
      <c r="AG435" s="152"/>
      <c r="AH435" s="403"/>
    </row>
    <row r="436" spans="1:34" s="78" customFormat="1" ht="12" customHeight="1">
      <c r="A436" s="100">
        <v>3078</v>
      </c>
      <c r="B436" s="101" t="s">
        <v>2880</v>
      </c>
      <c r="C436" s="101" t="s">
        <v>2880</v>
      </c>
      <c r="D436" s="101" t="s">
        <v>3403</v>
      </c>
      <c r="E436" s="100">
        <v>3</v>
      </c>
      <c r="F436" s="427">
        <v>2</v>
      </c>
      <c r="G436" s="103">
        <v>433</v>
      </c>
      <c r="H436" s="144" t="s">
        <v>2526</v>
      </c>
      <c r="I436" s="145" t="s">
        <v>2526</v>
      </c>
      <c r="J436" s="146">
        <v>10500100247002</v>
      </c>
      <c r="K436" s="147" t="s">
        <v>353</v>
      </c>
      <c r="L436" s="147"/>
      <c r="M436" s="147">
        <v>7</v>
      </c>
      <c r="N436" s="148" t="s">
        <v>997</v>
      </c>
      <c r="O436" s="144" t="s">
        <v>2527</v>
      </c>
      <c r="P436" s="148">
        <v>2571207</v>
      </c>
      <c r="Q436" s="144" t="s">
        <v>2528</v>
      </c>
      <c r="R436" s="144" t="s">
        <v>2529</v>
      </c>
      <c r="S436" s="149" t="s">
        <v>2530</v>
      </c>
      <c r="T436" s="131">
        <v>238</v>
      </c>
      <c r="U436" s="132">
        <v>122</v>
      </c>
      <c r="V436" s="132">
        <v>0</v>
      </c>
      <c r="W436" s="402" t="s">
        <v>3403</v>
      </c>
      <c r="X436" s="402" t="s">
        <v>2880</v>
      </c>
      <c r="Y436" s="142">
        <v>360</v>
      </c>
      <c r="Z436" s="131">
        <v>0</v>
      </c>
      <c r="AA436" s="132">
        <v>0</v>
      </c>
      <c r="AB436" s="132">
        <v>0</v>
      </c>
      <c r="AC436" s="111"/>
      <c r="AD436" s="402"/>
      <c r="AE436" s="142">
        <v>0</v>
      </c>
      <c r="AF436" s="426">
        <f t="shared" si="8"/>
        <v>360</v>
      </c>
      <c r="AG436" s="152"/>
      <c r="AH436" s="403"/>
    </row>
    <row r="437" spans="1:34" s="78" customFormat="1" ht="12" customHeight="1">
      <c r="A437" s="100">
        <v>3079</v>
      </c>
      <c r="B437" s="101" t="s">
        <v>2880</v>
      </c>
      <c r="C437" s="101" t="s">
        <v>2880</v>
      </c>
      <c r="D437" s="101" t="s">
        <v>3403</v>
      </c>
      <c r="E437" s="100">
        <v>3</v>
      </c>
      <c r="F437" s="427">
        <v>2</v>
      </c>
      <c r="G437" s="103">
        <v>434</v>
      </c>
      <c r="H437" s="144" t="s">
        <v>2531</v>
      </c>
      <c r="I437" s="145" t="s">
        <v>2531</v>
      </c>
      <c r="J437" s="146">
        <v>10500100179101</v>
      </c>
      <c r="K437" s="147" t="s">
        <v>353</v>
      </c>
      <c r="L437" s="147"/>
      <c r="M437" s="147">
        <v>7</v>
      </c>
      <c r="N437" s="148" t="s">
        <v>2532</v>
      </c>
      <c r="O437" s="144" t="s">
        <v>2533</v>
      </c>
      <c r="P437" s="148">
        <v>2300313</v>
      </c>
      <c r="Q437" s="144" t="s">
        <v>2534</v>
      </c>
      <c r="R437" s="144" t="s">
        <v>2535</v>
      </c>
      <c r="S437" s="149" t="s">
        <v>2536</v>
      </c>
      <c r="T437" s="131">
        <v>190</v>
      </c>
      <c r="U437" s="132">
        <v>240</v>
      </c>
      <c r="V437" s="132">
        <v>130</v>
      </c>
      <c r="W437" s="402" t="s">
        <v>3403</v>
      </c>
      <c r="X437" s="402" t="s">
        <v>2880</v>
      </c>
      <c r="Y437" s="142">
        <v>560</v>
      </c>
      <c r="Z437" s="131">
        <v>0</v>
      </c>
      <c r="AA437" s="132">
        <v>0</v>
      </c>
      <c r="AB437" s="132">
        <v>0</v>
      </c>
      <c r="AC437" s="111"/>
      <c r="AD437" s="402"/>
      <c r="AE437" s="142">
        <v>0</v>
      </c>
      <c r="AF437" s="426">
        <f t="shared" si="8"/>
        <v>560</v>
      </c>
      <c r="AG437" s="152"/>
      <c r="AH437" s="403"/>
    </row>
    <row r="438" spans="1:34" s="78" customFormat="1" ht="12" customHeight="1">
      <c r="A438" s="100">
        <v>3080</v>
      </c>
      <c r="B438" s="101" t="s">
        <v>2880</v>
      </c>
      <c r="C438" s="101" t="s">
        <v>2880</v>
      </c>
      <c r="D438" s="101" t="s">
        <v>3404</v>
      </c>
      <c r="E438" s="100">
        <v>3</v>
      </c>
      <c r="F438" s="427">
        <v>2</v>
      </c>
      <c r="G438" s="103">
        <v>435</v>
      </c>
      <c r="H438" s="144" t="s">
        <v>2537</v>
      </c>
      <c r="I438" s="145" t="s">
        <v>2537</v>
      </c>
      <c r="J438" s="146">
        <v>10500102671901</v>
      </c>
      <c r="K438" s="147" t="s">
        <v>353</v>
      </c>
      <c r="L438" s="147"/>
      <c r="M438" s="147">
        <v>7</v>
      </c>
      <c r="N438" s="148" t="s">
        <v>968</v>
      </c>
      <c r="O438" s="144" t="s">
        <v>2538</v>
      </c>
      <c r="P438" s="148">
        <v>4422199</v>
      </c>
      <c r="Q438" s="144" t="s">
        <v>2539</v>
      </c>
      <c r="R438" s="144" t="s">
        <v>2540</v>
      </c>
      <c r="S438" s="149" t="s">
        <v>2541</v>
      </c>
      <c r="T438" s="163">
        <v>224</v>
      </c>
      <c r="U438" s="164">
        <v>206</v>
      </c>
      <c r="V438" s="132">
        <v>170</v>
      </c>
      <c r="W438" s="402" t="s">
        <v>3403</v>
      </c>
      <c r="X438" s="402" t="s">
        <v>2880</v>
      </c>
      <c r="Y438" s="142">
        <v>600</v>
      </c>
      <c r="Z438" s="131">
        <v>0</v>
      </c>
      <c r="AA438" s="132">
        <v>160</v>
      </c>
      <c r="AB438" s="132">
        <v>40</v>
      </c>
      <c r="AC438" s="111" t="s">
        <v>3399</v>
      </c>
      <c r="AD438" s="402" t="s">
        <v>2880</v>
      </c>
      <c r="AE438" s="142">
        <v>200</v>
      </c>
      <c r="AF438" s="150">
        <f t="shared" si="8"/>
        <v>800</v>
      </c>
      <c r="AG438" s="428"/>
      <c r="AH438" s="403"/>
    </row>
    <row r="439" spans="1:34" s="78" customFormat="1" ht="12" customHeight="1">
      <c r="A439" s="100">
        <v>3081</v>
      </c>
      <c r="B439" s="101" t="s">
        <v>2880</v>
      </c>
      <c r="C439" s="101" t="s">
        <v>2880</v>
      </c>
      <c r="D439" s="101" t="s">
        <v>3404</v>
      </c>
      <c r="E439" s="100">
        <v>3</v>
      </c>
      <c r="F439" s="427">
        <v>2</v>
      </c>
      <c r="G439" s="103">
        <v>436</v>
      </c>
      <c r="H439" s="144" t="s">
        <v>2542</v>
      </c>
      <c r="I439" s="145" t="s">
        <v>2543</v>
      </c>
      <c r="J439" s="146">
        <v>10500101485101</v>
      </c>
      <c r="K439" s="147" t="s">
        <v>353</v>
      </c>
      <c r="L439" s="147"/>
      <c r="M439" s="147">
        <v>7</v>
      </c>
      <c r="N439" s="148" t="s">
        <v>1710</v>
      </c>
      <c r="O439" s="144" t="s">
        <v>2544</v>
      </c>
      <c r="P439" s="148">
        <v>4219747</v>
      </c>
      <c r="Q439" s="144" t="s">
        <v>2545</v>
      </c>
      <c r="R439" s="144" t="s">
        <v>2546</v>
      </c>
      <c r="S439" s="149" t="s">
        <v>2547</v>
      </c>
      <c r="T439" s="163">
        <v>190</v>
      </c>
      <c r="U439" s="164">
        <v>160</v>
      </c>
      <c r="V439" s="132">
        <v>0</v>
      </c>
      <c r="W439" s="402" t="s">
        <v>3403</v>
      </c>
      <c r="X439" s="402" t="s">
        <v>2880</v>
      </c>
      <c r="Y439" s="142">
        <v>350</v>
      </c>
      <c r="Z439" s="131">
        <v>0</v>
      </c>
      <c r="AA439" s="132">
        <v>100</v>
      </c>
      <c r="AB439" s="132">
        <v>380</v>
      </c>
      <c r="AC439" s="111" t="s">
        <v>3399</v>
      </c>
      <c r="AD439" s="402" t="s">
        <v>2880</v>
      </c>
      <c r="AE439" s="142">
        <v>480</v>
      </c>
      <c r="AF439" s="150">
        <f t="shared" si="8"/>
        <v>830</v>
      </c>
      <c r="AG439" s="152"/>
      <c r="AH439" s="403"/>
    </row>
    <row r="440" spans="1:34" s="78" customFormat="1" ht="12" customHeight="1">
      <c r="A440" s="100">
        <v>3082</v>
      </c>
      <c r="B440" s="101" t="s">
        <v>2880</v>
      </c>
      <c r="C440" s="101" t="s">
        <v>2880</v>
      </c>
      <c r="D440" s="101" t="s">
        <v>3403</v>
      </c>
      <c r="E440" s="100">
        <v>3</v>
      </c>
      <c r="F440" s="427">
        <v>2</v>
      </c>
      <c r="G440" s="103">
        <v>437</v>
      </c>
      <c r="H440" s="144" t="s">
        <v>2548</v>
      </c>
      <c r="I440" s="145" t="s">
        <v>2549</v>
      </c>
      <c r="J440" s="146">
        <v>10500101485101</v>
      </c>
      <c r="K440" s="147" t="s">
        <v>353</v>
      </c>
      <c r="L440" s="147"/>
      <c r="M440" s="147">
        <v>7</v>
      </c>
      <c r="N440" s="148" t="s">
        <v>1710</v>
      </c>
      <c r="O440" s="144" t="s">
        <v>2550</v>
      </c>
      <c r="P440" s="148">
        <v>4214667</v>
      </c>
      <c r="Q440" s="144" t="s">
        <v>2545</v>
      </c>
      <c r="R440" s="144" t="s">
        <v>2551</v>
      </c>
      <c r="S440" s="149" t="s">
        <v>2552</v>
      </c>
      <c r="T440" s="163">
        <v>150</v>
      </c>
      <c r="U440" s="164">
        <v>110</v>
      </c>
      <c r="V440" s="132">
        <v>0</v>
      </c>
      <c r="W440" s="402" t="s">
        <v>3403</v>
      </c>
      <c r="X440" s="402" t="s">
        <v>2880</v>
      </c>
      <c r="Y440" s="142">
        <v>260</v>
      </c>
      <c r="Z440" s="131">
        <v>0</v>
      </c>
      <c r="AA440" s="132">
        <v>0</v>
      </c>
      <c r="AB440" s="132">
        <v>0</v>
      </c>
      <c r="AC440" s="111"/>
      <c r="AD440" s="402"/>
      <c r="AE440" s="142">
        <v>0</v>
      </c>
      <c r="AF440" s="150">
        <f t="shared" si="8"/>
        <v>260</v>
      </c>
      <c r="AG440" s="152"/>
      <c r="AH440" s="403"/>
    </row>
    <row r="441" spans="1:34" s="78" customFormat="1" ht="12" customHeight="1">
      <c r="A441" s="100">
        <v>3083</v>
      </c>
      <c r="B441" s="101" t="s">
        <v>2880</v>
      </c>
      <c r="C441" s="101" t="s">
        <v>2880</v>
      </c>
      <c r="D441" s="101" t="s">
        <v>3403</v>
      </c>
      <c r="E441" s="100">
        <v>3</v>
      </c>
      <c r="F441" s="427">
        <v>2</v>
      </c>
      <c r="G441" s="103">
        <v>438</v>
      </c>
      <c r="H441" s="144" t="s">
        <v>2553</v>
      </c>
      <c r="I441" s="145" t="s">
        <v>2553</v>
      </c>
      <c r="J441" s="146">
        <v>30500100786101</v>
      </c>
      <c r="K441" s="147" t="s">
        <v>431</v>
      </c>
      <c r="L441" s="147"/>
      <c r="M441" s="147">
        <v>7</v>
      </c>
      <c r="N441" s="148" t="s">
        <v>1710</v>
      </c>
      <c r="O441" s="144" t="s">
        <v>2554</v>
      </c>
      <c r="P441" s="148" t="s">
        <v>2555</v>
      </c>
      <c r="Q441" s="144" t="s">
        <v>2556</v>
      </c>
      <c r="R441" s="144" t="s">
        <v>2557</v>
      </c>
      <c r="S441" s="149" t="s">
        <v>2558</v>
      </c>
      <c r="T441" s="163">
        <v>30</v>
      </c>
      <c r="U441" s="164">
        <v>140</v>
      </c>
      <c r="V441" s="132">
        <v>90</v>
      </c>
      <c r="W441" s="402" t="s">
        <v>3403</v>
      </c>
      <c r="X441" s="402" t="s">
        <v>2880</v>
      </c>
      <c r="Y441" s="142">
        <v>260</v>
      </c>
      <c r="Z441" s="131">
        <v>0</v>
      </c>
      <c r="AA441" s="132">
        <v>0</v>
      </c>
      <c r="AB441" s="132">
        <v>0</v>
      </c>
      <c r="AC441" s="111"/>
      <c r="AD441" s="402"/>
      <c r="AE441" s="142">
        <v>0</v>
      </c>
      <c r="AF441" s="150">
        <f t="shared" si="8"/>
        <v>260</v>
      </c>
      <c r="AG441" s="152"/>
      <c r="AH441" s="403"/>
    </row>
    <row r="442" spans="1:34" s="78" customFormat="1" ht="12" customHeight="1">
      <c r="A442" s="100">
        <v>3084</v>
      </c>
      <c r="B442" s="101" t="s">
        <v>2880</v>
      </c>
      <c r="C442" s="101" t="s">
        <v>2880</v>
      </c>
      <c r="D442" s="101" t="s">
        <v>3404</v>
      </c>
      <c r="E442" s="100">
        <v>3</v>
      </c>
      <c r="F442" s="427">
        <v>2</v>
      </c>
      <c r="G442" s="103">
        <v>439</v>
      </c>
      <c r="H442" s="144" t="s">
        <v>2559</v>
      </c>
      <c r="I442" s="145" t="s">
        <v>2559</v>
      </c>
      <c r="J442" s="146">
        <v>10500100344101</v>
      </c>
      <c r="K442" s="147" t="s">
        <v>353</v>
      </c>
      <c r="L442" s="147"/>
      <c r="M442" s="147">
        <v>7</v>
      </c>
      <c r="N442" s="148" t="s">
        <v>2560</v>
      </c>
      <c r="O442" s="144" t="s">
        <v>2561</v>
      </c>
      <c r="P442" s="148" t="s">
        <v>2562</v>
      </c>
      <c r="Q442" s="144" t="s">
        <v>2563</v>
      </c>
      <c r="R442" s="144" t="s">
        <v>2564</v>
      </c>
      <c r="S442" s="149" t="s">
        <v>2565</v>
      </c>
      <c r="T442" s="163">
        <v>0</v>
      </c>
      <c r="U442" s="164">
        <v>400</v>
      </c>
      <c r="V442" s="132">
        <v>100</v>
      </c>
      <c r="W442" s="402" t="s">
        <v>3403</v>
      </c>
      <c r="X442" s="402" t="s">
        <v>2880</v>
      </c>
      <c r="Y442" s="142">
        <v>500</v>
      </c>
      <c r="Z442" s="131">
        <v>0</v>
      </c>
      <c r="AA442" s="132">
        <v>340</v>
      </c>
      <c r="AB442" s="132">
        <v>410</v>
      </c>
      <c r="AC442" s="111" t="s">
        <v>3399</v>
      </c>
      <c r="AD442" s="402" t="s">
        <v>2880</v>
      </c>
      <c r="AE442" s="142">
        <v>750</v>
      </c>
      <c r="AF442" s="150">
        <f t="shared" si="8"/>
        <v>1250</v>
      </c>
      <c r="AG442" s="152"/>
      <c r="AH442" s="403"/>
    </row>
    <row r="443" spans="1:34" s="78" customFormat="1" ht="12" customHeight="1">
      <c r="A443" s="100">
        <v>3085</v>
      </c>
      <c r="B443" s="101" t="s">
        <v>2880</v>
      </c>
      <c r="C443" s="101" t="s">
        <v>2880</v>
      </c>
      <c r="D443" s="101" t="s">
        <v>3403</v>
      </c>
      <c r="E443" s="100">
        <v>3</v>
      </c>
      <c r="F443" s="427">
        <v>2</v>
      </c>
      <c r="G443" s="103">
        <v>440</v>
      </c>
      <c r="H443" s="144" t="s">
        <v>2566</v>
      </c>
      <c r="I443" s="145" t="s">
        <v>2566</v>
      </c>
      <c r="J443" s="146">
        <v>30500101218101</v>
      </c>
      <c r="K443" s="147" t="s">
        <v>431</v>
      </c>
      <c r="L443" s="147"/>
      <c r="M443" s="147">
        <v>7</v>
      </c>
      <c r="N443" s="148" t="s">
        <v>2567</v>
      </c>
      <c r="O443" s="144" t="s">
        <v>2568</v>
      </c>
      <c r="P443" s="148" t="s">
        <v>2569</v>
      </c>
      <c r="Q443" s="144" t="s">
        <v>2570</v>
      </c>
      <c r="R443" s="144" t="s">
        <v>2571</v>
      </c>
      <c r="S443" s="149" t="s">
        <v>2572</v>
      </c>
      <c r="T443" s="131">
        <v>120</v>
      </c>
      <c r="U443" s="132">
        <v>170</v>
      </c>
      <c r="V443" s="132">
        <v>80</v>
      </c>
      <c r="W443" s="402" t="s">
        <v>3403</v>
      </c>
      <c r="X443" s="402" t="s">
        <v>2880</v>
      </c>
      <c r="Y443" s="142">
        <v>370</v>
      </c>
      <c r="Z443" s="131">
        <v>0</v>
      </c>
      <c r="AA443" s="132">
        <v>0</v>
      </c>
      <c r="AB443" s="132">
        <v>0</v>
      </c>
      <c r="AC443" s="111"/>
      <c r="AD443" s="402"/>
      <c r="AE443" s="142">
        <v>0</v>
      </c>
      <c r="AF443" s="150">
        <f t="shared" si="8"/>
        <v>370</v>
      </c>
      <c r="AG443" s="152"/>
      <c r="AH443" s="403"/>
    </row>
    <row r="444" spans="1:34" s="78" customFormat="1" ht="12" customHeight="1">
      <c r="A444" s="100">
        <v>3086</v>
      </c>
      <c r="B444" s="101" t="s">
        <v>2880</v>
      </c>
      <c r="C444" s="101" t="s">
        <v>2880</v>
      </c>
      <c r="D444" s="101" t="s">
        <v>3403</v>
      </c>
      <c r="E444" s="100">
        <v>3</v>
      </c>
      <c r="F444" s="427">
        <v>3</v>
      </c>
      <c r="G444" s="103">
        <v>441</v>
      </c>
      <c r="H444" s="144" t="s">
        <v>2573</v>
      </c>
      <c r="I444" s="148" t="s">
        <v>2573</v>
      </c>
      <c r="J444" s="146">
        <v>10500101942902</v>
      </c>
      <c r="K444" s="147" t="s">
        <v>353</v>
      </c>
      <c r="L444" s="147"/>
      <c r="M444" s="147">
        <v>8</v>
      </c>
      <c r="N444" s="148" t="s">
        <v>1022</v>
      </c>
      <c r="O444" s="144" t="s">
        <v>2574</v>
      </c>
      <c r="P444" s="148">
        <v>2842112</v>
      </c>
      <c r="Q444" s="144" t="s">
        <v>1024</v>
      </c>
      <c r="R444" s="144" t="s">
        <v>2575</v>
      </c>
      <c r="S444" s="149" t="s">
        <v>2576</v>
      </c>
      <c r="T444" s="131">
        <v>300</v>
      </c>
      <c r="U444" s="132">
        <v>120</v>
      </c>
      <c r="V444" s="132">
        <v>0</v>
      </c>
      <c r="W444" s="402" t="s">
        <v>3403</v>
      </c>
      <c r="X444" s="402" t="s">
        <v>2880</v>
      </c>
      <c r="Y444" s="142">
        <v>420</v>
      </c>
      <c r="Z444" s="131">
        <v>0</v>
      </c>
      <c r="AA444" s="132">
        <v>0</v>
      </c>
      <c r="AB444" s="132">
        <v>0</v>
      </c>
      <c r="AC444" s="111"/>
      <c r="AD444" s="402"/>
      <c r="AE444" s="142">
        <v>0</v>
      </c>
      <c r="AF444" s="150">
        <f t="shared" si="8"/>
        <v>420</v>
      </c>
      <c r="AG444" s="174"/>
      <c r="AH444" s="403"/>
    </row>
    <row r="445" spans="1:34" s="78" customFormat="1" ht="12" customHeight="1">
      <c r="A445" s="100">
        <v>3087</v>
      </c>
      <c r="B445" s="101" t="s">
        <v>2880</v>
      </c>
      <c r="C445" s="101" t="s">
        <v>2880</v>
      </c>
      <c r="D445" s="101" t="s">
        <v>3403</v>
      </c>
      <c r="E445" s="100">
        <v>3</v>
      </c>
      <c r="F445" s="427">
        <v>3</v>
      </c>
      <c r="G445" s="103">
        <v>442</v>
      </c>
      <c r="H445" s="144" t="s">
        <v>2577</v>
      </c>
      <c r="I445" s="148" t="s">
        <v>2577</v>
      </c>
      <c r="J445" s="146">
        <v>10500102613102</v>
      </c>
      <c r="K445" s="147" t="s">
        <v>353</v>
      </c>
      <c r="L445" s="147"/>
      <c r="M445" s="147">
        <v>8</v>
      </c>
      <c r="N445" s="148" t="s">
        <v>1032</v>
      </c>
      <c r="O445" s="144" t="s">
        <v>2578</v>
      </c>
      <c r="P445" s="148">
        <v>2210099</v>
      </c>
      <c r="Q445" s="144" t="s">
        <v>1034</v>
      </c>
      <c r="R445" s="144" t="s">
        <v>2579</v>
      </c>
      <c r="S445" s="149" t="s">
        <v>2580</v>
      </c>
      <c r="T445" s="131">
        <v>213</v>
      </c>
      <c r="U445" s="132">
        <v>63</v>
      </c>
      <c r="V445" s="132">
        <v>0</v>
      </c>
      <c r="W445" s="402" t="s">
        <v>3403</v>
      </c>
      <c r="X445" s="402" t="s">
        <v>2880</v>
      </c>
      <c r="Y445" s="142">
        <v>276</v>
      </c>
      <c r="Z445" s="131">
        <v>0</v>
      </c>
      <c r="AA445" s="132">
        <v>0</v>
      </c>
      <c r="AB445" s="132">
        <v>0</v>
      </c>
      <c r="AC445" s="111"/>
      <c r="AD445" s="402"/>
      <c r="AE445" s="142">
        <v>0</v>
      </c>
      <c r="AF445" s="150">
        <f t="shared" si="8"/>
        <v>276</v>
      </c>
      <c r="AG445" s="174"/>
      <c r="AH445" s="403"/>
    </row>
    <row r="446" spans="1:34" s="78" customFormat="1" ht="12" customHeight="1">
      <c r="A446" s="100">
        <v>3088</v>
      </c>
      <c r="B446" s="101" t="s">
        <v>2880</v>
      </c>
      <c r="C446" s="101" t="s">
        <v>2880</v>
      </c>
      <c r="D446" s="101" t="s">
        <v>3403</v>
      </c>
      <c r="E446" s="100">
        <v>3</v>
      </c>
      <c r="F446" s="427">
        <v>3</v>
      </c>
      <c r="G446" s="103">
        <v>443</v>
      </c>
      <c r="H446" s="144" t="s">
        <v>2581</v>
      </c>
      <c r="I446" s="148" t="s">
        <v>2581</v>
      </c>
      <c r="J446" s="146">
        <v>10500101269601</v>
      </c>
      <c r="K446" s="147" t="s">
        <v>353</v>
      </c>
      <c r="L446" s="147"/>
      <c r="M446" s="147">
        <v>8</v>
      </c>
      <c r="N446" s="148" t="s">
        <v>1156</v>
      </c>
      <c r="O446" s="144" t="s">
        <v>2582</v>
      </c>
      <c r="P446" s="148">
        <v>3200510</v>
      </c>
      <c r="Q446" s="144" t="s">
        <v>1040</v>
      </c>
      <c r="R446" s="144" t="s">
        <v>2583</v>
      </c>
      <c r="S446" s="149" t="s">
        <v>2584</v>
      </c>
      <c r="T446" s="131">
        <v>0</v>
      </c>
      <c r="U446" s="132">
        <v>296</v>
      </c>
      <c r="V446" s="132">
        <v>154</v>
      </c>
      <c r="W446" s="402" t="s">
        <v>3403</v>
      </c>
      <c r="X446" s="402" t="s">
        <v>2880</v>
      </c>
      <c r="Y446" s="142">
        <v>450</v>
      </c>
      <c r="Z446" s="131">
        <v>0</v>
      </c>
      <c r="AA446" s="132">
        <v>0</v>
      </c>
      <c r="AB446" s="132">
        <v>0</v>
      </c>
      <c r="AC446" s="111"/>
      <c r="AD446" s="402"/>
      <c r="AE446" s="142">
        <v>0</v>
      </c>
      <c r="AF446" s="150">
        <f t="shared" si="8"/>
        <v>450</v>
      </c>
      <c r="AG446" s="174"/>
      <c r="AH446" s="403"/>
    </row>
    <row r="447" spans="1:34" s="78" customFormat="1" ht="12" customHeight="1">
      <c r="A447" s="100">
        <v>3089</v>
      </c>
      <c r="B447" s="101" t="s">
        <v>2880</v>
      </c>
      <c r="C447" s="101" t="s">
        <v>2880</v>
      </c>
      <c r="D447" s="101" t="s">
        <v>3404</v>
      </c>
      <c r="E447" s="100">
        <v>3</v>
      </c>
      <c r="F447" s="427">
        <v>3</v>
      </c>
      <c r="G447" s="103">
        <v>444</v>
      </c>
      <c r="H447" s="144" t="s">
        <v>2585</v>
      </c>
      <c r="I447" s="148" t="s">
        <v>2585</v>
      </c>
      <c r="J447" s="146">
        <v>10500100035303</v>
      </c>
      <c r="K447" s="147" t="s">
        <v>353</v>
      </c>
      <c r="L447" s="147"/>
      <c r="M447" s="147">
        <v>8</v>
      </c>
      <c r="N447" s="148" t="s">
        <v>2586</v>
      </c>
      <c r="O447" s="144" t="s">
        <v>2587</v>
      </c>
      <c r="P447" s="148" t="s">
        <v>2588</v>
      </c>
      <c r="Q447" s="144" t="s">
        <v>1178</v>
      </c>
      <c r="R447" s="144" t="s">
        <v>2589</v>
      </c>
      <c r="S447" s="149" t="s">
        <v>2590</v>
      </c>
      <c r="T447" s="131">
        <v>91</v>
      </c>
      <c r="U447" s="132">
        <v>49</v>
      </c>
      <c r="V447" s="132">
        <v>0</v>
      </c>
      <c r="W447" s="402" t="s">
        <v>3403</v>
      </c>
      <c r="X447" s="402" t="s">
        <v>2880</v>
      </c>
      <c r="Y447" s="142">
        <v>140</v>
      </c>
      <c r="Z447" s="131">
        <v>45</v>
      </c>
      <c r="AA447" s="132">
        <v>27</v>
      </c>
      <c r="AB447" s="132">
        <v>0</v>
      </c>
      <c r="AC447" s="429" t="s">
        <v>3399</v>
      </c>
      <c r="AD447" s="430" t="s">
        <v>2880</v>
      </c>
      <c r="AE447" s="192">
        <v>72</v>
      </c>
      <c r="AF447" s="150">
        <f t="shared" si="8"/>
        <v>212</v>
      </c>
      <c r="AG447" s="174"/>
      <c r="AH447" s="403"/>
    </row>
    <row r="448" spans="1:34" s="78" customFormat="1" ht="12" customHeight="1">
      <c r="A448" s="100">
        <v>3090</v>
      </c>
      <c r="B448" s="101" t="s">
        <v>2880</v>
      </c>
      <c r="C448" s="101" t="s">
        <v>2880</v>
      </c>
      <c r="D448" s="101" t="s">
        <v>3404</v>
      </c>
      <c r="E448" s="100">
        <v>3</v>
      </c>
      <c r="F448" s="427">
        <v>3</v>
      </c>
      <c r="G448" s="103">
        <v>445</v>
      </c>
      <c r="H448" s="144" t="s">
        <v>2591</v>
      </c>
      <c r="I448" s="148" t="s">
        <v>2591</v>
      </c>
      <c r="J448" s="146">
        <v>10500100056601</v>
      </c>
      <c r="K448" s="147" t="s">
        <v>353</v>
      </c>
      <c r="L448" s="147"/>
      <c r="M448" s="147">
        <v>8</v>
      </c>
      <c r="N448" s="148" t="s">
        <v>1055</v>
      </c>
      <c r="O448" s="144" t="s">
        <v>2592</v>
      </c>
      <c r="P448" s="148">
        <v>2168993</v>
      </c>
      <c r="Q448" s="144" t="s">
        <v>1057</v>
      </c>
      <c r="R448" s="144" t="s">
        <v>2593</v>
      </c>
      <c r="S448" s="149" t="s">
        <v>2594</v>
      </c>
      <c r="T448" s="131">
        <v>82</v>
      </c>
      <c r="U448" s="132">
        <v>120</v>
      </c>
      <c r="V448" s="132">
        <v>34</v>
      </c>
      <c r="W448" s="402" t="s">
        <v>3403</v>
      </c>
      <c r="X448" s="402" t="s">
        <v>2880</v>
      </c>
      <c r="Y448" s="142">
        <v>236</v>
      </c>
      <c r="Z448" s="131">
        <v>100</v>
      </c>
      <c r="AA448" s="132">
        <v>111</v>
      </c>
      <c r="AB448" s="132">
        <v>53</v>
      </c>
      <c r="AC448" s="111" t="s">
        <v>3399</v>
      </c>
      <c r="AD448" s="402" t="s">
        <v>2880</v>
      </c>
      <c r="AE448" s="142">
        <v>264</v>
      </c>
      <c r="AF448" s="150">
        <f t="shared" si="8"/>
        <v>500</v>
      </c>
      <c r="AG448" s="174"/>
      <c r="AH448" s="403"/>
    </row>
    <row r="449" spans="1:34" s="78" customFormat="1" ht="12" customHeight="1">
      <c r="A449" s="100">
        <v>3091</v>
      </c>
      <c r="B449" s="101" t="s">
        <v>2880</v>
      </c>
      <c r="C449" s="101" t="s">
        <v>2880</v>
      </c>
      <c r="D449" s="101" t="s">
        <v>3404</v>
      </c>
      <c r="E449" s="100">
        <v>3</v>
      </c>
      <c r="F449" s="427">
        <v>3</v>
      </c>
      <c r="G449" s="103">
        <v>446</v>
      </c>
      <c r="H449" s="144" t="s">
        <v>2595</v>
      </c>
      <c r="I449" s="148" t="s">
        <v>2595</v>
      </c>
      <c r="J449" s="146">
        <v>10500100165101</v>
      </c>
      <c r="K449" s="147" t="s">
        <v>353</v>
      </c>
      <c r="L449" s="147"/>
      <c r="M449" s="147">
        <v>8</v>
      </c>
      <c r="N449" s="148" t="s">
        <v>2596</v>
      </c>
      <c r="O449" s="144" t="s">
        <v>2597</v>
      </c>
      <c r="P449" s="148">
        <v>2540988</v>
      </c>
      <c r="Q449" s="144" t="s">
        <v>2598</v>
      </c>
      <c r="R449" s="144" t="s">
        <v>2599</v>
      </c>
      <c r="S449" s="149" t="s">
        <v>2600</v>
      </c>
      <c r="T449" s="131">
        <v>200</v>
      </c>
      <c r="U449" s="132">
        <v>190</v>
      </c>
      <c r="V449" s="132">
        <v>10</v>
      </c>
      <c r="W449" s="402" t="s">
        <v>3403</v>
      </c>
      <c r="X449" s="402" t="s">
        <v>2880</v>
      </c>
      <c r="Y449" s="142">
        <v>400</v>
      </c>
      <c r="Z449" s="131">
        <v>0</v>
      </c>
      <c r="AA449" s="132">
        <v>52</v>
      </c>
      <c r="AB449" s="132">
        <v>98</v>
      </c>
      <c r="AC449" s="111" t="s">
        <v>3399</v>
      </c>
      <c r="AD449" s="402" t="s">
        <v>2880</v>
      </c>
      <c r="AE449" s="142">
        <v>150</v>
      </c>
      <c r="AF449" s="150">
        <f t="shared" si="8"/>
        <v>550</v>
      </c>
      <c r="AG449" s="174"/>
      <c r="AH449" s="403"/>
    </row>
    <row r="450" spans="1:34" s="78" customFormat="1" ht="12" customHeight="1">
      <c r="A450" s="100">
        <v>3092</v>
      </c>
      <c r="B450" s="101" t="s">
        <v>2880</v>
      </c>
      <c r="C450" s="101" t="s">
        <v>2880</v>
      </c>
      <c r="D450" s="101" t="s">
        <v>3403</v>
      </c>
      <c r="E450" s="100">
        <v>3</v>
      </c>
      <c r="F450" s="427">
        <v>3</v>
      </c>
      <c r="G450" s="103">
        <v>447</v>
      </c>
      <c r="H450" s="144" t="s">
        <v>2601</v>
      </c>
      <c r="I450" s="148" t="s">
        <v>2601</v>
      </c>
      <c r="J450" s="146">
        <v>10500100278001</v>
      </c>
      <c r="K450" s="147" t="s">
        <v>353</v>
      </c>
      <c r="L450" s="147"/>
      <c r="M450" s="147">
        <v>8</v>
      </c>
      <c r="N450" s="148" t="s">
        <v>1072</v>
      </c>
      <c r="O450" s="144" t="s">
        <v>2602</v>
      </c>
      <c r="P450" s="148">
        <v>2690520</v>
      </c>
      <c r="Q450" s="144" t="s">
        <v>2603</v>
      </c>
      <c r="R450" s="144" t="s">
        <v>2604</v>
      </c>
      <c r="S450" s="149" t="s">
        <v>2605</v>
      </c>
      <c r="T450" s="131">
        <v>329</v>
      </c>
      <c r="U450" s="132">
        <v>246</v>
      </c>
      <c r="V450" s="132">
        <v>53</v>
      </c>
      <c r="W450" s="402" t="s">
        <v>3403</v>
      </c>
      <c r="X450" s="402" t="s">
        <v>2880</v>
      </c>
      <c r="Y450" s="142">
        <v>628</v>
      </c>
      <c r="Z450" s="131">
        <v>0</v>
      </c>
      <c r="AA450" s="132">
        <v>0</v>
      </c>
      <c r="AB450" s="132">
        <v>0</v>
      </c>
      <c r="AC450" s="111"/>
      <c r="AD450" s="402"/>
      <c r="AE450" s="142">
        <v>0</v>
      </c>
      <c r="AF450" s="150">
        <f t="shared" si="8"/>
        <v>628</v>
      </c>
      <c r="AG450" s="174"/>
      <c r="AH450" s="403"/>
    </row>
    <row r="451" spans="1:34" s="78" customFormat="1" ht="12" customHeight="1">
      <c r="A451" s="100">
        <v>3093</v>
      </c>
      <c r="B451" s="101" t="s">
        <v>2880</v>
      </c>
      <c r="C451" s="101" t="s">
        <v>2880</v>
      </c>
      <c r="D451" s="101" t="s">
        <v>3404</v>
      </c>
      <c r="E451" s="100">
        <v>3</v>
      </c>
      <c r="F451" s="427">
        <v>3</v>
      </c>
      <c r="G451" s="103">
        <v>448</v>
      </c>
      <c r="H451" s="144" t="s">
        <v>2606</v>
      </c>
      <c r="I451" s="148" t="s">
        <v>2606</v>
      </c>
      <c r="J451" s="146">
        <v>10500100541001</v>
      </c>
      <c r="K451" s="147" t="s">
        <v>353</v>
      </c>
      <c r="L451" s="147"/>
      <c r="M451" s="147">
        <v>8</v>
      </c>
      <c r="N451" s="148" t="s">
        <v>2586</v>
      </c>
      <c r="O451" s="144" t="s">
        <v>2607</v>
      </c>
      <c r="P451" s="148" t="s">
        <v>2608</v>
      </c>
      <c r="Q451" s="144" t="s">
        <v>2609</v>
      </c>
      <c r="R451" s="144" t="s">
        <v>2610</v>
      </c>
      <c r="S451" s="149" t="s">
        <v>2611</v>
      </c>
      <c r="T451" s="131">
        <v>221</v>
      </c>
      <c r="U451" s="132">
        <v>170</v>
      </c>
      <c r="V451" s="132">
        <v>29</v>
      </c>
      <c r="W451" s="402" t="s">
        <v>3403</v>
      </c>
      <c r="X451" s="402" t="s">
        <v>2880</v>
      </c>
      <c r="Y451" s="142">
        <v>420</v>
      </c>
      <c r="Z451" s="131">
        <v>0</v>
      </c>
      <c r="AA451" s="132">
        <v>56</v>
      </c>
      <c r="AB451" s="132">
        <v>64</v>
      </c>
      <c r="AC451" s="111" t="s">
        <v>3399</v>
      </c>
      <c r="AD451" s="402" t="s">
        <v>2880</v>
      </c>
      <c r="AE451" s="142">
        <v>120</v>
      </c>
      <c r="AF451" s="150">
        <f t="shared" si="8"/>
        <v>540</v>
      </c>
      <c r="AG451" s="174"/>
      <c r="AH451" s="403"/>
    </row>
    <row r="452" spans="1:34" s="78" customFormat="1" ht="12" customHeight="1">
      <c r="A452" s="100">
        <v>3094</v>
      </c>
      <c r="B452" s="101" t="s">
        <v>2880</v>
      </c>
      <c r="C452" s="101" t="s">
        <v>2880</v>
      </c>
      <c r="D452" s="101" t="s">
        <v>3403</v>
      </c>
      <c r="E452" s="100">
        <v>3</v>
      </c>
      <c r="F452" s="427">
        <v>3</v>
      </c>
      <c r="G452" s="103">
        <v>449</v>
      </c>
      <c r="H452" s="144" t="s">
        <v>2612</v>
      </c>
      <c r="I452" s="148" t="s">
        <v>2612</v>
      </c>
      <c r="J452" s="146">
        <v>10500100541002</v>
      </c>
      <c r="K452" s="147" t="s">
        <v>353</v>
      </c>
      <c r="L452" s="147"/>
      <c r="M452" s="147">
        <v>8</v>
      </c>
      <c r="N452" s="148" t="s">
        <v>2586</v>
      </c>
      <c r="O452" s="144" t="s">
        <v>2613</v>
      </c>
      <c r="P452" s="148">
        <v>2546018</v>
      </c>
      <c r="Q452" s="144" t="s">
        <v>2609</v>
      </c>
      <c r="R452" s="144" t="s">
        <v>2614</v>
      </c>
      <c r="S452" s="149" t="s">
        <v>2615</v>
      </c>
      <c r="T452" s="131">
        <v>0</v>
      </c>
      <c r="U452" s="132">
        <v>230</v>
      </c>
      <c r="V452" s="132">
        <v>0</v>
      </c>
      <c r="W452" s="402" t="s">
        <v>3403</v>
      </c>
      <c r="X452" s="402" t="s">
        <v>2880</v>
      </c>
      <c r="Y452" s="142">
        <v>230</v>
      </c>
      <c r="Z452" s="131">
        <v>0</v>
      </c>
      <c r="AA452" s="132">
        <v>0</v>
      </c>
      <c r="AB452" s="132">
        <v>0</v>
      </c>
      <c r="AC452" s="111"/>
      <c r="AD452" s="402"/>
      <c r="AE452" s="142">
        <v>0</v>
      </c>
      <c r="AF452" s="150">
        <f t="shared" si="8"/>
        <v>230</v>
      </c>
      <c r="AG452" s="174"/>
      <c r="AH452" s="403"/>
    </row>
    <row r="453" spans="1:34" s="78" customFormat="1" ht="12" customHeight="1">
      <c r="A453" s="100">
        <v>3095</v>
      </c>
      <c r="B453" s="101" t="s">
        <v>2880</v>
      </c>
      <c r="C453" s="101" t="s">
        <v>2880</v>
      </c>
      <c r="D453" s="101" t="s">
        <v>3403</v>
      </c>
      <c r="E453" s="100">
        <v>3</v>
      </c>
      <c r="F453" s="427">
        <v>3</v>
      </c>
      <c r="G453" s="103">
        <v>450</v>
      </c>
      <c r="H453" s="144" t="s">
        <v>2616</v>
      </c>
      <c r="I453" s="148" t="s">
        <v>2616</v>
      </c>
      <c r="J453" s="146">
        <v>10500102577103</v>
      </c>
      <c r="K453" s="147" t="s">
        <v>353</v>
      </c>
      <c r="L453" s="147"/>
      <c r="M453" s="147">
        <v>8</v>
      </c>
      <c r="N453" s="148" t="s">
        <v>1083</v>
      </c>
      <c r="O453" s="144" t="s">
        <v>2617</v>
      </c>
      <c r="P453" s="148">
        <v>2545311</v>
      </c>
      <c r="Q453" s="144" t="s">
        <v>1085</v>
      </c>
      <c r="R453" s="144" t="s">
        <v>2618</v>
      </c>
      <c r="S453" s="149" t="s">
        <v>2619</v>
      </c>
      <c r="T453" s="131">
        <v>185</v>
      </c>
      <c r="U453" s="132">
        <v>120</v>
      </c>
      <c r="V453" s="132">
        <v>0</v>
      </c>
      <c r="W453" s="402" t="s">
        <v>3403</v>
      </c>
      <c r="X453" s="402" t="s">
        <v>2880</v>
      </c>
      <c r="Y453" s="142">
        <v>305</v>
      </c>
      <c r="Z453" s="131">
        <v>0</v>
      </c>
      <c r="AA453" s="132">
        <v>0</v>
      </c>
      <c r="AB453" s="132">
        <v>0</v>
      </c>
      <c r="AC453" s="111"/>
      <c r="AD453" s="402"/>
      <c r="AE453" s="142">
        <v>0</v>
      </c>
      <c r="AF453" s="150">
        <f t="shared" si="8"/>
        <v>305</v>
      </c>
      <c r="AG453" s="174"/>
      <c r="AH453" s="403"/>
    </row>
    <row r="454" spans="1:34" s="78" customFormat="1" ht="12" customHeight="1">
      <c r="A454" s="100">
        <v>3096</v>
      </c>
      <c r="B454" s="101" t="s">
        <v>2880</v>
      </c>
      <c r="C454" s="101" t="s">
        <v>2880</v>
      </c>
      <c r="D454" s="101" t="s">
        <v>3403</v>
      </c>
      <c r="E454" s="100">
        <v>3</v>
      </c>
      <c r="F454" s="427">
        <v>3</v>
      </c>
      <c r="G454" s="103">
        <v>451</v>
      </c>
      <c r="H454" s="144" t="s">
        <v>2620</v>
      </c>
      <c r="I454" s="148" t="s">
        <v>2620</v>
      </c>
      <c r="J454" s="146">
        <v>30500101969002</v>
      </c>
      <c r="K454" s="147" t="s">
        <v>353</v>
      </c>
      <c r="L454" s="147"/>
      <c r="M454" s="147">
        <v>8</v>
      </c>
      <c r="N454" s="148" t="s">
        <v>1756</v>
      </c>
      <c r="O454" s="144" t="s">
        <v>2621</v>
      </c>
      <c r="P454" s="148">
        <v>2261590</v>
      </c>
      <c r="Q454" s="144" t="s">
        <v>2622</v>
      </c>
      <c r="R454" s="144" t="s">
        <v>2623</v>
      </c>
      <c r="S454" s="149" t="s">
        <v>1180</v>
      </c>
      <c r="T454" s="131">
        <v>190</v>
      </c>
      <c r="U454" s="132">
        <v>70</v>
      </c>
      <c r="V454" s="132">
        <v>0</v>
      </c>
      <c r="W454" s="402" t="s">
        <v>3403</v>
      </c>
      <c r="X454" s="402" t="s">
        <v>2880</v>
      </c>
      <c r="Y454" s="142">
        <v>260</v>
      </c>
      <c r="Z454" s="131">
        <v>0</v>
      </c>
      <c r="AA454" s="132">
        <v>0</v>
      </c>
      <c r="AB454" s="132">
        <v>0</v>
      </c>
      <c r="AC454" s="111"/>
      <c r="AD454" s="402"/>
      <c r="AE454" s="142">
        <v>0</v>
      </c>
      <c r="AF454" s="150">
        <f t="shared" si="8"/>
        <v>260</v>
      </c>
      <c r="AG454" s="173"/>
      <c r="AH454" s="403"/>
    </row>
    <row r="455" spans="1:34" s="78" customFormat="1" ht="12" customHeight="1">
      <c r="A455" s="100">
        <v>3097</v>
      </c>
      <c r="B455" s="101" t="s">
        <v>2880</v>
      </c>
      <c r="C455" s="101" t="s">
        <v>2880</v>
      </c>
      <c r="D455" s="101" t="s">
        <v>3404</v>
      </c>
      <c r="E455" s="100">
        <v>3</v>
      </c>
      <c r="F455" s="427">
        <v>3</v>
      </c>
      <c r="G455" s="103">
        <v>452</v>
      </c>
      <c r="H455" s="144" t="s">
        <v>2624</v>
      </c>
      <c r="I455" s="148" t="s">
        <v>2624</v>
      </c>
      <c r="J455" s="146">
        <v>10500101107001</v>
      </c>
      <c r="K455" s="147" t="s">
        <v>353</v>
      </c>
      <c r="L455" s="147"/>
      <c r="M455" s="147">
        <v>9</v>
      </c>
      <c r="N455" s="148" t="s">
        <v>1089</v>
      </c>
      <c r="O455" s="144" t="s">
        <v>2625</v>
      </c>
      <c r="P455" s="148">
        <v>2692880</v>
      </c>
      <c r="Q455" s="144" t="s">
        <v>1091</v>
      </c>
      <c r="R455" s="144" t="s">
        <v>2626</v>
      </c>
      <c r="S455" s="149" t="s">
        <v>2627</v>
      </c>
      <c r="T455" s="131">
        <v>88</v>
      </c>
      <c r="U455" s="132">
        <v>212</v>
      </c>
      <c r="V455" s="132">
        <v>90</v>
      </c>
      <c r="W455" s="402" t="s">
        <v>3403</v>
      </c>
      <c r="X455" s="402" t="s">
        <v>2880</v>
      </c>
      <c r="Y455" s="142">
        <v>390</v>
      </c>
      <c r="Z455" s="131">
        <v>76</v>
      </c>
      <c r="AA455" s="132">
        <v>324</v>
      </c>
      <c r="AB455" s="132">
        <v>130</v>
      </c>
      <c r="AC455" s="111" t="s">
        <v>3399</v>
      </c>
      <c r="AD455" s="402" t="s">
        <v>2880</v>
      </c>
      <c r="AE455" s="142">
        <v>530</v>
      </c>
      <c r="AF455" s="150">
        <f t="shared" si="8"/>
        <v>920</v>
      </c>
      <c r="AG455" s="174"/>
      <c r="AH455" s="403"/>
    </row>
    <row r="456" spans="1:34" s="78" customFormat="1" ht="12" customHeight="1">
      <c r="A456" s="100">
        <v>3098</v>
      </c>
      <c r="B456" s="101" t="s">
        <v>2880</v>
      </c>
      <c r="C456" s="101" t="s">
        <v>2880</v>
      </c>
      <c r="D456" s="101" t="s">
        <v>3403</v>
      </c>
      <c r="E456" s="100">
        <v>3</v>
      </c>
      <c r="F456" s="427">
        <v>3</v>
      </c>
      <c r="G456" s="103">
        <v>453</v>
      </c>
      <c r="H456" s="144" t="s">
        <v>2628</v>
      </c>
      <c r="I456" s="148" t="s">
        <v>2628</v>
      </c>
      <c r="J456" s="146">
        <v>10500101107003</v>
      </c>
      <c r="K456" s="147" t="s">
        <v>353</v>
      </c>
      <c r="L456" s="147"/>
      <c r="M456" s="147">
        <v>9</v>
      </c>
      <c r="N456" s="148" t="s">
        <v>2629</v>
      </c>
      <c r="O456" s="144" t="s">
        <v>2630</v>
      </c>
      <c r="P456" s="148">
        <v>2167445</v>
      </c>
      <c r="Q456" s="144" t="s">
        <v>1091</v>
      </c>
      <c r="R456" s="144" t="s">
        <v>2631</v>
      </c>
      <c r="S456" s="149" t="s">
        <v>2632</v>
      </c>
      <c r="T456" s="131">
        <v>94</v>
      </c>
      <c r="U456" s="132">
        <v>72</v>
      </c>
      <c r="V456" s="132">
        <v>0</v>
      </c>
      <c r="W456" s="402" t="s">
        <v>3403</v>
      </c>
      <c r="X456" s="402" t="s">
        <v>2880</v>
      </c>
      <c r="Y456" s="142">
        <v>166</v>
      </c>
      <c r="Z456" s="131">
        <v>0</v>
      </c>
      <c r="AA456" s="132">
        <v>0</v>
      </c>
      <c r="AB456" s="132">
        <v>0</v>
      </c>
      <c r="AC456" s="111"/>
      <c r="AD456" s="402"/>
      <c r="AE456" s="142">
        <v>0</v>
      </c>
      <c r="AF456" s="150">
        <f t="shared" si="8"/>
        <v>166</v>
      </c>
      <c r="AG456" s="174"/>
      <c r="AH456" s="403"/>
    </row>
    <row r="457" spans="1:34" s="78" customFormat="1" ht="12" customHeight="1">
      <c r="A457" s="100">
        <v>3099</v>
      </c>
      <c r="B457" s="101" t="s">
        <v>2880</v>
      </c>
      <c r="C457" s="101" t="s">
        <v>2880</v>
      </c>
      <c r="D457" s="101" t="s">
        <v>3403</v>
      </c>
      <c r="E457" s="100">
        <v>3</v>
      </c>
      <c r="F457" s="427">
        <v>3</v>
      </c>
      <c r="G457" s="103">
        <v>454</v>
      </c>
      <c r="H457" s="144" t="s">
        <v>2633</v>
      </c>
      <c r="I457" s="148" t="s">
        <v>2633</v>
      </c>
      <c r="J457" s="146">
        <v>10500101107004</v>
      </c>
      <c r="K457" s="147" t="s">
        <v>353</v>
      </c>
      <c r="L457" s="147"/>
      <c r="M457" s="147">
        <v>9</v>
      </c>
      <c r="N457" s="148" t="s">
        <v>1121</v>
      </c>
      <c r="O457" s="144" t="s">
        <v>2634</v>
      </c>
      <c r="P457" s="148">
        <v>2936127</v>
      </c>
      <c r="Q457" s="144" t="s">
        <v>1091</v>
      </c>
      <c r="R457" s="144" t="s">
        <v>2631</v>
      </c>
      <c r="S457" s="149" t="s">
        <v>2632</v>
      </c>
      <c r="T457" s="131">
        <v>75</v>
      </c>
      <c r="U457" s="132">
        <v>70</v>
      </c>
      <c r="V457" s="132">
        <v>0</v>
      </c>
      <c r="W457" s="402" t="s">
        <v>3403</v>
      </c>
      <c r="X457" s="402" t="s">
        <v>2880</v>
      </c>
      <c r="Y457" s="142">
        <v>145</v>
      </c>
      <c r="Z457" s="131">
        <v>0</v>
      </c>
      <c r="AA457" s="132">
        <v>0</v>
      </c>
      <c r="AB457" s="132">
        <v>0</v>
      </c>
      <c r="AC457" s="111"/>
      <c r="AD457" s="402"/>
      <c r="AE457" s="142">
        <v>0</v>
      </c>
      <c r="AF457" s="150">
        <f t="shared" si="8"/>
        <v>145</v>
      </c>
      <c r="AG457" s="174"/>
      <c r="AH457" s="403"/>
    </row>
    <row r="458" spans="1:34" s="78" customFormat="1" ht="12" customHeight="1">
      <c r="A458" s="100">
        <v>3100</v>
      </c>
      <c r="B458" s="101" t="s">
        <v>2880</v>
      </c>
      <c r="C458" s="101" t="s">
        <v>2880</v>
      </c>
      <c r="D458" s="101" t="s">
        <v>3404</v>
      </c>
      <c r="E458" s="100">
        <v>3</v>
      </c>
      <c r="F458" s="427">
        <v>3</v>
      </c>
      <c r="G458" s="103">
        <v>455</v>
      </c>
      <c r="H458" s="144" t="s">
        <v>2635</v>
      </c>
      <c r="I458" s="148" t="s">
        <v>2635</v>
      </c>
      <c r="J458" s="146">
        <v>10500101085501</v>
      </c>
      <c r="K458" s="147" t="s">
        <v>353</v>
      </c>
      <c r="L458" s="147"/>
      <c r="M458" s="147">
        <v>9</v>
      </c>
      <c r="N458" s="148" t="s">
        <v>1115</v>
      </c>
      <c r="O458" s="144" t="s">
        <v>2636</v>
      </c>
      <c r="P458" s="148">
        <v>2178032</v>
      </c>
      <c r="Q458" s="144" t="s">
        <v>1808</v>
      </c>
      <c r="R458" s="144" t="s">
        <v>2637</v>
      </c>
      <c r="S458" s="149" t="s">
        <v>2638</v>
      </c>
      <c r="T458" s="131">
        <v>0</v>
      </c>
      <c r="U458" s="132">
        <v>121</v>
      </c>
      <c r="V458" s="132">
        <v>69</v>
      </c>
      <c r="W458" s="402" t="s">
        <v>3403</v>
      </c>
      <c r="X458" s="402" t="s">
        <v>2880</v>
      </c>
      <c r="Y458" s="142">
        <v>190</v>
      </c>
      <c r="Z458" s="131">
        <v>0</v>
      </c>
      <c r="AA458" s="132">
        <v>98</v>
      </c>
      <c r="AB458" s="132">
        <v>72</v>
      </c>
      <c r="AC458" s="111" t="s">
        <v>3399</v>
      </c>
      <c r="AD458" s="402" t="s">
        <v>2880</v>
      </c>
      <c r="AE458" s="142">
        <v>170</v>
      </c>
      <c r="AF458" s="150">
        <f t="shared" si="8"/>
        <v>360</v>
      </c>
      <c r="AG458" s="174"/>
      <c r="AH458" s="403"/>
    </row>
    <row r="459" spans="1:34" s="78" customFormat="1" ht="12" customHeight="1">
      <c r="A459" s="100">
        <v>3101</v>
      </c>
      <c r="B459" s="101" t="s">
        <v>2880</v>
      </c>
      <c r="C459" s="101" t="s">
        <v>2880</v>
      </c>
      <c r="D459" s="101" t="s">
        <v>3403</v>
      </c>
      <c r="E459" s="100">
        <v>3</v>
      </c>
      <c r="F459" s="427">
        <v>3</v>
      </c>
      <c r="G459" s="103">
        <v>456</v>
      </c>
      <c r="H459" s="144" t="s">
        <v>2639</v>
      </c>
      <c r="I459" s="148" t="s">
        <v>2639</v>
      </c>
      <c r="J459" s="146">
        <v>10500100838902</v>
      </c>
      <c r="K459" s="147" t="s">
        <v>353</v>
      </c>
      <c r="L459" s="147"/>
      <c r="M459" s="147">
        <v>9</v>
      </c>
      <c r="N459" s="148" t="s">
        <v>1811</v>
      </c>
      <c r="O459" s="144" t="s">
        <v>2640</v>
      </c>
      <c r="P459" s="148" t="s">
        <v>2641</v>
      </c>
      <c r="Q459" s="144" t="s">
        <v>2642</v>
      </c>
      <c r="R459" s="144" t="s">
        <v>1815</v>
      </c>
      <c r="S459" s="149" t="s">
        <v>2643</v>
      </c>
      <c r="T459" s="131">
        <v>245</v>
      </c>
      <c r="U459" s="132">
        <v>0</v>
      </c>
      <c r="V459" s="132">
        <v>0</v>
      </c>
      <c r="W459" s="402" t="s">
        <v>3403</v>
      </c>
      <c r="X459" s="402" t="s">
        <v>2880</v>
      </c>
      <c r="Y459" s="142">
        <v>245</v>
      </c>
      <c r="Z459" s="131">
        <v>0</v>
      </c>
      <c r="AA459" s="132">
        <v>0</v>
      </c>
      <c r="AB459" s="132">
        <v>0</v>
      </c>
      <c r="AC459" s="111"/>
      <c r="AD459" s="402"/>
      <c r="AE459" s="142">
        <v>0</v>
      </c>
      <c r="AF459" s="150">
        <f t="shared" si="8"/>
        <v>245</v>
      </c>
      <c r="AG459" s="174"/>
      <c r="AH459" s="403"/>
    </row>
    <row r="460" spans="1:34" s="78" customFormat="1" ht="12" customHeight="1">
      <c r="A460" s="100">
        <v>3102</v>
      </c>
      <c r="B460" s="101" t="s">
        <v>2880</v>
      </c>
      <c r="C460" s="101" t="s">
        <v>2880</v>
      </c>
      <c r="D460" s="101" t="s">
        <v>3404</v>
      </c>
      <c r="E460" s="100">
        <v>3</v>
      </c>
      <c r="F460" s="427">
        <v>3</v>
      </c>
      <c r="G460" s="103">
        <v>457</v>
      </c>
      <c r="H460" s="144" t="s">
        <v>2644</v>
      </c>
      <c r="I460" s="148" t="s">
        <v>2644</v>
      </c>
      <c r="J460" s="146">
        <v>10500101163102</v>
      </c>
      <c r="K460" s="147" t="s">
        <v>353</v>
      </c>
      <c r="L460" s="147"/>
      <c r="M460" s="147">
        <v>9</v>
      </c>
      <c r="N460" s="148" t="s">
        <v>2645</v>
      </c>
      <c r="O460" s="144" t="s">
        <v>2646</v>
      </c>
      <c r="P460" s="148" t="s">
        <v>2647</v>
      </c>
      <c r="Q460" s="144" t="s">
        <v>2648</v>
      </c>
      <c r="R460" s="144" t="s">
        <v>2649</v>
      </c>
      <c r="S460" s="149" t="s">
        <v>2650</v>
      </c>
      <c r="T460" s="131">
        <v>95</v>
      </c>
      <c r="U460" s="132">
        <v>106</v>
      </c>
      <c r="V460" s="132">
        <v>0</v>
      </c>
      <c r="W460" s="402" t="s">
        <v>3403</v>
      </c>
      <c r="X460" s="402" t="s">
        <v>2880</v>
      </c>
      <c r="Y460" s="142">
        <v>201</v>
      </c>
      <c r="Z460" s="131">
        <v>113</v>
      </c>
      <c r="AA460" s="132">
        <v>17</v>
      </c>
      <c r="AB460" s="132">
        <v>0</v>
      </c>
      <c r="AC460" s="111" t="s">
        <v>3399</v>
      </c>
      <c r="AD460" s="402" t="s">
        <v>2880</v>
      </c>
      <c r="AE460" s="142">
        <v>130</v>
      </c>
      <c r="AF460" s="150">
        <f t="shared" si="8"/>
        <v>331</v>
      </c>
      <c r="AG460" s="174"/>
      <c r="AH460" s="403"/>
    </row>
    <row r="461" spans="1:34" s="78" customFormat="1" ht="12" customHeight="1">
      <c r="A461" s="100">
        <v>3103</v>
      </c>
      <c r="B461" s="101" t="s">
        <v>2880</v>
      </c>
      <c r="C461" s="101" t="s">
        <v>2880</v>
      </c>
      <c r="D461" s="101" t="s">
        <v>3404</v>
      </c>
      <c r="E461" s="100">
        <v>3</v>
      </c>
      <c r="F461" s="427">
        <v>3</v>
      </c>
      <c r="G461" s="103">
        <v>458</v>
      </c>
      <c r="H461" s="144" t="s">
        <v>2651</v>
      </c>
      <c r="I461" s="148" t="s">
        <v>2651</v>
      </c>
      <c r="J461" s="146">
        <v>30500101883901</v>
      </c>
      <c r="K461" s="147" t="s">
        <v>353</v>
      </c>
      <c r="L461" s="147"/>
      <c r="M461" s="147">
        <v>9</v>
      </c>
      <c r="N461" s="148" t="s">
        <v>2652</v>
      </c>
      <c r="O461" s="144" t="s">
        <v>2653</v>
      </c>
      <c r="P461" s="148">
        <v>2690627</v>
      </c>
      <c r="Q461" s="144" t="s">
        <v>2654</v>
      </c>
      <c r="R461" s="144" t="s">
        <v>2655</v>
      </c>
      <c r="S461" s="149" t="s">
        <v>2656</v>
      </c>
      <c r="T461" s="131">
        <v>117</v>
      </c>
      <c r="U461" s="132">
        <v>38</v>
      </c>
      <c r="V461" s="132">
        <v>0</v>
      </c>
      <c r="W461" s="402" t="s">
        <v>3403</v>
      </c>
      <c r="X461" s="402" t="s">
        <v>2880</v>
      </c>
      <c r="Y461" s="142">
        <v>155</v>
      </c>
      <c r="Z461" s="131">
        <v>0</v>
      </c>
      <c r="AA461" s="132">
        <v>99</v>
      </c>
      <c r="AB461" s="132">
        <v>89</v>
      </c>
      <c r="AC461" s="111" t="s">
        <v>3399</v>
      </c>
      <c r="AD461" s="402" t="s">
        <v>2880</v>
      </c>
      <c r="AE461" s="142">
        <v>188</v>
      </c>
      <c r="AF461" s="150">
        <f t="shared" si="8"/>
        <v>343</v>
      </c>
      <c r="AG461" s="174"/>
      <c r="AH461" s="403"/>
    </row>
    <row r="462" spans="1:34" s="78" customFormat="1" ht="12" customHeight="1">
      <c r="A462" s="100">
        <v>3104</v>
      </c>
      <c r="B462" s="101" t="s">
        <v>2880</v>
      </c>
      <c r="C462" s="101" t="s">
        <v>2880</v>
      </c>
      <c r="D462" s="101" t="s">
        <v>3404</v>
      </c>
      <c r="E462" s="100">
        <v>3</v>
      </c>
      <c r="F462" s="427">
        <v>3</v>
      </c>
      <c r="G462" s="103">
        <v>459</v>
      </c>
      <c r="H462" s="144" t="s">
        <v>2657</v>
      </c>
      <c r="I462" s="148" t="s">
        <v>2657</v>
      </c>
      <c r="J462" s="146">
        <v>10500100131701</v>
      </c>
      <c r="K462" s="147" t="s">
        <v>353</v>
      </c>
      <c r="L462" s="147"/>
      <c r="M462" s="147">
        <v>9</v>
      </c>
      <c r="N462" s="148" t="s">
        <v>1121</v>
      </c>
      <c r="O462" s="144" t="s">
        <v>2658</v>
      </c>
      <c r="P462" s="148" t="s">
        <v>2659</v>
      </c>
      <c r="Q462" s="144" t="s">
        <v>2660</v>
      </c>
      <c r="R462" s="144" t="s">
        <v>2661</v>
      </c>
      <c r="S462" s="149" t="s">
        <v>2662</v>
      </c>
      <c r="T462" s="131">
        <v>70</v>
      </c>
      <c r="U462" s="132">
        <v>73</v>
      </c>
      <c r="V462" s="132">
        <v>39</v>
      </c>
      <c r="W462" s="402" t="s">
        <v>3403</v>
      </c>
      <c r="X462" s="402" t="s">
        <v>2880</v>
      </c>
      <c r="Y462" s="142">
        <v>182</v>
      </c>
      <c r="Z462" s="131">
        <v>29</v>
      </c>
      <c r="AA462" s="132">
        <v>65</v>
      </c>
      <c r="AB462" s="132">
        <v>21</v>
      </c>
      <c r="AC462" s="111" t="s">
        <v>3399</v>
      </c>
      <c r="AD462" s="402" t="s">
        <v>2880</v>
      </c>
      <c r="AE462" s="142">
        <v>115</v>
      </c>
      <c r="AF462" s="150">
        <f t="shared" si="8"/>
        <v>297</v>
      </c>
      <c r="AG462" s="174"/>
      <c r="AH462" s="403"/>
    </row>
    <row r="463" spans="1:34" s="78" customFormat="1" ht="12" customHeight="1">
      <c r="A463" s="100">
        <v>3105</v>
      </c>
      <c r="B463" s="101" t="s">
        <v>2880</v>
      </c>
      <c r="C463" s="101" t="s">
        <v>2880</v>
      </c>
      <c r="D463" s="101" t="s">
        <v>3403</v>
      </c>
      <c r="E463" s="100">
        <v>3</v>
      </c>
      <c r="F463" s="427">
        <v>3</v>
      </c>
      <c r="G463" s="103">
        <v>460</v>
      </c>
      <c r="H463" s="144" t="s">
        <v>2663</v>
      </c>
      <c r="I463" s="148" t="s">
        <v>2663</v>
      </c>
      <c r="J463" s="146">
        <v>30500100454401</v>
      </c>
      <c r="K463" s="147" t="s">
        <v>431</v>
      </c>
      <c r="L463" s="147"/>
      <c r="M463" s="147">
        <v>9</v>
      </c>
      <c r="N463" s="148" t="s">
        <v>1115</v>
      </c>
      <c r="O463" s="144" t="s">
        <v>2664</v>
      </c>
      <c r="P463" s="148">
        <v>2162583</v>
      </c>
      <c r="Q463" s="144" t="s">
        <v>2665</v>
      </c>
      <c r="R463" s="144" t="s">
        <v>2665</v>
      </c>
      <c r="S463" s="149" t="s">
        <v>2666</v>
      </c>
      <c r="T463" s="131">
        <v>18</v>
      </c>
      <c r="U463" s="132">
        <v>142</v>
      </c>
      <c r="V463" s="132">
        <v>69</v>
      </c>
      <c r="W463" s="402" t="s">
        <v>3403</v>
      </c>
      <c r="X463" s="402" t="s">
        <v>2880</v>
      </c>
      <c r="Y463" s="142">
        <v>229</v>
      </c>
      <c r="Z463" s="131">
        <v>0</v>
      </c>
      <c r="AA463" s="132">
        <v>0</v>
      </c>
      <c r="AB463" s="132">
        <v>0</v>
      </c>
      <c r="AC463" s="111"/>
      <c r="AD463" s="402"/>
      <c r="AE463" s="142">
        <v>0</v>
      </c>
      <c r="AF463" s="150">
        <f t="shared" si="8"/>
        <v>229</v>
      </c>
      <c r="AG463" s="172"/>
      <c r="AH463" s="403"/>
    </row>
    <row r="464" spans="1:34" s="78" customFormat="1" ht="12" customHeight="1" thickBot="1">
      <c r="A464" s="100">
        <v>3106</v>
      </c>
      <c r="B464" s="101" t="s">
        <v>2880</v>
      </c>
      <c r="C464" s="101" t="s">
        <v>2880</v>
      </c>
      <c r="D464" s="101" t="s">
        <v>3403</v>
      </c>
      <c r="E464" s="100">
        <v>3</v>
      </c>
      <c r="F464" s="427">
        <v>4</v>
      </c>
      <c r="G464" s="103">
        <v>461</v>
      </c>
      <c r="H464" s="176" t="s">
        <v>1181</v>
      </c>
      <c r="I464" s="145" t="s">
        <v>1181</v>
      </c>
      <c r="J464" s="146">
        <v>10500100211904</v>
      </c>
      <c r="K464" s="147" t="s">
        <v>353</v>
      </c>
      <c r="L464" s="177"/>
      <c r="M464" s="147">
        <v>11</v>
      </c>
      <c r="N464" s="148" t="s">
        <v>1182</v>
      </c>
      <c r="O464" s="144" t="s">
        <v>1183</v>
      </c>
      <c r="P464" s="148">
        <v>2606802</v>
      </c>
      <c r="Q464" s="144" t="s">
        <v>1184</v>
      </c>
      <c r="R464" s="144" t="s">
        <v>1185</v>
      </c>
      <c r="S464" s="149" t="s">
        <v>1186</v>
      </c>
      <c r="T464" s="131">
        <v>50</v>
      </c>
      <c r="U464" s="132">
        <v>50</v>
      </c>
      <c r="V464" s="132">
        <v>0</v>
      </c>
      <c r="W464" s="402" t="s">
        <v>3403</v>
      </c>
      <c r="X464" s="402" t="s">
        <v>2880</v>
      </c>
      <c r="Y464" s="142">
        <v>100</v>
      </c>
      <c r="Z464" s="131">
        <v>0</v>
      </c>
      <c r="AA464" s="132">
        <v>0</v>
      </c>
      <c r="AB464" s="132">
        <v>0</v>
      </c>
      <c r="AC464" s="111"/>
      <c r="AD464" s="402"/>
      <c r="AE464" s="142">
        <v>0</v>
      </c>
      <c r="AF464" s="150">
        <f t="shared" si="8"/>
        <v>100</v>
      </c>
      <c r="AG464" s="173"/>
      <c r="AH464" s="403"/>
    </row>
    <row r="465" spans="1:34" s="78" customFormat="1" ht="12" customHeight="1">
      <c r="A465" s="100">
        <v>3107</v>
      </c>
      <c r="B465" s="101" t="s">
        <v>2880</v>
      </c>
      <c r="C465" s="101" t="s">
        <v>2880</v>
      </c>
      <c r="D465" s="101" t="s">
        <v>3403</v>
      </c>
      <c r="E465" s="100">
        <v>3</v>
      </c>
      <c r="F465" s="427">
        <v>4</v>
      </c>
      <c r="G465" s="103">
        <v>462</v>
      </c>
      <c r="H465" s="144" t="s">
        <v>2667</v>
      </c>
      <c r="I465" s="145" t="s">
        <v>2667</v>
      </c>
      <c r="J465" s="146">
        <v>10500100279801</v>
      </c>
      <c r="K465" s="147" t="s">
        <v>353</v>
      </c>
      <c r="L465" s="147"/>
      <c r="M465" s="147">
        <v>11</v>
      </c>
      <c r="N465" s="148" t="s">
        <v>1195</v>
      </c>
      <c r="O465" s="144" t="s">
        <v>2668</v>
      </c>
      <c r="P465" s="148">
        <v>4361257</v>
      </c>
      <c r="Q465" s="144" t="s">
        <v>2669</v>
      </c>
      <c r="R465" s="144" t="s">
        <v>2670</v>
      </c>
      <c r="S465" s="149" t="s">
        <v>2671</v>
      </c>
      <c r="T465" s="131">
        <v>35</v>
      </c>
      <c r="U465" s="132">
        <v>38</v>
      </c>
      <c r="V465" s="132">
        <v>27</v>
      </c>
      <c r="W465" s="402" t="s">
        <v>3403</v>
      </c>
      <c r="X465" s="402" t="s">
        <v>2880</v>
      </c>
      <c r="Y465" s="142">
        <v>100</v>
      </c>
      <c r="Z465" s="131">
        <v>0</v>
      </c>
      <c r="AA465" s="132">
        <v>0</v>
      </c>
      <c r="AB465" s="132">
        <v>0</v>
      </c>
      <c r="AC465" s="111"/>
      <c r="AD465" s="402"/>
      <c r="AE465" s="142">
        <v>0</v>
      </c>
      <c r="AF465" s="150">
        <f t="shared" si="8"/>
        <v>100</v>
      </c>
      <c r="AG465" s="173"/>
      <c r="AH465" s="403"/>
    </row>
    <row r="466" spans="1:34" s="78" customFormat="1" ht="12" customHeight="1">
      <c r="A466" s="100">
        <v>3108</v>
      </c>
      <c r="B466" s="101" t="s">
        <v>2880</v>
      </c>
      <c r="C466" s="101" t="s">
        <v>2880</v>
      </c>
      <c r="D466" s="101" t="s">
        <v>3403</v>
      </c>
      <c r="E466" s="100">
        <v>3</v>
      </c>
      <c r="F466" s="427">
        <v>4</v>
      </c>
      <c r="G466" s="103">
        <v>463</v>
      </c>
      <c r="H466" s="144" t="s">
        <v>2672</v>
      </c>
      <c r="I466" s="145" t="s">
        <v>2672</v>
      </c>
      <c r="J466" s="146">
        <v>10500100246102</v>
      </c>
      <c r="K466" s="147" t="s">
        <v>353</v>
      </c>
      <c r="L466" s="147"/>
      <c r="M466" s="147">
        <v>11</v>
      </c>
      <c r="N466" s="148" t="s">
        <v>2673</v>
      </c>
      <c r="O466" s="144" t="s">
        <v>2674</v>
      </c>
      <c r="P466" s="148">
        <v>4119222</v>
      </c>
      <c r="Q466" s="144" t="s">
        <v>2675</v>
      </c>
      <c r="R466" s="144" t="s">
        <v>2676</v>
      </c>
      <c r="S466" s="149" t="s">
        <v>2677</v>
      </c>
      <c r="T466" s="131">
        <v>55</v>
      </c>
      <c r="U466" s="132">
        <v>35</v>
      </c>
      <c r="V466" s="132">
        <v>0</v>
      </c>
      <c r="W466" s="402" t="s">
        <v>3403</v>
      </c>
      <c r="X466" s="402" t="s">
        <v>2880</v>
      </c>
      <c r="Y466" s="142">
        <v>90</v>
      </c>
      <c r="Z466" s="131">
        <v>0</v>
      </c>
      <c r="AA466" s="132">
        <v>0</v>
      </c>
      <c r="AB466" s="132">
        <v>0</v>
      </c>
      <c r="AC466" s="111"/>
      <c r="AD466" s="402"/>
      <c r="AE466" s="142">
        <v>0</v>
      </c>
      <c r="AF466" s="150">
        <f t="shared" si="8"/>
        <v>90</v>
      </c>
      <c r="AG466" s="173"/>
      <c r="AH466" s="403"/>
    </row>
    <row r="467" spans="1:34" s="78" customFormat="1" ht="12" customHeight="1">
      <c r="A467" s="100">
        <v>3109</v>
      </c>
      <c r="B467" s="101" t="s">
        <v>2880</v>
      </c>
      <c r="C467" s="101" t="s">
        <v>2880</v>
      </c>
      <c r="D467" s="101" t="s">
        <v>3403</v>
      </c>
      <c r="E467" s="100">
        <v>3</v>
      </c>
      <c r="F467" s="427">
        <v>4</v>
      </c>
      <c r="G467" s="103">
        <v>464</v>
      </c>
      <c r="H467" s="144" t="s">
        <v>2678</v>
      </c>
      <c r="I467" s="145" t="s">
        <v>2678</v>
      </c>
      <c r="J467" s="146">
        <v>10500100202001</v>
      </c>
      <c r="K467" s="147" t="s">
        <v>353</v>
      </c>
      <c r="L467" s="147"/>
      <c r="M467" s="147">
        <v>12</v>
      </c>
      <c r="N467" s="148" t="s">
        <v>1208</v>
      </c>
      <c r="O467" s="144" t="s">
        <v>2679</v>
      </c>
      <c r="P467" s="148" t="s">
        <v>2680</v>
      </c>
      <c r="Q467" s="144" t="s">
        <v>2681</v>
      </c>
      <c r="R467" s="144" t="s">
        <v>2682</v>
      </c>
      <c r="S467" s="149" t="s">
        <v>2683</v>
      </c>
      <c r="T467" s="131">
        <v>0</v>
      </c>
      <c r="U467" s="132">
        <v>168</v>
      </c>
      <c r="V467" s="132">
        <v>132</v>
      </c>
      <c r="W467" s="402" t="s">
        <v>3403</v>
      </c>
      <c r="X467" s="402" t="s">
        <v>2880</v>
      </c>
      <c r="Y467" s="142">
        <v>300</v>
      </c>
      <c r="Z467" s="131">
        <v>0</v>
      </c>
      <c r="AA467" s="132">
        <v>0</v>
      </c>
      <c r="AB467" s="132">
        <v>0</v>
      </c>
      <c r="AC467" s="111"/>
      <c r="AD467" s="402"/>
      <c r="AE467" s="142">
        <v>0</v>
      </c>
      <c r="AF467" s="150">
        <f t="shared" si="8"/>
        <v>300</v>
      </c>
      <c r="AG467" s="173"/>
      <c r="AH467" s="403"/>
    </row>
    <row r="468" spans="1:34" s="78" customFormat="1" ht="12" customHeight="1">
      <c r="A468" s="100">
        <v>3110</v>
      </c>
      <c r="B468" s="101" t="s">
        <v>2880</v>
      </c>
      <c r="C468" s="101" t="s">
        <v>2880</v>
      </c>
      <c r="D468" s="101" t="s">
        <v>3403</v>
      </c>
      <c r="E468" s="100">
        <v>3</v>
      </c>
      <c r="F468" s="427">
        <v>4</v>
      </c>
      <c r="G468" s="103">
        <v>465</v>
      </c>
      <c r="H468" s="144" t="s">
        <v>1207</v>
      </c>
      <c r="I468" s="145" t="s">
        <v>1207</v>
      </c>
      <c r="J468" s="146">
        <v>10500100202002</v>
      </c>
      <c r="K468" s="147" t="s">
        <v>353</v>
      </c>
      <c r="L468" s="147"/>
      <c r="M468" s="147">
        <v>12</v>
      </c>
      <c r="N468" s="148" t="s">
        <v>1208</v>
      </c>
      <c r="O468" s="144" t="s">
        <v>1209</v>
      </c>
      <c r="P468" s="148">
        <v>2508012</v>
      </c>
      <c r="Q468" s="144" t="s">
        <v>1210</v>
      </c>
      <c r="R468" s="144" t="s">
        <v>1211</v>
      </c>
      <c r="S468" s="149" t="s">
        <v>1212</v>
      </c>
      <c r="T468" s="131">
        <v>100</v>
      </c>
      <c r="U468" s="132">
        <v>50</v>
      </c>
      <c r="V468" s="132">
        <v>0</v>
      </c>
      <c r="W468" s="402" t="s">
        <v>3403</v>
      </c>
      <c r="X468" s="402" t="s">
        <v>2880</v>
      </c>
      <c r="Y468" s="142">
        <v>150</v>
      </c>
      <c r="Z468" s="131">
        <v>0</v>
      </c>
      <c r="AA468" s="132">
        <v>0</v>
      </c>
      <c r="AB468" s="132">
        <v>0</v>
      </c>
      <c r="AC468" s="111"/>
      <c r="AD468" s="402"/>
      <c r="AE468" s="142">
        <v>0</v>
      </c>
      <c r="AF468" s="150">
        <f t="shared" si="8"/>
        <v>150</v>
      </c>
      <c r="AG468" s="173"/>
      <c r="AH468" s="403"/>
    </row>
    <row r="469" spans="1:34" s="78" customFormat="1" ht="12" customHeight="1">
      <c r="A469" s="100">
        <v>3111</v>
      </c>
      <c r="B469" s="101" t="s">
        <v>2880</v>
      </c>
      <c r="C469" s="101" t="s">
        <v>2880</v>
      </c>
      <c r="D469" s="101" t="s">
        <v>3403</v>
      </c>
      <c r="E469" s="100">
        <v>3</v>
      </c>
      <c r="F469" s="427">
        <v>4</v>
      </c>
      <c r="G469" s="103">
        <v>466</v>
      </c>
      <c r="H469" s="144" t="s">
        <v>1213</v>
      </c>
      <c r="I469" s="145" t="s">
        <v>1213</v>
      </c>
      <c r="J469" s="146">
        <v>10500100289501</v>
      </c>
      <c r="K469" s="147" t="s">
        <v>353</v>
      </c>
      <c r="L469" s="147"/>
      <c r="M469" s="147">
        <v>12</v>
      </c>
      <c r="N469" s="148" t="s">
        <v>1214</v>
      </c>
      <c r="O469" s="144" t="s">
        <v>1215</v>
      </c>
      <c r="P469" s="148" t="s">
        <v>1216</v>
      </c>
      <c r="Q469" s="144" t="s">
        <v>1217</v>
      </c>
      <c r="R469" s="144" t="s">
        <v>1218</v>
      </c>
      <c r="S469" s="149" t="s">
        <v>1219</v>
      </c>
      <c r="T469" s="131">
        <v>49</v>
      </c>
      <c r="U469" s="132">
        <v>130</v>
      </c>
      <c r="V469" s="132">
        <v>121</v>
      </c>
      <c r="W469" s="402" t="s">
        <v>3403</v>
      </c>
      <c r="X469" s="402" t="s">
        <v>2880</v>
      </c>
      <c r="Y469" s="142">
        <v>300</v>
      </c>
      <c r="Z469" s="131">
        <v>0</v>
      </c>
      <c r="AA469" s="132">
        <v>0</v>
      </c>
      <c r="AB469" s="132">
        <v>0</v>
      </c>
      <c r="AC469" s="111"/>
      <c r="AD469" s="402"/>
      <c r="AE469" s="142">
        <v>0</v>
      </c>
      <c r="AF469" s="150">
        <f t="shared" si="8"/>
        <v>300</v>
      </c>
      <c r="AG469" s="173"/>
      <c r="AH469" s="403"/>
    </row>
    <row r="470" spans="1:34" s="78" customFormat="1" ht="12" customHeight="1">
      <c r="A470" s="100">
        <v>3112</v>
      </c>
      <c r="B470" s="101" t="s">
        <v>2880</v>
      </c>
      <c r="C470" s="101" t="s">
        <v>2880</v>
      </c>
      <c r="D470" s="101" t="s">
        <v>3403</v>
      </c>
      <c r="E470" s="100">
        <v>3</v>
      </c>
      <c r="F470" s="427">
        <v>4</v>
      </c>
      <c r="G470" s="103">
        <v>467</v>
      </c>
      <c r="H470" s="144" t="s">
        <v>2684</v>
      </c>
      <c r="I470" s="145" t="s">
        <v>2684</v>
      </c>
      <c r="J470" s="146">
        <v>10500100289502</v>
      </c>
      <c r="K470" s="147" t="s">
        <v>353</v>
      </c>
      <c r="L470" s="147"/>
      <c r="M470" s="147">
        <v>12</v>
      </c>
      <c r="N470" s="148" t="s">
        <v>2685</v>
      </c>
      <c r="O470" s="144" t="s">
        <v>2686</v>
      </c>
      <c r="P470" s="148">
        <v>2538107</v>
      </c>
      <c r="Q470" s="144" t="s">
        <v>2687</v>
      </c>
      <c r="R470" s="144" t="s">
        <v>2688</v>
      </c>
      <c r="S470" s="149" t="s">
        <v>2689</v>
      </c>
      <c r="T470" s="131">
        <v>91</v>
      </c>
      <c r="U470" s="132">
        <v>54</v>
      </c>
      <c r="V470" s="132">
        <v>0</v>
      </c>
      <c r="W470" s="402" t="s">
        <v>3403</v>
      </c>
      <c r="X470" s="402" t="s">
        <v>2880</v>
      </c>
      <c r="Y470" s="142">
        <v>145</v>
      </c>
      <c r="Z470" s="131">
        <v>0</v>
      </c>
      <c r="AA470" s="132">
        <v>0</v>
      </c>
      <c r="AB470" s="132">
        <v>0</v>
      </c>
      <c r="AC470" s="111"/>
      <c r="AD470" s="402"/>
      <c r="AE470" s="142">
        <v>0</v>
      </c>
      <c r="AF470" s="150">
        <f t="shared" si="8"/>
        <v>145</v>
      </c>
      <c r="AG470" s="173"/>
      <c r="AH470" s="403"/>
    </row>
    <row r="471" spans="1:34" s="78" customFormat="1" ht="12" customHeight="1">
      <c r="A471" s="100">
        <v>3113</v>
      </c>
      <c r="B471" s="101" t="s">
        <v>2880</v>
      </c>
      <c r="C471" s="101" t="s">
        <v>2880</v>
      </c>
      <c r="D471" s="101" t="s">
        <v>3403</v>
      </c>
      <c r="E471" s="100">
        <v>3</v>
      </c>
      <c r="F471" s="427">
        <v>4</v>
      </c>
      <c r="G471" s="103">
        <v>468</v>
      </c>
      <c r="H471" s="144" t="s">
        <v>1920</v>
      </c>
      <c r="I471" s="145" t="s">
        <v>1921</v>
      </c>
      <c r="J471" s="146">
        <v>10500100125201</v>
      </c>
      <c r="K471" s="147" t="s">
        <v>353</v>
      </c>
      <c r="L471" s="147" t="s">
        <v>303</v>
      </c>
      <c r="M471" s="147">
        <v>12</v>
      </c>
      <c r="N471" s="148" t="s">
        <v>1277</v>
      </c>
      <c r="O471" s="144" t="s">
        <v>1922</v>
      </c>
      <c r="P471" s="148" t="s">
        <v>1923</v>
      </c>
      <c r="Q471" s="144" t="s">
        <v>1924</v>
      </c>
      <c r="R471" s="144" t="s">
        <v>1925</v>
      </c>
      <c r="S471" s="149" t="s">
        <v>1926</v>
      </c>
      <c r="T471" s="131">
        <v>173</v>
      </c>
      <c r="U471" s="132">
        <v>511</v>
      </c>
      <c r="V471" s="132">
        <v>0</v>
      </c>
      <c r="W471" s="402" t="s">
        <v>3403</v>
      </c>
      <c r="X471" s="402" t="s">
        <v>2880</v>
      </c>
      <c r="Y471" s="142">
        <v>684</v>
      </c>
      <c r="Z471" s="131">
        <v>0</v>
      </c>
      <c r="AA471" s="132">
        <v>0</v>
      </c>
      <c r="AB471" s="132">
        <v>0</v>
      </c>
      <c r="AC471" s="111"/>
      <c r="AD471" s="402"/>
      <c r="AE471" s="142">
        <v>0</v>
      </c>
      <c r="AF471" s="150">
        <f t="shared" si="8"/>
        <v>684</v>
      </c>
      <c r="AG471" s="173"/>
      <c r="AH471" s="403"/>
    </row>
    <row r="472" spans="1:34" s="78" customFormat="1" ht="12" customHeight="1">
      <c r="A472" s="100">
        <v>3114</v>
      </c>
      <c r="B472" s="101" t="s">
        <v>2880</v>
      </c>
      <c r="C472" s="101" t="s">
        <v>2880</v>
      </c>
      <c r="D472" s="101" t="s">
        <v>3403</v>
      </c>
      <c r="E472" s="100">
        <v>3</v>
      </c>
      <c r="F472" s="427">
        <v>4</v>
      </c>
      <c r="G472" s="103">
        <v>469</v>
      </c>
      <c r="H472" s="144" t="s">
        <v>1220</v>
      </c>
      <c r="I472" s="145" t="s">
        <v>1220</v>
      </c>
      <c r="J472" s="146">
        <v>10500100338701</v>
      </c>
      <c r="K472" s="147" t="s">
        <v>353</v>
      </c>
      <c r="L472" s="147"/>
      <c r="M472" s="147">
        <v>12</v>
      </c>
      <c r="N472" s="148" t="s">
        <v>1221</v>
      </c>
      <c r="O472" s="144" t="s">
        <v>1222</v>
      </c>
      <c r="P472" s="148" t="s">
        <v>1223</v>
      </c>
      <c r="Q472" s="144" t="s">
        <v>1224</v>
      </c>
      <c r="R472" s="144" t="s">
        <v>1225</v>
      </c>
      <c r="S472" s="149" t="s">
        <v>1226</v>
      </c>
      <c r="T472" s="131">
        <v>0</v>
      </c>
      <c r="U472" s="132">
        <v>350</v>
      </c>
      <c r="V472" s="132">
        <v>170</v>
      </c>
      <c r="W472" s="402" t="s">
        <v>3403</v>
      </c>
      <c r="X472" s="402" t="s">
        <v>2880</v>
      </c>
      <c r="Y472" s="142">
        <v>520</v>
      </c>
      <c r="Z472" s="131">
        <v>0</v>
      </c>
      <c r="AA472" s="132">
        <v>0</v>
      </c>
      <c r="AB472" s="132">
        <v>0</v>
      </c>
      <c r="AC472" s="111"/>
      <c r="AD472" s="402"/>
      <c r="AE472" s="142">
        <v>0</v>
      </c>
      <c r="AF472" s="150">
        <f t="shared" si="8"/>
        <v>520</v>
      </c>
      <c r="AG472" s="173"/>
      <c r="AH472" s="403"/>
    </row>
    <row r="473" spans="1:34" s="78" customFormat="1" ht="12" customHeight="1">
      <c r="A473" s="100">
        <v>3115</v>
      </c>
      <c r="B473" s="101" t="s">
        <v>2880</v>
      </c>
      <c r="C473" s="101" t="s">
        <v>2880</v>
      </c>
      <c r="D473" s="101" t="s">
        <v>3404</v>
      </c>
      <c r="E473" s="100">
        <v>3</v>
      </c>
      <c r="F473" s="427">
        <v>4</v>
      </c>
      <c r="G473" s="103">
        <v>470</v>
      </c>
      <c r="H473" s="144" t="s">
        <v>2690</v>
      </c>
      <c r="I473" s="145" t="s">
        <v>2691</v>
      </c>
      <c r="J473" s="146">
        <v>10500100698001</v>
      </c>
      <c r="K473" s="147" t="s">
        <v>353</v>
      </c>
      <c r="L473" s="147"/>
      <c r="M473" s="147">
        <v>12</v>
      </c>
      <c r="N473" s="148" t="s">
        <v>1221</v>
      </c>
      <c r="O473" s="144" t="s">
        <v>2692</v>
      </c>
      <c r="P473" s="148">
        <v>4119111</v>
      </c>
      <c r="Q473" s="144" t="s">
        <v>1231</v>
      </c>
      <c r="R473" s="144" t="s">
        <v>2693</v>
      </c>
      <c r="S473" s="149" t="s">
        <v>2694</v>
      </c>
      <c r="T473" s="131">
        <v>0</v>
      </c>
      <c r="U473" s="132">
        <v>100</v>
      </c>
      <c r="V473" s="132">
        <v>60</v>
      </c>
      <c r="W473" s="402" t="s">
        <v>3403</v>
      </c>
      <c r="X473" s="402" t="s">
        <v>2880</v>
      </c>
      <c r="Y473" s="142">
        <v>160</v>
      </c>
      <c r="Z473" s="131">
        <v>0</v>
      </c>
      <c r="AA473" s="132">
        <v>0</v>
      </c>
      <c r="AB473" s="132">
        <v>135</v>
      </c>
      <c r="AC473" s="111" t="s">
        <v>3399</v>
      </c>
      <c r="AD473" s="402" t="s">
        <v>2880</v>
      </c>
      <c r="AE473" s="142">
        <v>135</v>
      </c>
      <c r="AF473" s="150">
        <f t="shared" si="8"/>
        <v>295</v>
      </c>
      <c r="AG473" s="173"/>
      <c r="AH473" s="403"/>
    </row>
    <row r="474" spans="1:34" s="78" customFormat="1" ht="12" customHeight="1">
      <c r="A474" s="100">
        <v>3116</v>
      </c>
      <c r="B474" s="101" t="s">
        <v>2880</v>
      </c>
      <c r="C474" s="101" t="s">
        <v>2880</v>
      </c>
      <c r="D474" s="101" t="s">
        <v>3403</v>
      </c>
      <c r="E474" s="100">
        <v>3</v>
      </c>
      <c r="F474" s="427">
        <v>4</v>
      </c>
      <c r="G474" s="103">
        <v>471</v>
      </c>
      <c r="H474" s="144" t="s">
        <v>1234</v>
      </c>
      <c r="I474" s="145" t="s">
        <v>1234</v>
      </c>
      <c r="J474" s="146">
        <v>10500100698002</v>
      </c>
      <c r="K474" s="147" t="s">
        <v>353</v>
      </c>
      <c r="L474" s="147"/>
      <c r="M474" s="147">
        <v>12</v>
      </c>
      <c r="N474" s="148" t="s">
        <v>1221</v>
      </c>
      <c r="O474" s="144" t="s">
        <v>1235</v>
      </c>
      <c r="P474" s="148">
        <v>4119245</v>
      </c>
      <c r="Q474" s="144" t="s">
        <v>1236</v>
      </c>
      <c r="R474" s="144" t="s">
        <v>1237</v>
      </c>
      <c r="S474" s="149" t="s">
        <v>1238</v>
      </c>
      <c r="T474" s="131">
        <v>145</v>
      </c>
      <c r="U474" s="132">
        <v>70</v>
      </c>
      <c r="V474" s="132">
        <v>0</v>
      </c>
      <c r="W474" s="402" t="s">
        <v>3403</v>
      </c>
      <c r="X474" s="402" t="s">
        <v>2880</v>
      </c>
      <c r="Y474" s="142">
        <v>215</v>
      </c>
      <c r="Z474" s="131">
        <v>0</v>
      </c>
      <c r="AA474" s="132">
        <v>0</v>
      </c>
      <c r="AB474" s="132">
        <v>0</v>
      </c>
      <c r="AC474" s="111"/>
      <c r="AD474" s="402"/>
      <c r="AE474" s="142">
        <v>0</v>
      </c>
      <c r="AF474" s="150">
        <f t="shared" si="8"/>
        <v>215</v>
      </c>
      <c r="AG474" s="173"/>
      <c r="AH474" s="403"/>
    </row>
    <row r="475" spans="1:34" s="78" customFormat="1" ht="12" customHeight="1">
      <c r="A475" s="100">
        <v>3117</v>
      </c>
      <c r="B475" s="101" t="s">
        <v>2880</v>
      </c>
      <c r="C475" s="101" t="s">
        <v>2880</v>
      </c>
      <c r="D475" s="101" t="s">
        <v>3403</v>
      </c>
      <c r="E475" s="100">
        <v>3</v>
      </c>
      <c r="F475" s="427">
        <v>4</v>
      </c>
      <c r="G475" s="103">
        <v>472</v>
      </c>
      <c r="H475" s="144" t="s">
        <v>1239</v>
      </c>
      <c r="I475" s="145" t="s">
        <v>1239</v>
      </c>
      <c r="J475" s="146">
        <v>10500100698004</v>
      </c>
      <c r="K475" s="147" t="s">
        <v>353</v>
      </c>
      <c r="L475" s="147"/>
      <c r="M475" s="147">
        <v>12</v>
      </c>
      <c r="N475" s="148" t="s">
        <v>1240</v>
      </c>
      <c r="O475" s="144" t="s">
        <v>1241</v>
      </c>
      <c r="P475" s="148" t="s">
        <v>1242</v>
      </c>
      <c r="Q475" s="144" t="s">
        <v>1243</v>
      </c>
      <c r="R475" s="144" t="s">
        <v>1244</v>
      </c>
      <c r="S475" s="149" t="s">
        <v>1245</v>
      </c>
      <c r="T475" s="131">
        <v>195</v>
      </c>
      <c r="U475" s="132">
        <v>109</v>
      </c>
      <c r="V475" s="132">
        <v>0</v>
      </c>
      <c r="W475" s="402" t="s">
        <v>3403</v>
      </c>
      <c r="X475" s="402" t="s">
        <v>2880</v>
      </c>
      <c r="Y475" s="142">
        <v>304</v>
      </c>
      <c r="Z475" s="131">
        <v>0</v>
      </c>
      <c r="AA475" s="132">
        <v>0</v>
      </c>
      <c r="AB475" s="132">
        <v>0</v>
      </c>
      <c r="AC475" s="111"/>
      <c r="AD475" s="402"/>
      <c r="AE475" s="142">
        <v>0</v>
      </c>
      <c r="AF475" s="150">
        <f t="shared" si="8"/>
        <v>304</v>
      </c>
      <c r="AG475" s="173"/>
      <c r="AH475" s="403"/>
    </row>
    <row r="476" spans="1:34" s="78" customFormat="1" ht="12" customHeight="1">
      <c r="A476" s="100">
        <v>3118</v>
      </c>
      <c r="B476" s="101" t="s">
        <v>2880</v>
      </c>
      <c r="C476" s="101" t="s">
        <v>2880</v>
      </c>
      <c r="D476" s="101" t="s">
        <v>3403</v>
      </c>
      <c r="E476" s="100">
        <v>3</v>
      </c>
      <c r="F476" s="427">
        <v>4</v>
      </c>
      <c r="G476" s="103">
        <v>473</v>
      </c>
      <c r="H476" s="144" t="s">
        <v>1246</v>
      </c>
      <c r="I476" s="145" t="s">
        <v>1246</v>
      </c>
      <c r="J476" s="146">
        <v>10500100149001</v>
      </c>
      <c r="K476" s="147" t="s">
        <v>353</v>
      </c>
      <c r="L476" s="147"/>
      <c r="M476" s="147">
        <v>12</v>
      </c>
      <c r="N476" s="148" t="s">
        <v>1240</v>
      </c>
      <c r="O476" s="144" t="s">
        <v>1247</v>
      </c>
      <c r="P476" s="148" t="s">
        <v>1248</v>
      </c>
      <c r="Q476" s="144" t="s">
        <v>1249</v>
      </c>
      <c r="R476" s="144" t="s">
        <v>1250</v>
      </c>
      <c r="S476" s="149" t="s">
        <v>1251</v>
      </c>
      <c r="T476" s="131">
        <v>0</v>
      </c>
      <c r="U476" s="132">
        <v>282</v>
      </c>
      <c r="V476" s="132">
        <v>408</v>
      </c>
      <c r="W476" s="402" t="s">
        <v>3403</v>
      </c>
      <c r="X476" s="402" t="s">
        <v>2880</v>
      </c>
      <c r="Y476" s="142">
        <v>690</v>
      </c>
      <c r="Z476" s="131">
        <v>0</v>
      </c>
      <c r="AA476" s="132">
        <v>0</v>
      </c>
      <c r="AB476" s="132">
        <v>0</v>
      </c>
      <c r="AC476" s="111"/>
      <c r="AD476" s="402"/>
      <c r="AE476" s="142">
        <v>0</v>
      </c>
      <c r="AF476" s="150">
        <f t="shared" si="8"/>
        <v>690</v>
      </c>
      <c r="AG476" s="173"/>
      <c r="AH476" s="403"/>
    </row>
    <row r="477" spans="1:34" s="78" customFormat="1" ht="12" customHeight="1">
      <c r="A477" s="100">
        <v>3119</v>
      </c>
      <c r="B477" s="101" t="s">
        <v>2880</v>
      </c>
      <c r="C477" s="101" t="s">
        <v>2880</v>
      </c>
      <c r="D477" s="101" t="s">
        <v>3403</v>
      </c>
      <c r="E477" s="100">
        <v>3</v>
      </c>
      <c r="F477" s="427">
        <v>4</v>
      </c>
      <c r="G477" s="103">
        <v>474</v>
      </c>
      <c r="H477" s="144" t="s">
        <v>1252</v>
      </c>
      <c r="I477" s="145" t="s">
        <v>1252</v>
      </c>
      <c r="J477" s="146">
        <v>10500100149002</v>
      </c>
      <c r="K477" s="147" t="s">
        <v>353</v>
      </c>
      <c r="L477" s="147"/>
      <c r="M477" s="147">
        <v>12</v>
      </c>
      <c r="N477" s="148" t="s">
        <v>1240</v>
      </c>
      <c r="O477" s="144" t="s">
        <v>1253</v>
      </c>
      <c r="P477" s="148">
        <v>2341289</v>
      </c>
      <c r="Q477" s="144" t="s">
        <v>1254</v>
      </c>
      <c r="R477" s="144" t="s">
        <v>1255</v>
      </c>
      <c r="S477" s="149" t="s">
        <v>1256</v>
      </c>
      <c r="T477" s="131">
        <v>126</v>
      </c>
      <c r="U477" s="132">
        <v>88</v>
      </c>
      <c r="V477" s="132">
        <v>0</v>
      </c>
      <c r="W477" s="402" t="s">
        <v>3403</v>
      </c>
      <c r="X477" s="402" t="s">
        <v>2880</v>
      </c>
      <c r="Y477" s="142">
        <v>214</v>
      </c>
      <c r="Z477" s="131">
        <v>0</v>
      </c>
      <c r="AA477" s="132">
        <v>0</v>
      </c>
      <c r="AB477" s="132">
        <v>0</v>
      </c>
      <c r="AC477" s="111"/>
      <c r="AD477" s="402"/>
      <c r="AE477" s="142">
        <v>0</v>
      </c>
      <c r="AF477" s="150">
        <f t="shared" si="8"/>
        <v>214</v>
      </c>
      <c r="AG477" s="173"/>
      <c r="AH477" s="403"/>
    </row>
    <row r="478" spans="1:34" s="78" customFormat="1" ht="12" customHeight="1">
      <c r="A478" s="100">
        <v>3120</v>
      </c>
      <c r="B478" s="101" t="s">
        <v>2880</v>
      </c>
      <c r="C478" s="101" t="s">
        <v>2880</v>
      </c>
      <c r="D478" s="101" t="s">
        <v>3403</v>
      </c>
      <c r="E478" s="100">
        <v>3</v>
      </c>
      <c r="F478" s="427">
        <v>4</v>
      </c>
      <c r="G478" s="103">
        <v>475</v>
      </c>
      <c r="H478" s="144" t="s">
        <v>1264</v>
      </c>
      <c r="I478" s="145" t="s">
        <v>1264</v>
      </c>
      <c r="J478" s="146">
        <v>10500100718801</v>
      </c>
      <c r="K478" s="147" t="s">
        <v>353</v>
      </c>
      <c r="L478" s="147"/>
      <c r="M478" s="147">
        <v>12</v>
      </c>
      <c r="N478" s="148" t="s">
        <v>1258</v>
      </c>
      <c r="O478" s="144" t="s">
        <v>1265</v>
      </c>
      <c r="P478" s="148">
        <v>4967767</v>
      </c>
      <c r="Q478" s="144" t="s">
        <v>1266</v>
      </c>
      <c r="R478" s="144" t="s">
        <v>1267</v>
      </c>
      <c r="S478" s="149" t="s">
        <v>1268</v>
      </c>
      <c r="T478" s="131">
        <v>178</v>
      </c>
      <c r="U478" s="132">
        <v>206</v>
      </c>
      <c r="V478" s="132">
        <v>52</v>
      </c>
      <c r="W478" s="402" t="s">
        <v>3403</v>
      </c>
      <c r="X478" s="402" t="s">
        <v>2880</v>
      </c>
      <c r="Y478" s="142">
        <v>436</v>
      </c>
      <c r="Z478" s="131">
        <v>0</v>
      </c>
      <c r="AA478" s="132">
        <v>0</v>
      </c>
      <c r="AB478" s="132">
        <v>0</v>
      </c>
      <c r="AC478" s="111"/>
      <c r="AD478" s="402"/>
      <c r="AE478" s="142">
        <v>0</v>
      </c>
      <c r="AF478" s="150">
        <f t="shared" si="8"/>
        <v>436</v>
      </c>
      <c r="AG478" s="173"/>
      <c r="AH478" s="403"/>
    </row>
    <row r="479" spans="1:34" s="78" customFormat="1" ht="12" customHeight="1">
      <c r="A479" s="100">
        <v>3121</v>
      </c>
      <c r="B479" s="101" t="s">
        <v>2880</v>
      </c>
      <c r="C479" s="101" t="s">
        <v>2880</v>
      </c>
      <c r="D479" s="101" t="s">
        <v>3403</v>
      </c>
      <c r="E479" s="100">
        <v>3</v>
      </c>
      <c r="F479" s="427">
        <v>4</v>
      </c>
      <c r="G479" s="103">
        <v>476</v>
      </c>
      <c r="H479" s="144" t="s">
        <v>1269</v>
      </c>
      <c r="I479" s="145" t="s">
        <v>1269</v>
      </c>
      <c r="J479" s="146">
        <v>10500100297601</v>
      </c>
      <c r="K479" s="147" t="s">
        <v>353</v>
      </c>
      <c r="L479" s="147"/>
      <c r="M479" s="147">
        <v>12</v>
      </c>
      <c r="N479" s="148" t="s">
        <v>1270</v>
      </c>
      <c r="O479" s="144" t="s">
        <v>1271</v>
      </c>
      <c r="P479" s="148" t="s">
        <v>1272</v>
      </c>
      <c r="Q479" s="144" t="s">
        <v>1273</v>
      </c>
      <c r="R479" s="144" t="s">
        <v>1274</v>
      </c>
      <c r="S479" s="149" t="s">
        <v>1275</v>
      </c>
      <c r="T479" s="131">
        <v>367</v>
      </c>
      <c r="U479" s="132">
        <v>60</v>
      </c>
      <c r="V479" s="132">
        <v>107</v>
      </c>
      <c r="W479" s="402" t="s">
        <v>3403</v>
      </c>
      <c r="X479" s="402" t="s">
        <v>2880</v>
      </c>
      <c r="Y479" s="142">
        <v>534</v>
      </c>
      <c r="Z479" s="131">
        <v>0</v>
      </c>
      <c r="AA479" s="132">
        <v>0</v>
      </c>
      <c r="AB479" s="132">
        <v>0</v>
      </c>
      <c r="AC479" s="111"/>
      <c r="AD479" s="402"/>
      <c r="AE479" s="142">
        <v>0</v>
      </c>
      <c r="AF479" s="150">
        <f t="shared" ref="AF479:AF533" si="9">+Y479+AE479</f>
        <v>534</v>
      </c>
      <c r="AG479" s="173"/>
      <c r="AH479" s="403"/>
    </row>
    <row r="480" spans="1:34" s="78" customFormat="1" ht="12" customHeight="1">
      <c r="A480" s="100">
        <v>3122</v>
      </c>
      <c r="B480" s="101" t="s">
        <v>2880</v>
      </c>
      <c r="C480" s="101" t="s">
        <v>2880</v>
      </c>
      <c r="D480" s="101" t="s">
        <v>3403</v>
      </c>
      <c r="E480" s="100">
        <v>3</v>
      </c>
      <c r="F480" s="427">
        <v>4</v>
      </c>
      <c r="G480" s="103">
        <v>477</v>
      </c>
      <c r="H480" s="144" t="s">
        <v>1276</v>
      </c>
      <c r="I480" s="145" t="s">
        <v>1276</v>
      </c>
      <c r="J480" s="146">
        <v>10500101188601</v>
      </c>
      <c r="K480" s="147" t="s">
        <v>353</v>
      </c>
      <c r="L480" s="147"/>
      <c r="M480" s="147">
        <v>12</v>
      </c>
      <c r="N480" s="148" t="s">
        <v>1277</v>
      </c>
      <c r="O480" s="144" t="s">
        <v>1278</v>
      </c>
      <c r="P480" s="148" t="s">
        <v>1279</v>
      </c>
      <c r="Q480" s="144" t="s">
        <v>1280</v>
      </c>
      <c r="R480" s="144" t="s">
        <v>1281</v>
      </c>
      <c r="S480" s="149" t="s">
        <v>1282</v>
      </c>
      <c r="T480" s="131">
        <v>0</v>
      </c>
      <c r="U480" s="132">
        <v>130</v>
      </c>
      <c r="V480" s="132">
        <v>70</v>
      </c>
      <c r="W480" s="402" t="s">
        <v>3403</v>
      </c>
      <c r="X480" s="402" t="s">
        <v>2880</v>
      </c>
      <c r="Y480" s="142">
        <v>200</v>
      </c>
      <c r="Z480" s="131">
        <v>0</v>
      </c>
      <c r="AA480" s="132">
        <v>0</v>
      </c>
      <c r="AB480" s="132">
        <v>0</v>
      </c>
      <c r="AC480" s="111"/>
      <c r="AD480" s="402"/>
      <c r="AE480" s="142">
        <v>0</v>
      </c>
      <c r="AF480" s="150">
        <f t="shared" si="9"/>
        <v>200</v>
      </c>
      <c r="AG480" s="173"/>
      <c r="AH480" s="403"/>
    </row>
    <row r="481" spans="1:34" s="78" customFormat="1" ht="12" customHeight="1">
      <c r="A481" s="100">
        <v>3123</v>
      </c>
      <c r="B481" s="101" t="s">
        <v>2880</v>
      </c>
      <c r="C481" s="101" t="s">
        <v>2880</v>
      </c>
      <c r="D481" s="101" t="s">
        <v>3403</v>
      </c>
      <c r="E481" s="100">
        <v>3</v>
      </c>
      <c r="F481" s="427">
        <v>4</v>
      </c>
      <c r="G481" s="103">
        <v>478</v>
      </c>
      <c r="H481" s="144" t="s">
        <v>1283</v>
      </c>
      <c r="I481" s="145" t="s">
        <v>1283</v>
      </c>
      <c r="J481" s="146">
        <v>10500101188602</v>
      </c>
      <c r="K481" s="147" t="s">
        <v>353</v>
      </c>
      <c r="L481" s="147"/>
      <c r="M481" s="147">
        <v>13</v>
      </c>
      <c r="N481" s="148" t="s">
        <v>1284</v>
      </c>
      <c r="O481" s="144" t="s">
        <v>1285</v>
      </c>
      <c r="P481" s="148">
        <v>2531582</v>
      </c>
      <c r="Q481" s="144" t="s">
        <v>1286</v>
      </c>
      <c r="R481" s="144" t="s">
        <v>1287</v>
      </c>
      <c r="S481" s="149" t="s">
        <v>1288</v>
      </c>
      <c r="T481" s="131">
        <v>304</v>
      </c>
      <c r="U481" s="132">
        <v>0</v>
      </c>
      <c r="V481" s="132">
        <v>0</v>
      </c>
      <c r="W481" s="402" t="s">
        <v>3403</v>
      </c>
      <c r="X481" s="402" t="s">
        <v>2880</v>
      </c>
      <c r="Y481" s="142">
        <v>304</v>
      </c>
      <c r="Z481" s="131">
        <v>0</v>
      </c>
      <c r="AA481" s="132">
        <v>0</v>
      </c>
      <c r="AB481" s="132">
        <v>0</v>
      </c>
      <c r="AC481" s="111"/>
      <c r="AD481" s="402"/>
      <c r="AE481" s="142">
        <v>0</v>
      </c>
      <c r="AF481" s="150">
        <f t="shared" si="9"/>
        <v>304</v>
      </c>
      <c r="AG481" s="173"/>
      <c r="AH481" s="403"/>
    </row>
    <row r="482" spans="1:34" s="78" customFormat="1" ht="12" customHeight="1">
      <c r="A482" s="100">
        <v>3124</v>
      </c>
      <c r="B482" s="101" t="s">
        <v>2880</v>
      </c>
      <c r="C482" s="101" t="s">
        <v>2880</v>
      </c>
      <c r="D482" s="101" t="s">
        <v>3403</v>
      </c>
      <c r="E482" s="100">
        <v>3</v>
      </c>
      <c r="F482" s="427">
        <v>4</v>
      </c>
      <c r="G482" s="103">
        <v>479</v>
      </c>
      <c r="H482" s="144" t="s">
        <v>1289</v>
      </c>
      <c r="I482" s="145" t="s">
        <v>1289</v>
      </c>
      <c r="J482" s="146">
        <v>10500100080901</v>
      </c>
      <c r="K482" s="147" t="s">
        <v>353</v>
      </c>
      <c r="L482" s="147"/>
      <c r="M482" s="147">
        <v>13</v>
      </c>
      <c r="N482" s="148" t="s">
        <v>1290</v>
      </c>
      <c r="O482" s="144" t="s">
        <v>1291</v>
      </c>
      <c r="P482" s="148" t="s">
        <v>1292</v>
      </c>
      <c r="Q482" s="144" t="s">
        <v>1293</v>
      </c>
      <c r="R482" s="144" t="s">
        <v>1294</v>
      </c>
      <c r="S482" s="149" t="s">
        <v>1295</v>
      </c>
      <c r="T482" s="131">
        <v>109</v>
      </c>
      <c r="U482" s="132">
        <v>257</v>
      </c>
      <c r="V482" s="132">
        <v>111</v>
      </c>
      <c r="W482" s="402" t="s">
        <v>3403</v>
      </c>
      <c r="X482" s="402" t="s">
        <v>2880</v>
      </c>
      <c r="Y482" s="142">
        <v>477</v>
      </c>
      <c r="Z482" s="131">
        <v>0</v>
      </c>
      <c r="AA482" s="132">
        <v>0</v>
      </c>
      <c r="AB482" s="132">
        <v>0</v>
      </c>
      <c r="AC482" s="111"/>
      <c r="AD482" s="402"/>
      <c r="AE482" s="142">
        <v>0</v>
      </c>
      <c r="AF482" s="150">
        <f t="shared" si="9"/>
        <v>477</v>
      </c>
      <c r="AG482" s="173"/>
      <c r="AH482" s="403"/>
    </row>
    <row r="483" spans="1:34" s="78" customFormat="1" ht="12" customHeight="1">
      <c r="A483" s="100">
        <v>3125</v>
      </c>
      <c r="B483" s="101" t="s">
        <v>2880</v>
      </c>
      <c r="C483" s="101" t="s">
        <v>2880</v>
      </c>
      <c r="D483" s="101" t="s">
        <v>3403</v>
      </c>
      <c r="E483" s="100">
        <v>3</v>
      </c>
      <c r="F483" s="427">
        <v>4</v>
      </c>
      <c r="G483" s="103">
        <v>480</v>
      </c>
      <c r="H483" s="144" t="s">
        <v>2695</v>
      </c>
      <c r="I483" s="145" t="s">
        <v>2695</v>
      </c>
      <c r="J483" s="146">
        <v>10500102635202</v>
      </c>
      <c r="K483" s="147" t="s">
        <v>353</v>
      </c>
      <c r="L483" s="147"/>
      <c r="M483" s="147">
        <v>13</v>
      </c>
      <c r="N483" s="148" t="s">
        <v>1297</v>
      </c>
      <c r="O483" s="144" t="s">
        <v>2696</v>
      </c>
      <c r="P483" s="148">
        <v>2535611</v>
      </c>
      <c r="Q483" s="144" t="s">
        <v>1299</v>
      </c>
      <c r="R483" s="144" t="s">
        <v>2697</v>
      </c>
      <c r="S483" s="149" t="s">
        <v>2698</v>
      </c>
      <c r="T483" s="131">
        <v>191</v>
      </c>
      <c r="U483" s="132">
        <v>152</v>
      </c>
      <c r="V483" s="132">
        <v>0</v>
      </c>
      <c r="W483" s="402" t="s">
        <v>3403</v>
      </c>
      <c r="X483" s="402" t="s">
        <v>2880</v>
      </c>
      <c r="Y483" s="142">
        <v>343</v>
      </c>
      <c r="Z483" s="131">
        <v>0</v>
      </c>
      <c r="AA483" s="132">
        <v>0</v>
      </c>
      <c r="AB483" s="132">
        <v>0</v>
      </c>
      <c r="AC483" s="111"/>
      <c r="AD483" s="402"/>
      <c r="AE483" s="142">
        <v>0</v>
      </c>
      <c r="AF483" s="150">
        <f t="shared" si="9"/>
        <v>343</v>
      </c>
      <c r="AG483" s="174"/>
      <c r="AH483" s="403"/>
    </row>
    <row r="484" spans="1:34" s="78" customFormat="1" ht="12" customHeight="1">
      <c r="A484" s="100">
        <v>3126</v>
      </c>
      <c r="B484" s="101" t="s">
        <v>2880</v>
      </c>
      <c r="C484" s="101" t="s">
        <v>2880</v>
      </c>
      <c r="D484" s="101" t="s">
        <v>3403</v>
      </c>
      <c r="E484" s="100">
        <v>3</v>
      </c>
      <c r="F484" s="427">
        <v>4</v>
      </c>
      <c r="G484" s="103">
        <v>481</v>
      </c>
      <c r="H484" s="144" t="s">
        <v>2699</v>
      </c>
      <c r="I484" s="145" t="s">
        <v>2699</v>
      </c>
      <c r="J484" s="146">
        <v>30500100589301</v>
      </c>
      <c r="K484" s="147" t="s">
        <v>431</v>
      </c>
      <c r="L484" s="147"/>
      <c r="M484" s="147">
        <v>13</v>
      </c>
      <c r="N484" s="148" t="s">
        <v>249</v>
      </c>
      <c r="O484" s="144" t="s">
        <v>2700</v>
      </c>
      <c r="P484" s="148">
        <v>4965188</v>
      </c>
      <c r="Q484" s="144" t="s">
        <v>2701</v>
      </c>
      <c r="R484" s="144" t="s">
        <v>2702</v>
      </c>
      <c r="S484" s="149" t="s">
        <v>2703</v>
      </c>
      <c r="T484" s="131">
        <v>124</v>
      </c>
      <c r="U484" s="132">
        <v>43</v>
      </c>
      <c r="V484" s="132">
        <v>0</v>
      </c>
      <c r="W484" s="402" t="s">
        <v>3403</v>
      </c>
      <c r="X484" s="402" t="s">
        <v>2880</v>
      </c>
      <c r="Y484" s="142">
        <v>167</v>
      </c>
      <c r="Z484" s="131">
        <v>0</v>
      </c>
      <c r="AA484" s="132">
        <v>0</v>
      </c>
      <c r="AB484" s="132">
        <v>0</v>
      </c>
      <c r="AC484" s="111"/>
      <c r="AD484" s="402"/>
      <c r="AE484" s="142">
        <v>0</v>
      </c>
      <c r="AF484" s="150">
        <f t="shared" si="9"/>
        <v>167</v>
      </c>
      <c r="AG484" s="174"/>
      <c r="AH484" s="403"/>
    </row>
    <row r="485" spans="1:34" s="78" customFormat="1" ht="12" customHeight="1">
      <c r="A485" s="100">
        <v>3127</v>
      </c>
      <c r="B485" s="101" t="s">
        <v>2880</v>
      </c>
      <c r="C485" s="101" t="s">
        <v>2880</v>
      </c>
      <c r="D485" s="101" t="s">
        <v>3403</v>
      </c>
      <c r="E485" s="100">
        <v>3</v>
      </c>
      <c r="F485" s="427">
        <v>4</v>
      </c>
      <c r="G485" s="103">
        <v>482</v>
      </c>
      <c r="H485" s="144" t="s">
        <v>1302</v>
      </c>
      <c r="I485" s="145" t="s">
        <v>1302</v>
      </c>
      <c r="J485" s="146">
        <v>10500100252602</v>
      </c>
      <c r="K485" s="147" t="s">
        <v>353</v>
      </c>
      <c r="L485" s="147"/>
      <c r="M485" s="147">
        <v>13</v>
      </c>
      <c r="N485" s="148" t="s">
        <v>249</v>
      </c>
      <c r="O485" s="144" t="s">
        <v>1303</v>
      </c>
      <c r="P485" s="148">
        <v>2529888</v>
      </c>
      <c r="Q485" s="144" t="s">
        <v>1304</v>
      </c>
      <c r="R485" s="144" t="s">
        <v>1305</v>
      </c>
      <c r="S485" s="149" t="s">
        <v>1263</v>
      </c>
      <c r="T485" s="131">
        <v>204</v>
      </c>
      <c r="U485" s="132">
        <v>84</v>
      </c>
      <c r="V485" s="132">
        <v>0</v>
      </c>
      <c r="W485" s="402" t="s">
        <v>3403</v>
      </c>
      <c r="X485" s="402" t="s">
        <v>2880</v>
      </c>
      <c r="Y485" s="142">
        <v>288</v>
      </c>
      <c r="Z485" s="131">
        <v>0</v>
      </c>
      <c r="AA485" s="132">
        <v>0</v>
      </c>
      <c r="AB485" s="132">
        <v>0</v>
      </c>
      <c r="AC485" s="111"/>
      <c r="AD485" s="402"/>
      <c r="AE485" s="142">
        <v>0</v>
      </c>
      <c r="AF485" s="150">
        <f t="shared" si="9"/>
        <v>288</v>
      </c>
      <c r="AG485" s="173"/>
      <c r="AH485" s="403"/>
    </row>
    <row r="486" spans="1:34" s="78" customFormat="1" ht="12" customHeight="1">
      <c r="A486" s="100">
        <v>3128</v>
      </c>
      <c r="B486" s="101" t="s">
        <v>2880</v>
      </c>
      <c r="C486" s="101" t="s">
        <v>2880</v>
      </c>
      <c r="D486" s="101" t="s">
        <v>3403</v>
      </c>
      <c r="E486" s="100">
        <v>3</v>
      </c>
      <c r="F486" s="427">
        <v>4</v>
      </c>
      <c r="G486" s="103">
        <v>483</v>
      </c>
      <c r="H486" s="144" t="s">
        <v>2704</v>
      </c>
      <c r="I486" s="145" t="s">
        <v>2704</v>
      </c>
      <c r="J486" s="146">
        <v>10500100252603</v>
      </c>
      <c r="K486" s="147" t="s">
        <v>353</v>
      </c>
      <c r="L486" s="147"/>
      <c r="M486" s="147">
        <v>13</v>
      </c>
      <c r="N486" s="148" t="s">
        <v>249</v>
      </c>
      <c r="O486" s="144" t="s">
        <v>2705</v>
      </c>
      <c r="P486" s="148">
        <v>2531446</v>
      </c>
      <c r="Q486" s="144" t="s">
        <v>2706</v>
      </c>
      <c r="R486" s="144" t="s">
        <v>2707</v>
      </c>
      <c r="S486" s="149" t="s">
        <v>2708</v>
      </c>
      <c r="T486" s="131">
        <v>350</v>
      </c>
      <c r="U486" s="132">
        <v>200</v>
      </c>
      <c r="V486" s="132">
        <v>0</v>
      </c>
      <c r="W486" s="402" t="s">
        <v>3403</v>
      </c>
      <c r="X486" s="402" t="s">
        <v>2880</v>
      </c>
      <c r="Y486" s="142">
        <v>550</v>
      </c>
      <c r="Z486" s="131">
        <v>0</v>
      </c>
      <c r="AA486" s="132">
        <v>0</v>
      </c>
      <c r="AB486" s="132">
        <v>0</v>
      </c>
      <c r="AC486" s="111"/>
      <c r="AD486" s="402"/>
      <c r="AE486" s="142">
        <v>0</v>
      </c>
      <c r="AF486" s="150">
        <f t="shared" si="9"/>
        <v>550</v>
      </c>
      <c r="AG486" s="174"/>
      <c r="AH486" s="403"/>
    </row>
    <row r="487" spans="1:34" s="78" customFormat="1" ht="12" customHeight="1">
      <c r="A487" s="100">
        <v>3129</v>
      </c>
      <c r="B487" s="101" t="s">
        <v>2880</v>
      </c>
      <c r="C487" s="101" t="s">
        <v>2880</v>
      </c>
      <c r="D487" s="101" t="s">
        <v>3403</v>
      </c>
      <c r="E487" s="100">
        <v>3</v>
      </c>
      <c r="F487" s="427">
        <v>4</v>
      </c>
      <c r="G487" s="103">
        <v>484</v>
      </c>
      <c r="H487" s="144" t="s">
        <v>2709</v>
      </c>
      <c r="I487" s="145" t="s">
        <v>2709</v>
      </c>
      <c r="J487" s="146">
        <v>10500102669702</v>
      </c>
      <c r="K487" s="147" t="s">
        <v>353</v>
      </c>
      <c r="L487" s="147"/>
      <c r="M487" s="147">
        <v>13</v>
      </c>
      <c r="N487" s="148" t="s">
        <v>1307</v>
      </c>
      <c r="O487" s="144" t="s">
        <v>2710</v>
      </c>
      <c r="P487" s="148">
        <v>2526216</v>
      </c>
      <c r="Q487" s="144" t="s">
        <v>2711</v>
      </c>
      <c r="R487" s="144" t="s">
        <v>2712</v>
      </c>
      <c r="S487" s="149" t="s">
        <v>2713</v>
      </c>
      <c r="T487" s="131">
        <v>479</v>
      </c>
      <c r="U487" s="132">
        <v>61</v>
      </c>
      <c r="V487" s="132">
        <v>0</v>
      </c>
      <c r="W487" s="402" t="s">
        <v>3403</v>
      </c>
      <c r="X487" s="402" t="s">
        <v>2880</v>
      </c>
      <c r="Y487" s="142">
        <v>540</v>
      </c>
      <c r="Z487" s="131">
        <v>0</v>
      </c>
      <c r="AA487" s="132">
        <v>0</v>
      </c>
      <c r="AB487" s="132">
        <v>0</v>
      </c>
      <c r="AC487" s="111"/>
      <c r="AD487" s="402"/>
      <c r="AE487" s="142">
        <v>0</v>
      </c>
      <c r="AF487" s="150">
        <f t="shared" si="9"/>
        <v>540</v>
      </c>
      <c r="AG487" s="174"/>
      <c r="AH487" s="403"/>
    </row>
    <row r="488" spans="1:34" s="78" customFormat="1" ht="12" customHeight="1">
      <c r="A488" s="100">
        <v>3130</v>
      </c>
      <c r="B488" s="101" t="s">
        <v>2880</v>
      </c>
      <c r="C488" s="101" t="s">
        <v>2880</v>
      </c>
      <c r="D488" s="101" t="s">
        <v>3403</v>
      </c>
      <c r="E488" s="100">
        <v>3</v>
      </c>
      <c r="F488" s="427">
        <v>4</v>
      </c>
      <c r="G488" s="103">
        <v>485</v>
      </c>
      <c r="H488" s="144" t="s">
        <v>2714</v>
      </c>
      <c r="I488" s="145" t="s">
        <v>2714</v>
      </c>
      <c r="J488" s="146">
        <v>10500100188101</v>
      </c>
      <c r="K488" s="147" t="s">
        <v>353</v>
      </c>
      <c r="L488" s="147"/>
      <c r="M488" s="147">
        <v>13</v>
      </c>
      <c r="N488" s="148" t="s">
        <v>249</v>
      </c>
      <c r="O488" s="144" t="s">
        <v>2715</v>
      </c>
      <c r="P488" s="148" t="s">
        <v>2716</v>
      </c>
      <c r="Q488" s="144" t="s">
        <v>2717</v>
      </c>
      <c r="R488" s="144" t="s">
        <v>2718</v>
      </c>
      <c r="S488" s="149" t="s">
        <v>2719</v>
      </c>
      <c r="T488" s="131">
        <v>0</v>
      </c>
      <c r="U488" s="132">
        <v>175</v>
      </c>
      <c r="V488" s="132">
        <v>275</v>
      </c>
      <c r="W488" s="402" t="s">
        <v>3403</v>
      </c>
      <c r="X488" s="402" t="s">
        <v>2880</v>
      </c>
      <c r="Y488" s="142">
        <v>450</v>
      </c>
      <c r="Z488" s="131">
        <v>0</v>
      </c>
      <c r="AA488" s="132">
        <v>0</v>
      </c>
      <c r="AB488" s="132">
        <v>0</v>
      </c>
      <c r="AC488" s="111"/>
      <c r="AD488" s="402"/>
      <c r="AE488" s="142">
        <v>0</v>
      </c>
      <c r="AF488" s="150">
        <f t="shared" si="9"/>
        <v>450</v>
      </c>
      <c r="AG488" s="174"/>
      <c r="AH488" s="403"/>
    </row>
    <row r="489" spans="1:34" s="78" customFormat="1" ht="12" customHeight="1">
      <c r="A489" s="100">
        <v>3131</v>
      </c>
      <c r="B489" s="101" t="s">
        <v>2880</v>
      </c>
      <c r="C489" s="101" t="s">
        <v>2880</v>
      </c>
      <c r="D489" s="101" t="s">
        <v>3403</v>
      </c>
      <c r="E489" s="100">
        <v>3</v>
      </c>
      <c r="F489" s="427">
        <v>4</v>
      </c>
      <c r="G489" s="103">
        <v>486</v>
      </c>
      <c r="H489" s="144" t="s">
        <v>2720</v>
      </c>
      <c r="I489" s="145" t="s">
        <v>2720</v>
      </c>
      <c r="J489" s="146">
        <v>10500100188102</v>
      </c>
      <c r="K489" s="147" t="s">
        <v>353</v>
      </c>
      <c r="L489" s="147"/>
      <c r="M489" s="147">
        <v>13</v>
      </c>
      <c r="N489" s="148" t="s">
        <v>249</v>
      </c>
      <c r="O489" s="144" t="s">
        <v>2721</v>
      </c>
      <c r="P489" s="148">
        <v>2530160</v>
      </c>
      <c r="Q489" s="144" t="s">
        <v>2722</v>
      </c>
      <c r="R489" s="144" t="s">
        <v>2723</v>
      </c>
      <c r="S489" s="149" t="s">
        <v>2724</v>
      </c>
      <c r="T489" s="131">
        <v>139</v>
      </c>
      <c r="U489" s="132">
        <v>303</v>
      </c>
      <c r="V489" s="132">
        <v>0</v>
      </c>
      <c r="W489" s="402" t="s">
        <v>3403</v>
      </c>
      <c r="X489" s="402" t="s">
        <v>2880</v>
      </c>
      <c r="Y489" s="142">
        <v>442</v>
      </c>
      <c r="Z489" s="131">
        <v>0</v>
      </c>
      <c r="AA489" s="132">
        <v>0</v>
      </c>
      <c r="AB489" s="132">
        <v>0</v>
      </c>
      <c r="AC489" s="111"/>
      <c r="AD489" s="402"/>
      <c r="AE489" s="142">
        <v>0</v>
      </c>
      <c r="AF489" s="150">
        <f t="shared" si="9"/>
        <v>442</v>
      </c>
      <c r="AG489" s="174"/>
      <c r="AH489" s="403"/>
    </row>
    <row r="490" spans="1:34" s="78" customFormat="1" ht="12" customHeight="1">
      <c r="A490" s="100">
        <v>3132</v>
      </c>
      <c r="B490" s="101" t="s">
        <v>2880</v>
      </c>
      <c r="C490" s="101" t="s">
        <v>2880</v>
      </c>
      <c r="D490" s="101" t="s">
        <v>3403</v>
      </c>
      <c r="E490" s="100">
        <v>3</v>
      </c>
      <c r="F490" s="427">
        <v>4</v>
      </c>
      <c r="G490" s="103">
        <v>487</v>
      </c>
      <c r="H490" s="144" t="s">
        <v>2725</v>
      </c>
      <c r="I490" s="145" t="s">
        <v>2725</v>
      </c>
      <c r="J490" s="146">
        <v>10500100188103</v>
      </c>
      <c r="K490" s="147" t="s">
        <v>353</v>
      </c>
      <c r="L490" s="147"/>
      <c r="M490" s="147">
        <v>13</v>
      </c>
      <c r="N490" s="148" t="s">
        <v>2726</v>
      </c>
      <c r="O490" s="144" t="s">
        <v>2727</v>
      </c>
      <c r="P490" s="148">
        <v>2533170</v>
      </c>
      <c r="Q490" s="144" t="s">
        <v>1931</v>
      </c>
      <c r="R490" s="144" t="s">
        <v>2728</v>
      </c>
      <c r="S490" s="149" t="s">
        <v>1932</v>
      </c>
      <c r="T490" s="131">
        <v>164</v>
      </c>
      <c r="U490" s="132">
        <v>56</v>
      </c>
      <c r="V490" s="132">
        <v>0</v>
      </c>
      <c r="W490" s="402" t="s">
        <v>3403</v>
      </c>
      <c r="X490" s="402" t="s">
        <v>2880</v>
      </c>
      <c r="Y490" s="142">
        <v>220</v>
      </c>
      <c r="Z490" s="131">
        <v>0</v>
      </c>
      <c r="AA490" s="132">
        <v>0</v>
      </c>
      <c r="AB490" s="132">
        <v>0</v>
      </c>
      <c r="AC490" s="111"/>
      <c r="AD490" s="402"/>
      <c r="AE490" s="142">
        <v>0</v>
      </c>
      <c r="AF490" s="150">
        <f t="shared" si="9"/>
        <v>220</v>
      </c>
      <c r="AG490" s="174"/>
      <c r="AH490" s="403"/>
    </row>
    <row r="491" spans="1:34" s="78" customFormat="1" ht="12" customHeight="1">
      <c r="A491" s="100">
        <v>3133</v>
      </c>
      <c r="B491" s="101" t="s">
        <v>2880</v>
      </c>
      <c r="C491" s="101" t="s">
        <v>2880</v>
      </c>
      <c r="D491" s="101" t="s">
        <v>3403</v>
      </c>
      <c r="E491" s="100">
        <v>3</v>
      </c>
      <c r="F491" s="427">
        <v>4</v>
      </c>
      <c r="G491" s="103">
        <v>488</v>
      </c>
      <c r="H491" s="144" t="s">
        <v>1325</v>
      </c>
      <c r="I491" s="145" t="s">
        <v>1325</v>
      </c>
      <c r="J491" s="146">
        <v>10500101517201</v>
      </c>
      <c r="K491" s="147" t="s">
        <v>353</v>
      </c>
      <c r="L491" s="147"/>
      <c r="M491" s="147">
        <v>13</v>
      </c>
      <c r="N491" s="148" t="s">
        <v>1326</v>
      </c>
      <c r="O491" s="144" t="s">
        <v>1327</v>
      </c>
      <c r="P491" s="148" t="s">
        <v>1328</v>
      </c>
      <c r="Q491" s="144" t="s">
        <v>1329</v>
      </c>
      <c r="R491" s="144" t="s">
        <v>1330</v>
      </c>
      <c r="S491" s="149" t="s">
        <v>1331</v>
      </c>
      <c r="T491" s="131">
        <v>222</v>
      </c>
      <c r="U491" s="132">
        <v>240</v>
      </c>
      <c r="V491" s="132">
        <v>78</v>
      </c>
      <c r="W491" s="402" t="s">
        <v>3403</v>
      </c>
      <c r="X491" s="402" t="s">
        <v>2880</v>
      </c>
      <c r="Y491" s="142">
        <v>540</v>
      </c>
      <c r="Z491" s="131">
        <v>0</v>
      </c>
      <c r="AA491" s="132">
        <v>0</v>
      </c>
      <c r="AB491" s="132">
        <v>0</v>
      </c>
      <c r="AC491" s="111"/>
      <c r="AD491" s="402"/>
      <c r="AE491" s="142">
        <v>0</v>
      </c>
      <c r="AF491" s="150">
        <f t="shared" si="9"/>
        <v>540</v>
      </c>
      <c r="AG491" s="173"/>
      <c r="AH491" s="403"/>
    </row>
    <row r="492" spans="1:34" s="78" customFormat="1" ht="12" customHeight="1">
      <c r="A492" s="100">
        <v>3134</v>
      </c>
      <c r="B492" s="101" t="s">
        <v>2880</v>
      </c>
      <c r="C492" s="101" t="s">
        <v>2880</v>
      </c>
      <c r="D492" s="101" t="s">
        <v>3403</v>
      </c>
      <c r="E492" s="100">
        <v>3</v>
      </c>
      <c r="F492" s="427">
        <v>4</v>
      </c>
      <c r="G492" s="103">
        <v>489</v>
      </c>
      <c r="H492" s="144" t="s">
        <v>1332</v>
      </c>
      <c r="I492" s="145" t="s">
        <v>1332</v>
      </c>
      <c r="J492" s="146">
        <v>10500101517202</v>
      </c>
      <c r="K492" s="147" t="s">
        <v>353</v>
      </c>
      <c r="L492" s="147"/>
      <c r="M492" s="147">
        <v>13</v>
      </c>
      <c r="N492" s="148" t="s">
        <v>1314</v>
      </c>
      <c r="O492" s="144" t="s">
        <v>1333</v>
      </c>
      <c r="P492" s="148">
        <v>2536425</v>
      </c>
      <c r="Q492" s="144" t="s">
        <v>1334</v>
      </c>
      <c r="R492" s="144" t="s">
        <v>1335</v>
      </c>
      <c r="S492" s="149" t="s">
        <v>1336</v>
      </c>
      <c r="T492" s="131">
        <v>194</v>
      </c>
      <c r="U492" s="132">
        <v>90</v>
      </c>
      <c r="V492" s="132">
        <v>43</v>
      </c>
      <c r="W492" s="402" t="s">
        <v>3403</v>
      </c>
      <c r="X492" s="402" t="s">
        <v>2880</v>
      </c>
      <c r="Y492" s="142">
        <v>327</v>
      </c>
      <c r="Z492" s="131">
        <v>0</v>
      </c>
      <c r="AA492" s="132">
        <v>0</v>
      </c>
      <c r="AB492" s="132">
        <v>0</v>
      </c>
      <c r="AC492" s="111"/>
      <c r="AD492" s="402"/>
      <c r="AE492" s="142">
        <v>0</v>
      </c>
      <c r="AF492" s="150">
        <f t="shared" si="9"/>
        <v>327</v>
      </c>
      <c r="AG492" s="173"/>
      <c r="AH492" s="403"/>
    </row>
    <row r="493" spans="1:34" s="78" customFormat="1" ht="12" customHeight="1">
      <c r="A493" s="100">
        <v>3135</v>
      </c>
      <c r="B493" s="101" t="s">
        <v>2880</v>
      </c>
      <c r="C493" s="101" t="s">
        <v>2880</v>
      </c>
      <c r="D493" s="101" t="s">
        <v>3403</v>
      </c>
      <c r="E493" s="100">
        <v>3</v>
      </c>
      <c r="F493" s="427">
        <v>4</v>
      </c>
      <c r="G493" s="103">
        <v>490</v>
      </c>
      <c r="H493" s="144" t="s">
        <v>2729</v>
      </c>
      <c r="I493" s="145" t="s">
        <v>2729</v>
      </c>
      <c r="J493" s="146">
        <v>10500100338702</v>
      </c>
      <c r="K493" s="147" t="s">
        <v>353</v>
      </c>
      <c r="L493" s="147"/>
      <c r="M493" s="147">
        <v>13</v>
      </c>
      <c r="N493" s="148" t="s">
        <v>2730</v>
      </c>
      <c r="O493" s="144" t="s">
        <v>2731</v>
      </c>
      <c r="P493" s="148">
        <v>2340776</v>
      </c>
      <c r="Q493" s="144" t="s">
        <v>2732</v>
      </c>
      <c r="R493" s="144" t="s">
        <v>2733</v>
      </c>
      <c r="S493" s="149" t="s">
        <v>2734</v>
      </c>
      <c r="T493" s="131">
        <v>89</v>
      </c>
      <c r="U493" s="132">
        <v>51</v>
      </c>
      <c r="V493" s="132">
        <v>0</v>
      </c>
      <c r="W493" s="402" t="s">
        <v>3403</v>
      </c>
      <c r="X493" s="402" t="s">
        <v>2880</v>
      </c>
      <c r="Y493" s="142">
        <v>140</v>
      </c>
      <c r="Z493" s="131">
        <v>0</v>
      </c>
      <c r="AA493" s="132">
        <v>0</v>
      </c>
      <c r="AB493" s="132">
        <v>0</v>
      </c>
      <c r="AC493" s="111"/>
      <c r="AD493" s="402"/>
      <c r="AE493" s="142">
        <v>0</v>
      </c>
      <c r="AF493" s="150">
        <f t="shared" si="9"/>
        <v>140</v>
      </c>
      <c r="AG493" s="173"/>
      <c r="AH493" s="403"/>
    </row>
    <row r="494" spans="1:34" s="78" customFormat="1" ht="12" customHeight="1">
      <c r="A494" s="100">
        <v>3136</v>
      </c>
      <c r="B494" s="101" t="s">
        <v>2880</v>
      </c>
      <c r="C494" s="101" t="s">
        <v>2880</v>
      </c>
      <c r="D494" s="101" t="s">
        <v>3403</v>
      </c>
      <c r="E494" s="100">
        <v>3</v>
      </c>
      <c r="F494" s="427">
        <v>4</v>
      </c>
      <c r="G494" s="103">
        <v>491</v>
      </c>
      <c r="H494" s="144" t="s">
        <v>1343</v>
      </c>
      <c r="I494" s="145" t="s">
        <v>1343</v>
      </c>
      <c r="J494" s="146">
        <v>10500100655601</v>
      </c>
      <c r="K494" s="147" t="s">
        <v>353</v>
      </c>
      <c r="L494" s="147"/>
      <c r="M494" s="147">
        <v>13</v>
      </c>
      <c r="N494" s="148" t="s">
        <v>1344</v>
      </c>
      <c r="O494" s="144" t="s">
        <v>1345</v>
      </c>
      <c r="P494" s="148" t="s">
        <v>1346</v>
      </c>
      <c r="Q494" s="144" t="s">
        <v>1347</v>
      </c>
      <c r="R494" s="144" t="s">
        <v>1348</v>
      </c>
      <c r="S494" s="149" t="s">
        <v>1349</v>
      </c>
      <c r="T494" s="131">
        <v>75</v>
      </c>
      <c r="U494" s="132">
        <v>182</v>
      </c>
      <c r="V494" s="132">
        <v>143</v>
      </c>
      <c r="W494" s="402" t="s">
        <v>3403</v>
      </c>
      <c r="X494" s="402" t="s">
        <v>2880</v>
      </c>
      <c r="Y494" s="142">
        <v>400</v>
      </c>
      <c r="Z494" s="131">
        <v>0</v>
      </c>
      <c r="AA494" s="132">
        <v>0</v>
      </c>
      <c r="AB494" s="132">
        <v>0</v>
      </c>
      <c r="AC494" s="111"/>
      <c r="AD494" s="402"/>
      <c r="AE494" s="142">
        <v>0</v>
      </c>
      <c r="AF494" s="150">
        <f t="shared" si="9"/>
        <v>400</v>
      </c>
      <c r="AG494" s="173"/>
      <c r="AH494" s="403"/>
    </row>
    <row r="495" spans="1:34" s="78" customFormat="1" ht="12" customHeight="1">
      <c r="A495" s="100">
        <v>3137</v>
      </c>
      <c r="B495" s="101" t="s">
        <v>2880</v>
      </c>
      <c r="C495" s="101" t="s">
        <v>2880</v>
      </c>
      <c r="D495" s="101" t="s">
        <v>3403</v>
      </c>
      <c r="E495" s="100">
        <v>3</v>
      </c>
      <c r="F495" s="427">
        <v>4</v>
      </c>
      <c r="G495" s="103">
        <v>492</v>
      </c>
      <c r="H495" s="144" t="s">
        <v>1350</v>
      </c>
      <c r="I495" s="145" t="s">
        <v>1351</v>
      </c>
      <c r="J495" s="146">
        <v>10500101901101</v>
      </c>
      <c r="K495" s="147" t="s">
        <v>353</v>
      </c>
      <c r="L495" s="147"/>
      <c r="M495" s="147">
        <v>13</v>
      </c>
      <c r="N495" s="148" t="s">
        <v>1352</v>
      </c>
      <c r="O495" s="144" t="s">
        <v>1353</v>
      </c>
      <c r="P495" s="148">
        <v>4927192</v>
      </c>
      <c r="Q495" s="144" t="s">
        <v>1354</v>
      </c>
      <c r="R495" s="144" t="s">
        <v>1355</v>
      </c>
      <c r="S495" s="149" t="s">
        <v>1356</v>
      </c>
      <c r="T495" s="131">
        <v>0</v>
      </c>
      <c r="U495" s="132">
        <v>100</v>
      </c>
      <c r="V495" s="132">
        <v>0</v>
      </c>
      <c r="W495" s="402" t="s">
        <v>3403</v>
      </c>
      <c r="X495" s="402" t="s">
        <v>2880</v>
      </c>
      <c r="Y495" s="142">
        <v>100</v>
      </c>
      <c r="Z495" s="131">
        <v>0</v>
      </c>
      <c r="AA495" s="132">
        <v>0</v>
      </c>
      <c r="AB495" s="132">
        <v>0</v>
      </c>
      <c r="AC495" s="111"/>
      <c r="AD495" s="402"/>
      <c r="AE495" s="142">
        <v>0</v>
      </c>
      <c r="AF495" s="150">
        <f t="shared" si="9"/>
        <v>100</v>
      </c>
      <c r="AG495" s="173"/>
      <c r="AH495" s="403"/>
    </row>
    <row r="496" spans="1:34" s="78" customFormat="1" ht="12" customHeight="1">
      <c r="A496" s="100">
        <v>3138</v>
      </c>
      <c r="B496" s="101" t="s">
        <v>2880</v>
      </c>
      <c r="C496" s="101" t="s">
        <v>2880</v>
      </c>
      <c r="D496" s="101" t="s">
        <v>3403</v>
      </c>
      <c r="E496" s="100">
        <v>3</v>
      </c>
      <c r="F496" s="427">
        <v>4</v>
      </c>
      <c r="G496" s="103">
        <v>493</v>
      </c>
      <c r="H496" s="144" t="s">
        <v>1357</v>
      </c>
      <c r="I496" s="145" t="s">
        <v>1358</v>
      </c>
      <c r="J496" s="146">
        <v>10500101901101</v>
      </c>
      <c r="K496" s="147" t="s">
        <v>353</v>
      </c>
      <c r="L496" s="147"/>
      <c r="M496" s="147">
        <v>13</v>
      </c>
      <c r="N496" s="148" t="s">
        <v>1352</v>
      </c>
      <c r="O496" s="144" t="s">
        <v>1359</v>
      </c>
      <c r="P496" s="148">
        <v>4922768</v>
      </c>
      <c r="Q496" s="144" t="s">
        <v>1354</v>
      </c>
      <c r="R496" s="144" t="s">
        <v>1360</v>
      </c>
      <c r="S496" s="149" t="s">
        <v>1356</v>
      </c>
      <c r="T496" s="131">
        <v>0</v>
      </c>
      <c r="U496" s="132">
        <v>0</v>
      </c>
      <c r="V496" s="132">
        <v>60</v>
      </c>
      <c r="W496" s="402" t="s">
        <v>3403</v>
      </c>
      <c r="X496" s="402" t="s">
        <v>2880</v>
      </c>
      <c r="Y496" s="142">
        <v>60</v>
      </c>
      <c r="Z496" s="131">
        <v>0</v>
      </c>
      <c r="AA496" s="132">
        <v>0</v>
      </c>
      <c r="AB496" s="132">
        <v>0</v>
      </c>
      <c r="AC496" s="111"/>
      <c r="AD496" s="402"/>
      <c r="AE496" s="142">
        <v>0</v>
      </c>
      <c r="AF496" s="150">
        <f t="shared" si="9"/>
        <v>60</v>
      </c>
      <c r="AG496" s="173"/>
      <c r="AH496" s="403"/>
    </row>
    <row r="497" spans="1:34" s="78" customFormat="1" ht="12" customHeight="1">
      <c r="A497" s="100">
        <v>3139</v>
      </c>
      <c r="B497" s="101" t="s">
        <v>2880</v>
      </c>
      <c r="C497" s="101" t="s">
        <v>2880</v>
      </c>
      <c r="D497" s="101" t="s">
        <v>3403</v>
      </c>
      <c r="E497" s="100">
        <v>3</v>
      </c>
      <c r="F497" s="427">
        <v>4</v>
      </c>
      <c r="G497" s="103">
        <v>494</v>
      </c>
      <c r="H497" s="144" t="s">
        <v>2735</v>
      </c>
      <c r="I497" s="145" t="s">
        <v>2735</v>
      </c>
      <c r="J497" s="146">
        <v>30500102225901</v>
      </c>
      <c r="K497" s="147" t="s">
        <v>431</v>
      </c>
      <c r="L497" s="147"/>
      <c r="M497" s="147">
        <v>13</v>
      </c>
      <c r="N497" s="148" t="s">
        <v>1352</v>
      </c>
      <c r="O497" s="144" t="s">
        <v>2736</v>
      </c>
      <c r="P497" s="148" t="s">
        <v>2737</v>
      </c>
      <c r="Q497" s="144" t="s">
        <v>2738</v>
      </c>
      <c r="R497" s="144" t="s">
        <v>2739</v>
      </c>
      <c r="S497" s="149" t="s">
        <v>2740</v>
      </c>
      <c r="T497" s="131">
        <v>152</v>
      </c>
      <c r="U497" s="132">
        <v>189</v>
      </c>
      <c r="V497" s="132">
        <v>22</v>
      </c>
      <c r="W497" s="402" t="s">
        <v>3403</v>
      </c>
      <c r="X497" s="402" t="s">
        <v>2880</v>
      </c>
      <c r="Y497" s="142">
        <v>363</v>
      </c>
      <c r="Z497" s="131">
        <v>0</v>
      </c>
      <c r="AA497" s="132">
        <v>0</v>
      </c>
      <c r="AB497" s="132">
        <v>0</v>
      </c>
      <c r="AC497" s="111"/>
      <c r="AD497" s="402"/>
      <c r="AE497" s="142">
        <v>0</v>
      </c>
      <c r="AF497" s="150">
        <f t="shared" si="9"/>
        <v>363</v>
      </c>
      <c r="AG497" s="173"/>
      <c r="AH497" s="403"/>
    </row>
    <row r="498" spans="1:34" s="78" customFormat="1" ht="12" customHeight="1">
      <c r="A498" s="100">
        <v>3140</v>
      </c>
      <c r="B498" s="101" t="s">
        <v>2880</v>
      </c>
      <c r="C498" s="101" t="s">
        <v>2880</v>
      </c>
      <c r="D498" s="101" t="s">
        <v>3403</v>
      </c>
      <c r="E498" s="100">
        <v>3</v>
      </c>
      <c r="F498" s="427">
        <v>4</v>
      </c>
      <c r="G498" s="103">
        <v>495</v>
      </c>
      <c r="H498" s="144" t="s">
        <v>1361</v>
      </c>
      <c r="I498" s="145" t="s">
        <v>1361</v>
      </c>
      <c r="J498" s="146">
        <v>10500102668901</v>
      </c>
      <c r="K498" s="147" t="s">
        <v>353</v>
      </c>
      <c r="L498" s="147"/>
      <c r="M498" s="147">
        <v>13</v>
      </c>
      <c r="N498" s="148" t="s">
        <v>1362</v>
      </c>
      <c r="O498" s="144" t="s">
        <v>1363</v>
      </c>
      <c r="P498" s="148" t="s">
        <v>1364</v>
      </c>
      <c r="Q498" s="144" t="s">
        <v>1365</v>
      </c>
      <c r="R498" s="144" t="s">
        <v>1366</v>
      </c>
      <c r="S498" s="149" t="s">
        <v>1367</v>
      </c>
      <c r="T498" s="131">
        <v>236</v>
      </c>
      <c r="U498" s="132">
        <v>152</v>
      </c>
      <c r="V498" s="132">
        <v>30</v>
      </c>
      <c r="W498" s="402" t="s">
        <v>3403</v>
      </c>
      <c r="X498" s="402" t="s">
        <v>2880</v>
      </c>
      <c r="Y498" s="142">
        <v>418</v>
      </c>
      <c r="Z498" s="131">
        <v>0</v>
      </c>
      <c r="AA498" s="132">
        <v>0</v>
      </c>
      <c r="AB498" s="132">
        <v>0</v>
      </c>
      <c r="AC498" s="111"/>
      <c r="AD498" s="402"/>
      <c r="AE498" s="142">
        <v>0</v>
      </c>
      <c r="AF498" s="150">
        <f t="shared" si="9"/>
        <v>418</v>
      </c>
      <c r="AG498" s="173"/>
      <c r="AH498" s="403"/>
    </row>
    <row r="499" spans="1:34" s="78" customFormat="1" ht="12" customHeight="1">
      <c r="A499" s="100">
        <v>3141</v>
      </c>
      <c r="B499" s="101" t="s">
        <v>2880</v>
      </c>
      <c r="C499" s="101" t="s">
        <v>2880</v>
      </c>
      <c r="D499" s="101" t="s">
        <v>3403</v>
      </c>
      <c r="E499" s="100">
        <v>3</v>
      </c>
      <c r="F499" s="427">
        <v>4</v>
      </c>
      <c r="G499" s="103">
        <v>496</v>
      </c>
      <c r="H499" s="144" t="s">
        <v>2741</v>
      </c>
      <c r="I499" s="145" t="s">
        <v>2741</v>
      </c>
      <c r="J499" s="146">
        <v>30500101729801</v>
      </c>
      <c r="K499" s="147" t="s">
        <v>431</v>
      </c>
      <c r="L499" s="147"/>
      <c r="M499" s="147">
        <v>13</v>
      </c>
      <c r="N499" s="148" t="s">
        <v>1362</v>
      </c>
      <c r="O499" s="144" t="s">
        <v>2742</v>
      </c>
      <c r="P499" s="148">
        <v>4260964</v>
      </c>
      <c r="Q499" s="144" t="s">
        <v>2743</v>
      </c>
      <c r="R499" s="144" t="s">
        <v>2744</v>
      </c>
      <c r="S499" s="149" t="s">
        <v>2745</v>
      </c>
      <c r="T499" s="131">
        <v>110</v>
      </c>
      <c r="U499" s="132">
        <v>161</v>
      </c>
      <c r="V499" s="132">
        <v>92</v>
      </c>
      <c r="W499" s="402" t="s">
        <v>3403</v>
      </c>
      <c r="X499" s="402" t="s">
        <v>2880</v>
      </c>
      <c r="Y499" s="142">
        <v>363</v>
      </c>
      <c r="Z499" s="131">
        <v>0</v>
      </c>
      <c r="AA499" s="132">
        <v>0</v>
      </c>
      <c r="AB499" s="132">
        <v>0</v>
      </c>
      <c r="AC499" s="111"/>
      <c r="AD499" s="402"/>
      <c r="AE499" s="142">
        <v>0</v>
      </c>
      <c r="AF499" s="150">
        <f t="shared" si="9"/>
        <v>363</v>
      </c>
      <c r="AG499" s="173"/>
      <c r="AH499" s="403"/>
    </row>
    <row r="500" spans="1:34" s="78" customFormat="1" ht="12" customHeight="1">
      <c r="A500" s="100">
        <v>3142</v>
      </c>
      <c r="B500" s="101" t="s">
        <v>2880</v>
      </c>
      <c r="C500" s="101" t="s">
        <v>2880</v>
      </c>
      <c r="D500" s="101" t="s">
        <v>3403</v>
      </c>
      <c r="E500" s="100">
        <v>3</v>
      </c>
      <c r="F500" s="427">
        <v>4</v>
      </c>
      <c r="G500" s="103">
        <v>497</v>
      </c>
      <c r="H500" s="144" t="s">
        <v>1368</v>
      </c>
      <c r="I500" s="145" t="s">
        <v>1368</v>
      </c>
      <c r="J500" s="146">
        <v>10500101344701</v>
      </c>
      <c r="K500" s="147" t="s">
        <v>353</v>
      </c>
      <c r="L500" s="147"/>
      <c r="M500" s="147">
        <v>60</v>
      </c>
      <c r="N500" s="148" t="s">
        <v>1369</v>
      </c>
      <c r="O500" s="144" t="s">
        <v>1370</v>
      </c>
      <c r="P500" s="148" t="s">
        <v>1371</v>
      </c>
      <c r="Q500" s="144" t="s">
        <v>1372</v>
      </c>
      <c r="R500" s="144" t="s">
        <v>1373</v>
      </c>
      <c r="S500" s="149" t="s">
        <v>1374</v>
      </c>
      <c r="T500" s="131">
        <v>0</v>
      </c>
      <c r="U500" s="132">
        <v>195</v>
      </c>
      <c r="V500" s="132">
        <v>120</v>
      </c>
      <c r="W500" s="402" t="s">
        <v>3403</v>
      </c>
      <c r="X500" s="402" t="s">
        <v>2880</v>
      </c>
      <c r="Y500" s="142">
        <v>315</v>
      </c>
      <c r="Z500" s="131">
        <v>0</v>
      </c>
      <c r="AA500" s="132">
        <v>0</v>
      </c>
      <c r="AB500" s="132">
        <v>0</v>
      </c>
      <c r="AC500" s="111"/>
      <c r="AD500" s="402"/>
      <c r="AE500" s="142">
        <v>0</v>
      </c>
      <c r="AF500" s="150">
        <f t="shared" si="9"/>
        <v>315</v>
      </c>
      <c r="AG500" s="173"/>
      <c r="AH500" s="403"/>
    </row>
    <row r="501" spans="1:34" s="78" customFormat="1" ht="12" customHeight="1">
      <c r="A501" s="100">
        <v>3143</v>
      </c>
      <c r="B501" s="101" t="s">
        <v>2880</v>
      </c>
      <c r="C501" s="101" t="s">
        <v>2880</v>
      </c>
      <c r="D501" s="101" t="s">
        <v>3403</v>
      </c>
      <c r="E501" s="100">
        <v>3</v>
      </c>
      <c r="F501" s="427">
        <v>4</v>
      </c>
      <c r="G501" s="103">
        <v>498</v>
      </c>
      <c r="H501" s="144" t="s">
        <v>2746</v>
      </c>
      <c r="I501" s="145" t="s">
        <v>2746</v>
      </c>
      <c r="J501" s="146">
        <v>20500101026401</v>
      </c>
      <c r="K501" s="147" t="s">
        <v>353</v>
      </c>
      <c r="L501" s="147"/>
      <c r="M501" s="147">
        <v>60</v>
      </c>
      <c r="N501" s="148" t="s">
        <v>1369</v>
      </c>
      <c r="O501" s="144" t="s">
        <v>2747</v>
      </c>
      <c r="P501" s="148">
        <v>4270220</v>
      </c>
      <c r="Q501" s="144" t="s">
        <v>2748</v>
      </c>
      <c r="R501" s="144" t="s">
        <v>2749</v>
      </c>
      <c r="S501" s="149" t="s">
        <v>2750</v>
      </c>
      <c r="T501" s="131">
        <v>0</v>
      </c>
      <c r="U501" s="132">
        <v>190</v>
      </c>
      <c r="V501" s="132">
        <v>210</v>
      </c>
      <c r="W501" s="402" t="s">
        <v>3403</v>
      </c>
      <c r="X501" s="402" t="s">
        <v>2880</v>
      </c>
      <c r="Y501" s="142">
        <v>400</v>
      </c>
      <c r="Z501" s="131">
        <v>0</v>
      </c>
      <c r="AA501" s="132">
        <v>0</v>
      </c>
      <c r="AB501" s="132">
        <v>0</v>
      </c>
      <c r="AC501" s="111"/>
      <c r="AD501" s="402"/>
      <c r="AE501" s="142">
        <v>0</v>
      </c>
      <c r="AF501" s="150">
        <f t="shared" si="9"/>
        <v>400</v>
      </c>
      <c r="AG501" s="174"/>
      <c r="AH501" s="403"/>
    </row>
    <row r="502" spans="1:34" s="78" customFormat="1" ht="12" customHeight="1">
      <c r="A502" s="100">
        <v>3144</v>
      </c>
      <c r="B502" s="101" t="s">
        <v>2880</v>
      </c>
      <c r="C502" s="101" t="s">
        <v>2880</v>
      </c>
      <c r="D502" s="101" t="s">
        <v>3403</v>
      </c>
      <c r="E502" s="100">
        <v>3</v>
      </c>
      <c r="F502" s="427">
        <v>4</v>
      </c>
      <c r="G502" s="103">
        <v>499</v>
      </c>
      <c r="H502" s="144" t="s">
        <v>1375</v>
      </c>
      <c r="I502" s="145" t="s">
        <v>1375</v>
      </c>
      <c r="J502" s="146">
        <v>20500101026402</v>
      </c>
      <c r="K502" s="147" t="s">
        <v>353</v>
      </c>
      <c r="L502" s="147"/>
      <c r="M502" s="147">
        <v>60</v>
      </c>
      <c r="N502" s="148" t="s">
        <v>1369</v>
      </c>
      <c r="O502" s="144" t="s">
        <v>1376</v>
      </c>
      <c r="P502" s="148" t="s">
        <v>1377</v>
      </c>
      <c r="Q502" s="144" t="s">
        <v>1378</v>
      </c>
      <c r="R502" s="144" t="s">
        <v>1379</v>
      </c>
      <c r="S502" s="149" t="s">
        <v>1380</v>
      </c>
      <c r="T502" s="131">
        <v>150</v>
      </c>
      <c r="U502" s="132">
        <v>150</v>
      </c>
      <c r="V502" s="132">
        <v>0</v>
      </c>
      <c r="W502" s="402" t="s">
        <v>3403</v>
      </c>
      <c r="X502" s="402" t="s">
        <v>2880</v>
      </c>
      <c r="Y502" s="142">
        <v>300</v>
      </c>
      <c r="Z502" s="131">
        <v>0</v>
      </c>
      <c r="AA502" s="132">
        <v>0</v>
      </c>
      <c r="AB502" s="132">
        <v>0</v>
      </c>
      <c r="AC502" s="111"/>
      <c r="AD502" s="402"/>
      <c r="AE502" s="142">
        <v>0</v>
      </c>
      <c r="AF502" s="150">
        <f t="shared" si="9"/>
        <v>300</v>
      </c>
      <c r="AG502" s="173"/>
      <c r="AH502" s="403"/>
    </row>
    <row r="503" spans="1:34" s="78" customFormat="1" ht="12" customHeight="1">
      <c r="A503" s="100">
        <v>3145</v>
      </c>
      <c r="B503" s="101" t="s">
        <v>2880</v>
      </c>
      <c r="C503" s="101" t="s">
        <v>2880</v>
      </c>
      <c r="D503" s="101" t="s">
        <v>3404</v>
      </c>
      <c r="E503" s="100">
        <v>3</v>
      </c>
      <c r="F503" s="427">
        <v>4</v>
      </c>
      <c r="G503" s="103">
        <v>500</v>
      </c>
      <c r="H503" s="144" t="s">
        <v>1987</v>
      </c>
      <c r="I503" s="145" t="s">
        <v>1987</v>
      </c>
      <c r="J503" s="146">
        <v>20500100623201</v>
      </c>
      <c r="K503" s="147" t="s">
        <v>353</v>
      </c>
      <c r="L503" s="147"/>
      <c r="M503" s="147">
        <v>60</v>
      </c>
      <c r="N503" s="148" t="s">
        <v>1369</v>
      </c>
      <c r="O503" s="144" t="s">
        <v>1988</v>
      </c>
      <c r="P503" s="148" t="s">
        <v>1989</v>
      </c>
      <c r="Q503" s="144" t="s">
        <v>1990</v>
      </c>
      <c r="R503" s="144" t="s">
        <v>1991</v>
      </c>
      <c r="S503" s="149" t="s">
        <v>1992</v>
      </c>
      <c r="T503" s="131">
        <v>306</v>
      </c>
      <c r="U503" s="132">
        <v>0</v>
      </c>
      <c r="V503" s="132">
        <v>0</v>
      </c>
      <c r="W503" s="402" t="s">
        <v>3403</v>
      </c>
      <c r="X503" s="402" t="s">
        <v>2880</v>
      </c>
      <c r="Y503" s="142">
        <v>306</v>
      </c>
      <c r="Z503" s="131">
        <v>63</v>
      </c>
      <c r="AA503" s="132">
        <v>767</v>
      </c>
      <c r="AB503" s="132">
        <v>50</v>
      </c>
      <c r="AC503" s="111" t="s">
        <v>3399</v>
      </c>
      <c r="AD503" s="402" t="s">
        <v>2880</v>
      </c>
      <c r="AE503" s="142">
        <v>880</v>
      </c>
      <c r="AF503" s="150">
        <f t="shared" si="9"/>
        <v>1186</v>
      </c>
      <c r="AG503" s="173"/>
      <c r="AH503" s="403"/>
    </row>
    <row r="504" spans="1:34" s="78" customFormat="1" ht="12" customHeight="1">
      <c r="A504" s="100">
        <v>3146</v>
      </c>
      <c r="B504" s="101" t="s">
        <v>2880</v>
      </c>
      <c r="C504" s="101" t="s">
        <v>2880</v>
      </c>
      <c r="D504" s="101" t="s">
        <v>3403</v>
      </c>
      <c r="E504" s="100">
        <v>3</v>
      </c>
      <c r="F504" s="427">
        <v>4</v>
      </c>
      <c r="G504" s="103">
        <v>501</v>
      </c>
      <c r="H504" s="144" t="s">
        <v>2024</v>
      </c>
      <c r="I504" s="145" t="s">
        <v>2024</v>
      </c>
      <c r="J504" s="146">
        <v>10500102600002</v>
      </c>
      <c r="K504" s="147" t="s">
        <v>353</v>
      </c>
      <c r="L504" s="147"/>
      <c r="M504" s="147">
        <v>60</v>
      </c>
      <c r="N504" s="148" t="s">
        <v>1369</v>
      </c>
      <c r="O504" s="144" t="s">
        <v>2025</v>
      </c>
      <c r="P504" s="148">
        <v>4273044</v>
      </c>
      <c r="Q504" s="144" t="s">
        <v>2026</v>
      </c>
      <c r="R504" s="144" t="s">
        <v>2027</v>
      </c>
      <c r="S504" s="149" t="s">
        <v>2028</v>
      </c>
      <c r="T504" s="131">
        <v>0</v>
      </c>
      <c r="U504" s="132">
        <v>98</v>
      </c>
      <c r="V504" s="132">
        <v>0</v>
      </c>
      <c r="W504" s="402" t="s">
        <v>3403</v>
      </c>
      <c r="X504" s="402" t="s">
        <v>2880</v>
      </c>
      <c r="Y504" s="142">
        <v>98</v>
      </c>
      <c r="Z504" s="131">
        <v>0</v>
      </c>
      <c r="AA504" s="132">
        <v>0</v>
      </c>
      <c r="AB504" s="132">
        <v>0</v>
      </c>
      <c r="AC504" s="111"/>
      <c r="AD504" s="402"/>
      <c r="AE504" s="142">
        <v>0</v>
      </c>
      <c r="AF504" s="150">
        <f t="shared" si="9"/>
        <v>98</v>
      </c>
      <c r="AG504" s="173"/>
      <c r="AH504" s="403"/>
    </row>
    <row r="505" spans="1:34" s="78" customFormat="1" ht="12" customHeight="1">
      <c r="A505" s="100">
        <v>3147</v>
      </c>
      <c r="B505" s="101" t="s">
        <v>2880</v>
      </c>
      <c r="C505" s="101" t="s">
        <v>2880</v>
      </c>
      <c r="D505" s="101" t="s">
        <v>3399</v>
      </c>
      <c r="E505" s="100">
        <v>3</v>
      </c>
      <c r="F505" s="427">
        <v>4</v>
      </c>
      <c r="G505" s="103">
        <v>502</v>
      </c>
      <c r="H505" s="144" t="s">
        <v>2751</v>
      </c>
      <c r="I505" s="145" t="s">
        <v>2752</v>
      </c>
      <c r="J505" s="146">
        <v>30500102253401</v>
      </c>
      <c r="K505" s="147" t="s">
        <v>431</v>
      </c>
      <c r="L505" s="147"/>
      <c r="M505" s="147">
        <v>60</v>
      </c>
      <c r="N505" s="148" t="s">
        <v>1382</v>
      </c>
      <c r="O505" s="144" t="s">
        <v>2753</v>
      </c>
      <c r="P505" s="148">
        <v>4262498</v>
      </c>
      <c r="Q505" s="144" t="s">
        <v>2754</v>
      </c>
      <c r="R505" s="144" t="s">
        <v>2755</v>
      </c>
      <c r="S505" s="149" t="s">
        <v>2756</v>
      </c>
      <c r="T505" s="131">
        <v>0</v>
      </c>
      <c r="U505" s="132">
        <v>0</v>
      </c>
      <c r="V505" s="132">
        <v>0</v>
      </c>
      <c r="W505" s="402"/>
      <c r="X505" s="402"/>
      <c r="Y505" s="142">
        <v>0</v>
      </c>
      <c r="Z505" s="131">
        <v>112</v>
      </c>
      <c r="AA505" s="132">
        <v>88</v>
      </c>
      <c r="AB505" s="132">
        <v>0</v>
      </c>
      <c r="AC505" s="111" t="s">
        <v>3399</v>
      </c>
      <c r="AD505" s="402" t="s">
        <v>2880</v>
      </c>
      <c r="AE505" s="142">
        <v>200</v>
      </c>
      <c r="AF505" s="150">
        <f t="shared" si="9"/>
        <v>200</v>
      </c>
      <c r="AG505" s="174"/>
      <c r="AH505" s="403"/>
    </row>
    <row r="506" spans="1:34" s="78" customFormat="1" ht="12" customHeight="1">
      <c r="A506" s="100">
        <v>3148</v>
      </c>
      <c r="B506" s="101" t="s">
        <v>2880</v>
      </c>
      <c r="C506" s="101" t="s">
        <v>2880</v>
      </c>
      <c r="D506" s="101" t="s">
        <v>3403</v>
      </c>
      <c r="E506" s="100">
        <v>3</v>
      </c>
      <c r="F506" s="427">
        <v>4</v>
      </c>
      <c r="G506" s="103">
        <v>503</v>
      </c>
      <c r="H506" s="144" t="s">
        <v>1381</v>
      </c>
      <c r="I506" s="145" t="s">
        <v>1381</v>
      </c>
      <c r="J506" s="146">
        <v>10500102657301</v>
      </c>
      <c r="K506" s="147" t="s">
        <v>353</v>
      </c>
      <c r="L506" s="147"/>
      <c r="M506" s="147">
        <v>60</v>
      </c>
      <c r="N506" s="148" t="s">
        <v>1382</v>
      </c>
      <c r="O506" s="144" t="s">
        <v>1383</v>
      </c>
      <c r="P506" s="148"/>
      <c r="Q506" s="144" t="s">
        <v>1384</v>
      </c>
      <c r="R506" s="144" t="s">
        <v>1385</v>
      </c>
      <c r="S506" s="149" t="s">
        <v>1386</v>
      </c>
      <c r="T506" s="131">
        <v>402</v>
      </c>
      <c r="U506" s="132">
        <v>475</v>
      </c>
      <c r="V506" s="132">
        <v>190</v>
      </c>
      <c r="W506" s="402" t="s">
        <v>3403</v>
      </c>
      <c r="X506" s="402" t="s">
        <v>2880</v>
      </c>
      <c r="Y506" s="142">
        <v>1067</v>
      </c>
      <c r="Z506" s="131">
        <v>0</v>
      </c>
      <c r="AA506" s="132">
        <v>0</v>
      </c>
      <c r="AB506" s="132">
        <v>0</v>
      </c>
      <c r="AC506" s="111"/>
      <c r="AD506" s="402"/>
      <c r="AE506" s="142">
        <v>0</v>
      </c>
      <c r="AF506" s="150">
        <f t="shared" si="9"/>
        <v>1067</v>
      </c>
      <c r="AG506" s="173"/>
      <c r="AH506" s="403"/>
    </row>
    <row r="507" spans="1:34" s="78" customFormat="1" ht="12" customHeight="1">
      <c r="A507" s="100">
        <v>3149</v>
      </c>
      <c r="B507" s="101" t="s">
        <v>2880</v>
      </c>
      <c r="C507" s="101" t="s">
        <v>2880</v>
      </c>
      <c r="D507" s="101" t="s">
        <v>3403</v>
      </c>
      <c r="E507" s="100">
        <v>3</v>
      </c>
      <c r="F507" s="427">
        <v>4</v>
      </c>
      <c r="G507" s="103">
        <v>504</v>
      </c>
      <c r="H507" s="144" t="s">
        <v>2757</v>
      </c>
      <c r="I507" s="145" t="s">
        <v>2757</v>
      </c>
      <c r="J507" s="146">
        <v>10500102657302</v>
      </c>
      <c r="K507" s="147" t="s">
        <v>353</v>
      </c>
      <c r="L507" s="147"/>
      <c r="M507" s="147">
        <v>60</v>
      </c>
      <c r="N507" s="148" t="s">
        <v>1382</v>
      </c>
      <c r="O507" s="144" t="s">
        <v>2758</v>
      </c>
      <c r="P507" s="148"/>
      <c r="Q507" s="144"/>
      <c r="R507" s="144"/>
      <c r="S507" s="149"/>
      <c r="T507" s="131">
        <v>0</v>
      </c>
      <c r="U507" s="132">
        <v>199</v>
      </c>
      <c r="V507" s="132">
        <v>0</v>
      </c>
      <c r="W507" s="402" t="s">
        <v>3403</v>
      </c>
      <c r="X507" s="402" t="s">
        <v>2880</v>
      </c>
      <c r="Y507" s="142">
        <v>199</v>
      </c>
      <c r="Z507" s="131">
        <v>0</v>
      </c>
      <c r="AA507" s="132">
        <v>0</v>
      </c>
      <c r="AB507" s="132">
        <v>0</v>
      </c>
      <c r="AC507" s="111"/>
      <c r="AD507" s="402"/>
      <c r="AE507" s="142">
        <v>0</v>
      </c>
      <c r="AF507" s="150">
        <f t="shared" si="9"/>
        <v>199</v>
      </c>
      <c r="AG507" s="173"/>
      <c r="AH507" s="403"/>
    </row>
    <row r="508" spans="1:34" s="78" customFormat="1" ht="12" customHeight="1">
      <c r="A508" s="100">
        <v>3150</v>
      </c>
      <c r="B508" s="101" t="s">
        <v>2880</v>
      </c>
      <c r="C508" s="101" t="s">
        <v>2880</v>
      </c>
      <c r="D508" s="101" t="s">
        <v>3403</v>
      </c>
      <c r="E508" s="100">
        <v>3</v>
      </c>
      <c r="F508" s="427">
        <v>4</v>
      </c>
      <c r="G508" s="103">
        <v>505</v>
      </c>
      <c r="H508" s="144" t="s">
        <v>2044</v>
      </c>
      <c r="I508" s="145" t="s">
        <v>2044</v>
      </c>
      <c r="J508" s="146">
        <v>20500100219901</v>
      </c>
      <c r="K508" s="147" t="s">
        <v>353</v>
      </c>
      <c r="L508" s="147"/>
      <c r="M508" s="147">
        <v>60</v>
      </c>
      <c r="N508" s="148" t="s">
        <v>1369</v>
      </c>
      <c r="O508" s="144" t="s">
        <v>2045</v>
      </c>
      <c r="P508" s="148">
        <v>4273235</v>
      </c>
      <c r="Q508" s="144" t="s">
        <v>2046</v>
      </c>
      <c r="R508" s="144" t="s">
        <v>2047</v>
      </c>
      <c r="S508" s="149" t="s">
        <v>2048</v>
      </c>
      <c r="T508" s="131">
        <v>74</v>
      </c>
      <c r="U508" s="132">
        <v>188</v>
      </c>
      <c r="V508" s="132">
        <v>67</v>
      </c>
      <c r="W508" s="402" t="s">
        <v>3403</v>
      </c>
      <c r="X508" s="402" t="s">
        <v>2880</v>
      </c>
      <c r="Y508" s="142">
        <v>329</v>
      </c>
      <c r="Z508" s="131">
        <v>0</v>
      </c>
      <c r="AA508" s="132">
        <v>0</v>
      </c>
      <c r="AB508" s="132">
        <v>0</v>
      </c>
      <c r="AC508" s="111"/>
      <c r="AD508" s="402"/>
      <c r="AE508" s="142">
        <v>0</v>
      </c>
      <c r="AF508" s="150">
        <f t="shared" si="9"/>
        <v>329</v>
      </c>
      <c r="AG508" s="173"/>
      <c r="AH508" s="403"/>
    </row>
    <row r="509" spans="1:34" s="78" customFormat="1" ht="12" customHeight="1">
      <c r="A509" s="100">
        <v>3151</v>
      </c>
      <c r="B509" s="101" t="s">
        <v>2880</v>
      </c>
      <c r="C509" s="101" t="s">
        <v>2880</v>
      </c>
      <c r="D509" s="101" t="s">
        <v>3403</v>
      </c>
      <c r="E509" s="100">
        <v>3</v>
      </c>
      <c r="F509" s="404">
        <v>6</v>
      </c>
      <c r="G509" s="103">
        <v>506</v>
      </c>
      <c r="H509" s="104" t="s">
        <v>2759</v>
      </c>
      <c r="I509" s="104" t="s">
        <v>2759</v>
      </c>
      <c r="J509" s="105">
        <v>10500100207101</v>
      </c>
      <c r="K509" s="106" t="s">
        <v>353</v>
      </c>
      <c r="L509" s="115"/>
      <c r="M509" s="106">
        <v>15</v>
      </c>
      <c r="N509" s="104" t="s">
        <v>2760</v>
      </c>
      <c r="O509" s="104" t="s">
        <v>2761</v>
      </c>
      <c r="P509" s="104" t="s">
        <v>2762</v>
      </c>
      <c r="Q509" s="104" t="s">
        <v>2763</v>
      </c>
      <c r="R509" s="104" t="s">
        <v>2764</v>
      </c>
      <c r="S509" s="108" t="s">
        <v>2765</v>
      </c>
      <c r="T509" s="109">
        <v>0</v>
      </c>
      <c r="U509" s="110">
        <v>100</v>
      </c>
      <c r="V509" s="110">
        <v>90</v>
      </c>
      <c r="W509" s="402" t="s">
        <v>3403</v>
      </c>
      <c r="X509" s="402" t="s">
        <v>2880</v>
      </c>
      <c r="Y509" s="112">
        <v>190</v>
      </c>
      <c r="Z509" s="109">
        <v>0</v>
      </c>
      <c r="AA509" s="110">
        <v>0</v>
      </c>
      <c r="AB509" s="110">
        <v>0</v>
      </c>
      <c r="AC509" s="111"/>
      <c r="AD509" s="402"/>
      <c r="AE509" s="112">
        <v>0</v>
      </c>
      <c r="AF509" s="113">
        <f t="shared" si="9"/>
        <v>190</v>
      </c>
      <c r="AG509" s="115"/>
      <c r="AH509" s="403"/>
    </row>
    <row r="510" spans="1:34" s="78" customFormat="1" ht="12" customHeight="1">
      <c r="A510" s="100">
        <v>3152</v>
      </c>
      <c r="B510" s="101" t="s">
        <v>2880</v>
      </c>
      <c r="C510" s="101" t="s">
        <v>2880</v>
      </c>
      <c r="D510" s="101" t="s">
        <v>3403</v>
      </c>
      <c r="E510" s="100">
        <v>3</v>
      </c>
      <c r="F510" s="404">
        <v>6</v>
      </c>
      <c r="G510" s="103">
        <v>507</v>
      </c>
      <c r="H510" s="104" t="s">
        <v>2766</v>
      </c>
      <c r="I510" s="104" t="s">
        <v>2766</v>
      </c>
      <c r="J510" s="105">
        <v>10500100207102</v>
      </c>
      <c r="K510" s="106" t="s">
        <v>353</v>
      </c>
      <c r="L510" s="115"/>
      <c r="M510" s="106">
        <v>15</v>
      </c>
      <c r="N510" s="104" t="s">
        <v>2760</v>
      </c>
      <c r="O510" s="104" t="s">
        <v>2767</v>
      </c>
      <c r="P510" s="104" t="s">
        <v>2768</v>
      </c>
      <c r="Q510" s="104" t="s">
        <v>2769</v>
      </c>
      <c r="R510" s="104" t="s">
        <v>2770</v>
      </c>
      <c r="S510" s="108" t="s">
        <v>2771</v>
      </c>
      <c r="T510" s="109">
        <v>100</v>
      </c>
      <c r="U510" s="110">
        <v>130</v>
      </c>
      <c r="V510" s="110">
        <v>0</v>
      </c>
      <c r="W510" s="402" t="s">
        <v>3403</v>
      </c>
      <c r="X510" s="402" t="s">
        <v>2880</v>
      </c>
      <c r="Y510" s="431">
        <v>230</v>
      </c>
      <c r="Z510" s="109">
        <v>0</v>
      </c>
      <c r="AA510" s="110">
        <v>0</v>
      </c>
      <c r="AB510" s="110">
        <v>0</v>
      </c>
      <c r="AC510" s="111"/>
      <c r="AD510" s="402"/>
      <c r="AE510" s="112">
        <v>0</v>
      </c>
      <c r="AF510" s="113">
        <f t="shared" si="9"/>
        <v>230</v>
      </c>
      <c r="AG510" s="183"/>
      <c r="AH510" s="403"/>
    </row>
    <row r="511" spans="1:34" s="78" customFormat="1" ht="12" customHeight="1">
      <c r="A511" s="100">
        <v>3153</v>
      </c>
      <c r="B511" s="101" t="s">
        <v>2880</v>
      </c>
      <c r="C511" s="101" t="s">
        <v>2880</v>
      </c>
      <c r="D511" s="101" t="s">
        <v>3403</v>
      </c>
      <c r="E511" s="100">
        <v>3</v>
      </c>
      <c r="F511" s="404">
        <v>6</v>
      </c>
      <c r="G511" s="103">
        <v>508</v>
      </c>
      <c r="H511" s="104" t="s">
        <v>2055</v>
      </c>
      <c r="I511" s="104" t="s">
        <v>2055</v>
      </c>
      <c r="J511" s="105">
        <v>10500100039601</v>
      </c>
      <c r="K511" s="106" t="s">
        <v>353</v>
      </c>
      <c r="L511" s="106" t="s">
        <v>303</v>
      </c>
      <c r="M511" s="106">
        <v>15</v>
      </c>
      <c r="N511" s="104" t="s">
        <v>2056</v>
      </c>
      <c r="O511" s="104" t="s">
        <v>2057</v>
      </c>
      <c r="P511" s="104" t="s">
        <v>2058</v>
      </c>
      <c r="Q511" s="104" t="s">
        <v>2059</v>
      </c>
      <c r="R511" s="104" t="s">
        <v>2060</v>
      </c>
      <c r="S511" s="108" t="s">
        <v>2061</v>
      </c>
      <c r="T511" s="109">
        <v>0</v>
      </c>
      <c r="U511" s="110">
        <v>85</v>
      </c>
      <c r="V511" s="110">
        <v>95</v>
      </c>
      <c r="W511" s="402" t="s">
        <v>3403</v>
      </c>
      <c r="X511" s="402" t="s">
        <v>2880</v>
      </c>
      <c r="Y511" s="112">
        <v>180</v>
      </c>
      <c r="Z511" s="109">
        <v>0</v>
      </c>
      <c r="AA511" s="110">
        <v>0</v>
      </c>
      <c r="AB511" s="110">
        <v>0</v>
      </c>
      <c r="AC511" s="111"/>
      <c r="AD511" s="402"/>
      <c r="AE511" s="112">
        <v>0</v>
      </c>
      <c r="AF511" s="113">
        <f t="shared" si="9"/>
        <v>180</v>
      </c>
      <c r="AG511" s="115"/>
      <c r="AH511" s="403"/>
    </row>
    <row r="512" spans="1:34" s="78" customFormat="1" ht="12" customHeight="1">
      <c r="A512" s="100">
        <v>3154</v>
      </c>
      <c r="B512" s="101" t="s">
        <v>2880</v>
      </c>
      <c r="C512" s="101" t="s">
        <v>2880</v>
      </c>
      <c r="D512" s="101" t="s">
        <v>3403</v>
      </c>
      <c r="E512" s="100">
        <v>3</v>
      </c>
      <c r="F512" s="404">
        <v>6</v>
      </c>
      <c r="G512" s="103">
        <v>509</v>
      </c>
      <c r="H512" s="104" t="s">
        <v>2772</v>
      </c>
      <c r="I512" s="104" t="s">
        <v>2772</v>
      </c>
      <c r="J512" s="105">
        <v>10500101036701</v>
      </c>
      <c r="K512" s="106" t="s">
        <v>353</v>
      </c>
      <c r="L512" s="115"/>
      <c r="M512" s="106">
        <v>15</v>
      </c>
      <c r="N512" s="104" t="s">
        <v>2760</v>
      </c>
      <c r="O512" s="104" t="s">
        <v>2773</v>
      </c>
      <c r="P512" s="104">
        <v>2357397</v>
      </c>
      <c r="Q512" s="104" t="s">
        <v>2774</v>
      </c>
      <c r="R512" s="104" t="s">
        <v>2775</v>
      </c>
      <c r="S512" s="108" t="s">
        <v>2776</v>
      </c>
      <c r="T512" s="109">
        <v>0</v>
      </c>
      <c r="U512" s="110">
        <v>85</v>
      </c>
      <c r="V512" s="110">
        <v>55</v>
      </c>
      <c r="W512" s="402" t="s">
        <v>3403</v>
      </c>
      <c r="X512" s="402" t="s">
        <v>2880</v>
      </c>
      <c r="Y512" s="112">
        <v>140</v>
      </c>
      <c r="Z512" s="109">
        <v>0</v>
      </c>
      <c r="AA512" s="110">
        <v>0</v>
      </c>
      <c r="AB512" s="110">
        <v>0</v>
      </c>
      <c r="AC512" s="111"/>
      <c r="AD512" s="402"/>
      <c r="AE512" s="112">
        <v>0</v>
      </c>
      <c r="AF512" s="113">
        <f t="shared" si="9"/>
        <v>140</v>
      </c>
      <c r="AG512" s="115"/>
      <c r="AH512" s="403"/>
    </row>
    <row r="513" spans="1:34" s="78" customFormat="1" ht="12" customHeight="1">
      <c r="A513" s="100">
        <v>3155</v>
      </c>
      <c r="B513" s="101" t="s">
        <v>2880</v>
      </c>
      <c r="C513" s="101" t="s">
        <v>2880</v>
      </c>
      <c r="D513" s="101" t="s">
        <v>3404</v>
      </c>
      <c r="E513" s="100">
        <v>3</v>
      </c>
      <c r="F513" s="404">
        <v>6</v>
      </c>
      <c r="G513" s="103">
        <v>510</v>
      </c>
      <c r="H513" s="104" t="s">
        <v>2777</v>
      </c>
      <c r="I513" s="104" t="s">
        <v>2777</v>
      </c>
      <c r="J513" s="105">
        <v>10500101036702</v>
      </c>
      <c r="K513" s="106" t="s">
        <v>353</v>
      </c>
      <c r="L513" s="115"/>
      <c r="M513" s="106">
        <v>15</v>
      </c>
      <c r="N513" s="104" t="s">
        <v>2760</v>
      </c>
      <c r="O513" s="104" t="s">
        <v>2778</v>
      </c>
      <c r="P513" s="104">
        <v>2356452</v>
      </c>
      <c r="Q513" s="104" t="s">
        <v>2774</v>
      </c>
      <c r="R513" s="104" t="s">
        <v>2779</v>
      </c>
      <c r="S513" s="108" t="s">
        <v>2780</v>
      </c>
      <c r="T513" s="109">
        <v>118</v>
      </c>
      <c r="U513" s="110">
        <v>67</v>
      </c>
      <c r="V513" s="110">
        <v>0</v>
      </c>
      <c r="W513" s="402" t="s">
        <v>3403</v>
      </c>
      <c r="X513" s="402" t="s">
        <v>2880</v>
      </c>
      <c r="Y513" s="112">
        <v>185</v>
      </c>
      <c r="Z513" s="109">
        <v>86</v>
      </c>
      <c r="AA513" s="110">
        <v>54</v>
      </c>
      <c r="AB513" s="110">
        <v>0</v>
      </c>
      <c r="AC513" s="111" t="s">
        <v>3399</v>
      </c>
      <c r="AD513" s="402" t="s">
        <v>2880</v>
      </c>
      <c r="AE513" s="112">
        <v>140</v>
      </c>
      <c r="AF513" s="113">
        <f t="shared" si="9"/>
        <v>325</v>
      </c>
      <c r="AG513" s="115"/>
      <c r="AH513" s="403"/>
    </row>
    <row r="514" spans="1:34" s="78" customFormat="1" ht="12" customHeight="1">
      <c r="A514" s="100">
        <v>3156</v>
      </c>
      <c r="B514" s="101" t="s">
        <v>2880</v>
      </c>
      <c r="C514" s="101" t="s">
        <v>2880</v>
      </c>
      <c r="D514" s="101" t="s">
        <v>3403</v>
      </c>
      <c r="E514" s="100">
        <v>3</v>
      </c>
      <c r="F514" s="404">
        <v>6</v>
      </c>
      <c r="G514" s="103">
        <v>511</v>
      </c>
      <c r="H514" s="104" t="s">
        <v>2781</v>
      </c>
      <c r="I514" s="104" t="s">
        <v>2781</v>
      </c>
      <c r="J514" s="105">
        <v>10500100479101</v>
      </c>
      <c r="K514" s="106" t="s">
        <v>353</v>
      </c>
      <c r="L514" s="115"/>
      <c r="M514" s="106">
        <v>15</v>
      </c>
      <c r="N514" s="104" t="s">
        <v>2760</v>
      </c>
      <c r="O514" s="104" t="s">
        <v>2782</v>
      </c>
      <c r="P514" s="104" t="s">
        <v>2783</v>
      </c>
      <c r="Q514" s="104" t="s">
        <v>2784</v>
      </c>
      <c r="R514" s="104" t="s">
        <v>2785</v>
      </c>
      <c r="S514" s="108" t="s">
        <v>2786</v>
      </c>
      <c r="T514" s="109">
        <v>70</v>
      </c>
      <c r="U514" s="110">
        <v>110</v>
      </c>
      <c r="V514" s="110">
        <v>70</v>
      </c>
      <c r="W514" s="402" t="s">
        <v>3403</v>
      </c>
      <c r="X514" s="402" t="s">
        <v>2880</v>
      </c>
      <c r="Y514" s="112">
        <v>250</v>
      </c>
      <c r="Z514" s="109">
        <v>0</v>
      </c>
      <c r="AA514" s="110">
        <v>0</v>
      </c>
      <c r="AB514" s="110">
        <v>0</v>
      </c>
      <c r="AC514" s="111"/>
      <c r="AD514" s="402"/>
      <c r="AE514" s="112">
        <v>0</v>
      </c>
      <c r="AF514" s="113">
        <f t="shared" si="9"/>
        <v>250</v>
      </c>
      <c r="AG514" s="115"/>
      <c r="AH514" s="403"/>
    </row>
    <row r="515" spans="1:34" s="78" customFormat="1" ht="12" customHeight="1">
      <c r="A515" s="100">
        <v>3157</v>
      </c>
      <c r="B515" s="101" t="s">
        <v>2880</v>
      </c>
      <c r="C515" s="101" t="s">
        <v>2880</v>
      </c>
      <c r="D515" s="101" t="s">
        <v>3404</v>
      </c>
      <c r="E515" s="100">
        <v>3</v>
      </c>
      <c r="F515" s="404">
        <v>6</v>
      </c>
      <c r="G515" s="103">
        <v>512</v>
      </c>
      <c r="H515" s="104" t="s">
        <v>2787</v>
      </c>
      <c r="I515" s="104" t="s">
        <v>2787</v>
      </c>
      <c r="J515" s="105">
        <v>10500100163502</v>
      </c>
      <c r="K515" s="106" t="s">
        <v>353</v>
      </c>
      <c r="L515" s="115"/>
      <c r="M515" s="106">
        <v>16</v>
      </c>
      <c r="N515" s="104" t="s">
        <v>1455</v>
      </c>
      <c r="O515" s="104" t="s">
        <v>2788</v>
      </c>
      <c r="P515" s="104">
        <v>3432833</v>
      </c>
      <c r="Q515" s="104" t="s">
        <v>2789</v>
      </c>
      <c r="R515" s="104" t="s">
        <v>2790</v>
      </c>
      <c r="S515" s="108" t="s">
        <v>2791</v>
      </c>
      <c r="T515" s="109">
        <v>20</v>
      </c>
      <c r="U515" s="110">
        <v>0</v>
      </c>
      <c r="V515" s="110">
        <v>0</v>
      </c>
      <c r="W515" s="402" t="s">
        <v>3403</v>
      </c>
      <c r="X515" s="402" t="s">
        <v>2880</v>
      </c>
      <c r="Y515" s="112">
        <v>20</v>
      </c>
      <c r="Z515" s="109">
        <v>120</v>
      </c>
      <c r="AA515" s="110">
        <v>0</v>
      </c>
      <c r="AB515" s="110">
        <v>0</v>
      </c>
      <c r="AC515" s="111" t="s">
        <v>3399</v>
      </c>
      <c r="AD515" s="402" t="s">
        <v>2880</v>
      </c>
      <c r="AE515" s="112">
        <v>120</v>
      </c>
      <c r="AF515" s="113">
        <f t="shared" si="9"/>
        <v>140</v>
      </c>
      <c r="AG515" s="115"/>
      <c r="AH515" s="403"/>
    </row>
    <row r="516" spans="1:34" s="78" customFormat="1" ht="12" customHeight="1">
      <c r="A516" s="100">
        <v>3158</v>
      </c>
      <c r="B516" s="101" t="s">
        <v>2880</v>
      </c>
      <c r="C516" s="101" t="s">
        <v>2880</v>
      </c>
      <c r="D516" s="101" t="s">
        <v>3404</v>
      </c>
      <c r="E516" s="100">
        <v>3</v>
      </c>
      <c r="F516" s="404">
        <v>6</v>
      </c>
      <c r="G516" s="103">
        <v>513</v>
      </c>
      <c r="H516" s="104" t="s">
        <v>2792</v>
      </c>
      <c r="I516" s="104" t="s">
        <v>2792</v>
      </c>
      <c r="J516" s="105">
        <v>10500101992501</v>
      </c>
      <c r="K516" s="106" t="s">
        <v>353</v>
      </c>
      <c r="L516" s="115"/>
      <c r="M516" s="106">
        <v>16</v>
      </c>
      <c r="N516" s="104" t="s">
        <v>1449</v>
      </c>
      <c r="O516" s="104" t="s">
        <v>2793</v>
      </c>
      <c r="P516" s="104" t="s">
        <v>2794</v>
      </c>
      <c r="Q516" s="104" t="s">
        <v>1463</v>
      </c>
      <c r="R516" s="104" t="s">
        <v>2795</v>
      </c>
      <c r="S516" s="108" t="s">
        <v>2796</v>
      </c>
      <c r="T516" s="109">
        <v>0</v>
      </c>
      <c r="U516" s="110">
        <v>155</v>
      </c>
      <c r="V516" s="110">
        <v>81</v>
      </c>
      <c r="W516" s="402" t="s">
        <v>3403</v>
      </c>
      <c r="X516" s="402" t="s">
        <v>2880</v>
      </c>
      <c r="Y516" s="112">
        <v>236</v>
      </c>
      <c r="Z516" s="109">
        <v>0</v>
      </c>
      <c r="AA516" s="110">
        <v>230</v>
      </c>
      <c r="AB516" s="110">
        <v>120</v>
      </c>
      <c r="AC516" s="111" t="s">
        <v>3399</v>
      </c>
      <c r="AD516" s="402" t="s">
        <v>2880</v>
      </c>
      <c r="AE516" s="112">
        <v>350</v>
      </c>
      <c r="AF516" s="113">
        <f t="shared" si="9"/>
        <v>586</v>
      </c>
      <c r="AG516" s="115"/>
      <c r="AH516" s="403"/>
    </row>
    <row r="517" spans="1:34" s="78" customFormat="1" ht="12" customHeight="1" thickBot="1">
      <c r="A517" s="100">
        <v>3159</v>
      </c>
      <c r="B517" s="101" t="s">
        <v>2880</v>
      </c>
      <c r="C517" s="101" t="s">
        <v>2880</v>
      </c>
      <c r="D517" s="101" t="s">
        <v>3403</v>
      </c>
      <c r="E517" s="100">
        <v>3</v>
      </c>
      <c r="F517" s="404">
        <v>6</v>
      </c>
      <c r="G517" s="103">
        <v>514</v>
      </c>
      <c r="H517" s="104" t="s">
        <v>2797</v>
      </c>
      <c r="I517" s="104" t="s">
        <v>2797</v>
      </c>
      <c r="J517" s="105">
        <v>10500101992503</v>
      </c>
      <c r="K517" s="106" t="s">
        <v>353</v>
      </c>
      <c r="L517" s="115"/>
      <c r="M517" s="106">
        <v>16</v>
      </c>
      <c r="N517" s="104" t="s">
        <v>1449</v>
      </c>
      <c r="O517" s="104" t="s">
        <v>2798</v>
      </c>
      <c r="P517" s="104" t="s">
        <v>2799</v>
      </c>
      <c r="Q517" s="104" t="s">
        <v>1463</v>
      </c>
      <c r="R517" s="104" t="s">
        <v>1464</v>
      </c>
      <c r="S517" s="108" t="s">
        <v>1465</v>
      </c>
      <c r="T517" s="417">
        <v>66</v>
      </c>
      <c r="U517" s="418">
        <v>172</v>
      </c>
      <c r="V517" s="418">
        <v>0</v>
      </c>
      <c r="W517" s="402" t="s">
        <v>3403</v>
      </c>
      <c r="X517" s="402" t="s">
        <v>2880</v>
      </c>
      <c r="Y517" s="420">
        <v>238</v>
      </c>
      <c r="Z517" s="417">
        <v>0</v>
      </c>
      <c r="AA517" s="418">
        <v>0</v>
      </c>
      <c r="AB517" s="418">
        <v>0</v>
      </c>
      <c r="AC517" s="111"/>
      <c r="AD517" s="402"/>
      <c r="AE517" s="420">
        <v>0</v>
      </c>
      <c r="AF517" s="113">
        <f t="shared" si="9"/>
        <v>238</v>
      </c>
      <c r="AG517" s="115"/>
      <c r="AH517" s="403"/>
    </row>
    <row r="518" spans="1:34" s="78" customFormat="1" ht="12" customHeight="1" thickBot="1">
      <c r="A518" s="100">
        <v>3160</v>
      </c>
      <c r="B518" s="101" t="s">
        <v>2880</v>
      </c>
      <c r="C518" s="101" t="s">
        <v>2880</v>
      </c>
      <c r="D518" s="101" t="s">
        <v>3403</v>
      </c>
      <c r="E518" s="100">
        <v>3</v>
      </c>
      <c r="F518" s="404">
        <v>6</v>
      </c>
      <c r="G518" s="103">
        <v>515</v>
      </c>
      <c r="H518" s="104" t="s">
        <v>2800</v>
      </c>
      <c r="I518" s="104" t="s">
        <v>2800</v>
      </c>
      <c r="J518" s="105">
        <v>10500100345002</v>
      </c>
      <c r="K518" s="106" t="s">
        <v>353</v>
      </c>
      <c r="L518" s="115"/>
      <c r="M518" s="106">
        <v>16</v>
      </c>
      <c r="N518" s="104" t="s">
        <v>1455</v>
      </c>
      <c r="O518" s="104" t="s">
        <v>2801</v>
      </c>
      <c r="P518" s="104">
        <v>3539164</v>
      </c>
      <c r="Q518" s="104" t="s">
        <v>2802</v>
      </c>
      <c r="R518" s="104" t="s">
        <v>2803</v>
      </c>
      <c r="S518" s="108" t="s">
        <v>2804</v>
      </c>
      <c r="T518" s="417">
        <v>0</v>
      </c>
      <c r="U518" s="418">
        <v>140</v>
      </c>
      <c r="V518" s="418">
        <v>120</v>
      </c>
      <c r="W518" s="402" t="s">
        <v>3403</v>
      </c>
      <c r="X518" s="402" t="s">
        <v>2880</v>
      </c>
      <c r="Y518" s="420">
        <v>260</v>
      </c>
      <c r="Z518" s="417">
        <v>0</v>
      </c>
      <c r="AA518" s="418">
        <v>0</v>
      </c>
      <c r="AB518" s="418">
        <v>0</v>
      </c>
      <c r="AC518" s="111"/>
      <c r="AD518" s="402"/>
      <c r="AE518" s="420">
        <v>0</v>
      </c>
      <c r="AF518" s="113">
        <f t="shared" si="9"/>
        <v>260</v>
      </c>
      <c r="AG518" s="115"/>
      <c r="AH518" s="403"/>
    </row>
    <row r="519" spans="1:34" s="78" customFormat="1" ht="12" customHeight="1" thickBot="1">
      <c r="A519" s="100">
        <v>3161</v>
      </c>
      <c r="B519" s="101" t="s">
        <v>2880</v>
      </c>
      <c r="C519" s="101" t="s">
        <v>2880</v>
      </c>
      <c r="D519" s="101" t="s">
        <v>3403</v>
      </c>
      <c r="E519" s="100">
        <v>3</v>
      </c>
      <c r="F519" s="404">
        <v>6</v>
      </c>
      <c r="G519" s="103">
        <v>516</v>
      </c>
      <c r="H519" s="104" t="s">
        <v>2805</v>
      </c>
      <c r="I519" s="104" t="s">
        <v>2805</v>
      </c>
      <c r="J519" s="105">
        <v>10500100312302</v>
      </c>
      <c r="K519" s="106" t="s">
        <v>353</v>
      </c>
      <c r="L519" s="115"/>
      <c r="M519" s="106">
        <v>16</v>
      </c>
      <c r="N519" s="104" t="s">
        <v>2096</v>
      </c>
      <c r="O519" s="104" t="s">
        <v>2806</v>
      </c>
      <c r="P519" s="104">
        <v>2354351</v>
      </c>
      <c r="Q519" s="104" t="s">
        <v>2099</v>
      </c>
      <c r="R519" s="104" t="s">
        <v>2099</v>
      </c>
      <c r="S519" s="108" t="s">
        <v>2101</v>
      </c>
      <c r="T519" s="417">
        <v>0</v>
      </c>
      <c r="U519" s="418">
        <v>144</v>
      </c>
      <c r="V519" s="418">
        <v>86</v>
      </c>
      <c r="W519" s="402" t="s">
        <v>3403</v>
      </c>
      <c r="X519" s="402" t="s">
        <v>2880</v>
      </c>
      <c r="Y519" s="420">
        <v>230</v>
      </c>
      <c r="Z519" s="417">
        <v>0</v>
      </c>
      <c r="AA519" s="418">
        <v>0</v>
      </c>
      <c r="AB519" s="418">
        <v>0</v>
      </c>
      <c r="AC519" s="111"/>
      <c r="AD519" s="402"/>
      <c r="AE519" s="420">
        <v>0</v>
      </c>
      <c r="AF519" s="432">
        <f t="shared" si="9"/>
        <v>230</v>
      </c>
      <c r="AG519" s="115"/>
      <c r="AH519" s="403"/>
    </row>
    <row r="520" spans="1:34" s="78" customFormat="1" ht="12" customHeight="1" thickBot="1">
      <c r="A520" s="100">
        <v>3162</v>
      </c>
      <c r="B520" s="101" t="s">
        <v>2880</v>
      </c>
      <c r="C520" s="101" t="s">
        <v>2880</v>
      </c>
      <c r="D520" s="101" t="s">
        <v>3403</v>
      </c>
      <c r="E520" s="100">
        <v>3</v>
      </c>
      <c r="F520" s="404">
        <v>6</v>
      </c>
      <c r="G520" s="103">
        <v>517</v>
      </c>
      <c r="H520" s="104" t="s">
        <v>2807</v>
      </c>
      <c r="I520" s="104" t="s">
        <v>2807</v>
      </c>
      <c r="J520" s="105">
        <v>10500100013201</v>
      </c>
      <c r="K520" s="106" t="s">
        <v>353</v>
      </c>
      <c r="L520" s="115"/>
      <c r="M520" s="106">
        <v>16</v>
      </c>
      <c r="N520" s="104" t="s">
        <v>2075</v>
      </c>
      <c r="O520" s="104" t="s">
        <v>2808</v>
      </c>
      <c r="P520" s="229" t="s">
        <v>2809</v>
      </c>
      <c r="Q520" s="104" t="s">
        <v>2810</v>
      </c>
      <c r="R520" s="229" t="s">
        <v>2811</v>
      </c>
      <c r="S520" s="231" t="s">
        <v>2812</v>
      </c>
      <c r="T520" s="417">
        <v>129</v>
      </c>
      <c r="U520" s="418">
        <v>168</v>
      </c>
      <c r="V520" s="418">
        <v>103</v>
      </c>
      <c r="W520" s="402" t="s">
        <v>3403</v>
      </c>
      <c r="X520" s="402" t="s">
        <v>2880</v>
      </c>
      <c r="Y520" s="420">
        <v>400</v>
      </c>
      <c r="Z520" s="417">
        <v>0</v>
      </c>
      <c r="AA520" s="418">
        <v>0</v>
      </c>
      <c r="AB520" s="418">
        <v>0</v>
      </c>
      <c r="AC520" s="111"/>
      <c r="AD520" s="402"/>
      <c r="AE520" s="420">
        <v>0</v>
      </c>
      <c r="AF520" s="432">
        <f t="shared" si="9"/>
        <v>400</v>
      </c>
      <c r="AG520" s="115"/>
      <c r="AH520" s="403"/>
    </row>
    <row r="521" spans="1:34" s="78" customFormat="1" ht="12" customHeight="1" thickBot="1">
      <c r="A521" s="100">
        <v>3163</v>
      </c>
      <c r="B521" s="101" t="s">
        <v>2880</v>
      </c>
      <c r="C521" s="101" t="s">
        <v>2880</v>
      </c>
      <c r="D521" s="101" t="s">
        <v>3403</v>
      </c>
      <c r="E521" s="100">
        <v>3</v>
      </c>
      <c r="F521" s="404">
        <v>6</v>
      </c>
      <c r="G521" s="103">
        <v>518</v>
      </c>
      <c r="H521" s="104" t="s">
        <v>2102</v>
      </c>
      <c r="I521" s="104" t="s">
        <v>2102</v>
      </c>
      <c r="J521" s="105">
        <v>10500101210601</v>
      </c>
      <c r="K521" s="106" t="s">
        <v>353</v>
      </c>
      <c r="L521" s="106" t="s">
        <v>303</v>
      </c>
      <c r="M521" s="106">
        <v>16</v>
      </c>
      <c r="N521" s="104" t="s">
        <v>2103</v>
      </c>
      <c r="O521" s="104" t="s">
        <v>2104</v>
      </c>
      <c r="P521" s="104" t="s">
        <v>2105</v>
      </c>
      <c r="Q521" s="104" t="s">
        <v>2106</v>
      </c>
      <c r="R521" s="229" t="s">
        <v>2107</v>
      </c>
      <c r="S521" s="231" t="s">
        <v>2108</v>
      </c>
      <c r="T521" s="417">
        <v>170</v>
      </c>
      <c r="U521" s="418">
        <v>280</v>
      </c>
      <c r="V521" s="418">
        <v>50</v>
      </c>
      <c r="W521" s="402" t="s">
        <v>3403</v>
      </c>
      <c r="X521" s="402" t="s">
        <v>2880</v>
      </c>
      <c r="Y521" s="420">
        <v>500</v>
      </c>
      <c r="Z521" s="417">
        <v>0</v>
      </c>
      <c r="AA521" s="418">
        <v>0</v>
      </c>
      <c r="AB521" s="418">
        <v>0</v>
      </c>
      <c r="AC521" s="111"/>
      <c r="AD521" s="402"/>
      <c r="AE521" s="420">
        <v>0</v>
      </c>
      <c r="AF521" s="432">
        <f t="shared" si="9"/>
        <v>500</v>
      </c>
      <c r="AG521" s="115"/>
      <c r="AH521" s="403"/>
    </row>
    <row r="522" spans="1:34" s="78" customFormat="1" ht="12" customHeight="1">
      <c r="A522" s="100">
        <v>3164</v>
      </c>
      <c r="B522" s="101" t="s">
        <v>2880</v>
      </c>
      <c r="C522" s="101" t="s">
        <v>2880</v>
      </c>
      <c r="D522" s="101" t="s">
        <v>3403</v>
      </c>
      <c r="E522" s="100">
        <v>3</v>
      </c>
      <c r="F522" s="404">
        <v>6</v>
      </c>
      <c r="G522" s="103">
        <v>519</v>
      </c>
      <c r="H522" s="104" t="s">
        <v>2029</v>
      </c>
      <c r="I522" s="104" t="s">
        <v>2813</v>
      </c>
      <c r="J522" s="105">
        <v>10500101210602</v>
      </c>
      <c r="K522" s="106" t="s">
        <v>353</v>
      </c>
      <c r="L522" s="115"/>
      <c r="M522" s="106">
        <v>16</v>
      </c>
      <c r="N522" s="115"/>
      <c r="O522" s="115"/>
      <c r="P522" s="115"/>
      <c r="Q522" s="115"/>
      <c r="R522" s="115"/>
      <c r="S522" s="136"/>
      <c r="T522" s="109">
        <v>100</v>
      </c>
      <c r="U522" s="110">
        <v>200</v>
      </c>
      <c r="V522" s="110">
        <v>100</v>
      </c>
      <c r="W522" s="402" t="s">
        <v>3403</v>
      </c>
      <c r="X522" s="402" t="s">
        <v>2880</v>
      </c>
      <c r="Y522" s="112">
        <v>400</v>
      </c>
      <c r="Z522" s="109">
        <v>0</v>
      </c>
      <c r="AA522" s="110">
        <v>0</v>
      </c>
      <c r="AB522" s="110">
        <v>0</v>
      </c>
      <c r="AC522" s="111"/>
      <c r="AD522" s="402"/>
      <c r="AE522" s="112">
        <v>0</v>
      </c>
      <c r="AF522" s="432">
        <f t="shared" si="9"/>
        <v>400</v>
      </c>
      <c r="AG522" s="115"/>
      <c r="AH522" s="433"/>
    </row>
    <row r="523" spans="1:34" s="78" customFormat="1" ht="12" customHeight="1">
      <c r="A523" s="434">
        <v>3165</v>
      </c>
      <c r="B523" s="435" t="s">
        <v>2880</v>
      </c>
      <c r="C523" s="435" t="s">
        <v>2880</v>
      </c>
      <c r="D523" s="435" t="s">
        <v>3403</v>
      </c>
      <c r="E523" s="434">
        <v>3</v>
      </c>
      <c r="F523" s="436">
        <v>6</v>
      </c>
      <c r="G523" s="103">
        <v>520</v>
      </c>
      <c r="H523" s="437" t="s">
        <v>2814</v>
      </c>
      <c r="I523" s="437" t="s">
        <v>2814</v>
      </c>
      <c r="J523" s="438">
        <v>10500102576303</v>
      </c>
      <c r="K523" s="439" t="s">
        <v>353</v>
      </c>
      <c r="L523" s="440"/>
      <c r="M523" s="439">
        <v>70</v>
      </c>
      <c r="N523" s="437" t="s">
        <v>2815</v>
      </c>
      <c r="O523" s="437" t="s">
        <v>2816</v>
      </c>
      <c r="P523" s="437">
        <v>2350062</v>
      </c>
      <c r="Q523" s="437" t="s">
        <v>2112</v>
      </c>
      <c r="R523" s="437" t="s">
        <v>2817</v>
      </c>
      <c r="S523" s="441" t="s">
        <v>2818</v>
      </c>
      <c r="T523" s="442">
        <v>110</v>
      </c>
      <c r="U523" s="443">
        <v>70</v>
      </c>
      <c r="V523" s="443">
        <v>0</v>
      </c>
      <c r="W523" s="430" t="s">
        <v>3403</v>
      </c>
      <c r="X523" s="402" t="s">
        <v>2880</v>
      </c>
      <c r="Y523" s="419">
        <v>180</v>
      </c>
      <c r="Z523" s="442">
        <v>0</v>
      </c>
      <c r="AA523" s="443">
        <v>0</v>
      </c>
      <c r="AB523" s="443">
        <v>0</v>
      </c>
      <c r="AC523" s="429"/>
      <c r="AD523" s="402"/>
      <c r="AE523" s="419">
        <v>0</v>
      </c>
      <c r="AF523" s="432">
        <f t="shared" si="9"/>
        <v>180</v>
      </c>
      <c r="AG523" s="440"/>
      <c r="AH523" s="444"/>
    </row>
    <row r="524" spans="1:34" s="78" customFormat="1" ht="12" customHeight="1">
      <c r="A524" s="434">
        <v>3166</v>
      </c>
      <c r="B524" s="435" t="s">
        <v>2880</v>
      </c>
      <c r="C524" s="435" t="s">
        <v>2880</v>
      </c>
      <c r="D524" s="435" t="s">
        <v>3404</v>
      </c>
      <c r="E524" s="434">
        <v>3</v>
      </c>
      <c r="F524" s="436">
        <v>6</v>
      </c>
      <c r="G524" s="103">
        <v>521</v>
      </c>
      <c r="H524" s="437" t="s">
        <v>2819</v>
      </c>
      <c r="I524" s="437" t="s">
        <v>2819</v>
      </c>
      <c r="J524" s="438">
        <v>20500101253401</v>
      </c>
      <c r="K524" s="439" t="s">
        <v>353</v>
      </c>
      <c r="L524" s="440"/>
      <c r="M524" s="439">
        <v>80</v>
      </c>
      <c r="N524" s="437" t="s">
        <v>2169</v>
      </c>
      <c r="O524" s="437" t="s">
        <v>2820</v>
      </c>
      <c r="P524" s="437" t="s">
        <v>2821</v>
      </c>
      <c r="Q524" s="437" t="s">
        <v>2822</v>
      </c>
      <c r="R524" s="437" t="s">
        <v>2823</v>
      </c>
      <c r="S524" s="441" t="s">
        <v>2824</v>
      </c>
      <c r="T524" s="442">
        <v>0</v>
      </c>
      <c r="U524" s="443">
        <v>80</v>
      </c>
      <c r="V524" s="443">
        <v>120</v>
      </c>
      <c r="W524" s="430" t="s">
        <v>3403</v>
      </c>
      <c r="X524" s="430" t="s">
        <v>2880</v>
      </c>
      <c r="Y524" s="419">
        <v>200</v>
      </c>
      <c r="Z524" s="442">
        <v>0</v>
      </c>
      <c r="AA524" s="443">
        <v>330</v>
      </c>
      <c r="AB524" s="443">
        <v>265</v>
      </c>
      <c r="AC524" s="429" t="s">
        <v>3399</v>
      </c>
      <c r="AD524" s="430" t="s">
        <v>2880</v>
      </c>
      <c r="AE524" s="419">
        <v>595</v>
      </c>
      <c r="AF524" s="432">
        <f t="shared" si="9"/>
        <v>795</v>
      </c>
      <c r="AG524" s="445"/>
      <c r="AH524" s="446"/>
    </row>
    <row r="525" spans="1:34" s="78" customFormat="1" ht="12" customHeight="1">
      <c r="A525" s="100">
        <v>3167</v>
      </c>
      <c r="B525" s="101" t="s">
        <v>2880</v>
      </c>
      <c r="C525" s="101" t="s">
        <v>2880</v>
      </c>
      <c r="D525" s="101" t="s">
        <v>3404</v>
      </c>
      <c r="E525" s="100">
        <v>3</v>
      </c>
      <c r="F525" s="404">
        <v>6</v>
      </c>
      <c r="G525" s="103">
        <v>522</v>
      </c>
      <c r="H525" s="104" t="s">
        <v>2825</v>
      </c>
      <c r="I525" s="104" t="s">
        <v>2825</v>
      </c>
      <c r="J525" s="105">
        <v>20500101253402</v>
      </c>
      <c r="K525" s="106" t="s">
        <v>353</v>
      </c>
      <c r="L525" s="115"/>
      <c r="M525" s="106">
        <v>80</v>
      </c>
      <c r="N525" s="104" t="s">
        <v>2826</v>
      </c>
      <c r="O525" s="104" t="s">
        <v>2827</v>
      </c>
      <c r="P525" s="104">
        <v>2860138</v>
      </c>
      <c r="Q525" s="104" t="s">
        <v>2828</v>
      </c>
      <c r="R525" s="104" t="s">
        <v>2829</v>
      </c>
      <c r="S525" s="108" t="s">
        <v>2830</v>
      </c>
      <c r="T525" s="109">
        <v>0</v>
      </c>
      <c r="U525" s="110">
        <v>175</v>
      </c>
      <c r="V525" s="110">
        <v>0</v>
      </c>
      <c r="W525" s="402" t="s">
        <v>3403</v>
      </c>
      <c r="X525" s="402" t="s">
        <v>2880</v>
      </c>
      <c r="Y525" s="112">
        <v>175</v>
      </c>
      <c r="Z525" s="109">
        <v>0</v>
      </c>
      <c r="AA525" s="110">
        <v>173</v>
      </c>
      <c r="AB525" s="110">
        <v>0</v>
      </c>
      <c r="AC525" s="111" t="s">
        <v>3399</v>
      </c>
      <c r="AD525" s="402" t="s">
        <v>2880</v>
      </c>
      <c r="AE525" s="112">
        <v>173</v>
      </c>
      <c r="AF525" s="432">
        <f t="shared" si="9"/>
        <v>348</v>
      </c>
      <c r="AG525" s="183"/>
      <c r="AH525" s="447"/>
    </row>
    <row r="526" spans="1:34" s="78" customFormat="1" ht="12" customHeight="1">
      <c r="A526" s="434">
        <v>3168</v>
      </c>
      <c r="B526" s="435" t="s">
        <v>2880</v>
      </c>
      <c r="C526" s="435" t="s">
        <v>2880</v>
      </c>
      <c r="D526" s="435" t="s">
        <v>3403</v>
      </c>
      <c r="E526" s="434">
        <v>3</v>
      </c>
      <c r="F526" s="436">
        <v>6</v>
      </c>
      <c r="G526" s="103">
        <v>523</v>
      </c>
      <c r="H526" s="437" t="s">
        <v>2831</v>
      </c>
      <c r="I526" s="437" t="s">
        <v>2831</v>
      </c>
      <c r="J526" s="438">
        <v>20500100167202</v>
      </c>
      <c r="K526" s="439" t="s">
        <v>353</v>
      </c>
      <c r="L526" s="440"/>
      <c r="M526" s="439">
        <v>80</v>
      </c>
      <c r="N526" s="437" t="s">
        <v>2832</v>
      </c>
      <c r="O526" s="437" t="s">
        <v>2833</v>
      </c>
      <c r="P526" s="437">
        <v>2860291</v>
      </c>
      <c r="Q526" s="437" t="s">
        <v>2834</v>
      </c>
      <c r="R526" s="437" t="s">
        <v>2835</v>
      </c>
      <c r="S526" s="441" t="s">
        <v>2836</v>
      </c>
      <c r="T526" s="442">
        <v>81</v>
      </c>
      <c r="U526" s="443">
        <v>57</v>
      </c>
      <c r="V526" s="443">
        <v>0</v>
      </c>
      <c r="W526" s="430" t="s">
        <v>3403</v>
      </c>
      <c r="X526" s="430" t="s">
        <v>2880</v>
      </c>
      <c r="Y526" s="419">
        <v>138</v>
      </c>
      <c r="Z526" s="442">
        <v>0</v>
      </c>
      <c r="AA526" s="443">
        <v>0</v>
      </c>
      <c r="AB526" s="443">
        <v>0</v>
      </c>
      <c r="AC526" s="429"/>
      <c r="AD526" s="430"/>
      <c r="AE526" s="419">
        <v>0</v>
      </c>
      <c r="AF526" s="432">
        <f t="shared" si="9"/>
        <v>138</v>
      </c>
      <c r="AG526" s="445"/>
      <c r="AH526" s="444"/>
    </row>
    <row r="527" spans="1:34" s="78" customFormat="1" ht="12" customHeight="1">
      <c r="A527" s="95">
        <v>3169</v>
      </c>
      <c r="B527" s="96" t="s">
        <v>2880</v>
      </c>
      <c r="C527" s="96" t="s">
        <v>2880</v>
      </c>
      <c r="D527" s="96" t="s">
        <v>3403</v>
      </c>
      <c r="E527" s="95">
        <v>3</v>
      </c>
      <c r="F527" s="99">
        <v>6</v>
      </c>
      <c r="G527" s="103">
        <v>524</v>
      </c>
      <c r="H527" s="97" t="s">
        <v>2210</v>
      </c>
      <c r="I527" s="97" t="s">
        <v>2210</v>
      </c>
      <c r="J527" s="98">
        <v>20500101874501</v>
      </c>
      <c r="K527" s="99" t="s">
        <v>353</v>
      </c>
      <c r="L527" s="448"/>
      <c r="M527" s="99">
        <v>80</v>
      </c>
      <c r="N527" s="97" t="s">
        <v>2211</v>
      </c>
      <c r="O527" s="97" t="s">
        <v>2212</v>
      </c>
      <c r="P527" s="97">
        <v>2862293</v>
      </c>
      <c r="Q527" s="97" t="s">
        <v>2213</v>
      </c>
      <c r="R527" s="97" t="s">
        <v>2214</v>
      </c>
      <c r="S527" s="97" t="s">
        <v>2215</v>
      </c>
      <c r="T527" s="449">
        <v>0</v>
      </c>
      <c r="U527" s="449">
        <v>240</v>
      </c>
      <c r="V527" s="449">
        <v>110</v>
      </c>
      <c r="W527" s="450" t="s">
        <v>3403</v>
      </c>
      <c r="X527" s="450" t="s">
        <v>2880</v>
      </c>
      <c r="Y527" s="451">
        <v>350</v>
      </c>
      <c r="Z527" s="449">
        <v>0</v>
      </c>
      <c r="AA527" s="449">
        <v>0</v>
      </c>
      <c r="AB527" s="449">
        <v>0</v>
      </c>
      <c r="AC527" s="449"/>
      <c r="AD527" s="450"/>
      <c r="AE527" s="451">
        <v>0</v>
      </c>
      <c r="AF527" s="452">
        <f t="shared" si="9"/>
        <v>350</v>
      </c>
      <c r="AG527" s="448"/>
      <c r="AH527" s="89"/>
    </row>
    <row r="528" spans="1:34" s="78" customFormat="1" ht="12" customHeight="1">
      <c r="A528" s="95">
        <v>3170</v>
      </c>
      <c r="B528" s="96" t="s">
        <v>2880</v>
      </c>
      <c r="C528" s="96" t="s">
        <v>2880</v>
      </c>
      <c r="D528" s="96" t="s">
        <v>3403</v>
      </c>
      <c r="E528" s="95">
        <v>3</v>
      </c>
      <c r="F528" s="99">
        <v>6</v>
      </c>
      <c r="G528" s="103">
        <v>525</v>
      </c>
      <c r="H528" s="97" t="s">
        <v>2837</v>
      </c>
      <c r="I528" s="97" t="s">
        <v>2837</v>
      </c>
      <c r="J528" s="98">
        <v>10500101875901</v>
      </c>
      <c r="K528" s="99" t="s">
        <v>353</v>
      </c>
      <c r="L528" s="448"/>
      <c r="M528" s="99">
        <v>80</v>
      </c>
      <c r="N528" s="97" t="s">
        <v>2211</v>
      </c>
      <c r="O528" s="97" t="s">
        <v>2838</v>
      </c>
      <c r="P528" s="97" t="s">
        <v>2839</v>
      </c>
      <c r="Q528" s="97" t="s">
        <v>2840</v>
      </c>
      <c r="R528" s="97" t="s">
        <v>2841</v>
      </c>
      <c r="S528" s="97" t="s">
        <v>2842</v>
      </c>
      <c r="T528" s="449">
        <v>0</v>
      </c>
      <c r="U528" s="449">
        <v>268</v>
      </c>
      <c r="V528" s="449">
        <v>137</v>
      </c>
      <c r="W528" s="450" t="s">
        <v>3403</v>
      </c>
      <c r="X528" s="450" t="s">
        <v>2880</v>
      </c>
      <c r="Y528" s="451">
        <v>405</v>
      </c>
      <c r="Z528" s="449">
        <v>0</v>
      </c>
      <c r="AA528" s="449">
        <v>0</v>
      </c>
      <c r="AB528" s="449">
        <v>0</v>
      </c>
      <c r="AC528" s="449"/>
      <c r="AD528" s="450"/>
      <c r="AE528" s="451">
        <v>0</v>
      </c>
      <c r="AF528" s="452">
        <f t="shared" si="9"/>
        <v>405</v>
      </c>
      <c r="AG528" s="448"/>
      <c r="AH528" s="89"/>
    </row>
    <row r="529" spans="1:34" ht="12" customHeight="1">
      <c r="A529" s="453">
        <v>3171</v>
      </c>
      <c r="B529" s="454" t="s">
        <v>2880</v>
      </c>
      <c r="C529" s="435" t="s">
        <v>2880</v>
      </c>
      <c r="D529" s="454" t="s">
        <v>3403</v>
      </c>
      <c r="E529" s="453">
        <v>3</v>
      </c>
      <c r="F529" s="455">
        <v>6</v>
      </c>
      <c r="G529" s="103">
        <v>526</v>
      </c>
      <c r="H529" s="456" t="s">
        <v>2843</v>
      </c>
      <c r="I529" s="456" t="s">
        <v>2843</v>
      </c>
      <c r="J529" s="457">
        <v>20500102662401</v>
      </c>
      <c r="K529" s="455" t="s">
        <v>353</v>
      </c>
      <c r="L529" s="458"/>
      <c r="M529" s="455">
        <v>80</v>
      </c>
      <c r="N529" s="456" t="s">
        <v>2192</v>
      </c>
      <c r="O529" s="456" t="s">
        <v>2844</v>
      </c>
      <c r="P529" s="456" t="s">
        <v>2845</v>
      </c>
      <c r="Q529" s="456" t="s">
        <v>2846</v>
      </c>
      <c r="R529" s="456" t="s">
        <v>2847</v>
      </c>
      <c r="S529" s="456" t="s">
        <v>2848</v>
      </c>
      <c r="T529" s="459">
        <v>192</v>
      </c>
      <c r="U529" s="459">
        <v>150</v>
      </c>
      <c r="V529" s="459">
        <v>108</v>
      </c>
      <c r="W529" s="460" t="s">
        <v>3403</v>
      </c>
      <c r="X529" s="460" t="s">
        <v>2880</v>
      </c>
      <c r="Y529" s="461">
        <v>450</v>
      </c>
      <c r="Z529" s="459">
        <v>0</v>
      </c>
      <c r="AA529" s="459">
        <v>0</v>
      </c>
      <c r="AB529" s="459">
        <v>0</v>
      </c>
      <c r="AC529" s="459"/>
      <c r="AD529" s="460"/>
      <c r="AE529" s="461">
        <v>0</v>
      </c>
      <c r="AF529" s="462">
        <f t="shared" si="9"/>
        <v>450</v>
      </c>
      <c r="AG529" s="458"/>
      <c r="AH529" s="463"/>
    </row>
    <row r="530" spans="1:34" ht="12" customHeight="1">
      <c r="A530" s="453">
        <v>3172</v>
      </c>
      <c r="B530" s="454" t="s">
        <v>2880</v>
      </c>
      <c r="C530" s="435" t="s">
        <v>2880</v>
      </c>
      <c r="D530" s="454" t="s">
        <v>3403</v>
      </c>
      <c r="E530" s="453">
        <v>3</v>
      </c>
      <c r="F530" s="455">
        <v>6</v>
      </c>
      <c r="G530" s="103">
        <v>527</v>
      </c>
      <c r="H530" s="456" t="s">
        <v>2849</v>
      </c>
      <c r="I530" s="456" t="s">
        <v>2849</v>
      </c>
      <c r="J530" s="457">
        <v>20500102663201</v>
      </c>
      <c r="K530" s="455" t="s">
        <v>353</v>
      </c>
      <c r="L530" s="458"/>
      <c r="M530" s="455">
        <v>80</v>
      </c>
      <c r="N530" s="456" t="s">
        <v>2850</v>
      </c>
      <c r="O530" s="456" t="s">
        <v>2851</v>
      </c>
      <c r="P530" s="456" t="s">
        <v>2852</v>
      </c>
      <c r="Q530" s="456" t="s">
        <v>2853</v>
      </c>
      <c r="R530" s="456" t="s">
        <v>2854</v>
      </c>
      <c r="S530" s="456" t="s">
        <v>2855</v>
      </c>
      <c r="T530" s="459">
        <v>290</v>
      </c>
      <c r="U530" s="459">
        <v>330</v>
      </c>
      <c r="V530" s="459">
        <v>123</v>
      </c>
      <c r="W530" s="460" t="s">
        <v>3403</v>
      </c>
      <c r="X530" s="460" t="s">
        <v>2880</v>
      </c>
      <c r="Y530" s="461">
        <v>743</v>
      </c>
      <c r="Z530" s="459">
        <v>0</v>
      </c>
      <c r="AA530" s="459">
        <v>0</v>
      </c>
      <c r="AB530" s="459">
        <v>0</v>
      </c>
      <c r="AC530" s="459"/>
      <c r="AD530" s="460"/>
      <c r="AE530" s="461">
        <v>0</v>
      </c>
      <c r="AF530" s="462">
        <f t="shared" si="9"/>
        <v>743</v>
      </c>
      <c r="AG530" s="458"/>
      <c r="AH530" s="463"/>
    </row>
    <row r="531" spans="1:34" ht="12" customHeight="1">
      <c r="A531" s="100">
        <v>3173</v>
      </c>
      <c r="B531" s="101" t="s">
        <v>2880</v>
      </c>
      <c r="C531" s="101" t="s">
        <v>2880</v>
      </c>
      <c r="D531" s="101" t="s">
        <v>3403</v>
      </c>
      <c r="E531" s="100">
        <v>3</v>
      </c>
      <c r="F531" s="404">
        <v>6</v>
      </c>
      <c r="G531" s="103">
        <v>528</v>
      </c>
      <c r="H531" s="104" t="s">
        <v>2856</v>
      </c>
      <c r="I531" s="104" t="s">
        <v>2253</v>
      </c>
      <c r="J531" s="105">
        <v>40500101694601</v>
      </c>
      <c r="K531" s="106" t="s">
        <v>431</v>
      </c>
      <c r="L531" s="115"/>
      <c r="M531" s="106">
        <v>80</v>
      </c>
      <c r="N531" s="104" t="s">
        <v>2192</v>
      </c>
      <c r="O531" s="104" t="s">
        <v>2176</v>
      </c>
      <c r="P531" s="104" t="s">
        <v>2857</v>
      </c>
      <c r="Q531" s="104" t="s">
        <v>2858</v>
      </c>
      <c r="R531" s="104" t="s">
        <v>2859</v>
      </c>
      <c r="S531" s="108" t="s">
        <v>2860</v>
      </c>
      <c r="T531" s="109">
        <v>37</v>
      </c>
      <c r="U531" s="110">
        <v>23</v>
      </c>
      <c r="V531" s="110">
        <v>32</v>
      </c>
      <c r="W531" s="402" t="s">
        <v>3403</v>
      </c>
      <c r="X531" s="402" t="s">
        <v>2880</v>
      </c>
      <c r="Y531" s="112">
        <v>92</v>
      </c>
      <c r="Z531" s="109">
        <v>0</v>
      </c>
      <c r="AA531" s="110">
        <v>0</v>
      </c>
      <c r="AB531" s="110">
        <v>0</v>
      </c>
      <c r="AC531" s="111"/>
      <c r="AD531" s="402"/>
      <c r="AE531" s="112">
        <v>0</v>
      </c>
      <c r="AF531" s="113">
        <f t="shared" si="9"/>
        <v>92</v>
      </c>
      <c r="AG531" s="308"/>
      <c r="AH531" s="447"/>
    </row>
    <row r="532" spans="1:34" ht="12" customHeight="1">
      <c r="A532" s="453">
        <v>3174</v>
      </c>
      <c r="B532" s="435" t="s">
        <v>2880</v>
      </c>
      <c r="C532" s="435" t="s">
        <v>2880</v>
      </c>
      <c r="D532" s="435" t="s">
        <v>3403</v>
      </c>
      <c r="E532" s="453">
        <v>3</v>
      </c>
      <c r="F532" s="464">
        <v>6</v>
      </c>
      <c r="G532" s="103">
        <v>529</v>
      </c>
      <c r="H532" s="456" t="s">
        <v>2861</v>
      </c>
      <c r="I532" s="456" t="s">
        <v>2862</v>
      </c>
      <c r="J532" s="457">
        <v>20500100979701</v>
      </c>
      <c r="K532" s="455" t="s">
        <v>353</v>
      </c>
      <c r="L532" s="458"/>
      <c r="M532" s="455">
        <v>80</v>
      </c>
      <c r="N532" s="456" t="s">
        <v>2169</v>
      </c>
      <c r="O532" s="456" t="s">
        <v>2863</v>
      </c>
      <c r="P532" s="456" t="s">
        <v>2864</v>
      </c>
      <c r="Q532" s="456" t="s">
        <v>2240</v>
      </c>
      <c r="R532" s="456" t="s">
        <v>2865</v>
      </c>
      <c r="S532" s="465" t="s">
        <v>2242</v>
      </c>
      <c r="T532" s="466">
        <v>82</v>
      </c>
      <c r="U532" s="459">
        <v>8</v>
      </c>
      <c r="V532" s="459">
        <v>0</v>
      </c>
      <c r="W532" s="450" t="s">
        <v>3403</v>
      </c>
      <c r="X532" s="402" t="s">
        <v>2880</v>
      </c>
      <c r="Y532" s="467">
        <v>90</v>
      </c>
      <c r="Z532" s="466">
        <v>0</v>
      </c>
      <c r="AA532" s="459">
        <v>0</v>
      </c>
      <c r="AB532" s="459">
        <v>0</v>
      </c>
      <c r="AC532" s="468"/>
      <c r="AD532" s="469"/>
      <c r="AE532" s="467">
        <v>0</v>
      </c>
      <c r="AF532" s="470">
        <f t="shared" si="9"/>
        <v>90</v>
      </c>
      <c r="AG532" s="458"/>
      <c r="AH532" s="463"/>
    </row>
    <row r="533" spans="1:34" ht="12" customHeight="1">
      <c r="A533" s="453">
        <v>3175</v>
      </c>
      <c r="B533" s="435" t="s">
        <v>2880</v>
      </c>
      <c r="C533" s="435" t="s">
        <v>2880</v>
      </c>
      <c r="D533" s="435" t="s">
        <v>3404</v>
      </c>
      <c r="E533" s="453">
        <v>3</v>
      </c>
      <c r="F533" s="464">
        <v>6</v>
      </c>
      <c r="G533" s="103">
        <v>530</v>
      </c>
      <c r="H533" s="456" t="s">
        <v>2866</v>
      </c>
      <c r="I533" s="456" t="s">
        <v>2866</v>
      </c>
      <c r="J533" s="457">
        <v>30500102559201</v>
      </c>
      <c r="K533" s="455" t="s">
        <v>431</v>
      </c>
      <c r="L533" s="458"/>
      <c r="M533" s="455">
        <v>80</v>
      </c>
      <c r="N533" s="456" t="s">
        <v>2867</v>
      </c>
      <c r="O533" s="456" t="s">
        <v>2868</v>
      </c>
      <c r="P533" s="456">
        <v>4444262</v>
      </c>
      <c r="Q533" s="456" t="s">
        <v>2869</v>
      </c>
      <c r="R533" s="456" t="s">
        <v>2870</v>
      </c>
      <c r="S533" s="465" t="s">
        <v>2871</v>
      </c>
      <c r="T533" s="466">
        <v>80</v>
      </c>
      <c r="U533" s="459">
        <v>310</v>
      </c>
      <c r="V533" s="459">
        <v>260</v>
      </c>
      <c r="W533" s="460" t="s">
        <v>3403</v>
      </c>
      <c r="X533" s="430" t="s">
        <v>2880</v>
      </c>
      <c r="Y533" s="467">
        <v>650</v>
      </c>
      <c r="Z533" s="466">
        <v>345</v>
      </c>
      <c r="AA533" s="459">
        <v>217</v>
      </c>
      <c r="AB533" s="459">
        <v>0</v>
      </c>
      <c r="AC533" s="459" t="s">
        <v>3399</v>
      </c>
      <c r="AD533" s="430" t="s">
        <v>2880</v>
      </c>
      <c r="AE533" s="467">
        <v>562</v>
      </c>
      <c r="AF533" s="470">
        <f t="shared" si="9"/>
        <v>1212</v>
      </c>
      <c r="AG533" s="458"/>
      <c r="AH533" s="463"/>
    </row>
    <row r="534" spans="1:34" ht="12" customHeight="1">
      <c r="A534" s="367">
        <v>3176</v>
      </c>
      <c r="B534" s="471" t="s">
        <v>2880</v>
      </c>
      <c r="C534" s="365" t="s">
        <v>2880</v>
      </c>
      <c r="D534" s="471" t="s">
        <v>3404</v>
      </c>
      <c r="E534" s="367">
        <v>3</v>
      </c>
      <c r="F534" s="472">
        <v>6</v>
      </c>
      <c r="G534" s="103">
        <v>531</v>
      </c>
      <c r="H534" s="473" t="s">
        <v>1296</v>
      </c>
      <c r="I534" s="474" t="s">
        <v>1296</v>
      </c>
      <c r="J534" s="475">
        <v>10500102635201</v>
      </c>
      <c r="K534" s="476" t="s">
        <v>353</v>
      </c>
      <c r="L534" s="476"/>
      <c r="M534" s="476">
        <v>13</v>
      </c>
      <c r="N534" s="477" t="s">
        <v>1297</v>
      </c>
      <c r="O534" s="473" t="s">
        <v>1298</v>
      </c>
      <c r="P534" s="477">
        <v>2528790</v>
      </c>
      <c r="Q534" s="473" t="s">
        <v>1299</v>
      </c>
      <c r="R534" s="473" t="s">
        <v>1300</v>
      </c>
      <c r="S534" s="478" t="s">
        <v>1301</v>
      </c>
      <c r="T534" s="479">
        <v>0</v>
      </c>
      <c r="U534" s="480">
        <v>0</v>
      </c>
      <c r="V534" s="480">
        <v>0</v>
      </c>
      <c r="W534" s="377" t="s">
        <v>3403</v>
      </c>
      <c r="X534" s="377" t="s">
        <v>4183</v>
      </c>
      <c r="Y534" s="481">
        <v>469</v>
      </c>
      <c r="Z534" s="479">
        <v>0</v>
      </c>
      <c r="AA534" s="480">
        <v>0</v>
      </c>
      <c r="AB534" s="482">
        <v>0</v>
      </c>
      <c r="AC534" s="379"/>
      <c r="AD534" s="379"/>
      <c r="AE534" s="481">
        <v>0</v>
      </c>
      <c r="AF534" s="483">
        <v>0</v>
      </c>
      <c r="AG534" s="475"/>
      <c r="AH534" s="484"/>
    </row>
    <row r="535" spans="1:34" ht="12" customHeight="1">
      <c r="A535" s="367">
        <v>3177</v>
      </c>
      <c r="B535" s="471" t="s">
        <v>2880</v>
      </c>
      <c r="C535" s="365" t="s">
        <v>2880</v>
      </c>
      <c r="D535" s="471" t="s">
        <v>3404</v>
      </c>
      <c r="E535" s="367">
        <v>3</v>
      </c>
      <c r="F535" s="472">
        <v>6</v>
      </c>
      <c r="G535" s="103">
        <v>532</v>
      </c>
      <c r="H535" s="473" t="s">
        <v>702</v>
      </c>
      <c r="I535" s="474" t="s">
        <v>702</v>
      </c>
      <c r="J535" s="475">
        <v>10500101307201</v>
      </c>
      <c r="K535" s="476" t="s">
        <v>353</v>
      </c>
      <c r="L535" s="476"/>
      <c r="M535" s="476">
        <v>5</v>
      </c>
      <c r="N535" s="477" t="s">
        <v>672</v>
      </c>
      <c r="O535" s="473" t="s">
        <v>703</v>
      </c>
      <c r="P535" s="477" t="s">
        <v>704</v>
      </c>
      <c r="Q535" s="473" t="s">
        <v>705</v>
      </c>
      <c r="R535" s="473" t="s">
        <v>706</v>
      </c>
      <c r="S535" s="478" t="s">
        <v>707</v>
      </c>
      <c r="T535" s="479">
        <v>0</v>
      </c>
      <c r="U535" s="480">
        <v>0</v>
      </c>
      <c r="V535" s="480">
        <v>0</v>
      </c>
      <c r="W535" s="377" t="s">
        <v>3403</v>
      </c>
      <c r="X535" s="377" t="s">
        <v>4183</v>
      </c>
      <c r="Y535" s="481">
        <v>0</v>
      </c>
      <c r="Z535" s="479">
        <v>0</v>
      </c>
      <c r="AA535" s="480">
        <v>147</v>
      </c>
      <c r="AB535" s="482">
        <v>53</v>
      </c>
      <c r="AC535" s="379"/>
      <c r="AD535" s="379"/>
      <c r="AE535" s="481">
        <v>0</v>
      </c>
      <c r="AF535" s="483">
        <f>+AA535+AB535</f>
        <v>200</v>
      </c>
      <c r="AG535" s="475"/>
      <c r="AH535" s="484"/>
    </row>
    <row r="536" spans="1:34" ht="12" customHeight="1">
      <c r="A536" s="367">
        <v>3178</v>
      </c>
      <c r="B536" s="471" t="s">
        <v>2880</v>
      </c>
      <c r="C536" s="365" t="s">
        <v>2880</v>
      </c>
      <c r="D536" s="471" t="s">
        <v>4184</v>
      </c>
      <c r="E536" s="367">
        <v>3</v>
      </c>
      <c r="F536" s="472">
        <v>6</v>
      </c>
      <c r="G536" s="103">
        <v>533</v>
      </c>
      <c r="H536" s="473" t="s">
        <v>708</v>
      </c>
      <c r="I536" s="474" t="s">
        <v>708</v>
      </c>
      <c r="J536" s="475">
        <v>10500101307202</v>
      </c>
      <c r="K536" s="476" t="s">
        <v>353</v>
      </c>
      <c r="L536" s="476"/>
      <c r="M536" s="476">
        <v>5</v>
      </c>
      <c r="N536" s="477" t="s">
        <v>672</v>
      </c>
      <c r="O536" s="473" t="s">
        <v>709</v>
      </c>
      <c r="P536" s="477">
        <v>2730379</v>
      </c>
      <c r="Q536" s="473" t="s">
        <v>710</v>
      </c>
      <c r="R536" s="473" t="s">
        <v>711</v>
      </c>
      <c r="S536" s="478" t="s">
        <v>712</v>
      </c>
      <c r="T536" s="479">
        <v>260</v>
      </c>
      <c r="U536" s="480">
        <v>30</v>
      </c>
      <c r="V536" s="480">
        <v>0</v>
      </c>
      <c r="W536" s="377" t="s">
        <v>3403</v>
      </c>
      <c r="X536" s="377" t="s">
        <v>2880</v>
      </c>
      <c r="Y536" s="481">
        <v>290</v>
      </c>
      <c r="Z536" s="479">
        <v>252</v>
      </c>
      <c r="AA536" s="480">
        <v>38</v>
      </c>
      <c r="AB536" s="482">
        <v>0</v>
      </c>
      <c r="AC536" s="379" t="s">
        <v>3399</v>
      </c>
      <c r="AD536" s="379"/>
      <c r="AE536" s="481">
        <v>0</v>
      </c>
      <c r="AF536" s="483">
        <v>290</v>
      </c>
      <c r="AG536" s="475"/>
      <c r="AH536" s="484"/>
    </row>
    <row r="537" spans="1:34" ht="12" customHeight="1">
      <c r="A537" s="367">
        <v>3179</v>
      </c>
      <c r="B537" s="471" t="s">
        <v>2880</v>
      </c>
      <c r="C537" s="365" t="s">
        <v>2880</v>
      </c>
      <c r="D537" s="471" t="s">
        <v>3403</v>
      </c>
      <c r="E537" s="367">
        <v>3</v>
      </c>
      <c r="F537" s="472">
        <v>3</v>
      </c>
      <c r="G537" s="103">
        <v>534</v>
      </c>
      <c r="H537" s="473" t="s">
        <v>4185</v>
      </c>
      <c r="I537" s="474" t="s">
        <v>4185</v>
      </c>
      <c r="J537" s="475"/>
      <c r="K537" s="476"/>
      <c r="L537" s="476"/>
      <c r="M537" s="476"/>
      <c r="N537" s="477" t="s">
        <v>4186</v>
      </c>
      <c r="O537" s="473" t="s">
        <v>4187</v>
      </c>
      <c r="P537" s="477" t="s">
        <v>4188</v>
      </c>
      <c r="Q537" s="473"/>
      <c r="R537" s="473"/>
      <c r="S537" s="478"/>
      <c r="T537" s="479">
        <v>0</v>
      </c>
      <c r="U537" s="480">
        <v>82</v>
      </c>
      <c r="V537" s="480">
        <v>414</v>
      </c>
      <c r="W537" s="377" t="s">
        <v>3403</v>
      </c>
      <c r="X537" s="377" t="s">
        <v>2880</v>
      </c>
      <c r="Y537" s="481">
        <v>496</v>
      </c>
      <c r="Z537" s="479">
        <v>0</v>
      </c>
      <c r="AA537" s="480">
        <v>0</v>
      </c>
      <c r="AB537" s="482">
        <v>0</v>
      </c>
      <c r="AC537" s="379">
        <v>0</v>
      </c>
      <c r="AD537" s="379">
        <v>0</v>
      </c>
      <c r="AE537" s="481">
        <v>0</v>
      </c>
      <c r="AF537" s="483">
        <v>496</v>
      </c>
      <c r="AG537" s="475"/>
      <c r="AH537" s="484"/>
    </row>
    <row r="538" spans="1:34" ht="12" customHeight="1">
      <c r="A538" s="367">
        <v>3180</v>
      </c>
      <c r="B538" s="471" t="s">
        <v>2880</v>
      </c>
      <c r="C538" s="365" t="s">
        <v>2880</v>
      </c>
      <c r="D538" s="471" t="s">
        <v>3399</v>
      </c>
      <c r="E538" s="367">
        <v>3</v>
      </c>
      <c r="F538" s="472">
        <v>3</v>
      </c>
      <c r="G538" s="103">
        <v>535</v>
      </c>
      <c r="H538" s="473" t="s">
        <v>4189</v>
      </c>
      <c r="I538" s="474" t="s">
        <v>4189</v>
      </c>
      <c r="J538" s="475">
        <v>10500101136302</v>
      </c>
      <c r="K538" s="476" t="s">
        <v>353</v>
      </c>
      <c r="L538" s="476"/>
      <c r="M538" s="476">
        <v>6</v>
      </c>
      <c r="N538" s="477" t="s">
        <v>866</v>
      </c>
      <c r="O538" s="473" t="s">
        <v>873</v>
      </c>
      <c r="P538" s="477" t="s">
        <v>874</v>
      </c>
      <c r="Q538" s="473" t="s">
        <v>875</v>
      </c>
      <c r="R538" s="473" t="s">
        <v>876</v>
      </c>
      <c r="S538" s="478" t="s">
        <v>877</v>
      </c>
      <c r="T538" s="479">
        <v>137</v>
      </c>
      <c r="U538" s="480">
        <v>83</v>
      </c>
      <c r="V538" s="480">
        <v>0</v>
      </c>
      <c r="W538" s="377" t="s">
        <v>3403</v>
      </c>
      <c r="X538" s="377" t="s">
        <v>2880</v>
      </c>
      <c r="Y538" s="481">
        <v>220</v>
      </c>
      <c r="Z538" s="479">
        <v>195</v>
      </c>
      <c r="AA538" s="480">
        <v>75</v>
      </c>
      <c r="AB538" s="482">
        <v>0</v>
      </c>
      <c r="AC538" s="379" t="s">
        <v>3399</v>
      </c>
      <c r="AD538" s="377" t="s">
        <v>2880</v>
      </c>
      <c r="AE538" s="481">
        <v>270</v>
      </c>
      <c r="AF538" s="483">
        <f t="shared" ref="AF538:AF540" si="10">+Y538+AE538</f>
        <v>490</v>
      </c>
      <c r="AG538" s="475"/>
      <c r="AH538" s="484"/>
    </row>
    <row r="539" spans="1:34" ht="12" customHeight="1">
      <c r="A539" s="367">
        <v>3181</v>
      </c>
      <c r="B539" s="471" t="s">
        <v>2880</v>
      </c>
      <c r="C539" s="252" t="s">
        <v>2880</v>
      </c>
      <c r="D539" s="471" t="s">
        <v>3403</v>
      </c>
      <c r="E539" s="367">
        <v>3</v>
      </c>
      <c r="F539" s="472">
        <v>3</v>
      </c>
      <c r="G539" s="103">
        <v>536</v>
      </c>
      <c r="H539" s="473" t="s">
        <v>1014</v>
      </c>
      <c r="I539" s="474" t="s">
        <v>1014</v>
      </c>
      <c r="J539" s="475">
        <v>10500101101101</v>
      </c>
      <c r="K539" s="476" t="s">
        <v>353</v>
      </c>
      <c r="L539" s="476"/>
      <c r="M539" s="476">
        <v>7</v>
      </c>
      <c r="N539" s="477" t="s">
        <v>1015</v>
      </c>
      <c r="O539" s="473" t="s">
        <v>1016</v>
      </c>
      <c r="P539" s="477" t="s">
        <v>1017</v>
      </c>
      <c r="Q539" s="473" t="s">
        <v>1018</v>
      </c>
      <c r="R539" s="473" t="s">
        <v>1019</v>
      </c>
      <c r="S539" s="478" t="s">
        <v>1020</v>
      </c>
      <c r="T539" s="479">
        <v>130</v>
      </c>
      <c r="U539" s="480">
        <v>160</v>
      </c>
      <c r="V539" s="480">
        <v>70</v>
      </c>
      <c r="W539" s="377" t="s">
        <v>3403</v>
      </c>
      <c r="X539" s="377" t="s">
        <v>2880</v>
      </c>
      <c r="Y539" s="481">
        <v>360</v>
      </c>
      <c r="Z539" s="479">
        <v>80</v>
      </c>
      <c r="AA539" s="480">
        <v>91</v>
      </c>
      <c r="AB539" s="482">
        <v>59</v>
      </c>
      <c r="AC539" s="379" t="s">
        <v>3399</v>
      </c>
      <c r="AD539" s="379" t="s">
        <v>2880</v>
      </c>
      <c r="AE539" s="481">
        <v>230</v>
      </c>
      <c r="AF539" s="483">
        <f t="shared" si="10"/>
        <v>590</v>
      </c>
      <c r="AG539" s="475"/>
      <c r="AH539" s="484"/>
    </row>
    <row r="540" spans="1:34" ht="12" customHeight="1">
      <c r="A540" s="367">
        <v>3182</v>
      </c>
      <c r="B540" s="471" t="s">
        <v>2880</v>
      </c>
      <c r="C540" s="365" t="s">
        <v>2880</v>
      </c>
      <c r="D540" s="471" t="s">
        <v>4184</v>
      </c>
      <c r="E540" s="367">
        <v>3</v>
      </c>
      <c r="F540" s="472">
        <v>6</v>
      </c>
      <c r="G540" s="103">
        <v>537</v>
      </c>
      <c r="H540" s="473" t="s">
        <v>2168</v>
      </c>
      <c r="I540" s="474" t="s">
        <v>2168</v>
      </c>
      <c r="J540" s="475">
        <v>20500101253403</v>
      </c>
      <c r="K540" s="476" t="s">
        <v>353</v>
      </c>
      <c r="L540" s="476"/>
      <c r="M540" s="476">
        <v>80</v>
      </c>
      <c r="N540" s="477" t="s">
        <v>2169</v>
      </c>
      <c r="O540" s="473" t="s">
        <v>2170</v>
      </c>
      <c r="P540" s="477">
        <v>2860139</v>
      </c>
      <c r="Q540" s="473" t="s">
        <v>2171</v>
      </c>
      <c r="R540" s="473" t="s">
        <v>2172</v>
      </c>
      <c r="S540" s="478" t="s">
        <v>2173</v>
      </c>
      <c r="T540" s="479">
        <v>128</v>
      </c>
      <c r="U540" s="480">
        <v>42</v>
      </c>
      <c r="V540" s="480">
        <v>0</v>
      </c>
      <c r="W540" s="377" t="s">
        <v>3403</v>
      </c>
      <c r="X540" s="377" t="s">
        <v>2880</v>
      </c>
      <c r="Y540" s="481">
        <v>170</v>
      </c>
      <c r="Z540" s="479">
        <v>354</v>
      </c>
      <c r="AA540" s="480">
        <v>56</v>
      </c>
      <c r="AB540" s="482">
        <v>0</v>
      </c>
      <c r="AC540" s="379" t="s">
        <v>3399</v>
      </c>
      <c r="AD540" s="379" t="s">
        <v>2880</v>
      </c>
      <c r="AE540" s="481">
        <v>410</v>
      </c>
      <c r="AF540" s="483">
        <f t="shared" si="10"/>
        <v>580</v>
      </c>
      <c r="AG540" s="475"/>
      <c r="AH540" s="484"/>
    </row>
    <row r="541" spans="1:34">
      <c r="A541" s="367">
        <v>3183</v>
      </c>
      <c r="B541" s="471" t="s">
        <v>2880</v>
      </c>
      <c r="C541" s="252" t="s">
        <v>2880</v>
      </c>
      <c r="D541" s="471" t="s">
        <v>3403</v>
      </c>
      <c r="E541" s="367">
        <v>3</v>
      </c>
      <c r="F541" s="472">
        <v>4</v>
      </c>
      <c r="G541" s="103">
        <v>538</v>
      </c>
      <c r="H541" s="473" t="s">
        <v>1929</v>
      </c>
      <c r="I541" s="474" t="s">
        <v>1929</v>
      </c>
      <c r="J541" s="475">
        <v>10500100188104</v>
      </c>
      <c r="K541" s="476" t="s">
        <v>353</v>
      </c>
      <c r="L541" s="476" t="s">
        <v>303</v>
      </c>
      <c r="M541" s="476">
        <v>12</v>
      </c>
      <c r="N541" s="477" t="s">
        <v>1258</v>
      </c>
      <c r="O541" s="473" t="s">
        <v>1930</v>
      </c>
      <c r="P541" s="477">
        <v>2520596</v>
      </c>
      <c r="Q541" s="473" t="s">
        <v>1931</v>
      </c>
      <c r="R541" s="473"/>
      <c r="S541" s="478" t="s">
        <v>1932</v>
      </c>
      <c r="T541" s="479">
        <v>271</v>
      </c>
      <c r="U541" s="480">
        <v>110</v>
      </c>
      <c r="V541" s="480">
        <v>0</v>
      </c>
      <c r="W541" s="377" t="s">
        <v>3403</v>
      </c>
      <c r="X541" s="377" t="s">
        <v>2880</v>
      </c>
      <c r="Y541" s="481" t="e">
        <f>SUM([1]!Table_1[[#This Row],[COMPLEMENTO ALIMENTARIO  AM/PM 
0° a 3°]:[COMPLEMENTO ALIMENTARIO  AM/PM 
9° a 11°]])</f>
        <v>#REF!</v>
      </c>
      <c r="Z541" s="479">
        <v>0</v>
      </c>
      <c r="AA541" s="480">
        <v>0</v>
      </c>
      <c r="AB541" s="482">
        <v>0</v>
      </c>
      <c r="AC541" s="379"/>
      <c r="AD541" s="379"/>
      <c r="AE541" s="481">
        <v>0</v>
      </c>
      <c r="AF541" s="483" t="e">
        <f>+Y541+AE541</f>
        <v>#REF!</v>
      </c>
      <c r="AG541" s="475"/>
      <c r="AH541" s="484"/>
    </row>
  </sheetData>
  <conditionalFormatting sqref="G3:G541">
    <cfRule type="duplicateValues" dxfId="51" priority="5"/>
  </conditionalFormatting>
  <conditionalFormatting sqref="G193:G336">
    <cfRule type="duplicateValues" dxfId="50" priority="4"/>
  </conditionalFormatting>
  <conditionalFormatting sqref="G337:G511">
    <cfRule type="duplicateValues" dxfId="49" priority="3"/>
  </conditionalFormatting>
  <conditionalFormatting sqref="G512:G529">
    <cfRule type="duplicateValues" dxfId="48" priority="2"/>
  </conditionalFormatting>
  <conditionalFormatting sqref="G530">
    <cfRule type="duplicateValues" dxfId="47" priority="1"/>
  </conditionalFormatting>
  <pageMargins left="0.7" right="0.7" top="0.75" bottom="0.75" header="0.3" footer="0.3"/>
  <pageSetup orientation="portrait" horizontalDpi="4294967293"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U1008"/>
  <sheetViews>
    <sheetView topLeftCell="A16" workbookViewId="0">
      <selection activeCell="A29" sqref="A29"/>
    </sheetView>
  </sheetViews>
  <sheetFormatPr baseColWidth="10" defaultColWidth="11.44140625" defaultRowHeight="14.4"/>
  <cols>
    <col min="1" max="1" width="69.88671875" style="21" customWidth="1"/>
    <col min="2" max="2" width="39" style="21" customWidth="1"/>
    <col min="3" max="3" width="39.6640625" style="21" customWidth="1"/>
    <col min="4" max="4" width="22.33203125" style="21" customWidth="1"/>
    <col min="5" max="9" width="11.44140625" style="21"/>
    <col min="10" max="10" width="28.109375" style="21" customWidth="1"/>
    <col min="11" max="11" width="11.44140625" style="21"/>
    <col min="12" max="12" width="22.88671875" style="21" bestFit="1" customWidth="1"/>
    <col min="13" max="16384" width="11.44140625" style="21"/>
  </cols>
  <sheetData>
    <row r="1" spans="1:21">
      <c r="A1" s="39" t="s">
        <v>250</v>
      </c>
      <c r="B1" s="40" t="s">
        <v>301</v>
      </c>
      <c r="D1" s="39" t="s">
        <v>251</v>
      </c>
      <c r="F1" s="39" t="s">
        <v>6</v>
      </c>
      <c r="J1" s="39" t="s">
        <v>252</v>
      </c>
      <c r="L1" s="39" t="s">
        <v>277</v>
      </c>
      <c r="O1" s="41" t="s">
        <v>16</v>
      </c>
      <c r="Q1" s="41" t="s">
        <v>3407</v>
      </c>
      <c r="S1" s="40" t="s">
        <v>4139</v>
      </c>
      <c r="U1" s="40" t="s">
        <v>4150</v>
      </c>
    </row>
    <row r="2" spans="1:21">
      <c r="A2" s="42">
        <v>1</v>
      </c>
      <c r="B2" s="21" t="s">
        <v>431</v>
      </c>
      <c r="D2" s="21" t="s">
        <v>253</v>
      </c>
      <c r="F2" s="21" t="s">
        <v>246</v>
      </c>
      <c r="J2" s="43" t="s">
        <v>3094</v>
      </c>
      <c r="L2" s="43" t="s">
        <v>278</v>
      </c>
      <c r="O2" s="44">
        <v>1</v>
      </c>
      <c r="Q2" s="21" t="s">
        <v>3409</v>
      </c>
      <c r="S2" s="21" t="s">
        <v>431</v>
      </c>
      <c r="U2" s="21" t="s">
        <v>431</v>
      </c>
    </row>
    <row r="3" spans="1:21">
      <c r="A3" s="42">
        <v>0</v>
      </c>
      <c r="B3" s="21" t="s">
        <v>3092</v>
      </c>
      <c r="D3" s="21" t="s">
        <v>245</v>
      </c>
      <c r="F3" s="21" t="s">
        <v>254</v>
      </c>
      <c r="J3" s="43" t="s">
        <v>3093</v>
      </c>
      <c r="L3" s="43" t="s">
        <v>279</v>
      </c>
      <c r="O3" s="44">
        <v>2</v>
      </c>
      <c r="Q3" s="21" t="s">
        <v>3408</v>
      </c>
      <c r="S3" s="21" t="s">
        <v>3092</v>
      </c>
      <c r="U3" s="21" t="s">
        <v>3092</v>
      </c>
    </row>
    <row r="4" spans="1:21">
      <c r="A4" s="42" t="s">
        <v>247</v>
      </c>
      <c r="D4" s="21" t="s">
        <v>248</v>
      </c>
      <c r="J4" s="43" t="s">
        <v>2883</v>
      </c>
      <c r="L4" s="43" t="s">
        <v>280</v>
      </c>
      <c r="O4" s="44">
        <v>3</v>
      </c>
      <c r="S4" s="21" t="s">
        <v>247</v>
      </c>
      <c r="U4" s="21" t="s">
        <v>247</v>
      </c>
    </row>
    <row r="5" spans="1:21">
      <c r="A5" s="42"/>
      <c r="D5" s="21" t="s">
        <v>255</v>
      </c>
      <c r="J5" s="43" t="s">
        <v>2884</v>
      </c>
      <c r="O5" s="44">
        <v>4</v>
      </c>
    </row>
    <row r="6" spans="1:21">
      <c r="J6" s="43" t="s">
        <v>2882</v>
      </c>
      <c r="O6" s="44"/>
    </row>
    <row r="8" spans="1:21">
      <c r="A8" s="45" t="s">
        <v>251</v>
      </c>
      <c r="B8" s="46" t="s">
        <v>257</v>
      </c>
    </row>
    <row r="9" spans="1:21">
      <c r="A9" s="47" t="s">
        <v>253</v>
      </c>
      <c r="B9" s="47" t="s">
        <v>258</v>
      </c>
    </row>
    <row r="10" spans="1:21">
      <c r="A10" s="47" t="s">
        <v>245</v>
      </c>
      <c r="B10" s="47" t="s">
        <v>259</v>
      </c>
    </row>
    <row r="11" spans="1:21">
      <c r="A11" s="47" t="s">
        <v>248</v>
      </c>
      <c r="B11" s="47" t="s">
        <v>260</v>
      </c>
    </row>
    <row r="12" spans="1:21">
      <c r="A12" s="47" t="s">
        <v>255</v>
      </c>
      <c r="B12" s="47" t="s">
        <v>261</v>
      </c>
    </row>
    <row r="13" spans="1:21">
      <c r="A13" s="47" t="s">
        <v>256</v>
      </c>
      <c r="B13" s="47" t="s">
        <v>262</v>
      </c>
    </row>
    <row r="14" spans="1:21">
      <c r="A14" s="47"/>
      <c r="B14" s="47"/>
    </row>
    <row r="15" spans="1:21">
      <c r="A15" s="47"/>
      <c r="B15" s="47"/>
    </row>
    <row r="16" spans="1:21">
      <c r="A16" s="47"/>
      <c r="B16" s="47"/>
    </row>
    <row r="17" spans="1:4">
      <c r="A17" s="47"/>
      <c r="B17" s="47"/>
    </row>
    <row r="18" spans="1:4">
      <c r="A18" s="21" t="s">
        <v>263</v>
      </c>
    </row>
    <row r="22" spans="1:4">
      <c r="A22" s="39" t="s">
        <v>264</v>
      </c>
    </row>
    <row r="23" spans="1:4">
      <c r="A23" s="21" t="s">
        <v>267</v>
      </c>
    </row>
    <row r="24" spans="1:4">
      <c r="A24" s="21" t="s">
        <v>281</v>
      </c>
    </row>
    <row r="29" spans="1:4">
      <c r="A29" s="48" t="s">
        <v>265</v>
      </c>
      <c r="B29" s="48" t="s">
        <v>266</v>
      </c>
      <c r="C29" s="49" t="s">
        <v>325</v>
      </c>
      <c r="D29" s="49" t="s">
        <v>3423</v>
      </c>
    </row>
    <row r="30" spans="1:4">
      <c r="A30" s="81" t="s">
        <v>3944</v>
      </c>
      <c r="B30" s="81" t="s">
        <v>4080</v>
      </c>
      <c r="C30" s="82">
        <v>43670201</v>
      </c>
      <c r="D30" s="83">
        <v>3053018249</v>
      </c>
    </row>
    <row r="31" spans="1:4" ht="20.100000000000001" customHeight="1">
      <c r="A31" s="81" t="s">
        <v>3945</v>
      </c>
      <c r="B31" s="81" t="s">
        <v>4081</v>
      </c>
      <c r="C31" s="82">
        <v>43278551</v>
      </c>
      <c r="D31" s="83">
        <v>3006034259</v>
      </c>
    </row>
    <row r="32" spans="1:4" ht="20.100000000000001" customHeight="1">
      <c r="A32" s="84" t="s">
        <v>3946</v>
      </c>
      <c r="B32" s="81" t="s">
        <v>4082</v>
      </c>
      <c r="C32" s="85">
        <v>43750480</v>
      </c>
      <c r="D32" s="84">
        <v>3105038135</v>
      </c>
    </row>
    <row r="33" spans="1:4" ht="20.100000000000001" customHeight="1">
      <c r="A33" s="84" t="s">
        <v>3947</v>
      </c>
      <c r="B33" s="81" t="s">
        <v>4083</v>
      </c>
      <c r="C33" s="85">
        <v>1041228656</v>
      </c>
      <c r="D33" s="84">
        <v>3216260687</v>
      </c>
    </row>
    <row r="34" spans="1:4" ht="20.100000000000001" customHeight="1">
      <c r="A34" s="81" t="s">
        <v>3948</v>
      </c>
      <c r="B34" s="81" t="s">
        <v>4084</v>
      </c>
      <c r="C34" s="82">
        <v>43274580</v>
      </c>
      <c r="D34" s="83">
        <v>3103819182</v>
      </c>
    </row>
    <row r="35" spans="1:4" ht="20.100000000000001" customHeight="1">
      <c r="A35" s="84" t="s">
        <v>3949</v>
      </c>
      <c r="B35" s="81" t="s">
        <v>4085</v>
      </c>
      <c r="C35" s="85">
        <v>1020401790</v>
      </c>
      <c r="D35" s="84">
        <v>3127695498</v>
      </c>
    </row>
    <row r="36" spans="1:4" ht="20.100000000000001" customHeight="1">
      <c r="A36" s="81" t="s">
        <v>3950</v>
      </c>
      <c r="B36" s="81" t="s">
        <v>4086</v>
      </c>
      <c r="C36" s="82">
        <v>43991314</v>
      </c>
      <c r="D36" s="83">
        <v>3116681388</v>
      </c>
    </row>
    <row r="37" spans="1:4" ht="20.100000000000001" customHeight="1">
      <c r="A37" s="84" t="s">
        <v>3951</v>
      </c>
      <c r="B37" s="81" t="s">
        <v>4087</v>
      </c>
      <c r="C37" s="85">
        <v>43672123</v>
      </c>
      <c r="D37" s="84">
        <v>3122232226</v>
      </c>
    </row>
    <row r="38" spans="1:4" ht="20.100000000000001" customHeight="1">
      <c r="A38" s="84" t="s">
        <v>3952</v>
      </c>
      <c r="B38" s="81" t="s">
        <v>4088</v>
      </c>
      <c r="C38" s="85">
        <v>1128267136</v>
      </c>
      <c r="D38" s="84">
        <v>3162702798</v>
      </c>
    </row>
    <row r="39" spans="1:4" ht="20.100000000000001" customHeight="1">
      <c r="A39" s="84" t="s">
        <v>3953</v>
      </c>
      <c r="B39" s="81" t="s">
        <v>4089</v>
      </c>
      <c r="C39" s="85">
        <v>43621621</v>
      </c>
      <c r="D39" s="84">
        <v>3163923270</v>
      </c>
    </row>
    <row r="40" spans="1:4" ht="20.100000000000001" customHeight="1">
      <c r="A40" s="81" t="s">
        <v>3954</v>
      </c>
      <c r="B40" s="81" t="s">
        <v>4090</v>
      </c>
      <c r="C40" s="82">
        <v>43736133</v>
      </c>
      <c r="D40" s="81">
        <v>3122580333</v>
      </c>
    </row>
    <row r="41" spans="1:4" ht="20.100000000000001" customHeight="1">
      <c r="A41" s="86" t="s">
        <v>3955</v>
      </c>
      <c r="B41" s="86" t="s">
        <v>4091</v>
      </c>
      <c r="C41" s="87">
        <v>42988149</v>
      </c>
      <c r="D41" s="88">
        <v>3135145004</v>
      </c>
    </row>
    <row r="42" spans="1:4" ht="20.100000000000001" customHeight="1">
      <c r="A42" s="84" t="s">
        <v>3956</v>
      </c>
      <c r="B42" s="81" t="s">
        <v>4092</v>
      </c>
      <c r="C42" s="85">
        <v>43903066</v>
      </c>
      <c r="D42" s="84">
        <v>3013888247</v>
      </c>
    </row>
    <row r="43" spans="1:4" ht="20.100000000000001" customHeight="1">
      <c r="A43" s="81" t="s">
        <v>3957</v>
      </c>
      <c r="B43" s="81" t="s">
        <v>4093</v>
      </c>
      <c r="C43" s="82">
        <v>43817501</v>
      </c>
      <c r="D43" s="83">
        <v>3187632787</v>
      </c>
    </row>
    <row r="44" spans="1:4" ht="20.100000000000001" customHeight="1">
      <c r="A44" s="84" t="s">
        <v>3958</v>
      </c>
      <c r="B44" s="81" t="s">
        <v>4094</v>
      </c>
      <c r="C44" s="85">
        <v>1035415510</v>
      </c>
      <c r="D44" s="84">
        <v>3012909758</v>
      </c>
    </row>
    <row r="45" spans="1:4" ht="20.100000000000001" customHeight="1">
      <c r="A45" s="81" t="s">
        <v>3959</v>
      </c>
      <c r="B45" s="81" t="s">
        <v>4095</v>
      </c>
      <c r="C45" s="82">
        <v>43753686</v>
      </c>
      <c r="D45" s="83">
        <v>3168803770</v>
      </c>
    </row>
    <row r="46" spans="1:4" ht="20.100000000000001" customHeight="1">
      <c r="A46" s="81" t="s">
        <v>3960</v>
      </c>
      <c r="B46" s="81" t="s">
        <v>4096</v>
      </c>
      <c r="C46" s="87">
        <v>15374608</v>
      </c>
      <c r="D46" s="88">
        <v>3207379227</v>
      </c>
    </row>
    <row r="47" spans="1:4" ht="20.100000000000001" customHeight="1">
      <c r="A47" s="89" t="s">
        <v>3961</v>
      </c>
      <c r="B47" s="89" t="s">
        <v>3942</v>
      </c>
      <c r="C47" s="90">
        <v>1037595135</v>
      </c>
      <c r="D47" s="89">
        <v>3206096699</v>
      </c>
    </row>
    <row r="48" spans="1:4" ht="20.100000000000001" customHeight="1">
      <c r="A48" s="81" t="s">
        <v>3962</v>
      </c>
      <c r="B48" s="81" t="s">
        <v>4097</v>
      </c>
      <c r="C48" s="82">
        <v>43873792</v>
      </c>
      <c r="D48" s="83">
        <v>3008314302</v>
      </c>
    </row>
    <row r="49" spans="1:4" ht="20.100000000000001" customHeight="1">
      <c r="A49" s="84" t="s">
        <v>3963</v>
      </c>
      <c r="B49" s="81" t="s">
        <v>4098</v>
      </c>
      <c r="C49" s="85">
        <v>32532406</v>
      </c>
      <c r="D49" s="84">
        <v>3103907402</v>
      </c>
    </row>
    <row r="50" spans="1:4" ht="20.100000000000001" customHeight="1">
      <c r="A50" s="89" t="s">
        <v>3964</v>
      </c>
      <c r="B50" s="89" t="s">
        <v>4099</v>
      </c>
      <c r="C50" s="90">
        <v>71221958</v>
      </c>
      <c r="D50" s="89">
        <v>3017055321</v>
      </c>
    </row>
    <row r="51" spans="1:4" ht="20.100000000000001" customHeight="1">
      <c r="A51" s="81" t="s">
        <v>3965</v>
      </c>
      <c r="B51" s="81" t="s">
        <v>4100</v>
      </c>
      <c r="C51" s="82">
        <v>43278547</v>
      </c>
      <c r="D51" s="83">
        <v>3122606734</v>
      </c>
    </row>
    <row r="52" spans="1:4" ht="20.100000000000001" customHeight="1">
      <c r="A52" s="84" t="s">
        <v>3966</v>
      </c>
      <c r="B52" s="81" t="s">
        <v>4101</v>
      </c>
      <c r="C52" s="85">
        <v>43603765</v>
      </c>
      <c r="D52" s="84">
        <v>3003572550</v>
      </c>
    </row>
    <row r="53" spans="1:4" ht="20.100000000000001" customHeight="1">
      <c r="A53" s="86" t="s">
        <v>4102</v>
      </c>
      <c r="B53" s="86" t="s">
        <v>4103</v>
      </c>
      <c r="C53" s="87">
        <v>43694953</v>
      </c>
      <c r="D53" s="91">
        <v>3005576243</v>
      </c>
    </row>
    <row r="54" spans="1:4" ht="20.100000000000001" customHeight="1">
      <c r="A54" s="84" t="s">
        <v>3967</v>
      </c>
      <c r="B54" s="81" t="s">
        <v>4104</v>
      </c>
      <c r="C54" s="85">
        <v>1020392575</v>
      </c>
      <c r="D54" s="84">
        <v>3505497760</v>
      </c>
    </row>
    <row r="55" spans="1:4" ht="20.100000000000001" customHeight="1">
      <c r="A55" s="84" t="s">
        <v>3968</v>
      </c>
      <c r="B55" s="81" t="s">
        <v>4105</v>
      </c>
      <c r="C55" s="85">
        <v>79491339</v>
      </c>
      <c r="D55" s="84">
        <v>3002103783</v>
      </c>
    </row>
    <row r="56" spans="1:4" ht="20.100000000000001" customHeight="1">
      <c r="A56" s="84" t="s">
        <v>3969</v>
      </c>
      <c r="B56" s="81" t="s">
        <v>4106</v>
      </c>
      <c r="C56" s="90">
        <v>1128389394</v>
      </c>
      <c r="D56" s="92">
        <v>3148802812</v>
      </c>
    </row>
    <row r="57" spans="1:4" ht="20.100000000000001" customHeight="1">
      <c r="A57" s="81" t="s">
        <v>3970</v>
      </c>
      <c r="B57" s="81" t="s">
        <v>4107</v>
      </c>
      <c r="C57" s="82">
        <v>63548956</v>
      </c>
      <c r="D57" s="83">
        <v>3208468023</v>
      </c>
    </row>
    <row r="58" spans="1:4" ht="20.100000000000001" customHeight="1">
      <c r="A58" s="81" t="s">
        <v>3971</v>
      </c>
      <c r="B58" s="81" t="s">
        <v>4108</v>
      </c>
      <c r="C58" s="82">
        <v>98547058</v>
      </c>
      <c r="D58" s="83">
        <v>3216452902</v>
      </c>
    </row>
    <row r="59" spans="1:4" ht="20.100000000000001" customHeight="1">
      <c r="A59" s="81" t="s">
        <v>3972</v>
      </c>
      <c r="B59" s="81" t="s">
        <v>4109</v>
      </c>
      <c r="C59" s="82">
        <v>71382237</v>
      </c>
      <c r="D59" s="83">
        <v>3176993619</v>
      </c>
    </row>
    <row r="60" spans="1:4" ht="20.100000000000001" customHeight="1">
      <c r="A60" s="89" t="s">
        <v>3973</v>
      </c>
      <c r="B60" s="89" t="s">
        <v>4099</v>
      </c>
      <c r="C60" s="90">
        <v>1037578704</v>
      </c>
      <c r="D60" s="89">
        <v>3172792771</v>
      </c>
    </row>
    <row r="61" spans="1:4" ht="20.100000000000001" customHeight="1">
      <c r="A61" s="86" t="s">
        <v>3974</v>
      </c>
      <c r="B61" s="86" t="s">
        <v>3943</v>
      </c>
      <c r="C61" s="87">
        <v>15327426</v>
      </c>
      <c r="D61" s="88">
        <v>3137022601</v>
      </c>
    </row>
    <row r="62" spans="1:4" ht="20.100000000000001" customHeight="1">
      <c r="A62" s="81" t="s">
        <v>3975</v>
      </c>
      <c r="B62" s="81" t="s">
        <v>4110</v>
      </c>
      <c r="C62" s="82">
        <v>15339084</v>
      </c>
      <c r="D62" s="83">
        <v>3003380861</v>
      </c>
    </row>
    <row r="63" spans="1:4" ht="20.100000000000001" customHeight="1">
      <c r="A63" s="81" t="s">
        <v>3976</v>
      </c>
      <c r="B63" s="81" t="s">
        <v>4111</v>
      </c>
      <c r="C63" s="82">
        <v>3377696</v>
      </c>
      <c r="D63" s="83">
        <v>3206648045</v>
      </c>
    </row>
    <row r="64" spans="1:4">
      <c r="A64" s="84" t="s">
        <v>3977</v>
      </c>
      <c r="B64" s="81" t="s">
        <v>4112</v>
      </c>
      <c r="C64" s="85">
        <v>78747466</v>
      </c>
      <c r="D64" s="84">
        <v>3176157985</v>
      </c>
    </row>
    <row r="65" spans="1:4">
      <c r="A65" s="81" t="s">
        <v>3978</v>
      </c>
      <c r="B65" s="81" t="s">
        <v>4113</v>
      </c>
      <c r="C65" s="82">
        <v>8161159</v>
      </c>
      <c r="D65" s="83">
        <v>3014444408</v>
      </c>
    </row>
    <row r="66" spans="1:4">
      <c r="A66" s="89" t="s">
        <v>3979</v>
      </c>
      <c r="B66" s="89" t="s">
        <v>4099</v>
      </c>
      <c r="C66" s="90">
        <v>1020415248</v>
      </c>
      <c r="D66" s="89">
        <v>3045537367</v>
      </c>
    </row>
    <row r="67" spans="1:4">
      <c r="A67" s="84" t="s">
        <v>3980</v>
      </c>
      <c r="B67" s="81" t="s">
        <v>4114</v>
      </c>
      <c r="C67" s="85">
        <v>98585496</v>
      </c>
      <c r="D67" s="84">
        <v>3128479545</v>
      </c>
    </row>
    <row r="68" spans="1:4">
      <c r="A68" s="81" t="s">
        <v>3981</v>
      </c>
      <c r="B68" s="81" t="s">
        <v>4115</v>
      </c>
      <c r="C68" s="82">
        <v>43155806</v>
      </c>
      <c r="D68" s="81">
        <v>3004082599</v>
      </c>
    </row>
    <row r="69" spans="1:4">
      <c r="A69" s="84" t="s">
        <v>3982</v>
      </c>
      <c r="B69" s="81" t="s">
        <v>4116</v>
      </c>
      <c r="C69" s="85">
        <v>30689045</v>
      </c>
      <c r="D69" s="84">
        <v>3017548407</v>
      </c>
    </row>
    <row r="70" spans="1:4">
      <c r="A70" s="92" t="s">
        <v>4117</v>
      </c>
      <c r="B70" s="81" t="s">
        <v>4118</v>
      </c>
      <c r="C70" s="90">
        <v>1067836692</v>
      </c>
      <c r="D70" s="92">
        <v>3145943027</v>
      </c>
    </row>
    <row r="71" spans="1:4">
      <c r="A71" s="86" t="s">
        <v>3983</v>
      </c>
      <c r="B71" s="86" t="s">
        <v>4091</v>
      </c>
      <c r="C71" s="87">
        <v>43584643</v>
      </c>
      <c r="D71" s="88">
        <v>3108250295</v>
      </c>
    </row>
    <row r="72" spans="1:4">
      <c r="A72" s="84" t="s">
        <v>3984</v>
      </c>
      <c r="B72" s="81" t="s">
        <v>4119</v>
      </c>
      <c r="C72" s="85">
        <v>43675087</v>
      </c>
      <c r="D72" s="84">
        <v>3005585198</v>
      </c>
    </row>
    <row r="73" spans="1:4">
      <c r="A73" s="89" t="s">
        <v>3985</v>
      </c>
      <c r="B73" s="89" t="s">
        <v>4099</v>
      </c>
      <c r="C73" s="90">
        <v>71646315</v>
      </c>
      <c r="D73" s="89">
        <v>3022657909</v>
      </c>
    </row>
    <row r="74" spans="1:4">
      <c r="A74" s="81" t="s">
        <v>3986</v>
      </c>
      <c r="B74" s="81" t="s">
        <v>4120</v>
      </c>
      <c r="C74" s="82">
        <v>71794193</v>
      </c>
      <c r="D74" s="83">
        <v>3232279862</v>
      </c>
    </row>
    <row r="75" spans="1:4">
      <c r="A75" s="81" t="s">
        <v>3987</v>
      </c>
      <c r="B75" s="81" t="s">
        <v>4121</v>
      </c>
      <c r="C75" s="82">
        <v>43507756</v>
      </c>
      <c r="D75" s="83">
        <v>3127511500</v>
      </c>
    </row>
    <row r="76" spans="1:4">
      <c r="A76" s="86" t="s">
        <v>3988</v>
      </c>
      <c r="B76" s="86" t="s">
        <v>4091</v>
      </c>
      <c r="C76" s="87">
        <v>21632828</v>
      </c>
      <c r="D76" s="88">
        <v>3012343190</v>
      </c>
    </row>
    <row r="77" spans="1:4">
      <c r="A77" s="81" t="s">
        <v>3989</v>
      </c>
      <c r="B77" s="81" t="s">
        <v>4122</v>
      </c>
      <c r="C77" s="82">
        <v>21424735</v>
      </c>
      <c r="D77" s="83">
        <v>3148656539</v>
      </c>
    </row>
    <row r="78" spans="1:4">
      <c r="A78" s="84" t="s">
        <v>3990</v>
      </c>
      <c r="B78" s="81" t="s">
        <v>4123</v>
      </c>
      <c r="C78" s="85">
        <v>39286780</v>
      </c>
      <c r="D78" s="84">
        <v>3182813912</v>
      </c>
    </row>
    <row r="79" spans="1:4">
      <c r="A79" s="86" t="s">
        <v>3991</v>
      </c>
      <c r="B79" s="86" t="s">
        <v>4103</v>
      </c>
      <c r="C79" s="87">
        <v>43018447</v>
      </c>
      <c r="D79" s="88">
        <v>3206776532</v>
      </c>
    </row>
    <row r="80" spans="1:4">
      <c r="A80" s="86" t="s">
        <v>3992</v>
      </c>
      <c r="B80" s="86" t="s">
        <v>4091</v>
      </c>
      <c r="C80" s="87">
        <v>32532515</v>
      </c>
      <c r="D80" s="88">
        <v>3136592910</v>
      </c>
    </row>
    <row r="81" spans="1:4">
      <c r="A81" s="81" t="s">
        <v>3993</v>
      </c>
      <c r="B81" s="81" t="s">
        <v>4124</v>
      </c>
      <c r="C81" s="82">
        <v>43047248</v>
      </c>
      <c r="D81" s="83">
        <v>3006378958</v>
      </c>
    </row>
    <row r="82" spans="1:4">
      <c r="A82" s="81" t="s">
        <v>3994</v>
      </c>
      <c r="B82" s="81" t="s">
        <v>4125</v>
      </c>
      <c r="C82" s="82">
        <v>43828339</v>
      </c>
      <c r="D82" s="83">
        <v>3175024555</v>
      </c>
    </row>
    <row r="83" spans="1:4">
      <c r="A83" s="86" t="s">
        <v>4126</v>
      </c>
      <c r="B83" s="86" t="s">
        <v>4091</v>
      </c>
      <c r="C83" s="87">
        <v>40390230</v>
      </c>
      <c r="D83" s="88">
        <v>3108086396</v>
      </c>
    </row>
    <row r="84" spans="1:4">
      <c r="A84" s="84" t="s">
        <v>3995</v>
      </c>
      <c r="B84" s="81" t="s">
        <v>4127</v>
      </c>
      <c r="C84" s="85">
        <v>31435292</v>
      </c>
      <c r="D84" s="84">
        <v>3022900948</v>
      </c>
    </row>
    <row r="85" spans="1:4">
      <c r="A85" s="84" t="s">
        <v>3996</v>
      </c>
      <c r="B85" s="81" t="s">
        <v>4128</v>
      </c>
      <c r="C85" s="85">
        <v>80065608</v>
      </c>
      <c r="D85" s="84">
        <v>3214618286</v>
      </c>
    </row>
    <row r="86" spans="1:4">
      <c r="A86" s="84" t="s">
        <v>3997</v>
      </c>
      <c r="B86" s="81" t="s">
        <v>4129</v>
      </c>
      <c r="C86" s="85">
        <v>43205321</v>
      </c>
      <c r="D86" s="84">
        <v>3004947582</v>
      </c>
    </row>
    <row r="87" spans="1:4">
      <c r="A87" s="92" t="s">
        <v>4130</v>
      </c>
      <c r="B87" s="81" t="s">
        <v>4131</v>
      </c>
      <c r="C87" s="90">
        <v>43272726</v>
      </c>
      <c r="D87" s="92">
        <v>3226879551</v>
      </c>
    </row>
    <row r="88" spans="1:4">
      <c r="A88" s="81" t="s">
        <v>3998</v>
      </c>
      <c r="B88" s="81" t="s">
        <v>4132</v>
      </c>
      <c r="C88" s="82">
        <v>43907879</v>
      </c>
      <c r="D88" s="83">
        <v>3206850544</v>
      </c>
    </row>
    <row r="89" spans="1:4">
      <c r="A89" s="81" t="s">
        <v>3999</v>
      </c>
      <c r="B89" s="81" t="s">
        <v>4133</v>
      </c>
      <c r="C89" s="82">
        <v>15647570</v>
      </c>
      <c r="D89" s="81">
        <v>3008196246</v>
      </c>
    </row>
    <row r="90" spans="1:4">
      <c r="A90" s="84" t="s">
        <v>4000</v>
      </c>
      <c r="B90" s="81" t="s">
        <v>4134</v>
      </c>
      <c r="C90" s="90">
        <v>43867628</v>
      </c>
      <c r="D90" s="92">
        <v>3104527048</v>
      </c>
    </row>
    <row r="91" spans="1:4">
      <c r="A91" s="84" t="s">
        <v>4001</v>
      </c>
      <c r="B91" s="81" t="s">
        <v>4135</v>
      </c>
      <c r="C91" s="85">
        <v>15387713</v>
      </c>
      <c r="D91" s="84">
        <v>3216320996</v>
      </c>
    </row>
    <row r="92" spans="1:4">
      <c r="A92" s="84" t="s">
        <v>4002</v>
      </c>
      <c r="B92" s="81" t="s">
        <v>4136</v>
      </c>
      <c r="C92" s="85">
        <v>71375124</v>
      </c>
      <c r="D92" s="84">
        <v>3014724347</v>
      </c>
    </row>
    <row r="93" spans="1:4">
      <c r="A93" s="81" t="s">
        <v>4003</v>
      </c>
      <c r="B93" s="81" t="s">
        <v>4137</v>
      </c>
      <c r="C93" s="82">
        <v>98761137</v>
      </c>
      <c r="D93" s="83">
        <v>3113427500</v>
      </c>
    </row>
    <row r="94" spans="1:4">
      <c r="A94" s="84" t="s">
        <v>4004</v>
      </c>
      <c r="B94" s="81" t="s">
        <v>4138</v>
      </c>
      <c r="C94" s="85">
        <v>1128278356</v>
      </c>
      <c r="D94" s="84">
        <v>3105561749</v>
      </c>
    </row>
    <row r="95" spans="1:4">
      <c r="A95" s="50"/>
      <c r="B95" s="51"/>
    </row>
    <row r="96" spans="1:4">
      <c r="A96" s="50"/>
      <c r="B96" s="51"/>
    </row>
    <row r="97" spans="1:2">
      <c r="A97" s="50"/>
      <c r="B97" s="51"/>
    </row>
    <row r="98" spans="1:2">
      <c r="A98" s="50"/>
      <c r="B98" s="51"/>
    </row>
    <row r="99" spans="1:2">
      <c r="A99" s="50"/>
      <c r="B99" s="51"/>
    </row>
    <row r="100" spans="1:2">
      <c r="A100" s="50"/>
      <c r="B100" s="51"/>
    </row>
    <row r="101" spans="1:2">
      <c r="A101" s="50"/>
      <c r="B101" s="51"/>
    </row>
    <row r="102" spans="1:2">
      <c r="A102" s="50"/>
      <c r="B102" s="51"/>
    </row>
    <row r="103" spans="1:2">
      <c r="A103" s="50"/>
      <c r="B103" s="51"/>
    </row>
    <row r="104" spans="1:2">
      <c r="A104" s="50"/>
      <c r="B104" s="51"/>
    </row>
    <row r="105" spans="1:2">
      <c r="A105" s="50"/>
      <c r="B105" s="51"/>
    </row>
    <row r="106" spans="1:2">
      <c r="A106" s="50"/>
      <c r="B106" s="51"/>
    </row>
    <row r="107" spans="1:2">
      <c r="A107" s="41" t="s">
        <v>12</v>
      </c>
    </row>
    <row r="108" spans="1:2">
      <c r="A108" s="44">
        <v>1</v>
      </c>
    </row>
    <row r="109" spans="1:2">
      <c r="A109" s="44">
        <v>2</v>
      </c>
    </row>
    <row r="110" spans="1:2">
      <c r="A110" s="44">
        <v>3</v>
      </c>
    </row>
    <row r="111" spans="1:2">
      <c r="A111" s="44">
        <v>4</v>
      </c>
    </row>
    <row r="112" spans="1:2">
      <c r="A112" s="44">
        <v>5</v>
      </c>
    </row>
    <row r="113" spans="1:1">
      <c r="A113" s="44">
        <v>6</v>
      </c>
    </row>
    <row r="114" spans="1:1">
      <c r="A114" s="44">
        <v>7</v>
      </c>
    </row>
    <row r="115" spans="1:1">
      <c r="A115" s="44">
        <v>8</v>
      </c>
    </row>
    <row r="116" spans="1:1">
      <c r="A116" s="44">
        <v>9</v>
      </c>
    </row>
    <row r="117" spans="1:1">
      <c r="A117" s="44">
        <v>10</v>
      </c>
    </row>
    <row r="118" spans="1:1">
      <c r="A118" s="44">
        <v>11</v>
      </c>
    </row>
    <row r="119" spans="1:1">
      <c r="A119" s="44">
        <v>12</v>
      </c>
    </row>
    <row r="120" spans="1:1">
      <c r="A120" s="44">
        <v>13</v>
      </c>
    </row>
    <row r="121" spans="1:1">
      <c r="A121" s="44">
        <v>14</v>
      </c>
    </row>
    <row r="122" spans="1:1">
      <c r="A122" s="44">
        <v>15</v>
      </c>
    </row>
    <row r="123" spans="1:1">
      <c r="A123" s="44">
        <v>16</v>
      </c>
    </row>
    <row r="124" spans="1:1">
      <c r="A124" s="44">
        <v>17</v>
      </c>
    </row>
    <row r="125" spans="1:1">
      <c r="A125" s="44">
        <v>18</v>
      </c>
    </row>
    <row r="126" spans="1:1">
      <c r="A126" s="44">
        <v>19</v>
      </c>
    </row>
    <row r="127" spans="1:1">
      <c r="A127" s="44">
        <v>20</v>
      </c>
    </row>
    <row r="128" spans="1:1">
      <c r="A128" s="44">
        <v>21</v>
      </c>
    </row>
    <row r="130" spans="1:1">
      <c r="A130" s="39" t="s">
        <v>268</v>
      </c>
    </row>
    <row r="131" spans="1:1">
      <c r="A131" s="38" t="s">
        <v>2877</v>
      </c>
    </row>
    <row r="132" spans="1:1">
      <c r="A132" s="38" t="s">
        <v>2878</v>
      </c>
    </row>
    <row r="133" spans="1:1">
      <c r="A133" s="38" t="s">
        <v>2879</v>
      </c>
    </row>
    <row r="134" spans="1:1">
      <c r="A134" s="38" t="s">
        <v>2880</v>
      </c>
    </row>
    <row r="137" spans="1:1">
      <c r="A137" s="39" t="s">
        <v>3091</v>
      </c>
    </row>
    <row r="138" spans="1:1">
      <c r="A138" s="38" t="s">
        <v>303</v>
      </c>
    </row>
    <row r="139" spans="1:1">
      <c r="A139" s="38" t="s">
        <v>247</v>
      </c>
    </row>
    <row r="143" spans="1:1">
      <c r="A143" s="39" t="s">
        <v>3428</v>
      </c>
    </row>
    <row r="144" spans="1:1">
      <c r="A144" s="42">
        <v>1</v>
      </c>
    </row>
    <row r="145" spans="1:3">
      <c r="A145" s="42">
        <v>0</v>
      </c>
    </row>
    <row r="146" spans="1:3">
      <c r="A146" s="42" t="s">
        <v>247</v>
      </c>
    </row>
    <row r="147" spans="1:3">
      <c r="A147" s="42" t="s">
        <v>3408</v>
      </c>
    </row>
    <row r="151" spans="1:3">
      <c r="A151" s="55" t="s">
        <v>315</v>
      </c>
      <c r="C151" s="52" t="s">
        <v>316</v>
      </c>
    </row>
    <row r="152" spans="1:3">
      <c r="A152" s="42" t="s">
        <v>3621</v>
      </c>
      <c r="C152" s="42" t="s">
        <v>3462</v>
      </c>
    </row>
    <row r="153" spans="1:3">
      <c r="A153" s="42" t="s">
        <v>3434</v>
      </c>
      <c r="C153" s="42" t="s">
        <v>3463</v>
      </c>
    </row>
    <row r="154" spans="1:3">
      <c r="A154" s="42" t="s">
        <v>3622</v>
      </c>
      <c r="C154" s="42" t="s">
        <v>3464</v>
      </c>
    </row>
    <row r="155" spans="1:3">
      <c r="A155" s="42" t="s">
        <v>3623</v>
      </c>
      <c r="C155" s="42" t="s">
        <v>3465</v>
      </c>
    </row>
    <row r="156" spans="1:3">
      <c r="A156" s="42" t="s">
        <v>3435</v>
      </c>
      <c r="C156" s="42" t="s">
        <v>3565</v>
      </c>
    </row>
    <row r="157" spans="1:3">
      <c r="A157" s="42" t="s">
        <v>3624</v>
      </c>
      <c r="C157" s="42" t="s">
        <v>4015</v>
      </c>
    </row>
    <row r="158" spans="1:3">
      <c r="A158" s="42" t="s">
        <v>3625</v>
      </c>
      <c r="C158" s="42" t="s">
        <v>3466</v>
      </c>
    </row>
    <row r="159" spans="1:3">
      <c r="A159" s="42" t="s">
        <v>3436</v>
      </c>
      <c r="C159" s="42" t="s">
        <v>4018</v>
      </c>
    </row>
    <row r="160" spans="1:3">
      <c r="A160" s="42" t="s">
        <v>3893</v>
      </c>
      <c r="C160" s="42" t="s">
        <v>4030</v>
      </c>
    </row>
    <row r="161" spans="1:3">
      <c r="A161" s="42" t="s">
        <v>3550</v>
      </c>
      <c r="C161" s="42" t="s">
        <v>3467</v>
      </c>
    </row>
    <row r="162" spans="1:3">
      <c r="A162" s="42" t="s">
        <v>3894</v>
      </c>
      <c r="C162" s="42" t="s">
        <v>3427</v>
      </c>
    </row>
    <row r="163" spans="1:3">
      <c r="A163" s="42" t="s">
        <v>3626</v>
      </c>
      <c r="C163" s="42" t="s">
        <v>3468</v>
      </c>
    </row>
    <row r="164" spans="1:3">
      <c r="A164" s="42" t="s">
        <v>3895</v>
      </c>
      <c r="C164" s="42" t="s">
        <v>3469</v>
      </c>
    </row>
    <row r="165" spans="1:3">
      <c r="A165" s="42" t="s">
        <v>3788</v>
      </c>
      <c r="C165" s="42" t="s">
        <v>3470</v>
      </c>
    </row>
    <row r="166" spans="1:3">
      <c r="A166" s="42" t="s">
        <v>3627</v>
      </c>
      <c r="C166" s="42" t="s">
        <v>3471</v>
      </c>
    </row>
    <row r="167" spans="1:3">
      <c r="A167" s="42" t="s">
        <v>3628</v>
      </c>
      <c r="C167" s="42" t="s">
        <v>3566</v>
      </c>
    </row>
    <row r="168" spans="1:3">
      <c r="A168" s="42" t="s">
        <v>3629</v>
      </c>
      <c r="C168" s="42" t="s">
        <v>3472</v>
      </c>
    </row>
    <row r="169" spans="1:3">
      <c r="A169" s="42" t="s">
        <v>3437</v>
      </c>
      <c r="C169" s="42" t="s">
        <v>4145</v>
      </c>
    </row>
    <row r="170" spans="1:3">
      <c r="A170" s="42" t="s">
        <v>3871</v>
      </c>
      <c r="C170" s="42" t="s">
        <v>3473</v>
      </c>
    </row>
    <row r="171" spans="1:3">
      <c r="A171" s="42" t="s">
        <v>3630</v>
      </c>
      <c r="C171" s="42" t="s">
        <v>3474</v>
      </c>
    </row>
    <row r="172" spans="1:3">
      <c r="A172" s="42" t="s">
        <v>3631</v>
      </c>
      <c r="C172" s="42" t="s">
        <v>3475</v>
      </c>
    </row>
    <row r="173" spans="1:3">
      <c r="A173" s="42" t="s">
        <v>3438</v>
      </c>
      <c r="C173" s="42" t="s">
        <v>3476</v>
      </c>
    </row>
    <row r="174" spans="1:3">
      <c r="A174" s="42" t="s">
        <v>3632</v>
      </c>
      <c r="C174" s="42" t="s">
        <v>3477</v>
      </c>
    </row>
    <row r="175" spans="1:3">
      <c r="A175" s="42" t="s">
        <v>3633</v>
      </c>
      <c r="C175" s="42" t="s">
        <v>3567</v>
      </c>
    </row>
    <row r="176" spans="1:3">
      <c r="A176" s="42" t="s">
        <v>3634</v>
      </c>
      <c r="C176" s="42" t="s">
        <v>3478</v>
      </c>
    </row>
    <row r="177" spans="1:3">
      <c r="A177" s="42" t="s">
        <v>3635</v>
      </c>
      <c r="C177" s="42" t="s">
        <v>4025</v>
      </c>
    </row>
    <row r="178" spans="1:3">
      <c r="A178" s="42" t="s">
        <v>3636</v>
      </c>
      <c r="C178" s="42" t="s">
        <v>1284</v>
      </c>
    </row>
    <row r="179" spans="1:3">
      <c r="A179" s="42" t="s">
        <v>3637</v>
      </c>
      <c r="C179" s="42" t="s">
        <v>4028</v>
      </c>
    </row>
    <row r="180" spans="1:3">
      <c r="A180" s="42" t="s">
        <v>3638</v>
      </c>
      <c r="C180" s="42" t="s">
        <v>3568</v>
      </c>
    </row>
    <row r="181" spans="1:3">
      <c r="A181" s="42" t="s">
        <v>3639</v>
      </c>
      <c r="C181" s="42" t="s">
        <v>3569</v>
      </c>
    </row>
    <row r="182" spans="1:3">
      <c r="A182" s="42" t="s">
        <v>3868</v>
      </c>
      <c r="C182" s="42" t="s">
        <v>3479</v>
      </c>
    </row>
    <row r="183" spans="1:3">
      <c r="A183" s="42" t="s">
        <v>3439</v>
      </c>
      <c r="C183" s="42" t="s">
        <v>3480</v>
      </c>
    </row>
    <row r="184" spans="1:3">
      <c r="A184" s="42" t="s">
        <v>3640</v>
      </c>
      <c r="C184" s="42" t="s">
        <v>4031</v>
      </c>
    </row>
    <row r="185" spans="1:3">
      <c r="A185" s="42" t="s">
        <v>3641</v>
      </c>
      <c r="C185" s="42" t="s">
        <v>3481</v>
      </c>
    </row>
    <row r="186" spans="1:3">
      <c r="A186" s="42" t="s">
        <v>3642</v>
      </c>
      <c r="C186" s="42" t="s">
        <v>4012</v>
      </c>
    </row>
    <row r="187" spans="1:3">
      <c r="A187" s="42" t="s">
        <v>3643</v>
      </c>
      <c r="C187" s="42" t="s">
        <v>3570</v>
      </c>
    </row>
    <row r="188" spans="1:3">
      <c r="A188" s="42" t="s">
        <v>3644</v>
      </c>
      <c r="C188" s="42" t="s">
        <v>3482</v>
      </c>
    </row>
    <row r="189" spans="1:3">
      <c r="A189" s="42" t="s">
        <v>3645</v>
      </c>
      <c r="C189" s="42" t="s">
        <v>3483</v>
      </c>
    </row>
    <row r="190" spans="1:3">
      <c r="A190" s="42" t="s">
        <v>3646</v>
      </c>
      <c r="C190" s="42" t="s">
        <v>3484</v>
      </c>
    </row>
    <row r="191" spans="1:3">
      <c r="A191" s="42" t="s">
        <v>3911</v>
      </c>
      <c r="C191" s="42" t="s">
        <v>3571</v>
      </c>
    </row>
    <row r="192" spans="1:3">
      <c r="A192" s="42" t="s">
        <v>3647</v>
      </c>
      <c r="C192" s="42" t="s">
        <v>3789</v>
      </c>
    </row>
    <row r="193" spans="1:3">
      <c r="A193" s="42" t="s">
        <v>3648</v>
      </c>
      <c r="C193" s="42" t="s">
        <v>738</v>
      </c>
    </row>
    <row r="194" spans="1:3">
      <c r="A194" s="42" t="s">
        <v>3649</v>
      </c>
      <c r="C194" s="42" t="s">
        <v>3572</v>
      </c>
    </row>
    <row r="195" spans="1:3">
      <c r="A195" s="42" t="s">
        <v>3803</v>
      </c>
      <c r="C195" s="42" t="s">
        <v>3485</v>
      </c>
    </row>
    <row r="196" spans="1:3">
      <c r="A196" s="42" t="s">
        <v>3804</v>
      </c>
      <c r="C196" s="42" t="s">
        <v>3486</v>
      </c>
    </row>
    <row r="197" spans="1:3">
      <c r="A197" s="42" t="s">
        <v>3650</v>
      </c>
      <c r="C197" s="42" t="s">
        <v>3487</v>
      </c>
    </row>
    <row r="198" spans="1:3">
      <c r="A198" s="42" t="s">
        <v>3651</v>
      </c>
      <c r="C198" s="42" t="s">
        <v>4021</v>
      </c>
    </row>
    <row r="199" spans="1:3">
      <c r="A199" s="42" t="s">
        <v>3652</v>
      </c>
      <c r="C199" s="42" t="s">
        <v>3488</v>
      </c>
    </row>
    <row r="200" spans="1:3">
      <c r="A200" s="42" t="s">
        <v>3653</v>
      </c>
      <c r="C200" s="42" t="s">
        <v>3489</v>
      </c>
    </row>
    <row r="201" spans="1:3">
      <c r="A201" s="42" t="s">
        <v>3654</v>
      </c>
      <c r="C201" s="42" t="s">
        <v>3490</v>
      </c>
    </row>
    <row r="202" spans="1:3">
      <c r="A202" s="42" t="s">
        <v>3837</v>
      </c>
      <c r="C202" s="42" t="s">
        <v>3426</v>
      </c>
    </row>
    <row r="203" spans="1:3">
      <c r="A203" s="42" t="s">
        <v>3805</v>
      </c>
      <c r="C203" s="42" t="s">
        <v>3573</v>
      </c>
    </row>
    <row r="204" spans="1:3">
      <c r="A204" s="42" t="s">
        <v>3838</v>
      </c>
      <c r="C204" s="42" t="s">
        <v>4013</v>
      </c>
    </row>
    <row r="205" spans="1:3">
      <c r="A205" s="42" t="s">
        <v>3551</v>
      </c>
      <c r="C205" s="42" t="s">
        <v>4040</v>
      </c>
    </row>
    <row r="206" spans="1:3">
      <c r="A206" s="42" t="s">
        <v>3655</v>
      </c>
      <c r="C206" s="42" t="s">
        <v>3491</v>
      </c>
    </row>
    <row r="207" spans="1:3">
      <c r="A207" s="42" t="s">
        <v>3440</v>
      </c>
      <c r="C207" s="42" t="s">
        <v>3492</v>
      </c>
    </row>
    <row r="208" spans="1:3">
      <c r="A208" s="42" t="s">
        <v>3656</v>
      </c>
      <c r="C208" s="42" t="s">
        <v>3801</v>
      </c>
    </row>
    <row r="209" spans="1:3">
      <c r="A209" s="42" t="s">
        <v>3657</v>
      </c>
      <c r="C209" s="42" t="s">
        <v>3493</v>
      </c>
    </row>
    <row r="210" spans="1:3">
      <c r="A210" s="42" t="s">
        <v>3441</v>
      </c>
      <c r="C210" s="42" t="s">
        <v>3494</v>
      </c>
    </row>
    <row r="211" spans="1:3">
      <c r="A211" s="42" t="s">
        <v>3658</v>
      </c>
      <c r="C211" s="42" t="s">
        <v>3574</v>
      </c>
    </row>
    <row r="212" spans="1:3">
      <c r="A212" s="42" t="s">
        <v>3659</v>
      </c>
      <c r="C212" s="42" t="s">
        <v>4017</v>
      </c>
    </row>
    <row r="213" spans="1:3">
      <c r="A213" s="42" t="s">
        <v>3660</v>
      </c>
      <c r="C213" s="42" t="s">
        <v>4016</v>
      </c>
    </row>
    <row r="214" spans="1:3">
      <c r="A214" s="42" t="s">
        <v>3552</v>
      </c>
      <c r="C214" s="42" t="s">
        <v>4036</v>
      </c>
    </row>
    <row r="215" spans="1:3">
      <c r="A215" s="42" t="s">
        <v>3553</v>
      </c>
      <c r="C215" s="42" t="s">
        <v>3495</v>
      </c>
    </row>
    <row r="216" spans="1:3">
      <c r="A216" s="42" t="s">
        <v>3661</v>
      </c>
      <c r="C216" s="42" t="s">
        <v>4035</v>
      </c>
    </row>
    <row r="217" spans="1:3">
      <c r="A217" s="42" t="s">
        <v>3662</v>
      </c>
      <c r="C217" s="42" t="s">
        <v>3575</v>
      </c>
    </row>
    <row r="218" spans="1:3">
      <c r="A218" s="42" t="s">
        <v>3663</v>
      </c>
      <c r="C218" s="42" t="s">
        <v>3576</v>
      </c>
    </row>
    <row r="219" spans="1:3">
      <c r="A219" s="42" t="s">
        <v>3664</v>
      </c>
      <c r="C219" s="42" t="s">
        <v>3496</v>
      </c>
    </row>
    <row r="220" spans="1:3">
      <c r="A220" s="42" t="s">
        <v>3665</v>
      </c>
      <c r="C220" s="42" t="s">
        <v>4146</v>
      </c>
    </row>
    <row r="221" spans="1:3">
      <c r="A221" s="42" t="s">
        <v>3882</v>
      </c>
      <c r="C221" s="42" t="s">
        <v>3497</v>
      </c>
    </row>
    <row r="222" spans="1:3">
      <c r="A222" s="42" t="s">
        <v>3666</v>
      </c>
      <c r="C222" s="42" t="s">
        <v>3577</v>
      </c>
    </row>
    <row r="223" spans="1:3">
      <c r="A223" s="42" t="s">
        <v>3872</v>
      </c>
      <c r="C223" s="42" t="s">
        <v>3498</v>
      </c>
    </row>
    <row r="224" spans="1:3">
      <c r="A224" s="42" t="s">
        <v>4048</v>
      </c>
      <c r="C224" s="42" t="s">
        <v>4006</v>
      </c>
    </row>
    <row r="225" spans="1:3">
      <c r="A225" s="42" t="s">
        <v>3806</v>
      </c>
      <c r="C225" s="42" t="s">
        <v>3499</v>
      </c>
    </row>
    <row r="226" spans="1:3">
      <c r="A226" s="42" t="s">
        <v>3841</v>
      </c>
      <c r="C226" s="42" t="s">
        <v>3578</v>
      </c>
    </row>
    <row r="227" spans="1:3">
      <c r="A227" s="42" t="s">
        <v>3846</v>
      </c>
      <c r="C227" s="42" t="s">
        <v>3802</v>
      </c>
    </row>
    <row r="228" spans="1:3">
      <c r="A228" s="42" t="s">
        <v>3902</v>
      </c>
      <c r="C228" s="42" t="s">
        <v>4029</v>
      </c>
    </row>
    <row r="229" spans="1:3">
      <c r="A229" s="42" t="s">
        <v>3667</v>
      </c>
      <c r="C229" s="42" t="s">
        <v>4038</v>
      </c>
    </row>
    <row r="230" spans="1:3">
      <c r="A230" s="42" t="s">
        <v>3554</v>
      </c>
      <c r="C230" s="42" t="s">
        <v>3579</v>
      </c>
    </row>
    <row r="231" spans="1:3">
      <c r="A231" s="42" t="s">
        <v>3442</v>
      </c>
      <c r="C231" s="42" t="s">
        <v>3791</v>
      </c>
    </row>
    <row r="232" spans="1:3">
      <c r="A232" s="42" t="s">
        <v>3668</v>
      </c>
      <c r="C232" s="42" t="s">
        <v>3500</v>
      </c>
    </row>
    <row r="233" spans="1:3">
      <c r="A233" s="42" t="s">
        <v>3443</v>
      </c>
      <c r="C233" s="42" t="s">
        <v>4039</v>
      </c>
    </row>
    <row r="234" spans="1:3">
      <c r="A234" s="42" t="s">
        <v>3669</v>
      </c>
      <c r="C234" s="42" t="s">
        <v>3501</v>
      </c>
    </row>
    <row r="235" spans="1:3">
      <c r="A235" s="42" t="s">
        <v>3875</v>
      </c>
      <c r="C235" s="42" t="s">
        <v>4024</v>
      </c>
    </row>
    <row r="236" spans="1:3">
      <c r="A236" s="42" t="s">
        <v>3851</v>
      </c>
      <c r="C236" s="42" t="s">
        <v>3580</v>
      </c>
    </row>
    <row r="237" spans="1:3">
      <c r="A237" s="42" t="s">
        <v>3824</v>
      </c>
      <c r="C237" s="42" t="s">
        <v>3502</v>
      </c>
    </row>
    <row r="238" spans="1:3">
      <c r="A238" s="42" t="s">
        <v>3670</v>
      </c>
      <c r="C238" s="42" t="s">
        <v>3503</v>
      </c>
    </row>
    <row r="239" spans="1:3">
      <c r="A239" s="42" t="s">
        <v>3903</v>
      </c>
      <c r="C239" s="42" t="s">
        <v>4023</v>
      </c>
    </row>
    <row r="240" spans="1:3">
      <c r="A240" s="42" t="s">
        <v>3839</v>
      </c>
      <c r="C240" s="42" t="s">
        <v>3504</v>
      </c>
    </row>
    <row r="241" spans="1:3">
      <c r="A241" s="42" t="s">
        <v>3671</v>
      </c>
      <c r="C241" s="42" t="s">
        <v>3505</v>
      </c>
    </row>
    <row r="242" spans="1:3">
      <c r="A242" s="42" t="s">
        <v>3672</v>
      </c>
      <c r="C242" s="42" t="s">
        <v>3581</v>
      </c>
    </row>
    <row r="243" spans="1:3">
      <c r="A243" s="42" t="s">
        <v>3673</v>
      </c>
      <c r="C243" s="42" t="s">
        <v>3794</v>
      </c>
    </row>
    <row r="244" spans="1:3">
      <c r="A244" s="42" t="s">
        <v>3674</v>
      </c>
      <c r="C244" s="42" t="s">
        <v>3506</v>
      </c>
    </row>
    <row r="245" spans="1:3">
      <c r="A245" s="42" t="s">
        <v>3675</v>
      </c>
      <c r="C245" s="42" t="s">
        <v>3507</v>
      </c>
    </row>
    <row r="246" spans="1:3">
      <c r="A246" s="42" t="s">
        <v>3555</v>
      </c>
      <c r="C246" s="42" t="s">
        <v>3582</v>
      </c>
    </row>
    <row r="247" spans="1:3">
      <c r="A247" s="42" t="s">
        <v>3873</v>
      </c>
      <c r="C247" s="42" t="s">
        <v>3508</v>
      </c>
    </row>
    <row r="248" spans="1:3">
      <c r="A248" s="42" t="s">
        <v>3618</v>
      </c>
      <c r="C248" s="42" t="s">
        <v>3509</v>
      </c>
    </row>
    <row r="249" spans="1:3">
      <c r="A249" s="42" t="s">
        <v>3883</v>
      </c>
      <c r="C249" s="42" t="s">
        <v>3796</v>
      </c>
    </row>
    <row r="250" spans="1:3">
      <c r="A250" s="42" t="s">
        <v>3869</v>
      </c>
      <c r="C250" s="42" t="s">
        <v>3583</v>
      </c>
    </row>
    <row r="251" spans="1:3">
      <c r="A251" s="42" t="s">
        <v>3929</v>
      </c>
      <c r="C251" s="42" t="s">
        <v>4045</v>
      </c>
    </row>
    <row r="252" spans="1:3">
      <c r="A252" s="42" t="s">
        <v>3556</v>
      </c>
      <c r="C252" s="42" t="s">
        <v>3584</v>
      </c>
    </row>
    <row r="253" spans="1:3">
      <c r="A253" s="42" t="s">
        <v>3557</v>
      </c>
      <c r="C253" s="42" t="s">
        <v>3585</v>
      </c>
    </row>
    <row r="254" spans="1:3">
      <c r="A254" s="42" t="s">
        <v>3676</v>
      </c>
      <c r="C254" s="42" t="s">
        <v>3799</v>
      </c>
    </row>
    <row r="255" spans="1:3">
      <c r="A255" s="42" t="s">
        <v>3677</v>
      </c>
      <c r="C255" s="42" t="s">
        <v>3510</v>
      </c>
    </row>
    <row r="256" spans="1:3">
      <c r="A256" s="42" t="s">
        <v>3678</v>
      </c>
      <c r="C256" s="42" t="s">
        <v>4147</v>
      </c>
    </row>
    <row r="257" spans="1:3">
      <c r="A257" s="42" t="s">
        <v>3679</v>
      </c>
      <c r="C257" s="42" t="s">
        <v>3511</v>
      </c>
    </row>
    <row r="258" spans="1:3">
      <c r="A258" s="42" t="s">
        <v>3444</v>
      </c>
      <c r="C258" s="42" t="s">
        <v>3512</v>
      </c>
    </row>
    <row r="259" spans="1:3">
      <c r="A259" s="42" t="s">
        <v>3680</v>
      </c>
      <c r="C259" s="42" t="s">
        <v>3513</v>
      </c>
    </row>
    <row r="260" spans="1:3">
      <c r="A260" s="42" t="s">
        <v>3896</v>
      </c>
      <c r="C260" s="42" t="s">
        <v>4067</v>
      </c>
    </row>
    <row r="261" spans="1:3">
      <c r="A261" s="42" t="s">
        <v>3807</v>
      </c>
      <c r="C261" s="42" t="s">
        <v>3586</v>
      </c>
    </row>
    <row r="262" spans="1:3">
      <c r="A262" s="42" t="s">
        <v>3862</v>
      </c>
      <c r="C262" s="42" t="s">
        <v>3587</v>
      </c>
    </row>
    <row r="263" spans="1:3">
      <c r="A263" s="42" t="s">
        <v>3865</v>
      </c>
      <c r="C263" s="42" t="s">
        <v>3588</v>
      </c>
    </row>
    <row r="264" spans="1:3">
      <c r="A264" s="42" t="s">
        <v>4049</v>
      </c>
      <c r="C264" s="42" t="s">
        <v>3514</v>
      </c>
    </row>
    <row r="265" spans="1:3">
      <c r="A265" s="42" t="s">
        <v>4050</v>
      </c>
      <c r="C265" s="42" t="s">
        <v>3515</v>
      </c>
    </row>
    <row r="266" spans="1:3">
      <c r="A266" s="42" t="s">
        <v>3808</v>
      </c>
      <c r="C266" s="42" t="s">
        <v>3589</v>
      </c>
    </row>
    <row r="267" spans="1:3">
      <c r="A267" s="42" t="s">
        <v>4051</v>
      </c>
      <c r="C267" s="42" t="s">
        <v>1416</v>
      </c>
    </row>
    <row r="268" spans="1:3">
      <c r="A268" s="42" t="s">
        <v>3681</v>
      </c>
      <c r="C268" s="42" t="s">
        <v>3516</v>
      </c>
    </row>
    <row r="269" spans="1:3">
      <c r="A269" s="42" t="s">
        <v>3682</v>
      </c>
      <c r="C269" s="42" t="s">
        <v>3517</v>
      </c>
    </row>
    <row r="270" spans="1:3">
      <c r="A270" s="42" t="s">
        <v>3683</v>
      </c>
      <c r="C270" s="42" t="s">
        <v>3790</v>
      </c>
    </row>
    <row r="271" spans="1:3">
      <c r="A271" s="42" t="s">
        <v>3915</v>
      </c>
      <c r="C271" s="42" t="s">
        <v>3518</v>
      </c>
    </row>
    <row r="272" spans="1:3">
      <c r="A272" s="42" t="s">
        <v>3906</v>
      </c>
      <c r="C272" s="42" t="s">
        <v>3590</v>
      </c>
    </row>
    <row r="273" spans="1:3">
      <c r="A273" s="42" t="s">
        <v>3909</v>
      </c>
      <c r="C273" s="42" t="s">
        <v>3519</v>
      </c>
    </row>
    <row r="274" spans="1:3">
      <c r="A274" s="42" t="s">
        <v>3684</v>
      </c>
      <c r="C274" s="42" t="s">
        <v>3520</v>
      </c>
    </row>
    <row r="275" spans="1:3">
      <c r="A275" s="42" t="s">
        <v>3685</v>
      </c>
      <c r="C275" s="42" t="s">
        <v>3591</v>
      </c>
    </row>
    <row r="276" spans="1:3">
      <c r="A276" s="42" t="s">
        <v>3686</v>
      </c>
      <c r="C276" s="42" t="s">
        <v>3592</v>
      </c>
    </row>
    <row r="277" spans="1:3">
      <c r="A277" s="42" t="s">
        <v>3874</v>
      </c>
      <c r="C277" s="42" t="s">
        <v>3521</v>
      </c>
    </row>
    <row r="278" spans="1:3">
      <c r="A278" s="42" t="s">
        <v>3687</v>
      </c>
      <c r="C278" s="42" t="s">
        <v>3522</v>
      </c>
    </row>
    <row r="279" spans="1:3">
      <c r="A279" s="42" t="s">
        <v>3688</v>
      </c>
      <c r="C279" s="42" t="s">
        <v>3593</v>
      </c>
    </row>
    <row r="280" spans="1:3">
      <c r="A280" s="42" t="s">
        <v>3689</v>
      </c>
      <c r="C280" s="42" t="s">
        <v>4011</v>
      </c>
    </row>
    <row r="281" spans="1:3">
      <c r="A281" s="42" t="s">
        <v>3690</v>
      </c>
      <c r="C281" s="42" t="s">
        <v>4008</v>
      </c>
    </row>
    <row r="282" spans="1:3">
      <c r="A282" s="42" t="s">
        <v>3691</v>
      </c>
      <c r="C282" s="42" t="s">
        <v>4010</v>
      </c>
    </row>
    <row r="283" spans="1:3">
      <c r="A283" s="42" t="s">
        <v>3692</v>
      </c>
      <c r="C283" s="42" t="s">
        <v>3523</v>
      </c>
    </row>
    <row r="284" spans="1:3">
      <c r="A284" s="42" t="s">
        <v>3693</v>
      </c>
      <c r="C284" s="42" t="s">
        <v>3524</v>
      </c>
    </row>
    <row r="285" spans="1:3">
      <c r="A285" s="42" t="s">
        <v>3694</v>
      </c>
      <c r="C285" s="42" t="s">
        <v>3594</v>
      </c>
    </row>
    <row r="286" spans="1:3">
      <c r="A286" s="42" t="s">
        <v>3445</v>
      </c>
      <c r="C286" s="42" t="s">
        <v>4020</v>
      </c>
    </row>
    <row r="287" spans="1:3">
      <c r="A287" s="42" t="s">
        <v>3940</v>
      </c>
      <c r="C287" s="42" t="s">
        <v>3525</v>
      </c>
    </row>
    <row r="288" spans="1:3">
      <c r="A288" s="42" t="s">
        <v>3695</v>
      </c>
      <c r="C288" s="42" t="s">
        <v>3595</v>
      </c>
    </row>
    <row r="289" spans="1:3">
      <c r="A289" s="42" t="s">
        <v>3935</v>
      </c>
      <c r="C289" s="42" t="s">
        <v>3526</v>
      </c>
    </row>
    <row r="290" spans="1:3">
      <c r="A290" s="42" t="s">
        <v>3696</v>
      </c>
      <c r="C290" s="42" t="s">
        <v>4033</v>
      </c>
    </row>
    <row r="291" spans="1:3">
      <c r="A291" s="42" t="s">
        <v>3697</v>
      </c>
      <c r="C291" s="42" t="s">
        <v>3527</v>
      </c>
    </row>
    <row r="292" spans="1:3">
      <c r="A292" s="42" t="s">
        <v>3938</v>
      </c>
      <c r="C292" s="42" t="s">
        <v>3528</v>
      </c>
    </row>
    <row r="293" spans="1:3">
      <c r="A293" s="42" t="s">
        <v>3933</v>
      </c>
      <c r="C293" s="42" t="s">
        <v>323</v>
      </c>
    </row>
    <row r="294" spans="1:3">
      <c r="A294" s="42" t="s">
        <v>3823</v>
      </c>
      <c r="C294" s="42" t="s">
        <v>4046</v>
      </c>
    </row>
    <row r="295" spans="1:3">
      <c r="A295" s="42" t="s">
        <v>3934</v>
      </c>
      <c r="C295" s="42" t="s">
        <v>4037</v>
      </c>
    </row>
    <row r="296" spans="1:3">
      <c r="A296" s="42" t="s">
        <v>3932</v>
      </c>
      <c r="C296" s="42" t="s">
        <v>4034</v>
      </c>
    </row>
    <row r="297" spans="1:3">
      <c r="A297" s="42" t="s">
        <v>3937</v>
      </c>
      <c r="C297" s="42" t="s">
        <v>3529</v>
      </c>
    </row>
    <row r="298" spans="1:3">
      <c r="A298" s="42" t="s">
        <v>3939</v>
      </c>
      <c r="C298" s="42" t="s">
        <v>3596</v>
      </c>
    </row>
    <row r="299" spans="1:3">
      <c r="A299" s="42" t="s">
        <v>3936</v>
      </c>
      <c r="C299" s="42" t="s">
        <v>3597</v>
      </c>
    </row>
    <row r="300" spans="1:3">
      <c r="A300" s="42" t="s">
        <v>3941</v>
      </c>
      <c r="C300" s="42" t="s">
        <v>3530</v>
      </c>
    </row>
    <row r="301" spans="1:3">
      <c r="A301" s="42" t="s">
        <v>3698</v>
      </c>
      <c r="C301" s="42" t="s">
        <v>3531</v>
      </c>
    </row>
    <row r="302" spans="1:3">
      <c r="A302" s="42" t="s">
        <v>4052</v>
      </c>
      <c r="C302" s="42" t="s">
        <v>3793</v>
      </c>
    </row>
    <row r="303" spans="1:3">
      <c r="A303" s="42" t="s">
        <v>3822</v>
      </c>
      <c r="C303" s="42" t="s">
        <v>3532</v>
      </c>
    </row>
    <row r="304" spans="1:3">
      <c r="A304" s="42" t="s">
        <v>4053</v>
      </c>
      <c r="C304" s="42" t="s">
        <v>3795</v>
      </c>
    </row>
    <row r="305" spans="1:3">
      <c r="A305" s="42" t="s">
        <v>3446</v>
      </c>
      <c r="C305" s="42" t="s">
        <v>3533</v>
      </c>
    </row>
    <row r="306" spans="1:3">
      <c r="A306" s="42" t="s">
        <v>3859</v>
      </c>
      <c r="C306" s="42" t="s">
        <v>4044</v>
      </c>
    </row>
    <row r="307" spans="1:3">
      <c r="A307" s="42" t="s">
        <v>3447</v>
      </c>
      <c r="C307" s="42" t="s">
        <v>3534</v>
      </c>
    </row>
    <row r="308" spans="1:3">
      <c r="A308" s="42" t="s">
        <v>3699</v>
      </c>
      <c r="C308" s="42" t="s">
        <v>3598</v>
      </c>
    </row>
    <row r="309" spans="1:3">
      <c r="A309" s="42" t="s">
        <v>3835</v>
      </c>
      <c r="C309" s="42" t="s">
        <v>3535</v>
      </c>
    </row>
    <row r="310" spans="1:3">
      <c r="A310" s="42" t="s">
        <v>3899</v>
      </c>
      <c r="C310" s="42" t="s">
        <v>4019</v>
      </c>
    </row>
    <row r="311" spans="1:3">
      <c r="A311" s="42" t="s">
        <v>3863</v>
      </c>
      <c r="C311" s="42" t="s">
        <v>3599</v>
      </c>
    </row>
    <row r="312" spans="1:3">
      <c r="A312" s="42" t="s">
        <v>3558</v>
      </c>
      <c r="C312" s="42" t="s">
        <v>4032</v>
      </c>
    </row>
    <row r="313" spans="1:3">
      <c r="A313" s="42" t="s">
        <v>3931</v>
      </c>
      <c r="C313" s="42" t="s">
        <v>3600</v>
      </c>
    </row>
    <row r="314" spans="1:3">
      <c r="A314" s="42" t="s">
        <v>3861</v>
      </c>
      <c r="C314" s="42" t="s">
        <v>4022</v>
      </c>
    </row>
    <row r="315" spans="1:3">
      <c r="A315" s="42" t="s">
        <v>3907</v>
      </c>
      <c r="C315" s="42" t="s">
        <v>4042</v>
      </c>
    </row>
    <row r="316" spans="1:3">
      <c r="A316" s="42" t="s">
        <v>3852</v>
      </c>
      <c r="C316" s="42" t="s">
        <v>3601</v>
      </c>
    </row>
    <row r="317" spans="1:3">
      <c r="A317" s="42" t="s">
        <v>3908</v>
      </c>
      <c r="C317" s="42" t="s">
        <v>3536</v>
      </c>
    </row>
    <row r="318" spans="1:3">
      <c r="A318" s="42" t="s">
        <v>4054</v>
      </c>
      <c r="C318" s="42" t="s">
        <v>4009</v>
      </c>
    </row>
    <row r="319" spans="1:3">
      <c r="A319" s="42" t="s">
        <v>3853</v>
      </c>
      <c r="C319" s="42" t="s">
        <v>4007</v>
      </c>
    </row>
    <row r="320" spans="1:3">
      <c r="A320" s="42" t="s">
        <v>4055</v>
      </c>
      <c r="C320" s="42" t="s">
        <v>4148</v>
      </c>
    </row>
    <row r="321" spans="1:3">
      <c r="A321" s="42" t="s">
        <v>4056</v>
      </c>
      <c r="C321" s="42" t="s">
        <v>3602</v>
      </c>
    </row>
    <row r="322" spans="1:3">
      <c r="A322" s="42" t="s">
        <v>4057</v>
      </c>
      <c r="C322" s="42" t="s">
        <v>4026</v>
      </c>
    </row>
    <row r="323" spans="1:3">
      <c r="A323" s="42" t="s">
        <v>3890</v>
      </c>
      <c r="C323" s="42" t="s">
        <v>3792</v>
      </c>
    </row>
    <row r="324" spans="1:3">
      <c r="A324" s="42" t="s">
        <v>3900</v>
      </c>
      <c r="C324" s="42" t="s">
        <v>4014</v>
      </c>
    </row>
    <row r="325" spans="1:3">
      <c r="A325" s="42" t="s">
        <v>3700</v>
      </c>
      <c r="C325" s="42" t="s">
        <v>4043</v>
      </c>
    </row>
    <row r="326" spans="1:3">
      <c r="A326" s="42" t="s">
        <v>3854</v>
      </c>
      <c r="C326" s="42" t="s">
        <v>3537</v>
      </c>
    </row>
    <row r="327" spans="1:3">
      <c r="A327" s="42" t="s">
        <v>3701</v>
      </c>
      <c r="C327" s="42" t="s">
        <v>3603</v>
      </c>
    </row>
    <row r="328" spans="1:3">
      <c r="A328" s="42" t="s">
        <v>3425</v>
      </c>
      <c r="C328" s="42" t="s">
        <v>3538</v>
      </c>
    </row>
    <row r="329" spans="1:3">
      <c r="A329" s="42" t="s">
        <v>3702</v>
      </c>
      <c r="C329" s="42" t="s">
        <v>3798</v>
      </c>
    </row>
    <row r="330" spans="1:3">
      <c r="A330" s="42" t="s">
        <v>3927</v>
      </c>
      <c r="C330" s="42" t="s">
        <v>3604</v>
      </c>
    </row>
    <row r="331" spans="1:3">
      <c r="A331" s="42" t="s">
        <v>3703</v>
      </c>
      <c r="C331" s="42" t="s">
        <v>3605</v>
      </c>
    </row>
    <row r="332" spans="1:3">
      <c r="A332" s="42" t="s">
        <v>3910</v>
      </c>
      <c r="C332" s="42" t="s">
        <v>3539</v>
      </c>
    </row>
    <row r="333" spans="1:3">
      <c r="A333" s="42" t="s">
        <v>3704</v>
      </c>
      <c r="C333" s="42" t="s">
        <v>3540</v>
      </c>
    </row>
    <row r="334" spans="1:3">
      <c r="A334" s="42" t="s">
        <v>3914</v>
      </c>
      <c r="C334" s="42" t="s">
        <v>3606</v>
      </c>
    </row>
    <row r="335" spans="1:3">
      <c r="A335" s="42" t="s">
        <v>3922</v>
      </c>
      <c r="C335" s="42" t="s">
        <v>3549</v>
      </c>
    </row>
    <row r="336" spans="1:3">
      <c r="A336" s="42" t="s">
        <v>3705</v>
      </c>
      <c r="C336" s="42" t="s">
        <v>3424</v>
      </c>
    </row>
    <row r="337" spans="1:3">
      <c r="A337" s="42" t="s">
        <v>3448</v>
      </c>
      <c r="C337" s="42" t="s">
        <v>3607</v>
      </c>
    </row>
    <row r="338" spans="1:3">
      <c r="A338" s="42" t="s">
        <v>4058</v>
      </c>
      <c r="C338" s="42" t="s">
        <v>3541</v>
      </c>
    </row>
    <row r="339" spans="1:3">
      <c r="A339" s="42" t="s">
        <v>3845</v>
      </c>
      <c r="C339" s="42" t="s">
        <v>3608</v>
      </c>
    </row>
    <row r="340" spans="1:3">
      <c r="A340" s="42" t="s">
        <v>4059</v>
      </c>
      <c r="C340" s="42" t="s">
        <v>4041</v>
      </c>
    </row>
    <row r="341" spans="1:3">
      <c r="A341" s="42" t="s">
        <v>3847</v>
      </c>
      <c r="C341" s="42" t="s">
        <v>3542</v>
      </c>
    </row>
    <row r="342" spans="1:3">
      <c r="A342" s="42" t="s">
        <v>3888</v>
      </c>
      <c r="C342" s="42" t="s">
        <v>3609</v>
      </c>
    </row>
    <row r="343" spans="1:3">
      <c r="A343" s="42" t="s">
        <v>3905</v>
      </c>
      <c r="C343" s="42" t="s">
        <v>3610</v>
      </c>
    </row>
    <row r="344" spans="1:3">
      <c r="A344" s="42" t="s">
        <v>4060</v>
      </c>
      <c r="C344" s="42" t="s">
        <v>3611</v>
      </c>
    </row>
    <row r="345" spans="1:3">
      <c r="A345" s="42" t="s">
        <v>3842</v>
      </c>
      <c r="C345" s="42" t="s">
        <v>3612</v>
      </c>
    </row>
    <row r="346" spans="1:3">
      <c r="A346" s="42" t="s">
        <v>4061</v>
      </c>
      <c r="C346" s="42" t="s">
        <v>4047</v>
      </c>
    </row>
    <row r="347" spans="1:3">
      <c r="A347" s="42" t="s">
        <v>3850</v>
      </c>
      <c r="C347" s="42" t="s">
        <v>3543</v>
      </c>
    </row>
    <row r="348" spans="1:3">
      <c r="A348" s="42" t="s">
        <v>3916</v>
      </c>
      <c r="C348" s="42" t="s">
        <v>3613</v>
      </c>
    </row>
    <row r="349" spans="1:3">
      <c r="A349" s="42" t="s">
        <v>3924</v>
      </c>
      <c r="C349" s="42" t="s">
        <v>3544</v>
      </c>
    </row>
    <row r="350" spans="1:3">
      <c r="A350" s="42" t="s">
        <v>3889</v>
      </c>
      <c r="C350" s="42" t="s">
        <v>4027</v>
      </c>
    </row>
    <row r="351" spans="1:3">
      <c r="A351" s="42" t="s">
        <v>3559</v>
      </c>
      <c r="C351" s="42" t="s">
        <v>3545</v>
      </c>
    </row>
    <row r="352" spans="1:3">
      <c r="A352" s="42" t="s">
        <v>3706</v>
      </c>
      <c r="C352" s="42" t="s">
        <v>3800</v>
      </c>
    </row>
    <row r="353" spans="1:3">
      <c r="A353" s="42" t="s">
        <v>3920</v>
      </c>
      <c r="C353" s="42" t="s">
        <v>3614</v>
      </c>
    </row>
    <row r="354" spans="1:3">
      <c r="A354" s="42" t="s">
        <v>3825</v>
      </c>
      <c r="C354" s="42" t="s">
        <v>3546</v>
      </c>
    </row>
    <row r="355" spans="1:3">
      <c r="A355" s="42" t="s">
        <v>3809</v>
      </c>
      <c r="C355" s="42" t="s">
        <v>3797</v>
      </c>
    </row>
    <row r="356" spans="1:3">
      <c r="A356" s="42" t="s">
        <v>3826</v>
      </c>
      <c r="C356" s="42" t="s">
        <v>3615</v>
      </c>
    </row>
    <row r="357" spans="1:3">
      <c r="A357" s="42" t="s">
        <v>3560</v>
      </c>
      <c r="C357" s="42" t="s">
        <v>3547</v>
      </c>
    </row>
    <row r="358" spans="1:3">
      <c r="A358" s="42" t="s">
        <v>3860</v>
      </c>
      <c r="C358" s="42" t="s">
        <v>4190</v>
      </c>
    </row>
    <row r="359" spans="1:3">
      <c r="A359" s="42" t="s">
        <v>3810</v>
      </c>
      <c r="C359" s="42" t="s">
        <v>3548</v>
      </c>
    </row>
    <row r="360" spans="1:3">
      <c r="A360" s="42" t="s">
        <v>3926</v>
      </c>
      <c r="C360" s="42" t="s">
        <v>3616</v>
      </c>
    </row>
    <row r="361" spans="1:3">
      <c r="A361" s="42" t="s">
        <v>3901</v>
      </c>
      <c r="C361" s="42" t="s">
        <v>3617</v>
      </c>
    </row>
    <row r="362" spans="1:3">
      <c r="A362" s="42" t="s">
        <v>3449</v>
      </c>
      <c r="C362" s="42" t="s">
        <v>247</v>
      </c>
    </row>
    <row r="363" spans="1:3">
      <c r="A363" s="42" t="s">
        <v>3707</v>
      </c>
      <c r="C363" s="42"/>
    </row>
    <row r="364" spans="1:3">
      <c r="A364" s="42" t="s">
        <v>3833</v>
      </c>
      <c r="C364" s="42"/>
    </row>
    <row r="365" spans="1:3">
      <c r="A365" s="42" t="s">
        <v>3912</v>
      </c>
      <c r="C365" s="42"/>
    </row>
    <row r="366" spans="1:3">
      <c r="A366" s="42" t="s">
        <v>3450</v>
      </c>
      <c r="C366" s="42"/>
    </row>
    <row r="367" spans="1:3">
      <c r="A367" s="42" t="s">
        <v>3913</v>
      </c>
      <c r="C367" s="42"/>
    </row>
    <row r="368" spans="1:3">
      <c r="A368" s="42" t="s">
        <v>3811</v>
      </c>
    </row>
    <row r="369" spans="1:1">
      <c r="A369" s="42" t="s">
        <v>3708</v>
      </c>
    </row>
    <row r="370" spans="1:1">
      <c r="A370" s="42" t="s">
        <v>4062</v>
      </c>
    </row>
    <row r="371" spans="1:1">
      <c r="A371" s="42" t="s">
        <v>3830</v>
      </c>
    </row>
    <row r="372" spans="1:1">
      <c r="A372" s="42" t="s">
        <v>3451</v>
      </c>
    </row>
    <row r="373" spans="1:1">
      <c r="A373" s="42" t="s">
        <v>3904</v>
      </c>
    </row>
    <row r="374" spans="1:1">
      <c r="A374" s="42" t="s">
        <v>3709</v>
      </c>
    </row>
    <row r="375" spans="1:1">
      <c r="A375" s="42" t="s">
        <v>3561</v>
      </c>
    </row>
    <row r="376" spans="1:1">
      <c r="A376" s="42" t="s">
        <v>3876</v>
      </c>
    </row>
    <row r="377" spans="1:1">
      <c r="A377" s="42" t="s">
        <v>3812</v>
      </c>
    </row>
    <row r="378" spans="1:1">
      <c r="A378" s="42" t="s">
        <v>3829</v>
      </c>
    </row>
    <row r="379" spans="1:1">
      <c r="A379" s="42" t="s">
        <v>3710</v>
      </c>
    </row>
    <row r="380" spans="1:1">
      <c r="A380" s="42" t="s">
        <v>3711</v>
      </c>
    </row>
    <row r="381" spans="1:1">
      <c r="A381" s="42" t="s">
        <v>3712</v>
      </c>
    </row>
    <row r="382" spans="1:1">
      <c r="A382" s="42" t="s">
        <v>3713</v>
      </c>
    </row>
    <row r="383" spans="1:1">
      <c r="A383" s="42" t="s">
        <v>3714</v>
      </c>
    </row>
    <row r="384" spans="1:1">
      <c r="A384" s="42" t="s">
        <v>3715</v>
      </c>
    </row>
    <row r="385" spans="1:1">
      <c r="A385" s="42" t="s">
        <v>3716</v>
      </c>
    </row>
    <row r="386" spans="1:1">
      <c r="A386" s="42" t="s">
        <v>3717</v>
      </c>
    </row>
    <row r="387" spans="1:1">
      <c r="A387" s="42" t="s">
        <v>3718</v>
      </c>
    </row>
    <row r="388" spans="1:1">
      <c r="A388" s="42" t="s">
        <v>3719</v>
      </c>
    </row>
    <row r="389" spans="1:1">
      <c r="A389" s="42" t="s">
        <v>3720</v>
      </c>
    </row>
    <row r="390" spans="1:1">
      <c r="A390" s="42" t="s">
        <v>3721</v>
      </c>
    </row>
    <row r="391" spans="1:1">
      <c r="A391" s="42" t="s">
        <v>3923</v>
      </c>
    </row>
    <row r="392" spans="1:1">
      <c r="A392" s="42" t="s">
        <v>3919</v>
      </c>
    </row>
    <row r="393" spans="1:1">
      <c r="A393" s="42" t="s">
        <v>3722</v>
      </c>
    </row>
    <row r="394" spans="1:1">
      <c r="A394" s="42" t="s">
        <v>3836</v>
      </c>
    </row>
    <row r="395" spans="1:1">
      <c r="A395" s="42" t="s">
        <v>3820</v>
      </c>
    </row>
    <row r="396" spans="1:1">
      <c r="A396" s="42" t="s">
        <v>3878</v>
      </c>
    </row>
    <row r="397" spans="1:1">
      <c r="A397" s="42" t="s">
        <v>3813</v>
      </c>
    </row>
    <row r="398" spans="1:1">
      <c r="A398" s="42" t="s">
        <v>3877</v>
      </c>
    </row>
    <row r="399" spans="1:1">
      <c r="A399" s="42" t="s">
        <v>3723</v>
      </c>
    </row>
    <row r="400" spans="1:1">
      <c r="A400" s="42" t="s">
        <v>3452</v>
      </c>
    </row>
    <row r="401" spans="1:1">
      <c r="A401" s="42" t="s">
        <v>3724</v>
      </c>
    </row>
    <row r="402" spans="1:1">
      <c r="A402" s="42" t="s">
        <v>3884</v>
      </c>
    </row>
    <row r="403" spans="1:1">
      <c r="A403" s="42" t="s">
        <v>3917</v>
      </c>
    </row>
    <row r="404" spans="1:1">
      <c r="A404" s="42" t="s">
        <v>3725</v>
      </c>
    </row>
    <row r="405" spans="1:1">
      <c r="A405" s="42" t="s">
        <v>3870</v>
      </c>
    </row>
    <row r="406" spans="1:1">
      <c r="A406" s="42" t="s">
        <v>3726</v>
      </c>
    </row>
    <row r="407" spans="1:1">
      <c r="A407" s="42" t="s">
        <v>3727</v>
      </c>
    </row>
    <row r="408" spans="1:1">
      <c r="A408" s="42" t="s">
        <v>3728</v>
      </c>
    </row>
    <row r="409" spans="1:1">
      <c r="A409" s="42" t="s">
        <v>3729</v>
      </c>
    </row>
    <row r="410" spans="1:1">
      <c r="A410" s="42" t="s">
        <v>3928</v>
      </c>
    </row>
    <row r="411" spans="1:1">
      <c r="A411" s="42" t="s">
        <v>3730</v>
      </c>
    </row>
    <row r="412" spans="1:1">
      <c r="A412" s="42" t="s">
        <v>3731</v>
      </c>
    </row>
    <row r="413" spans="1:1">
      <c r="A413" s="42" t="s">
        <v>3918</v>
      </c>
    </row>
    <row r="414" spans="1:1">
      <c r="A414" s="42" t="s">
        <v>3732</v>
      </c>
    </row>
    <row r="415" spans="1:1">
      <c r="A415" s="42" t="s">
        <v>3733</v>
      </c>
    </row>
    <row r="416" spans="1:1">
      <c r="A416" s="42" t="s">
        <v>3734</v>
      </c>
    </row>
    <row r="417" spans="1:1">
      <c r="A417" s="42" t="s">
        <v>3897</v>
      </c>
    </row>
    <row r="418" spans="1:1">
      <c r="A418" s="42" t="s">
        <v>3881</v>
      </c>
    </row>
    <row r="419" spans="1:1">
      <c r="A419" s="42" t="s">
        <v>3735</v>
      </c>
    </row>
    <row r="420" spans="1:1">
      <c r="A420" s="42" t="s">
        <v>3736</v>
      </c>
    </row>
    <row r="421" spans="1:1">
      <c r="A421" s="42" t="s">
        <v>3737</v>
      </c>
    </row>
    <row r="422" spans="1:1">
      <c r="A422" s="42" t="s">
        <v>3453</v>
      </c>
    </row>
    <row r="423" spans="1:1">
      <c r="A423" s="42" t="s">
        <v>3454</v>
      </c>
    </row>
    <row r="424" spans="1:1">
      <c r="A424" s="42" t="s">
        <v>3866</v>
      </c>
    </row>
    <row r="425" spans="1:1">
      <c r="A425" s="42" t="s">
        <v>4063</v>
      </c>
    </row>
    <row r="426" spans="1:1">
      <c r="A426" s="42" t="s">
        <v>4149</v>
      </c>
    </row>
    <row r="427" spans="1:1">
      <c r="A427" s="42" t="s">
        <v>3738</v>
      </c>
    </row>
    <row r="428" spans="1:1">
      <c r="A428" s="42" t="s">
        <v>3887</v>
      </c>
    </row>
    <row r="429" spans="1:1">
      <c r="A429" s="42" t="s">
        <v>3886</v>
      </c>
    </row>
    <row r="430" spans="1:1">
      <c r="A430" s="42" t="s">
        <v>3898</v>
      </c>
    </row>
    <row r="431" spans="1:1">
      <c r="A431" s="42" t="s">
        <v>3739</v>
      </c>
    </row>
    <row r="432" spans="1:1">
      <c r="A432" s="42" t="s">
        <v>3455</v>
      </c>
    </row>
    <row r="433" spans="1:1">
      <c r="A433" s="42" t="s">
        <v>3740</v>
      </c>
    </row>
    <row r="434" spans="1:1">
      <c r="A434" s="42" t="s">
        <v>3456</v>
      </c>
    </row>
    <row r="435" spans="1:1">
      <c r="A435" s="42" t="s">
        <v>3821</v>
      </c>
    </row>
    <row r="436" spans="1:1">
      <c r="A436" s="42" t="s">
        <v>3741</v>
      </c>
    </row>
    <row r="437" spans="1:1">
      <c r="A437" s="42" t="s">
        <v>3562</v>
      </c>
    </row>
    <row r="438" spans="1:1">
      <c r="A438" s="42" t="s">
        <v>4064</v>
      </c>
    </row>
    <row r="439" spans="1:1">
      <c r="A439" s="42" t="s">
        <v>3742</v>
      </c>
    </row>
    <row r="440" spans="1:1">
      <c r="A440" s="42" t="s">
        <v>3743</v>
      </c>
    </row>
    <row r="441" spans="1:1">
      <c r="A441" s="42" t="s">
        <v>3834</v>
      </c>
    </row>
    <row r="442" spans="1:1">
      <c r="A442" s="42" t="s">
        <v>3744</v>
      </c>
    </row>
    <row r="443" spans="1:1">
      <c r="A443" s="42" t="s">
        <v>3745</v>
      </c>
    </row>
    <row r="444" spans="1:1">
      <c r="A444" s="42" t="s">
        <v>3746</v>
      </c>
    </row>
    <row r="445" spans="1:1">
      <c r="A445" s="42" t="s">
        <v>3885</v>
      </c>
    </row>
    <row r="446" spans="1:1">
      <c r="A446" s="42" t="s">
        <v>3747</v>
      </c>
    </row>
    <row r="447" spans="1:1">
      <c r="A447" s="42" t="s">
        <v>3844</v>
      </c>
    </row>
    <row r="448" spans="1:1">
      <c r="A448" s="42" t="s">
        <v>3814</v>
      </c>
    </row>
    <row r="449" spans="1:1">
      <c r="A449" s="42" t="s">
        <v>3748</v>
      </c>
    </row>
    <row r="450" spans="1:1">
      <c r="A450" s="42" t="s">
        <v>3749</v>
      </c>
    </row>
    <row r="451" spans="1:1">
      <c r="A451" s="42" t="s">
        <v>3750</v>
      </c>
    </row>
    <row r="452" spans="1:1">
      <c r="A452" s="42" t="s">
        <v>3751</v>
      </c>
    </row>
    <row r="453" spans="1:1">
      <c r="A453" s="42" t="s">
        <v>3457</v>
      </c>
    </row>
    <row r="454" spans="1:1">
      <c r="A454" s="42" t="s">
        <v>3752</v>
      </c>
    </row>
    <row r="455" spans="1:1">
      <c r="A455" s="42" t="s">
        <v>3563</v>
      </c>
    </row>
    <row r="456" spans="1:1">
      <c r="A456" s="42" t="s">
        <v>3458</v>
      </c>
    </row>
    <row r="457" spans="1:1">
      <c r="A457" s="42" t="s">
        <v>3921</v>
      </c>
    </row>
    <row r="458" spans="1:1">
      <c r="A458" s="42" t="s">
        <v>3753</v>
      </c>
    </row>
    <row r="459" spans="1:1">
      <c r="A459" s="42" t="s">
        <v>3827</v>
      </c>
    </row>
    <row r="460" spans="1:1">
      <c r="A460" s="42" t="s">
        <v>3754</v>
      </c>
    </row>
    <row r="461" spans="1:1">
      <c r="A461" s="42" t="s">
        <v>3755</v>
      </c>
    </row>
    <row r="462" spans="1:1">
      <c r="A462" s="42" t="s">
        <v>3756</v>
      </c>
    </row>
    <row r="463" spans="1:1">
      <c r="A463" s="42" t="s">
        <v>3757</v>
      </c>
    </row>
    <row r="464" spans="1:1">
      <c r="A464" s="42" t="s">
        <v>3758</v>
      </c>
    </row>
    <row r="465" spans="1:1">
      <c r="A465" s="42" t="s">
        <v>3759</v>
      </c>
    </row>
    <row r="466" spans="1:1">
      <c r="A466" s="42" t="s">
        <v>3760</v>
      </c>
    </row>
    <row r="467" spans="1:1">
      <c r="A467" s="42" t="s">
        <v>3761</v>
      </c>
    </row>
    <row r="468" spans="1:1">
      <c r="A468" s="42" t="s">
        <v>3762</v>
      </c>
    </row>
    <row r="469" spans="1:1">
      <c r="A469" s="42" t="s">
        <v>3763</v>
      </c>
    </row>
    <row r="470" spans="1:1">
      <c r="A470" s="42" t="s">
        <v>3764</v>
      </c>
    </row>
    <row r="471" spans="1:1">
      <c r="A471" s="42" t="s">
        <v>3765</v>
      </c>
    </row>
    <row r="472" spans="1:1">
      <c r="A472" s="42" t="s">
        <v>3766</v>
      </c>
    </row>
    <row r="473" spans="1:1">
      <c r="A473" s="42" t="s">
        <v>3767</v>
      </c>
    </row>
    <row r="474" spans="1:1">
      <c r="A474" s="42" t="s">
        <v>3768</v>
      </c>
    </row>
    <row r="475" spans="1:1">
      <c r="A475" s="42" t="s">
        <v>3769</v>
      </c>
    </row>
    <row r="476" spans="1:1">
      <c r="A476" s="42" t="s">
        <v>3925</v>
      </c>
    </row>
    <row r="477" spans="1:1">
      <c r="A477" s="42" t="s">
        <v>3770</v>
      </c>
    </row>
    <row r="478" spans="1:1">
      <c r="A478" s="42" t="s">
        <v>3771</v>
      </c>
    </row>
    <row r="479" spans="1:1">
      <c r="A479" s="42" t="s">
        <v>3855</v>
      </c>
    </row>
    <row r="480" spans="1:1">
      <c r="A480" s="42" t="s">
        <v>3815</v>
      </c>
    </row>
    <row r="481" spans="1:1">
      <c r="A481" s="42" t="s">
        <v>3831</v>
      </c>
    </row>
    <row r="482" spans="1:1">
      <c r="A482" s="42" t="s">
        <v>3832</v>
      </c>
    </row>
    <row r="483" spans="1:1">
      <c r="A483" s="42" t="s">
        <v>3772</v>
      </c>
    </row>
    <row r="484" spans="1:1">
      <c r="A484" s="42" t="s">
        <v>3773</v>
      </c>
    </row>
    <row r="485" spans="1:1">
      <c r="A485" s="42" t="s">
        <v>3774</v>
      </c>
    </row>
    <row r="486" spans="1:1">
      <c r="A486" s="42" t="s">
        <v>3775</v>
      </c>
    </row>
    <row r="487" spans="1:1">
      <c r="A487" s="42" t="s">
        <v>3776</v>
      </c>
    </row>
    <row r="488" spans="1:1">
      <c r="A488" s="42" t="s">
        <v>3777</v>
      </c>
    </row>
    <row r="489" spans="1:1">
      <c r="A489" s="42" t="s">
        <v>3880</v>
      </c>
    </row>
    <row r="490" spans="1:1">
      <c r="A490" s="42" t="s">
        <v>3816</v>
      </c>
    </row>
    <row r="491" spans="1:1">
      <c r="A491" s="42" t="s">
        <v>3849</v>
      </c>
    </row>
    <row r="492" spans="1:1">
      <c r="A492" s="42" t="s">
        <v>3856</v>
      </c>
    </row>
    <row r="493" spans="1:1">
      <c r="A493" s="42" t="s">
        <v>3879</v>
      </c>
    </row>
    <row r="494" spans="1:1">
      <c r="A494" s="42" t="s">
        <v>3857</v>
      </c>
    </row>
    <row r="495" spans="1:1">
      <c r="A495" s="42" t="s">
        <v>3778</v>
      </c>
    </row>
    <row r="496" spans="1:1">
      <c r="A496" s="42" t="s">
        <v>3779</v>
      </c>
    </row>
    <row r="497" spans="1:1">
      <c r="A497" s="42" t="s">
        <v>3780</v>
      </c>
    </row>
    <row r="498" spans="1:1">
      <c r="A498" s="42" t="s">
        <v>3930</v>
      </c>
    </row>
    <row r="499" spans="1:1">
      <c r="A499" s="42" t="s">
        <v>3564</v>
      </c>
    </row>
    <row r="500" spans="1:1">
      <c r="A500" s="42" t="s">
        <v>3459</v>
      </c>
    </row>
    <row r="501" spans="1:1">
      <c r="A501" s="42" t="s">
        <v>3781</v>
      </c>
    </row>
    <row r="502" spans="1:1">
      <c r="A502" s="42" t="s">
        <v>3619</v>
      </c>
    </row>
    <row r="503" spans="1:1">
      <c r="A503" s="42" t="s">
        <v>3864</v>
      </c>
    </row>
    <row r="504" spans="1:1">
      <c r="A504" s="42" t="s">
        <v>3867</v>
      </c>
    </row>
    <row r="505" spans="1:1">
      <c r="A505" s="42" t="s">
        <v>3819</v>
      </c>
    </row>
    <row r="506" spans="1:1">
      <c r="A506" s="42" t="s">
        <v>3818</v>
      </c>
    </row>
    <row r="507" spans="1:1">
      <c r="A507" s="42" t="s">
        <v>3843</v>
      </c>
    </row>
    <row r="508" spans="1:1">
      <c r="A508" s="42" t="s">
        <v>3817</v>
      </c>
    </row>
    <row r="509" spans="1:1">
      <c r="A509" s="42" t="s">
        <v>3782</v>
      </c>
    </row>
    <row r="510" spans="1:1">
      <c r="A510" s="42" t="s">
        <v>3840</v>
      </c>
    </row>
    <row r="511" spans="1:1">
      <c r="A511" s="42" t="s">
        <v>4065</v>
      </c>
    </row>
    <row r="512" spans="1:1">
      <c r="A512" s="42" t="s">
        <v>3460</v>
      </c>
    </row>
    <row r="513" spans="1:1">
      <c r="A513" s="42" t="s">
        <v>3783</v>
      </c>
    </row>
    <row r="514" spans="1:1">
      <c r="A514" s="42" t="s">
        <v>3784</v>
      </c>
    </row>
    <row r="515" spans="1:1">
      <c r="A515" s="42" t="s">
        <v>3785</v>
      </c>
    </row>
    <row r="516" spans="1:1">
      <c r="A516" s="42" t="s">
        <v>3892</v>
      </c>
    </row>
    <row r="517" spans="1:1">
      <c r="A517" s="42" t="s">
        <v>4066</v>
      </c>
    </row>
    <row r="518" spans="1:1">
      <c r="A518" s="42" t="s">
        <v>3461</v>
      </c>
    </row>
    <row r="519" spans="1:1">
      <c r="A519" s="42" t="s">
        <v>3828</v>
      </c>
    </row>
    <row r="520" spans="1:1">
      <c r="A520" s="42" t="s">
        <v>3620</v>
      </c>
    </row>
    <row r="521" spans="1:1">
      <c r="A521" s="42" t="s">
        <v>3786</v>
      </c>
    </row>
    <row r="522" spans="1:1">
      <c r="A522" s="42" t="s">
        <v>3891</v>
      </c>
    </row>
    <row r="523" spans="1:1">
      <c r="A523" s="42" t="s">
        <v>3848</v>
      </c>
    </row>
    <row r="524" spans="1:1">
      <c r="A524" s="42" t="s">
        <v>3858</v>
      </c>
    </row>
    <row r="525" spans="1:1">
      <c r="A525" s="42" t="s">
        <v>3787</v>
      </c>
    </row>
    <row r="526" spans="1:1">
      <c r="A526" s="42" t="s">
        <v>247</v>
      </c>
    </row>
    <row r="527" spans="1:1">
      <c r="A527" s="42"/>
    </row>
    <row r="528" spans="1:1">
      <c r="A528" s="42"/>
    </row>
    <row r="529" spans="1:1">
      <c r="A529" s="42"/>
    </row>
    <row r="530" spans="1:1">
      <c r="A530" s="42"/>
    </row>
    <row r="531" spans="1:1">
      <c r="A531" s="42"/>
    </row>
    <row r="532" spans="1:1">
      <c r="A532" s="42"/>
    </row>
    <row r="533" spans="1:1">
      <c r="A533" s="42"/>
    </row>
    <row r="534" spans="1:1">
      <c r="A534" s="42"/>
    </row>
    <row r="535" spans="1:1">
      <c r="A535" s="42"/>
    </row>
    <row r="536" spans="1:1">
      <c r="A536" s="42"/>
    </row>
    <row r="537" spans="1:1">
      <c r="A537" s="42"/>
    </row>
    <row r="538" spans="1:1">
      <c r="A538" s="42" t="s">
        <v>4074</v>
      </c>
    </row>
    <row r="539" spans="1:1" ht="72">
      <c r="A539" s="22" t="s">
        <v>4077</v>
      </c>
    </row>
    <row r="540" spans="1:1">
      <c r="A540" s="42" t="s">
        <v>4075</v>
      </c>
    </row>
    <row r="541" spans="1:1">
      <c r="A541" s="42" t="s">
        <v>4076</v>
      </c>
    </row>
    <row r="542" spans="1:1">
      <c r="A542" s="42"/>
    </row>
    <row r="543" spans="1:1">
      <c r="A543" s="42"/>
    </row>
    <row r="544" spans="1:1">
      <c r="A544" s="42"/>
    </row>
    <row r="545" spans="1:1">
      <c r="A545" s="42"/>
    </row>
    <row r="546" spans="1:1">
      <c r="A546" s="42"/>
    </row>
    <row r="547" spans="1:1">
      <c r="A547" s="42"/>
    </row>
    <row r="548" spans="1:1">
      <c r="A548" s="42"/>
    </row>
    <row r="549" spans="1:1">
      <c r="A549" s="42"/>
    </row>
    <row r="550" spans="1:1">
      <c r="A550" s="42"/>
    </row>
    <row r="551" spans="1:1">
      <c r="A551" s="42"/>
    </row>
    <row r="552" spans="1:1">
      <c r="A552" s="42"/>
    </row>
    <row r="553" spans="1:1">
      <c r="A553" s="42"/>
    </row>
    <row r="554" spans="1:1">
      <c r="A554" s="42"/>
    </row>
    <row r="555" spans="1:1">
      <c r="A555" s="42"/>
    </row>
    <row r="556" spans="1:1">
      <c r="A556" s="42"/>
    </row>
    <row r="557" spans="1:1">
      <c r="A557" s="42"/>
    </row>
    <row r="558" spans="1:1">
      <c r="A558" s="42"/>
    </row>
    <row r="559" spans="1:1">
      <c r="A559" s="42"/>
    </row>
    <row r="560" spans="1:1">
      <c r="A560" s="42"/>
    </row>
    <row r="561" spans="1:1">
      <c r="A561" s="42"/>
    </row>
    <row r="562" spans="1:1">
      <c r="A562" s="42"/>
    </row>
    <row r="563" spans="1:1">
      <c r="A563" s="42"/>
    </row>
    <row r="564" spans="1:1">
      <c r="A564" s="42"/>
    </row>
    <row r="565" spans="1:1">
      <c r="A565" s="42"/>
    </row>
    <row r="566" spans="1:1">
      <c r="A566" s="42"/>
    </row>
    <row r="567" spans="1:1">
      <c r="A567" s="42"/>
    </row>
    <row r="568" spans="1:1">
      <c r="A568" s="42"/>
    </row>
    <row r="569" spans="1:1">
      <c r="A569" s="42"/>
    </row>
    <row r="570" spans="1:1">
      <c r="A570" s="42"/>
    </row>
    <row r="571" spans="1:1">
      <c r="A571" s="42"/>
    </row>
    <row r="572" spans="1:1">
      <c r="A572" s="42"/>
    </row>
    <row r="573" spans="1:1">
      <c r="A573" s="42"/>
    </row>
    <row r="574" spans="1:1">
      <c r="A574" s="42"/>
    </row>
    <row r="575" spans="1:1">
      <c r="A575" s="42"/>
    </row>
    <row r="576" spans="1:1">
      <c r="A576" s="42"/>
    </row>
    <row r="577" spans="1:1">
      <c r="A577" s="42"/>
    </row>
    <row r="578" spans="1:1">
      <c r="A578" s="42"/>
    </row>
    <row r="579" spans="1:1">
      <c r="A579" s="42"/>
    </row>
    <row r="580" spans="1:1">
      <c r="A580" s="42"/>
    </row>
    <row r="581" spans="1:1">
      <c r="A581" s="42"/>
    </row>
    <row r="582" spans="1:1">
      <c r="A582" s="42"/>
    </row>
    <row r="583" spans="1:1">
      <c r="A583" s="42"/>
    </row>
    <row r="584" spans="1:1">
      <c r="A584" s="42"/>
    </row>
    <row r="585" spans="1:1">
      <c r="A585" s="42"/>
    </row>
    <row r="586" spans="1:1">
      <c r="A586" s="42"/>
    </row>
    <row r="587" spans="1:1">
      <c r="A587" s="42"/>
    </row>
    <row r="588" spans="1:1">
      <c r="A588" s="42"/>
    </row>
    <row r="589" spans="1:1">
      <c r="A589" s="42"/>
    </row>
    <row r="590" spans="1:1">
      <c r="A590" s="42"/>
    </row>
    <row r="591" spans="1:1">
      <c r="A591" s="42"/>
    </row>
    <row r="592" spans="1:1">
      <c r="A592" s="42"/>
    </row>
    <row r="593" spans="1:1">
      <c r="A593" s="42"/>
    </row>
    <row r="594" spans="1:1">
      <c r="A594" s="42"/>
    </row>
    <row r="595" spans="1:1">
      <c r="A595" s="42"/>
    </row>
    <row r="596" spans="1:1">
      <c r="A596" s="42"/>
    </row>
    <row r="597" spans="1:1">
      <c r="A597" s="42"/>
    </row>
    <row r="598" spans="1:1">
      <c r="A598" s="42"/>
    </row>
    <row r="599" spans="1:1">
      <c r="A599" s="42"/>
    </row>
    <row r="600" spans="1:1">
      <c r="A600" s="42"/>
    </row>
    <row r="601" spans="1:1">
      <c r="A601" s="42"/>
    </row>
    <row r="602" spans="1:1">
      <c r="A602" s="42"/>
    </row>
    <row r="603" spans="1:1">
      <c r="A603" s="42"/>
    </row>
    <row r="604" spans="1:1">
      <c r="A604" s="42"/>
    </row>
    <row r="605" spans="1:1">
      <c r="A605" s="42"/>
    </row>
    <row r="606" spans="1:1">
      <c r="A606" s="42"/>
    </row>
    <row r="607" spans="1:1">
      <c r="A607" s="42"/>
    </row>
    <row r="608" spans="1:1">
      <c r="A608" s="42"/>
    </row>
    <row r="609" spans="1:1">
      <c r="A609" s="42"/>
    </row>
    <row r="610" spans="1:1">
      <c r="A610" s="42"/>
    </row>
    <row r="611" spans="1:1">
      <c r="A611" s="42"/>
    </row>
    <row r="612" spans="1:1">
      <c r="A612" s="42"/>
    </row>
    <row r="613" spans="1:1">
      <c r="A613" s="42"/>
    </row>
    <row r="614" spans="1:1">
      <c r="A614" s="42"/>
    </row>
    <row r="615" spans="1:1">
      <c r="A615" s="42"/>
    </row>
    <row r="616" spans="1:1">
      <c r="A616" s="42"/>
    </row>
    <row r="617" spans="1:1">
      <c r="A617" s="42"/>
    </row>
    <row r="618" spans="1:1">
      <c r="A618" s="42"/>
    </row>
    <row r="619" spans="1:1">
      <c r="A619" s="42"/>
    </row>
    <row r="620" spans="1:1">
      <c r="A620" s="42"/>
    </row>
    <row r="621" spans="1:1">
      <c r="A621" s="42"/>
    </row>
    <row r="622" spans="1:1">
      <c r="A622" s="42"/>
    </row>
    <row r="623" spans="1:1">
      <c r="A623" s="42"/>
    </row>
    <row r="624" spans="1:1">
      <c r="A624" s="42"/>
    </row>
    <row r="625" spans="1:1">
      <c r="A625" s="42"/>
    </row>
    <row r="626" spans="1:1">
      <c r="A626" s="42"/>
    </row>
    <row r="627" spans="1:1">
      <c r="A627" s="42"/>
    </row>
    <row r="628" spans="1:1">
      <c r="A628" s="42"/>
    </row>
    <row r="629" spans="1:1">
      <c r="A629" s="42"/>
    </row>
    <row r="630" spans="1:1">
      <c r="A630" s="42"/>
    </row>
    <row r="631" spans="1:1">
      <c r="A631" s="42"/>
    </row>
    <row r="632" spans="1:1">
      <c r="A632" s="42"/>
    </row>
    <row r="633" spans="1:1">
      <c r="A633" s="42"/>
    </row>
    <row r="634" spans="1:1">
      <c r="A634" s="42"/>
    </row>
    <row r="635" spans="1:1">
      <c r="A635" s="42"/>
    </row>
    <row r="636" spans="1:1">
      <c r="A636" s="42"/>
    </row>
    <row r="637" spans="1:1">
      <c r="A637" s="42"/>
    </row>
    <row r="638" spans="1:1">
      <c r="A638" s="42"/>
    </row>
    <row r="639" spans="1:1">
      <c r="A639" s="42"/>
    </row>
    <row r="640" spans="1:1">
      <c r="A640" s="42"/>
    </row>
    <row r="641" spans="1:1">
      <c r="A641" s="42"/>
    </row>
    <row r="642" spans="1:1">
      <c r="A642" s="42"/>
    </row>
    <row r="643" spans="1:1">
      <c r="A643" s="42"/>
    </row>
    <row r="644" spans="1:1">
      <c r="A644" s="42"/>
    </row>
    <row r="645" spans="1:1">
      <c r="A645" s="42"/>
    </row>
    <row r="646" spans="1:1">
      <c r="A646" s="42"/>
    </row>
    <row r="647" spans="1:1">
      <c r="A647" s="42"/>
    </row>
    <row r="648" spans="1:1">
      <c r="A648" s="42"/>
    </row>
    <row r="649" spans="1:1">
      <c r="A649" s="42"/>
    </row>
    <row r="650" spans="1:1">
      <c r="A650" s="42"/>
    </row>
    <row r="651" spans="1:1">
      <c r="A651" s="42"/>
    </row>
    <row r="652" spans="1:1">
      <c r="A652" s="42"/>
    </row>
    <row r="653" spans="1:1">
      <c r="A653" s="42"/>
    </row>
    <row r="654" spans="1:1">
      <c r="A654" s="42"/>
    </row>
    <row r="655" spans="1:1">
      <c r="A655" s="42"/>
    </row>
    <row r="656" spans="1:1">
      <c r="A656" s="42"/>
    </row>
    <row r="657" spans="1:1">
      <c r="A657" s="42"/>
    </row>
    <row r="658" spans="1:1">
      <c r="A658" s="42"/>
    </row>
    <row r="659" spans="1:1">
      <c r="A659" s="42"/>
    </row>
    <row r="660" spans="1:1">
      <c r="A660" s="42"/>
    </row>
    <row r="661" spans="1:1">
      <c r="A661" s="42"/>
    </row>
    <row r="662" spans="1:1">
      <c r="A662" s="42"/>
    </row>
    <row r="663" spans="1:1">
      <c r="A663" s="42"/>
    </row>
    <row r="664" spans="1:1">
      <c r="A664" s="42"/>
    </row>
    <row r="665" spans="1:1">
      <c r="A665" s="42"/>
    </row>
    <row r="666" spans="1:1">
      <c r="A666" s="42"/>
    </row>
    <row r="667" spans="1:1">
      <c r="A667" s="42"/>
    </row>
    <row r="668" spans="1:1">
      <c r="A668" s="42"/>
    </row>
    <row r="669" spans="1:1">
      <c r="A669" s="42"/>
    </row>
    <row r="670" spans="1:1">
      <c r="A670" s="42"/>
    </row>
    <row r="671" spans="1:1">
      <c r="A671" s="42"/>
    </row>
    <row r="672" spans="1:1">
      <c r="A672" s="42"/>
    </row>
    <row r="673" spans="1:1">
      <c r="A673" s="42"/>
    </row>
    <row r="674" spans="1:1">
      <c r="A674" s="42"/>
    </row>
    <row r="675" spans="1:1">
      <c r="A675" s="42"/>
    </row>
    <row r="676" spans="1:1">
      <c r="A676" s="42"/>
    </row>
    <row r="677" spans="1:1">
      <c r="A677" s="42"/>
    </row>
    <row r="678" spans="1:1">
      <c r="A678" s="42"/>
    </row>
    <row r="679" spans="1:1">
      <c r="A679" s="42"/>
    </row>
    <row r="680" spans="1:1">
      <c r="A680" s="42"/>
    </row>
    <row r="681" spans="1:1">
      <c r="A681" s="42"/>
    </row>
    <row r="682" spans="1:1">
      <c r="A682" s="42"/>
    </row>
    <row r="683" spans="1:1">
      <c r="A683" s="42"/>
    </row>
    <row r="684" spans="1:1">
      <c r="A684" s="42"/>
    </row>
    <row r="685" spans="1:1">
      <c r="A685" s="42"/>
    </row>
    <row r="686" spans="1:1">
      <c r="A686" s="42"/>
    </row>
    <row r="687" spans="1:1">
      <c r="A687" s="42"/>
    </row>
    <row r="688" spans="1:1">
      <c r="A688" s="42"/>
    </row>
    <row r="689" spans="1:1">
      <c r="A689" s="42"/>
    </row>
    <row r="690" spans="1:1">
      <c r="A690" s="42"/>
    </row>
    <row r="691" spans="1:1">
      <c r="A691" s="42"/>
    </row>
    <row r="692" spans="1:1">
      <c r="A692" s="42"/>
    </row>
    <row r="693" spans="1:1">
      <c r="A693" s="42"/>
    </row>
    <row r="694" spans="1:1">
      <c r="A694" s="42"/>
    </row>
    <row r="695" spans="1:1">
      <c r="A695" s="42"/>
    </row>
    <row r="696" spans="1:1">
      <c r="A696" s="42"/>
    </row>
    <row r="697" spans="1:1">
      <c r="A697" s="42"/>
    </row>
    <row r="698" spans="1:1">
      <c r="A698" s="42"/>
    </row>
    <row r="699" spans="1:1">
      <c r="A699" s="42"/>
    </row>
    <row r="700" spans="1:1">
      <c r="A700" s="42"/>
    </row>
    <row r="701" spans="1:1">
      <c r="A701" s="42"/>
    </row>
    <row r="702" spans="1:1">
      <c r="A702" s="42"/>
    </row>
    <row r="703" spans="1:1">
      <c r="A703" s="42"/>
    </row>
    <row r="704" spans="1:1">
      <c r="A704" s="42"/>
    </row>
    <row r="705" spans="1:1">
      <c r="A705" s="42"/>
    </row>
    <row r="706" spans="1:1">
      <c r="A706" s="42"/>
    </row>
    <row r="707" spans="1:1">
      <c r="A707" s="42"/>
    </row>
    <row r="708" spans="1:1">
      <c r="A708" s="42"/>
    </row>
    <row r="709" spans="1:1">
      <c r="A709" s="42"/>
    </row>
    <row r="710" spans="1:1">
      <c r="A710" s="42"/>
    </row>
    <row r="711" spans="1:1">
      <c r="A711" s="42"/>
    </row>
    <row r="712" spans="1:1">
      <c r="A712" s="42"/>
    </row>
    <row r="713" spans="1:1">
      <c r="A713" s="42"/>
    </row>
    <row r="714" spans="1:1">
      <c r="A714" s="42"/>
    </row>
    <row r="715" spans="1:1">
      <c r="A715" s="42"/>
    </row>
    <row r="716" spans="1:1">
      <c r="A716" s="42"/>
    </row>
    <row r="717" spans="1:1">
      <c r="A717" s="42"/>
    </row>
    <row r="718" spans="1:1">
      <c r="A718" s="42"/>
    </row>
    <row r="719" spans="1:1">
      <c r="A719" s="42"/>
    </row>
    <row r="720" spans="1:1">
      <c r="A720" s="42"/>
    </row>
    <row r="721" spans="1:1">
      <c r="A721" s="42"/>
    </row>
    <row r="722" spans="1:1">
      <c r="A722" s="42"/>
    </row>
    <row r="723" spans="1:1">
      <c r="A723" s="42"/>
    </row>
    <row r="724" spans="1:1">
      <c r="A724" s="42"/>
    </row>
    <row r="725" spans="1:1">
      <c r="A725" s="42"/>
    </row>
    <row r="726" spans="1:1">
      <c r="A726" s="42"/>
    </row>
    <row r="727" spans="1:1">
      <c r="A727" s="42"/>
    </row>
    <row r="728" spans="1:1">
      <c r="A728" s="42"/>
    </row>
    <row r="729" spans="1:1">
      <c r="A729" s="42"/>
    </row>
    <row r="730" spans="1:1">
      <c r="A730" s="42"/>
    </row>
    <row r="731" spans="1:1">
      <c r="A731" s="42"/>
    </row>
    <row r="732" spans="1:1">
      <c r="A732" s="42"/>
    </row>
    <row r="733" spans="1:1">
      <c r="A733" s="42"/>
    </row>
    <row r="734" spans="1:1">
      <c r="A734" s="42"/>
    </row>
    <row r="735" spans="1:1">
      <c r="A735" s="42"/>
    </row>
    <row r="736" spans="1:1">
      <c r="A736" s="42"/>
    </row>
    <row r="737" spans="1:1">
      <c r="A737" s="42"/>
    </row>
    <row r="738" spans="1:1">
      <c r="A738" s="42"/>
    </row>
    <row r="739" spans="1:1">
      <c r="A739" s="42"/>
    </row>
    <row r="740" spans="1:1">
      <c r="A740" s="42"/>
    </row>
    <row r="741" spans="1:1">
      <c r="A741" s="42"/>
    </row>
    <row r="742" spans="1:1">
      <c r="A742" s="42"/>
    </row>
    <row r="743" spans="1:1">
      <c r="A743" s="42"/>
    </row>
    <row r="744" spans="1:1">
      <c r="A744" s="42"/>
    </row>
    <row r="745" spans="1:1">
      <c r="A745" s="42"/>
    </row>
    <row r="746" spans="1:1">
      <c r="A746" s="42"/>
    </row>
    <row r="747" spans="1:1">
      <c r="A747" s="42"/>
    </row>
    <row r="748" spans="1:1">
      <c r="A748" s="42"/>
    </row>
    <row r="749" spans="1:1">
      <c r="A749" s="42"/>
    </row>
    <row r="750" spans="1:1">
      <c r="A750" s="42"/>
    </row>
    <row r="751" spans="1:1">
      <c r="A751" s="42"/>
    </row>
    <row r="752" spans="1:1">
      <c r="A752" s="42"/>
    </row>
    <row r="753" spans="1:1">
      <c r="A753" s="42"/>
    </row>
    <row r="754" spans="1:1">
      <c r="A754" s="42"/>
    </row>
    <row r="755" spans="1:1">
      <c r="A755" s="42"/>
    </row>
    <row r="756" spans="1:1">
      <c r="A756" s="42"/>
    </row>
    <row r="757" spans="1:1">
      <c r="A757" s="42"/>
    </row>
    <row r="758" spans="1:1">
      <c r="A758" s="42"/>
    </row>
    <row r="759" spans="1:1">
      <c r="A759" s="42"/>
    </row>
    <row r="760" spans="1:1">
      <c r="A760" s="42"/>
    </row>
    <row r="761" spans="1:1">
      <c r="A761" s="42"/>
    </row>
    <row r="762" spans="1:1">
      <c r="A762" s="42"/>
    </row>
    <row r="763" spans="1:1">
      <c r="A763" s="42"/>
    </row>
    <row r="764" spans="1:1">
      <c r="A764" s="42"/>
    </row>
    <row r="765" spans="1:1">
      <c r="A765" s="42"/>
    </row>
    <row r="766" spans="1:1">
      <c r="A766" s="42"/>
    </row>
    <row r="767" spans="1:1">
      <c r="A767" s="42"/>
    </row>
    <row r="768" spans="1:1">
      <c r="A768" s="42"/>
    </row>
    <row r="769" spans="1:1">
      <c r="A769" s="42"/>
    </row>
    <row r="770" spans="1:1">
      <c r="A770" s="42"/>
    </row>
    <row r="771" spans="1:1">
      <c r="A771" s="42"/>
    </row>
    <row r="772" spans="1:1">
      <c r="A772" s="42"/>
    </row>
    <row r="773" spans="1:1">
      <c r="A773" s="42"/>
    </row>
    <row r="774" spans="1:1">
      <c r="A774" s="42"/>
    </row>
    <row r="775" spans="1:1">
      <c r="A775" s="42"/>
    </row>
    <row r="776" spans="1:1">
      <c r="A776" s="42"/>
    </row>
    <row r="777" spans="1:1">
      <c r="A777" s="42"/>
    </row>
    <row r="778" spans="1:1">
      <c r="A778" s="42"/>
    </row>
    <row r="779" spans="1:1">
      <c r="A779" s="42"/>
    </row>
    <row r="780" spans="1:1">
      <c r="A780" s="42"/>
    </row>
    <row r="781" spans="1:1">
      <c r="A781" s="42"/>
    </row>
    <row r="782" spans="1:1">
      <c r="A782" s="42"/>
    </row>
    <row r="783" spans="1:1">
      <c r="A783" s="42"/>
    </row>
    <row r="784" spans="1:1">
      <c r="A784" s="42"/>
    </row>
    <row r="785" spans="1:1">
      <c r="A785" s="42"/>
    </row>
    <row r="786" spans="1:1">
      <c r="A786" s="42"/>
    </row>
    <row r="787" spans="1:1">
      <c r="A787" s="42"/>
    </row>
    <row r="788" spans="1:1">
      <c r="A788" s="42"/>
    </row>
    <row r="789" spans="1:1">
      <c r="A789" s="42"/>
    </row>
    <row r="790" spans="1:1">
      <c r="A790" s="42"/>
    </row>
    <row r="791" spans="1:1">
      <c r="A791" s="42"/>
    </row>
    <row r="792" spans="1:1">
      <c r="A792" s="42"/>
    </row>
    <row r="793" spans="1:1">
      <c r="A793" s="42"/>
    </row>
    <row r="794" spans="1:1">
      <c r="A794" s="42"/>
    </row>
    <row r="795" spans="1:1">
      <c r="A795" s="42"/>
    </row>
    <row r="796" spans="1:1">
      <c r="A796" s="42"/>
    </row>
    <row r="797" spans="1:1">
      <c r="A797" s="42"/>
    </row>
    <row r="798" spans="1:1">
      <c r="A798" s="42"/>
    </row>
    <row r="799" spans="1:1">
      <c r="A799" s="42"/>
    </row>
    <row r="800" spans="1:1">
      <c r="A800" s="42"/>
    </row>
    <row r="801" spans="1:1">
      <c r="A801" s="42"/>
    </row>
    <row r="802" spans="1:1">
      <c r="A802" s="42"/>
    </row>
    <row r="803" spans="1:1">
      <c r="A803" s="42"/>
    </row>
    <row r="804" spans="1:1">
      <c r="A804" s="42"/>
    </row>
    <row r="805" spans="1:1">
      <c r="A805" s="42"/>
    </row>
    <row r="806" spans="1:1">
      <c r="A806" s="42"/>
    </row>
    <row r="807" spans="1:1">
      <c r="A807" s="42"/>
    </row>
    <row r="808" spans="1:1">
      <c r="A808" s="42"/>
    </row>
    <row r="809" spans="1:1">
      <c r="A809" s="42"/>
    </row>
    <row r="810" spans="1:1">
      <c r="A810" s="42"/>
    </row>
    <row r="811" spans="1:1">
      <c r="A811" s="42"/>
    </row>
    <row r="812" spans="1:1">
      <c r="A812" s="42"/>
    </row>
    <row r="813" spans="1:1">
      <c r="A813" s="42"/>
    </row>
    <row r="814" spans="1:1">
      <c r="A814" s="42"/>
    </row>
    <row r="815" spans="1:1">
      <c r="A815" s="42"/>
    </row>
    <row r="816" spans="1:1">
      <c r="A816" s="42"/>
    </row>
    <row r="817" spans="1:1">
      <c r="A817" s="42"/>
    </row>
    <row r="818" spans="1:1">
      <c r="A818" s="42"/>
    </row>
    <row r="819" spans="1:1">
      <c r="A819" s="42"/>
    </row>
    <row r="820" spans="1:1">
      <c r="A820" s="42"/>
    </row>
    <row r="821" spans="1:1">
      <c r="A821" s="42"/>
    </row>
    <row r="822" spans="1:1">
      <c r="A822" s="42"/>
    </row>
    <row r="823" spans="1:1">
      <c r="A823" s="42"/>
    </row>
    <row r="824" spans="1:1">
      <c r="A824" s="42"/>
    </row>
    <row r="825" spans="1:1">
      <c r="A825" s="42"/>
    </row>
    <row r="826" spans="1:1">
      <c r="A826" s="42"/>
    </row>
    <row r="827" spans="1:1">
      <c r="A827" s="42"/>
    </row>
    <row r="828" spans="1:1">
      <c r="A828" s="42"/>
    </row>
    <row r="829" spans="1:1">
      <c r="A829" s="42"/>
    </row>
    <row r="830" spans="1:1">
      <c r="A830" s="42"/>
    </row>
    <row r="831" spans="1:1">
      <c r="A831" s="42"/>
    </row>
    <row r="832" spans="1:1">
      <c r="A832" s="42"/>
    </row>
    <row r="833" spans="1:1">
      <c r="A833" s="42"/>
    </row>
    <row r="834" spans="1:1">
      <c r="A834" s="42"/>
    </row>
    <row r="835" spans="1:1">
      <c r="A835" s="42"/>
    </row>
    <row r="836" spans="1:1">
      <c r="A836" s="42"/>
    </row>
    <row r="837" spans="1:1">
      <c r="A837" s="42"/>
    </row>
    <row r="838" spans="1:1">
      <c r="A838" s="42"/>
    </row>
    <row r="839" spans="1:1">
      <c r="A839" s="42"/>
    </row>
    <row r="840" spans="1:1">
      <c r="A840" s="42"/>
    </row>
    <row r="841" spans="1:1">
      <c r="A841" s="42"/>
    </row>
    <row r="842" spans="1:1">
      <c r="A842" s="42"/>
    </row>
    <row r="843" spans="1:1">
      <c r="A843" s="42"/>
    </row>
    <row r="844" spans="1:1">
      <c r="A844" s="42"/>
    </row>
    <row r="845" spans="1:1">
      <c r="A845" s="42"/>
    </row>
    <row r="846" spans="1:1">
      <c r="A846" s="42"/>
    </row>
    <row r="847" spans="1:1">
      <c r="A847" s="42"/>
    </row>
    <row r="848" spans="1:1">
      <c r="A848" s="42"/>
    </row>
    <row r="849" spans="1:1">
      <c r="A849" s="42"/>
    </row>
    <row r="850" spans="1:1">
      <c r="A850" s="42"/>
    </row>
    <row r="851" spans="1:1">
      <c r="A851" s="42"/>
    </row>
    <row r="852" spans="1:1">
      <c r="A852" s="42"/>
    </row>
    <row r="853" spans="1:1">
      <c r="A853" s="42"/>
    </row>
    <row r="854" spans="1:1">
      <c r="A854" s="42"/>
    </row>
    <row r="855" spans="1:1">
      <c r="A855" s="42"/>
    </row>
    <row r="856" spans="1:1">
      <c r="A856" s="42"/>
    </row>
    <row r="857" spans="1:1">
      <c r="A857" s="42"/>
    </row>
    <row r="858" spans="1:1">
      <c r="A858" s="42"/>
    </row>
    <row r="859" spans="1:1">
      <c r="A859" s="42"/>
    </row>
    <row r="860" spans="1:1">
      <c r="A860" s="42"/>
    </row>
    <row r="861" spans="1:1">
      <c r="A861" s="42"/>
    </row>
    <row r="862" spans="1:1">
      <c r="A862" s="42"/>
    </row>
    <row r="863" spans="1:1">
      <c r="A863" s="42"/>
    </row>
    <row r="864" spans="1:1">
      <c r="A864" s="42"/>
    </row>
    <row r="865" spans="1:1">
      <c r="A865" s="42"/>
    </row>
    <row r="866" spans="1:1">
      <c r="A866" s="42"/>
    </row>
    <row r="867" spans="1:1">
      <c r="A867" s="42"/>
    </row>
    <row r="868" spans="1:1">
      <c r="A868" s="42"/>
    </row>
    <row r="869" spans="1:1">
      <c r="A869" s="42"/>
    </row>
    <row r="870" spans="1:1">
      <c r="A870" s="42"/>
    </row>
    <row r="871" spans="1:1">
      <c r="A871" s="42"/>
    </row>
    <row r="872" spans="1:1">
      <c r="A872" s="42"/>
    </row>
    <row r="873" spans="1:1">
      <c r="A873" s="42"/>
    </row>
    <row r="874" spans="1:1">
      <c r="A874" s="42"/>
    </row>
    <row r="875" spans="1:1">
      <c r="A875" s="42"/>
    </row>
    <row r="876" spans="1:1">
      <c r="A876" s="42"/>
    </row>
    <row r="877" spans="1:1">
      <c r="A877" s="42"/>
    </row>
    <row r="878" spans="1:1">
      <c r="A878" s="42"/>
    </row>
    <row r="879" spans="1:1">
      <c r="A879" s="42"/>
    </row>
    <row r="880" spans="1:1">
      <c r="A880" s="42"/>
    </row>
    <row r="881" spans="1:1">
      <c r="A881" s="42"/>
    </row>
    <row r="882" spans="1:1">
      <c r="A882" s="42"/>
    </row>
    <row r="883" spans="1:1">
      <c r="A883" s="42"/>
    </row>
    <row r="884" spans="1:1">
      <c r="A884" s="42"/>
    </row>
    <row r="885" spans="1:1">
      <c r="A885" s="42"/>
    </row>
    <row r="886" spans="1:1">
      <c r="A886" s="42"/>
    </row>
    <row r="887" spans="1:1">
      <c r="A887" s="42"/>
    </row>
    <row r="888" spans="1:1">
      <c r="A888" s="42"/>
    </row>
    <row r="889" spans="1:1">
      <c r="A889" s="42"/>
    </row>
    <row r="890" spans="1:1">
      <c r="A890" s="42"/>
    </row>
    <row r="891" spans="1:1">
      <c r="A891" s="42"/>
    </row>
    <row r="892" spans="1:1">
      <c r="A892" s="42"/>
    </row>
    <row r="893" spans="1:1">
      <c r="A893" s="42"/>
    </row>
    <row r="894" spans="1:1">
      <c r="A894" s="42"/>
    </row>
    <row r="895" spans="1:1">
      <c r="A895" s="42"/>
    </row>
    <row r="896" spans="1:1">
      <c r="A896" s="42"/>
    </row>
    <row r="897" spans="1:1">
      <c r="A897" s="42"/>
    </row>
    <row r="898" spans="1:1">
      <c r="A898" s="42"/>
    </row>
    <row r="899" spans="1:1">
      <c r="A899" s="42"/>
    </row>
    <row r="900" spans="1:1">
      <c r="A900" s="42"/>
    </row>
    <row r="901" spans="1:1">
      <c r="A901" s="42"/>
    </row>
    <row r="902" spans="1:1">
      <c r="A902" s="42"/>
    </row>
    <row r="903" spans="1:1">
      <c r="A903" s="42"/>
    </row>
    <row r="904" spans="1:1">
      <c r="A904" s="42"/>
    </row>
    <row r="905" spans="1:1">
      <c r="A905" s="42"/>
    </row>
    <row r="906" spans="1:1">
      <c r="A906" s="42"/>
    </row>
    <row r="907" spans="1:1">
      <c r="A907" s="42"/>
    </row>
    <row r="908" spans="1:1">
      <c r="A908" s="42"/>
    </row>
    <row r="909" spans="1:1">
      <c r="A909" s="42"/>
    </row>
    <row r="910" spans="1:1">
      <c r="A910" s="42"/>
    </row>
    <row r="911" spans="1:1">
      <c r="A911" s="42"/>
    </row>
    <row r="912" spans="1:1">
      <c r="A912" s="42"/>
    </row>
    <row r="913" spans="1:1">
      <c r="A913" s="42"/>
    </row>
    <row r="914" spans="1:1">
      <c r="A914" s="42"/>
    </row>
    <row r="915" spans="1:1">
      <c r="A915" s="42"/>
    </row>
    <row r="916" spans="1:1">
      <c r="A916" s="42"/>
    </row>
    <row r="917" spans="1:1">
      <c r="A917" s="42"/>
    </row>
    <row r="918" spans="1:1">
      <c r="A918" s="42"/>
    </row>
    <row r="919" spans="1:1">
      <c r="A919" s="42"/>
    </row>
    <row r="920" spans="1:1">
      <c r="A920" s="42"/>
    </row>
    <row r="921" spans="1:1">
      <c r="A921" s="42"/>
    </row>
    <row r="922" spans="1:1">
      <c r="A922" s="42"/>
    </row>
    <row r="923" spans="1:1">
      <c r="A923" s="42"/>
    </row>
    <row r="924" spans="1:1">
      <c r="A924" s="42"/>
    </row>
    <row r="925" spans="1:1">
      <c r="A925" s="42"/>
    </row>
    <row r="926" spans="1:1">
      <c r="A926" s="42"/>
    </row>
    <row r="927" spans="1:1">
      <c r="A927" s="42"/>
    </row>
    <row r="928" spans="1:1">
      <c r="A928" s="42"/>
    </row>
    <row r="929" spans="1:1">
      <c r="A929" s="42"/>
    </row>
    <row r="930" spans="1:1">
      <c r="A930" s="42"/>
    </row>
    <row r="931" spans="1:1">
      <c r="A931" s="42"/>
    </row>
    <row r="932" spans="1:1">
      <c r="A932" s="42"/>
    </row>
    <row r="933" spans="1:1">
      <c r="A933" s="42"/>
    </row>
    <row r="934" spans="1:1">
      <c r="A934" s="42"/>
    </row>
    <row r="935" spans="1:1">
      <c r="A935" s="42"/>
    </row>
    <row r="936" spans="1:1">
      <c r="A936" s="42"/>
    </row>
    <row r="937" spans="1:1">
      <c r="A937" s="42"/>
    </row>
    <row r="938" spans="1:1">
      <c r="A938" s="42"/>
    </row>
    <row r="939" spans="1:1">
      <c r="A939" s="42"/>
    </row>
    <row r="940" spans="1:1">
      <c r="A940" s="42"/>
    </row>
    <row r="941" spans="1:1">
      <c r="A941" s="42"/>
    </row>
    <row r="942" spans="1:1">
      <c r="A942" s="42"/>
    </row>
    <row r="943" spans="1:1">
      <c r="A943" s="42"/>
    </row>
    <row r="944" spans="1:1">
      <c r="A944" s="42"/>
    </row>
    <row r="945" spans="1:1">
      <c r="A945" s="42"/>
    </row>
    <row r="946" spans="1:1">
      <c r="A946" s="42"/>
    </row>
    <row r="947" spans="1:1">
      <c r="A947" s="42"/>
    </row>
    <row r="948" spans="1:1">
      <c r="A948" s="42"/>
    </row>
    <row r="949" spans="1:1">
      <c r="A949" s="42"/>
    </row>
    <row r="950" spans="1:1">
      <c r="A950" s="42"/>
    </row>
    <row r="951" spans="1:1">
      <c r="A951" s="42"/>
    </row>
    <row r="952" spans="1:1">
      <c r="A952" s="42"/>
    </row>
    <row r="953" spans="1:1">
      <c r="A953" s="42"/>
    </row>
    <row r="954" spans="1:1">
      <c r="A954" s="42"/>
    </row>
    <row r="955" spans="1:1">
      <c r="A955" s="42"/>
    </row>
    <row r="956" spans="1:1">
      <c r="A956" s="42"/>
    </row>
    <row r="957" spans="1:1">
      <c r="A957" s="42"/>
    </row>
    <row r="958" spans="1:1">
      <c r="A958" s="42"/>
    </row>
    <row r="959" spans="1:1">
      <c r="A959" s="42"/>
    </row>
    <row r="960" spans="1:1">
      <c r="A960" s="42"/>
    </row>
    <row r="961" spans="1:1">
      <c r="A961" s="42"/>
    </row>
    <row r="962" spans="1:1">
      <c r="A962" s="42"/>
    </row>
    <row r="963" spans="1:1">
      <c r="A963" s="42"/>
    </row>
    <row r="964" spans="1:1">
      <c r="A964" s="42"/>
    </row>
    <row r="965" spans="1:1">
      <c r="A965" s="42"/>
    </row>
    <row r="966" spans="1:1">
      <c r="A966" s="42"/>
    </row>
    <row r="967" spans="1:1">
      <c r="A967" s="42"/>
    </row>
    <row r="968" spans="1:1">
      <c r="A968" s="42"/>
    </row>
    <row r="969" spans="1:1">
      <c r="A969" s="42"/>
    </row>
    <row r="970" spans="1:1">
      <c r="A970" s="42"/>
    </row>
    <row r="971" spans="1:1">
      <c r="A971" s="42"/>
    </row>
    <row r="972" spans="1:1">
      <c r="A972" s="42"/>
    </row>
    <row r="973" spans="1:1">
      <c r="A973" s="42"/>
    </row>
    <row r="974" spans="1:1">
      <c r="A974" s="42"/>
    </row>
    <row r="975" spans="1:1">
      <c r="A975" s="42"/>
    </row>
    <row r="976" spans="1:1">
      <c r="A976" s="42"/>
    </row>
    <row r="977" spans="1:1">
      <c r="A977" s="42"/>
    </row>
    <row r="978" spans="1:1">
      <c r="A978" s="42"/>
    </row>
    <row r="979" spans="1:1">
      <c r="A979" s="42"/>
    </row>
    <row r="980" spans="1:1">
      <c r="A980" s="42"/>
    </row>
    <row r="981" spans="1:1">
      <c r="A981" s="42"/>
    </row>
    <row r="982" spans="1:1">
      <c r="A982" s="42"/>
    </row>
    <row r="983" spans="1:1">
      <c r="A983" s="42"/>
    </row>
    <row r="984" spans="1:1">
      <c r="A984" s="42"/>
    </row>
    <row r="985" spans="1:1">
      <c r="A985" s="42"/>
    </row>
    <row r="986" spans="1:1">
      <c r="A986" s="42"/>
    </row>
    <row r="987" spans="1:1">
      <c r="A987" s="42"/>
    </row>
    <row r="988" spans="1:1">
      <c r="A988" s="42"/>
    </row>
    <row r="989" spans="1:1">
      <c r="A989" s="42"/>
    </row>
    <row r="990" spans="1:1">
      <c r="A990" s="42"/>
    </row>
    <row r="991" spans="1:1">
      <c r="A991" s="42"/>
    </row>
    <row r="992" spans="1:1">
      <c r="A992" s="42"/>
    </row>
    <row r="993" spans="1:1">
      <c r="A993" s="42"/>
    </row>
    <row r="994" spans="1:1">
      <c r="A994" s="42"/>
    </row>
    <row r="995" spans="1:1">
      <c r="A995" s="42"/>
    </row>
    <row r="996" spans="1:1">
      <c r="A996" s="42"/>
    </row>
    <row r="997" spans="1:1">
      <c r="A997" s="42"/>
    </row>
    <row r="998" spans="1:1">
      <c r="A998" s="42"/>
    </row>
    <row r="999" spans="1:1">
      <c r="A999" s="42"/>
    </row>
    <row r="1000" spans="1:1">
      <c r="A1000" s="42"/>
    </row>
    <row r="1001" spans="1:1">
      <c r="A1001" s="42"/>
    </row>
    <row r="1002" spans="1:1">
      <c r="A1002" s="42"/>
    </row>
    <row r="1003" spans="1:1">
      <c r="A1003" s="42"/>
    </row>
    <row r="1004" spans="1:1">
      <c r="A1004" s="42"/>
    </row>
    <row r="1005" spans="1:1">
      <c r="A1005" s="42"/>
    </row>
    <row r="1006" spans="1:1">
      <c r="A1006" s="42"/>
    </row>
    <row r="1007" spans="1:1">
      <c r="A1007" s="42"/>
    </row>
    <row r="1008" spans="1:1">
      <c r="A1008" s="42"/>
    </row>
  </sheetData>
  <sortState xmlns:xlrd2="http://schemas.microsoft.com/office/spreadsheetml/2017/richdata2" ref="C152:C361">
    <sortCondition ref="C152:C361"/>
  </sortState>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20</vt:i4>
      </vt:variant>
    </vt:vector>
  </HeadingPairs>
  <TitlesOfParts>
    <vt:vector size="25" baseType="lpstr">
      <vt:lpstr>ESTAB.EDUCATIVO</vt:lpstr>
      <vt:lpstr>preguntas</vt:lpstr>
      <vt:lpstr>Hoja3</vt:lpstr>
      <vt:lpstr>SEDES</vt:lpstr>
      <vt:lpstr>DATOS</vt:lpstr>
      <vt:lpstr>ALIMENTACION</vt:lpstr>
      <vt:lpstr>CONCEPTO</vt:lpstr>
      <vt:lpstr>CUMPLE</vt:lpstr>
      <vt:lpstr>GRADO</vt:lpstr>
      <vt:lpstr>IDSEDE</vt:lpstr>
      <vt:lpstr>KARDEX</vt:lpstr>
      <vt:lpstr>MARCA</vt:lpstr>
      <vt:lpstr>MENU</vt:lpstr>
      <vt:lpstr>MODALIDAD</vt:lpstr>
      <vt:lpstr>OBSERVACION</vt:lpstr>
      <vt:lpstr>OPCION</vt:lpstr>
      <vt:lpstr>OPCION2</vt:lpstr>
      <vt:lpstr>OPERADOR</vt:lpstr>
      <vt:lpstr>PRODUCTO</vt:lpstr>
      <vt:lpstr>PROFESIONAL</vt:lpstr>
      <vt:lpstr>SEMANA</vt:lpstr>
      <vt:lpstr>SINO</vt:lpstr>
      <vt:lpstr>TEMPE</vt:lpstr>
      <vt:lpstr>TIPO_VISITA</vt:lpstr>
      <vt:lpstr>VISITA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Angelica Z</dc:creator>
  <cp:keywords/>
  <dc:description/>
  <cp:lastModifiedBy>Angelica</cp:lastModifiedBy>
  <cp:revision/>
  <cp:lastPrinted>2019-11-12T14:02:25Z</cp:lastPrinted>
  <dcterms:created xsi:type="dcterms:W3CDTF">2018-04-11T20:10:02Z</dcterms:created>
  <dcterms:modified xsi:type="dcterms:W3CDTF">2022-07-04T01:14:09Z</dcterms:modified>
  <cp:category/>
  <cp:contentStatus/>
</cp:coreProperties>
</file>